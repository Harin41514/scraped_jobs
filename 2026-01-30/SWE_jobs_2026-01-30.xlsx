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in-156579fa57a43695</t>
        </is>
      </c>
      <c r="B2" t="inlineStr">
        <is>
          <t>Principal Software Engineer</t>
        </is>
      </c>
      <c r="C2" t="inlineStr">
        <is>
          <t>American Kennel Club</t>
        </is>
      </c>
      <c r="D2" t="inlineStr">
        <is>
          <t>indeed</t>
        </is>
      </c>
      <c r="E2" t="inlineStr"/>
      <c r="F2" t="inlineStr"/>
      <c r="G2" t="inlineStr">
        <is>
          <t>New York, NY, US</t>
        </is>
      </c>
      <c r="H2" s="2" t="n">
        <v>46052</v>
      </c>
      <c r="I2" t="inlineStr">
        <is>
          <t>The AKC IT Dev Ops team oversees the creation and upkeep of tailored applications that support the AKC mission and initiatives. As Principal Software Engineer of our Marketing and Communications team, you'll manage staff and lead a team of developers, spearheading the software development lifecycle for all WordPress sites, our Shopify instance, and our custom PHP site where we help connect breeders and potential puppy buyers of registered purebred dogs. Your role involves collaborating with business executives, product owners, and stakeholders to outline software requirements and priorities. Budgeting and resource allocation for projects fall within your scope, alongside managing software from inception to ongoing support. Setting technical benchmarks, devising strategies, and aiding in problem\-solving and enhancing existing software are also part of your responsibilities.
* **Experience with PHP, Laravel, and React or Vue is required.**
* **This hybrid position requires onsite in our New York City or Raleigh office.**
**Primary Job Duties**
* Hands\-on working Manager who oversees staff responsibilities and teams, ensuring alignment with business goals and technical excellence, mentoring junior team members, and creating a positive work environment.
* Leading in project planning, estimation, and resource allocation, ensuring projects are delivered on time and within budget.
* Design and implement complex, scalable, and secure software architectures that meet the project and organization's needs.
* Principal Software Engineers still actively contribute by writing clean, efficient, and maintainable code for critical system parts.
* Communicate effectively with technical and non\-technical stakeholders, clearly articulating technical concepts and project progress.
* Champion best practices in software development, including code quality, testing methodologies, and documentation standards.
* Identify areas for improvement in the software development process and participate in implementing solutions to enhance efficiency and quality.
* Analyze complex technical challenges, identify root causes, and design and implement effective solutions.
* Research and evaluate new technologies to identify the best solutions for upcoming projects.
**Required Skills, Specialized Knowledge, and Competency Requirements**
* Proficiency in at least FIVE standard AKC languages, including Angular, Node, React or Vue, CSS (SASS, LESS), PHP, PL/SQL, SQL, HTML, XML, and DHTML.
* Familiarity with WordPress, Emarsys and Shopify platforms are beneficial in this role.
* Deep understanding of software architecture principles, design patterns, and best practices for building scalable and maintainable systems.
* Ability to design and implement complex software systems, considering scalability, performance, and security factors.
* Excellent communication skills to articulate technical concepts clearly to both technical and non\-technical audiences.
* Experience managing a staff’s employment life cycle, including interviewing, hiring, performance reviews, training, etc.
* Ability to lead, mentor, and motivate a team, delegate tasks effectively, foster growth, and inspire collaboration.
* Exceptional problem\-solving skills to analyze complex technical issues, identify root causes, and design effectively.
***The salary range for this position in New York City is $120,000 \- $150,000/year; however salary offered may vary depending on skills, experience, job\-related knowledge, and location.***</t>
        </is>
      </c>
    </row>
    <row r="3">
      <c r="A3" t="inlineStr">
        <is>
          <t>in-95b0ce0bbd3e49e5</t>
        </is>
      </c>
      <c r="B3" t="inlineStr">
        <is>
          <t>Software Engineer</t>
        </is>
      </c>
      <c r="C3" t="inlineStr">
        <is>
          <t>deciBel research</t>
        </is>
      </c>
      <c r="D3" t="inlineStr">
        <is>
          <t>indeed</t>
        </is>
      </c>
      <c r="E3" t="inlineStr"/>
      <c r="F3" t="inlineStr"/>
      <c r="G3" t="inlineStr">
        <is>
          <t>Huntsville, AL, US</t>
        </is>
      </c>
      <c r="H3" s="2" t="n">
        <v>46052</v>
      </c>
      <c r="I3" t="inlineStr">
        <is>
          <t>deciBel Research has an immediate opening for a Software Engineer in Huntsville, AL.
**Position Description:**
deciBel Research has an immediate opening for a software engineer on the Ground Weapons System (GWS) program as an individual contributor on the Architecture and Delivery automated Test and Verification team. Responsibilities include developing automation related software products in an agile environment in support of the GWS contract execution on behalf of the Missile Defense Agency (MDA).
Must possess good communication skills and be capable of working both independently and within team environments
**Education Requirements:**
Bachelor's degree in a STEM related field from an accredited university
**Experience Requirements:**
* Professional development experience using Python
* Experience with components of the Software Development Life Cycle\- software design requirements, application development, integration, testing, or deployment
* Familiarity with Agile software development using tools like Jira, Confluence, Fisheye/Crucible, and Bitbucket
**Special Skills Desired:**
* Degree in Software Engineering or Computer Science
* Experience developing technical solutions in collaboration with product teams
* Experience in software development for Test Automation
* Experience using Jenkins and Elasticsearch
* Experience in Agile/Scrum leadership roles such as Scrum Master or Product Owner
* Current Security\+ certification
**Applicant selected must have an active Secret security clearance**. Must be a U.S. Citizen.</t>
        </is>
      </c>
    </row>
    <row r="4">
      <c r="A4" t="inlineStr">
        <is>
          <t>in-a621e4988df0a6de</t>
        </is>
      </c>
      <c r="B4" t="inlineStr">
        <is>
          <t>Senior Software Engineer</t>
        </is>
      </c>
      <c r="C4" t="inlineStr">
        <is>
          <t>Absolute Business Solutions Corp. (ABSc)</t>
        </is>
      </c>
      <c r="D4" t="inlineStr">
        <is>
          <t>indeed</t>
        </is>
      </c>
      <c r="E4" t="inlineStr"/>
      <c r="F4" t="inlineStr"/>
      <c r="G4" t="inlineStr">
        <is>
          <t>Bethesda, MD, US</t>
        </is>
      </c>
      <c r="H4" s="2" t="n">
        <v>46051</v>
      </c>
      <c r="I4" t="inlineStr">
        <is>
          <t>Absolute Business Solutions Corp (ABSC) is not just another tech company. We’re a community of innovators, engineers, analysts and business professionals working together with our customers to tackle the most complex challenges. For more than 20 years we’ve supported critical Department of Defense (DoD), Intelligence Community (IC), Federal Civilian missions and global, multi\-national corporations. We specialize in supporting our clients in the Intelligence, Technology, Defense, AI/ML, and Data Science fields. As we continue to grow at a rapid pace, we need some amazing new professionals to join our team.
ABSC has an exciting opening for you, as our next TS/SCI cleared **Senior Software Engineer,** to play a critical role with design, engineering, development and deployment of software supporting DIA’s National Digital Exploitation and OSINT Center (NDOC) under our 10\-year DOMEX Technology Platform (DTP) contract. You will be delivering cutting edge capabilities to advance national security objectives, swiftly produce and analyze results, disseminate findings, and contribute to publications and presentations with actionable intelligence insights. While most work is conducted on\-site at our client location in Bethesda, MD, we offer a flexible schedule and, occasionally, some tasks may be performed remotely. The percentage of remote work will vary based on client
**Responsibilities:**
You will work closely with the team on the following key tasks:
* Work closely with a tight\-knit team of data scientists, as well as a larger team of software developers, network engineers, senior investigators, program managers, researchers, and data analysts to design, build, and optimize a data discovery platform to produce and analyze results, disseminate findings, and contribute to publications and presentations.
* Work on evaluating and testing emerging AI/ML solutions to complex multi\-modal data problems.
* Support multiple simultaneous mission objectives and take open\-ended or high\-level guidance to independently and collaboratively research and develop tools that support information consolidation and discovery.
* Bring your mix of intellectual curiosity, quantitative acumen, and customer\-focus to identify novel sources of data across a range of fields, to improve the performance of predictive algorithms, and to encourage user adoption of high\-end data analytics platforms in partnership with a highly qualified, highly motivated team.
* Leverage your strong background in research design, exploratory analysis, quantitative methods, user interface application design, and experience with customer outreach and engagement
**Requirements:**
To be successful in this role you need:
* B.S. Degree in a quantitative or analytical field such as Computer Science, Mathematics, Economics, Statistics, Engineering, Physics, or Computational Social Science with 12\+ years of experience or Master’s Degree or equivalent graduate degree including certificate\-based advanced training courses with 10\+
* 12\+ years of experience in software engineering, data science, analytics, or quantitative intelligence analysis, and demonstrating progressive technical development and outcomes.
* Must have an active TS/SCI clearance and must be able obtain and maintain a Polygraph
* Must have proficiency in Python programming language.
* Experience working with a hybrid team of analysts, engineers, and developers to conduct research, and build and deploy complex, but easy\-to\-use algorithms and analytical platforms
* Track record of active learning and creative problem solving.
* Ability to analyze and assess software development or data acquisition requirements and determine optimum, cost\-effective solutions.
* Familiarity using git, svn, JIRA, or other version control technologies
**Desired Experience:**
* A significant share of your data analytics experience in direct support of military or intelligence community customers, demonstrating progressive technical development and mission\-focused outcomes.
* Significant experience dealing with at least two of the following data classes: open source, publicly available information (PAI); forensic media (i.e. DOMEX); measurement and signatures intelligence (MASINT); or cybersecurity and cyber forensics
* Experience with information retrieval and search, e.g. Structured Query Language (SQL), and/or Elastic Stack (Elasticsearch and Kibana)
* Deployment of data science applications (e.g. Streamlit) using Docker, Kubernetes, and/or OpenShift.
* Experience with Knowledge Graphs and KG tech such as neo4j or graph ML.
* Experience developing predictive algorithms, image classifiers, object detectors, and others.
* Familiarity with social network analysis, supply chain analysis, forensic accounting, pattern of life, natural language processing, social media analysis, classification algorithms, and/or image processing.
* Experience blending analytical methodologies and leveraging existing COTS/GOTS/OS tools in an unconventional manner.
* Familiarity utilizing virtualization and distributed field systems, such as virtual environments and Hadoop (or similar distributed file systems) in development and deployment environments.
* Experience with Amazon Web Services (AWS/C2S)
* Familiarity with hardware platforms, e.g., CPUs, GPUs, FPGAs, etc.
* Familiarity or experience with building applications around Large Language Models, Agentic AI
* Familiarity with Kubernetes \- deploying and managing applications
Salary is commensurate with experience. An approximate salary range for this requisition is: $140k \- $225k annually.
**Who we are:**  
ABSC is a technology and services company that combines the agility of a small business with proven processes refined over more than two decades in business. We specialize in supporting public sector clients in the Intelligence, Defense, Health, and Safety areas. Our team stands ready to deliver the next generation of programs, personnel, and solutions to help advance our federal government customers’ driving innovation, agility, and security across all mission areas.
**Some of our benefits include:**
* Generous PTO plus 11 Federal Holidays
* Retirement Planning – 401k Fully Vested with Match
* Annual Health and Wellness Allowance – buy an Apple Watch, a treadmill, or hit the gym on us
* Career Development – Annual Funds to spend on Education and Training
* Volunteer Time Off – Annually, all employees can spend 8 hours directly supporting a charity of choice
* Charitable Match – ABSC matches an employee’s donation to a qualifying charity
* Referral Program – We pay for internal and external referrals!
* LOV Awards – Earn bonus awards throughout the year from our Living Our Values awards program
Apply to join our team today! We are always looking to grow our team \- if you know someone who is seeking a new career opportunity, please share this job opening with them. ABSC offers generous external referral bonuses. You don’t need to be an employee to benefit from our Referral Program.
\*ABSC is a proud V3, Virginia Values Vets, member which recognizes our commitment to hiring Veterans. If you are a veteran, please be sure to include that in your application.\*
Equal Opportunity Employer, including veterans and individuals with disabilities.</t>
        </is>
      </c>
    </row>
    <row r="5">
      <c r="A5" t="inlineStr">
        <is>
          <t>in-71d2635d7badb619</t>
        </is>
      </c>
      <c r="B5" t="inlineStr">
        <is>
          <t>Software Engineering Manager - Personal Lines Sales &amp; Servicing</t>
        </is>
      </c>
      <c r="C5" t="inlineStr">
        <is>
          <t>Nationwide Mutual Insurance Company</t>
        </is>
      </c>
      <c r="D5" t="inlineStr">
        <is>
          <t>indeed</t>
        </is>
      </c>
      <c r="E5" t="inlineStr"/>
      <c r="F5" t="inlineStr"/>
      <c r="G5" t="inlineStr">
        <is>
          <t>Columbus, OH, US</t>
        </is>
      </c>
      <c r="H5" s="2" t="n">
        <v>46051</v>
      </c>
      <c r="I5"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
This role does not qualify for employer\-sponsored work authorization. Nationwide does not participate in the Stem OPT Extension program.
The position is located in Columbus, Ohio, and includes a hybrid work arrangement with in\-office collaboration.
**Do you want to directly shape how Nationwide protects customers and their futures with extraordinary care? As a leader of the Sales \&amp; Servicing technology teams within Personal Lines Solutions, part of the Property \&amp; Casualty Technology organization, you will leverage technology and a customer\-focused approach to help make Nationwide the P\&amp;C carrier of choice for people who value protection and exceptional service for their complex needs.**
**Sales \&amp; Servicing sits at the heart of how agents and members experience Nationwide every day—from quoting and binding, to managing policies, to understanding premium changes. This role is a critical lever for powering the next generation of those experiences by delivering an industry\-leading, transparent and trustworthy experience that agents and customers can easily understand and navigate with confidence.**
**We’d love to talk with you if you bring many of the following:**
* **Experience developing strategies and leading planning, solution delivery and support efforts that drive business results**
* **Ability to build, lead and empower software engineering teams to deliver extraordinary outcomes**
* **Experience and appreciation for maturing a product operating model, leveraging end\-to\-end Agile practices, DevSecOps and managing cloud\-hosted and SaaS applications**
* **Strong problem\-solving skills with proven agility working across multiple tech stacks, teams and organizations**
* **Understanding of modern application design patterns and modern services architecture and integration patterns**
* **Natural curiosity and aptitude to quickly understand new and emerging technologies**
* **Ability to empower teams to apply innovative technology to create compelling solutions**
* **Outstanding relationship\-building, communication and presentation skills**
* **Ability to influence across organizational boundaries**
* **Experience supporting mission\-critical applications in a fast\-paced environment**
**\#LI\-KR1**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Software Engineering Product Manager, you’ll be accountable for a suite of in house or third party applications. You'll lead teams of technology professionals to enable business outcomes and provide reliable customer\-centric solutions and experiences.**Job Description**
**Key Responsibilities:**
* Responsible for applying secure software and systems engineering practices throughout the delivery lifecycle to ensure our data and technology solutions are protected from threats and vulnerabilities.
* Partners with leaders to ensure a viable total cost of ownership and ongoing health and wellness of applications.
* Assists in the development and implementation of application suite roadmaps through the evaluation of business needs, competitive landscape, technology currency and information security considerations.
* Manages risk mitigation controls and provides support for internal and external audits.
* Supports the engineering build of the application suite and non technical efforts for the products.
* Represents voice of the customer, acts in a forward\-facing role to business partners as an active member of a portfolio management team in the advocation of business case development, planning, financial management and evaluation of portfolio.
* Hire and develop talent, provide consistent coaching and feedback.
* Responsible for delivery availability and resiliency following established operating mechanisms and best practices.
May perform other responsibilities as assigned.
**Reporting Relationships:** Reports to Technology Director or above. Leads a team of 5 or more technology professionals.
**Typical Skills and Experiences:**
**Education:** Undergraduate studies in management information systems, engineering, math, computer science or comparable experience and education preferred.
**Experience:** Six years of experience in application suite management with four years or more leading numerous teams across multiple technologies. Proven experience in empowering and building an engaged team.
**Knowledge, Abilities and Skills:** Detailed understanding and knowledge of the systems development life cycle and modern methodologies, practices, tools, and techniques. Solid understanding of concepts and techniques in project delivery, budgeting, forecasting and financial analysis. Ability to develop and implement roadmap strategies. Proven decision\-making and problem\-solving skills. Coaching and career development of team. Ability to develop and maintain positive relationships. Insurance/financial services industry knowledge is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Normal office environment.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Manager, Software Engineering Product Manager : $118,000\.00\-$222,000\.00
The expected starting salary range for Manager, Software Engineering Product Manager : $118,000\.00 \- $178,000\.00</t>
        </is>
      </c>
    </row>
    <row r="6">
      <c r="A6" t="inlineStr">
        <is>
          <t>in-bdba5c7225195b80</t>
        </is>
      </c>
      <c r="B6" t="inlineStr">
        <is>
          <t>Software Engineer II- Office AI Team</t>
        </is>
      </c>
      <c r="C6" t="inlineStr">
        <is>
          <t>Microsoft</t>
        </is>
      </c>
      <c r="D6" t="inlineStr">
        <is>
          <t>indeed</t>
        </is>
      </c>
      <c r="E6" t="inlineStr"/>
      <c r="F6" t="inlineStr"/>
      <c r="G6" t="inlineStr">
        <is>
          <t>Redmond, WA, US</t>
        </is>
      </c>
      <c r="H6" s="2" t="n">
        <v>46050</v>
      </c>
      <c r="I6" t="inlineStr">
        <is>
          <t>**Overview**  
Are you passionate about shaping the future applications of AI and empowering millions of users to unlock their full potential in the productivity space? Do you like working in a dynamic, fast\-paced environment where you can quickly integrate new large language models into a product to evaluate its capabilities for meeting customer needs, pivot from incubation to production\-path, and gain insights rapidly from experiments and evaluations to determine the path forward?
Microsoft 365 is where the world works, learns, and creates. Join the **Office AI** **team** to reimagine Word, Excel, PowerPoint, and OneNote, turning intents into outcomes and helping hundreds of millions be more productive every day. Office AI plays a pivotal role in shaping the future of Office, through empowering users to interact with and change their content through natural language, making Copilot more intelligent, proactive and seamlessly integrated into users’ workflows, as well as enabling agentic workflows to interact with Office files.
**As a Software Engineer II, you’ll:**
* Turn ideas into reality: Collaborate with experienced engineers and scientists to design, prototype, and deliver AI\-powered and agentic solutions that make Office apps smarter and more intuitive.
* Accelerate your growth in product engineering: Leverage AI in your daily work and processes, learning from industry leaders while applying your knowledge of LLMs and software engineering to real\-world challenges and improve the Office product.
* Make an impact: See your work ship to production and help hundreds of millions of users be more productive every day.
* Work in a dynamic, supportive team: Partner with product managers, designers, applied scientists, and other engineers in a fast\-paced environment where your contributions matter.
This opportunity will allow you to work in an exciting and fast\-paced environment in a product team to ship products globally, collaborating closely across engineering, product management, design, and applied science to deliver experiences to production. You will be part of delivering world class solutions, leading with AI\-forward and AI\-first solutions!
Microsoft’s mission is to empower every person and every organization on the planet to achieve more. Bring your growth mindset to innovate in way that empowers others and collaborate to realize our shared goals. Each day we build on our values of respect, integrity, and accountability to create a culture of inclusion where everyone can thrive at work and beyond.
 **Responsibilities*** Ship features with Product Management, Design, Science and Engineering. Coown scenario goals; translate product requirements into engineering work and solutions that meet quality/latency/cost targets.
* Prompting and evaluation of LLMs to deliver on customer scenarios. Leverage AI tools to improve engineering development and processes.
* Debug and investigate customer feedback and production usage and fundamentals of features developed.
* Collaborate across engineering for code reviewing pull requests, reviewing design documents and techniques.
 **Qualifications** **Required/Minimum Qualifications:**
* Bachelor's Degree in Statistics, Econometrics, Computer Science, Electrical or Computer Engineering, or related field AND 2\+ years experience in coding in Python, Typescript, C\#, Java or C\+\+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 Master's Degree in Statistics, Econometrics, Computer Science, Electrical or Computer Engineering, or related field AND 2\+ year(s) experience in experience in coding in Python, Typescript, C\#, Java or C\+\+. OR equivalent experience.
* 2\+ years experience developing and deploying live production systems as part of a product team.
* 1\+ years working with large language models (LLMs) in shipping scenarios
* Demonstrated proficiency leveraging the latest in AI/agentic coding tools, both through work experience and hackathons or personal projects.
* Ability to quickly ramp up on new technologies and adapt to rapidly changing requirements and technical landscape
* AI Fluency: Knowledgeable about emerging AI capabilities and tooling; adept at leveraging AI\-powered solutions to accelerate development, automate repetitive tasks, and streamline code refactoring.
* Full stack experience (UX, middle tier, backend)
* Hybrid work skills – clear synchronous and asynchronous communication, teamwork and collaboration skills
* Experience developing task specific metrics and evaluation datasets
* Customer focused, strategic, drives for results, is self\-motivated, and has a propensity for action.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
      <c r="A7" t="inlineStr">
        <is>
          <t>in-2c2a1660db2de9a6</t>
        </is>
      </c>
      <c r="B7" t="inlineStr">
        <is>
          <t>Software Engineer II - Finance Data &amp; Experiences</t>
        </is>
      </c>
      <c r="C7" t="inlineStr">
        <is>
          <t>Microsoft</t>
        </is>
      </c>
      <c r="D7" t="inlineStr">
        <is>
          <t>indeed</t>
        </is>
      </c>
      <c r="E7" t="inlineStr"/>
      <c r="F7" t="inlineStr"/>
      <c r="G7" t="inlineStr">
        <is>
          <t>Redmond, WA, US</t>
        </is>
      </c>
      <c r="H7" s="2" t="n">
        <v>46047</v>
      </c>
      <c r="I7" t="inlineStr">
        <is>
          <t>**Overview**  
Ready to shape the future of how Microsoft operates its \~$250B\+ business portfolio?
Are you passionate about AI, data, and transformative user experiences? Do you bring energy, curiosity, and a strong sense of ownership to your work?
The Finance Data \&amp; Experiences (FD\&amp;E) organization is on a mission to redefine how Microsoft measures, monitors, and optimizes its global business — and we’re looking for top talent to join us. This is a unique opportunity to lead with bold ideas, apply cutting\-edge technology, and work across Finance, Sales, Marketing, Business Operations, and Product Engineering to deliver high\-impact business solutions. The right candidate will thrive in fast\-paced, cross\-functional environments, bring fresh thinking to complex problems, and be eager to learn to take ownership of end\-to\-end processes and outcomes. Join us and be part of a team that’s pushing the boundaries of innovation, taking risks, and implementing AI to drive business excellence.
At FD\&amp;E, we foster a culture of customer centricity, innovation, agility, and transparency — and we’re building a team that’s ready to help Microsoft chart its next chapter in AI\-driven business excellence.
 **Responsibilities**  
As a Software Engineer II at Microsoft, you’ll be part of a team of world\-class engineers leveraging cutting\-edge Microsoft Cloud and AI technologies to deliver modern, scalable, and intelligent systems that drive the Microsoft business forward.
This is a unique opportunity to kickstart and grow your career with deep hands\-on exposure to Microsoft technologies, while developing your software engineering skills in an inclusive, growth\-oriented environment.
* Design, develop, deploy, and operate scalable cloud\-based data, analytics, automation and tooling solutions using modern data platforms and Cloud services.
* Integrate AI capabilities such as Azure OpenAI, Cognitive Services, and ML models to enhance system intelligence and user productivity.
* Apply engineering best practices as you design and deliver high\-quality, scalable solutions. Own your solution end\-to\-end through design, implementation, and operations.
* Implement robust monitoring, logging and alerting for proactive issue detection. Leverage telemetry and usage analytics to understand customer behavior and inform product decisions.
* Collaborate cross\-functionally across stakeholders, product managers, and other engineers to deliver integrated, customer\-focused experiences.
* Contribute to the evolution of Microsoft’s data platforms through technical feedback and innovation.
* Champion a culture of diversity, inclusion, customer obsession, and continuous learning.
 **Qualifications**  
**Required Qualifications*** Bachelor's Degree in Computer Science or related technical field AND 2\+ years technical engineering experience with coding in languages including, but not limited to, C, C\+\+, C\#, Java, JavaScript, or Python
	+ OR equivalent experience.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4\+ years of software development experience with big data processing and online services, including hands‑on work with Microsoft Fabric (Lakehouse, Dataflows Gen2, Notebooks) and Azure data services (Data Factory, Synapse, ADLS).
* 4\+ years of experience with any of the following: DAX, Excel, Power BI, Power Query, Tableau, SQL.
* Experience building cloud services on Azure; exposure to Microsoft Azure or other cloud platforms (GCP, AWS).
* Experience with or exposure to Agile and iterative development processes.
* Exposure to Microsoft Azure or other cloud platforms (GCP, AWS).
* Familiarity with AI/ML fundamentals, tools (like Azure ML, OpenAI), or data analytics workflows.
* Understanding of version control systems (Git) and DevOps practices.
* Strong analytical and problem\-solving skills with a structured approach to design.
* Collaborative, curious, and passionate about solving real\-world customer challenges.
* Understanding finance data and business rhythms is a plus.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
      <c r="A8" t="inlineStr">
        <is>
          <t>in-b58ad4af067d644b</t>
        </is>
      </c>
      <c r="B8" t="inlineStr">
        <is>
          <t>Principal Software Engineer</t>
        </is>
      </c>
      <c r="C8" t="inlineStr">
        <is>
          <t>Microsoft</t>
        </is>
      </c>
      <c r="D8" t="inlineStr">
        <is>
          <t>indeed</t>
        </is>
      </c>
      <c r="E8" t="inlineStr"/>
      <c r="F8" t="inlineStr"/>
      <c r="G8" t="inlineStr">
        <is>
          <t>Redmond, WA, US</t>
        </is>
      </c>
      <c r="H8" s="2" t="n">
        <v>46043</v>
      </c>
      <c r="I8" t="inlineStr">
        <is>
          <t>**Overview**  
Are you passionate about building Enterprise applications leading with AI? Are you interested in working for one of the most impactful and emerging areas in Microsoft, and passionate in advancing Microsoft’s Cloud Solutions, AI strategy, full stack engineering, Security, Dataverse \&amp; D365? Are you interested in a technology start\-up like environment, working with highly energetic team, and passionate about working on latest technologies (Azure, AI, Microservices, React, Data, Power Platform and related technologies) to solve critical business problems?
Do you want to be part of the journey to build innovative Engineering team for one of largest corporates in the world? If so, then look no further than the Frontier AI Solutions \&amp; Technology (FAST) Engineering Team! Be part of a team dedicated to innovation and at the forefront of AI\-Led engineering.
As a Principal Software Engineer, you will lead the end\-to\-end software development lifecycle, including requirement gathering, architecture, application and database design, development, testing, and deployment. You will build AI\-infused applications, Agentic Solutions and Copilots, enhancing user experience and productivity, fostering creativity, and turning ideas into strategic solutions. All this while enforcing engineering best practices to ensure high\-quality, scalable, and secure solutions.
Frontier AI Solutions \&amp; Technology organization is part of Microsoft Customer and Partner Solutions (MCAPS) responsible for all systems and tools to drive Cloud and AI Solutions to help customers realize value for their investments, by supporting Microsoft Field and Corp resources with programmatic and scalable assets. Frontier AI Solutions \&amp; Technology Engineering team is responsible for driving and building apps and engineering solutions to enable various roles across MCAPS. Frontier AI Solutions \&amp; Technology team is looking for a full stack Software Engineer to join us to drive and deliver innovative solutions. In this role, you will be responsible for multiple products in Frontier AI Solutions \&amp; Technology platform and solutions and deliver state\-of\-the\-art experiences for our users.
We are highly energetic team driving direct impact to our customers and Microsoft. We are proud of our diverse culture, and our developers are empowered to innovate. If you have an eye for building impactful apps \&amp; solutions in agile environment, this is a great opportunity for you to have an impact on Microsoft’s mission to enable our customers to achieve digital transformation through successful adoption of Microsoft Cloud solutions.
Microsoft’s mission is to empower every person and every organization on the planet to achieve more, and we’re dedicated to this mission across every aspect of our company. Our culture is centered on embracing a growth mindset and encouraging teams and leaders to bring their highly qualified contributions each day. Join us and help shape the future of the world.
 **Responsibilities**  
The **Principal Software Engineer** are responsible for the following:
 **Technical Leadership and Engineering Excellence:** Lead the end\-to\-end software development lifecycle, including requirement gathering, architecture, application and database design, development, testing, and deployment, while enforcing engineering best practices to ensure high\-quality, scalable, and secure solutions. Leverage AI and develop Copilot features within the application to enhance user experience and productivity.
 **Solution Design and Architecture:** Develop resilient solution designs that adhere to architectural best practices, security by design, and business goals, guiding the team in selecting optimal technologies and design patterns for sustainable and high\-performing systems.
 **Mentorship and Team Development:** Mentor team members through code reviews and design feedback, promoting skill growth, inclusion, and a collaborative culture that contributes to both individual and team success.
 **Collaboration and Cross\-Team Partnership:** Foster collaboration with Microsoft product teams, program managers, and user experience (UX) designers to manage dependencies, share knowledge, and jointly deliver updates to enhance engineering capabilities.
 **Quality Assurance:** Establish and enforce best practices in coding, testing, and documentation to ensure high standards for code quality, performance, and service reliability.
 **Site Reliability:** Support and maintain existing services \&amp; integrations with LOB applications across the enterprise.
 **Continuous Improvement and Innovation:** Identify and implement opportunities for automation, process optimization, and technical innovation, contributing to a culture of continuous improvement within the team.
 **Planning and Communication:** Participate actively in sprint and semester planning, provide accurate cost estimates, and maintain transparent communication on deliverables, risks, and milestones.
 **Other**
* Embody our culture and values.
**Qualifications**  
* Bachelor's Degree in Computer Science or related technical field AND 6\+ years technical engineering experience with coding in languages including, but not limited to, C, C\+\+, C\#, Java, JavaScript, or Python
	+ OR equivalent experience.
 **Additional or preferred qualifications**
* Master's Degree in Computer Science or related technical field AND 8\+ years technical engineering experience with coding in languages including, but not limited to, C, C\+\+, C\#, Java, JavaScript, or Python
	+ OR Bachelor's Degree in Computer Science, Mathematics, Engineering or related technical field AND 12\+ years technical engineering experience with coding in languages including, but not limited to, C, C\+\+, C\#, JavaScript, or Python
	+ OR equivalent experience.
* 12\+ years of experience as a software engineer building commercial software and proven track record of shipping successful software products \&amp; services.
* 10\+ years of experience in cloud development principles and patterns, particularly loosely coupled architectures and micro\-services, DevOps model.
* 8\+ years of experience in leading, managing, and driving technical and architectural dependencies.
* Technical skills should include proficiency in C\#, .NET, JavaScript/TypeScript, or equivalent languages/frameworks.
* Hands\-on experience in app development using AI Technologies, ASP.NET, Azure PaaS services like Web apps, Function Apps, Service Bus, Event Hub, REST API, SQL and NoSQL.
* Experience working in agile teams or startup environments with committed customer focus.
* Proficient communication skills and ability to collaborate in a multi\-disciplinary team consisting of Software Engineers, Program Managers, and Data Scientists.
* Business acumen and customers focus to understand customer scenarios and translate them as product/solution requirements.
* Experience with software development tools such as source control systems (GIT), automated build systems (CICD), software validation systems, project tracking, and lifecycle management systems.
* Development experience with cloud platforms such as Microsoft Azure, including SQL, Cosmos DB, ADF and front\-end frameworks such as React or equivalent.
* Practical experience building analytic applications leveraging data science models and applied AI is added advantage.
* Ability to be influential and impactful in cross\-group and matrixed team environments.
* Lead a talented and motivated team in a supportive and collaborative environment.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
      <c r="A9" t="inlineStr">
        <is>
          <t>in-afc840c042bcfdd3</t>
        </is>
      </c>
      <c r="B9" t="inlineStr">
        <is>
          <t>Director of Application Software Engineering</t>
        </is>
      </c>
      <c r="C9" t="inlineStr">
        <is>
          <t>HP</t>
        </is>
      </c>
      <c r="D9" t="inlineStr">
        <is>
          <t>indeed</t>
        </is>
      </c>
      <c r="E9" t="inlineStr"/>
      <c r="F9" t="inlineStr"/>
      <c r="G9" t="inlineStr">
        <is>
          <t>Spring, TX, US</t>
        </is>
      </c>
      <c r="H9" s="2" t="n">
        <v>46036</v>
      </c>
      <c r="I9" t="inlineStr">
        <is>
          <t>**Description \-**
**Job Summary**  
This role is responsible for managing software development projects associated with developing, debugging or designing software and hardware. The role embraces leadership, inspires teams, and fosters strong collaboration with product and design teams. The role envisions and executes the technical needs of the department and manages multiple teams on numerous projects based on value proposition and feasibility. The role leads the development of quality\-focused, world\-class software.
**Responsibilities**  
* Leads, coaches, cares for, and grows teams of customer\-focused software and data engineers.
* Thoughtfully organizes and unblocks collaboration and partnership at multiple levels, across business groups and functions to achieve the organizational mission.
* Partners closely with Product Management, Technical Program Managers, Architects, HP product groups, and experts to envision, drive, and deliver innovative, compelling, and quality solutions at speed and scale.
* Engages with Architects and broader HP technology excellence communities to provide technical vision and strategy for the teams; designs and leads a multi\-year technical roadmap, balancing short\- and long\-term technology investments.
* Provides overall financial direction in order to manage the development of business solutions budgets, controls and measurements to monitor progress.
* Leads analysis of the competitive environment, customers, and product metrics to determine the right set of community features to drive engagement and business goals.
* Translates functional plans into operational processes and strategically guides execution.
* Works across internal and external stakeholders to seamlessly integrate solutions that meet and enable business priorities.
* Builds culture of continuous improvement and model lean leadership principles.
* Participates in performance management to enhance associate development; sets expectations for high performing work teams; manages pay recommendations and encourages personal and professional career development.
**Education \&amp; Experience** Recommended
* Four\-year or Graduate Degree in Computer Science, Information Technology, Software Engineering, or any other related discipline or commensurate work experience or demonstrated competence.
* Typically has 12\+ years of job\-related and/or management experience, preferably in software designing \&amp; development, software architecture, programming languages, or a related field.
**Preferred Certifications**  
* Programming Language/s Certification (Java, C\+\+, Python, JavaScript, or similar)
**Knowledge \&amp; Skills**  
* Agile Methodology
* Amazon Web Services
* Application Programming Interface (API)
* Automation
* C\+\+ (Programming Language)
* Computer Science
* DevOps
* Docker (Software)
* Full Stack Development
* Java (Programming Language)
* JavaScript (Programming Language)
* Kubernetes
* Microservices
* Microsoft Azure
* Python (Programming Language)
* React.js
* Scalability
* Software Development
* Software Engineering
* SQL (Programming Language)
**Cross\-Org Skills**  
* Customer Centricity
* Prioritization
* Resilience
* Team Management
* Strategic Thinking
**Impact \&amp; Scope**  
* Impacts multiple functions and may act as a lead to peers on cross\-functional project teams working to establish and execute business goals.
**Complexity**  
* Contributes to the development of company objectives and achieves goals through subordinate high\-level individual contributors and managers.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role is **$174,050** to **$278,450**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Additional flexible paid vacation and sick leave ( US benefits overview )  
*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10">
      <c r="A10" t="inlineStr">
        <is>
          <t>in-ce85aa7efdf7ce60</t>
        </is>
      </c>
      <c r="B10" t="inlineStr">
        <is>
          <t>Senior Software Engineer, Twitch</t>
        </is>
      </c>
      <c r="C10" t="inlineStr">
        <is>
          <t>Amazon.com</t>
        </is>
      </c>
      <c r="D10" t="inlineStr">
        <is>
          <t>indeed</t>
        </is>
      </c>
      <c r="E10" t="inlineStr"/>
      <c r="F10" t="inlineStr"/>
      <c r="G10" t="inlineStr">
        <is>
          <t>San Francisco, CA, US</t>
        </is>
      </c>
      <c r="H10" s="2" t="n">
        <v>45995</v>
      </c>
      <c r="I1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in-4db19cf086b4b3fd</t>
        </is>
      </c>
      <c r="B11" t="inlineStr">
        <is>
          <t>Senior Software Engineer, Twitch</t>
        </is>
      </c>
      <c r="C11" t="inlineStr">
        <is>
          <t>Amazon.com</t>
        </is>
      </c>
      <c r="D11" t="inlineStr">
        <is>
          <t>indeed</t>
        </is>
      </c>
      <c r="E11" t="inlineStr"/>
      <c r="F11" t="inlineStr"/>
      <c r="G11" t="inlineStr">
        <is>
          <t>Seattle, WA, US</t>
        </is>
      </c>
      <c r="H11" s="2" t="n">
        <v>45995</v>
      </c>
      <c r="I1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in-fb29e9b19b3a9327</t>
        </is>
      </c>
      <c r="B12" t="inlineStr">
        <is>
          <t>Software Engineer</t>
        </is>
      </c>
      <c r="C12" t="inlineStr">
        <is>
          <t>Microsoft</t>
        </is>
      </c>
      <c r="D12" t="inlineStr">
        <is>
          <t>indeed</t>
        </is>
      </c>
      <c r="E12" t="inlineStr"/>
      <c r="F12" t="inlineStr"/>
      <c r="G12" t="inlineStr">
        <is>
          <t>Redmond, WA, US</t>
        </is>
      </c>
      <c r="H12" s="2" t="n">
        <v>46044</v>
      </c>
      <c r="I12" t="inlineStr">
        <is>
          <t>**Overview**  
The Experience plus Devices (E\+D) Growth team is seeking engineers to help accelerate the adoption of Copilot and Microsoft 365\. Our team is uniquely positioned at the strategic epicenter of E\+D for revolutionizing the productivity business by delivering embedded experiences across the Microsoft 365 suite (Teams, Outlook, Word, PowerPoint, Excel, etc.) that drive the growth of our company’s cutting\-edge generative AI solutions across the commercial and consumer spectrum. Our team tackles technical challenges across a diverse tech stack, with the solutions we deliver having a direct impact on the bottom line of the business. This role requires strategic and creative thinking, as well as a passion for building technical solutions that address customer needs.
We are a modern engineering organization that embodies industry best practices in Product\-Led Growth (PLG). We are data\-informed, hypothesis\-driven, and rigorous in measuring outcomes to ensure undeniable customer and business impact. We collaborate closely with industry\-leading PMs, designers, data scientists, user researchers, and marketers to build deep customer insights that inform the design of experiences used by hundreds of millions of people every day. We partner with teams across the company to deliver world\-class services, and we create experiences that connect with customers across Microsoft products. We play a direct role in driving business growth and framing our business value to end users and our vibrant community of fans.
Building a successful team involves creating an inclusive workplace where all people and ideas are welcome. We invest in the health of our team and take "how we work" as seriously as the impact we have on customers and the business. You don’t need to know everything when you join our team; just bring your growth mindset and willingness to learn, and we will provide mentorship and career growth to help you succeed. As employees, we come together to innovate and empower ourselves to realize our shared goals. Each day we build on our values of respect, integrity, and accountability to create a culture of inclusion where everyone can thrive at work and beyond.
Whether you're passionate about full\-stack, backend, or client development, you’ll find a place to thrive here. And if you ever want to branch out or collaborate across areas, we’ll support you with mentorship and training.
* Full\-Stack: Develop end\-to\-end features using React/TypeScript frontends paired with C\#/.NET REST or GraphQL APIs and scalable data models—built to support millions of daily users.
* Backend: Design and scale Azure\-hosted services in C\#/.NET that handle hundreds of millions of requests daily, with opportunities to lead the adoption of event\-driven architectures.
* Client: Deliver high\-performance native Windows/macOS experiences using modern C\+\+20 and platform\-specific frameworks, enabling contextual Product\-Led Growth motions within Microsoft 365 apps.
 Building a championship team starts with welcoming every background and idea—but it ends with delivering unmistakable wins. We invest deeply in our people and treat "how we work" as seriously as the impact we create. You don't have to arrive knowing everything, but you do have to arrive hungry: hungry to learn fast, to put new skills into action, and to raise the bar for yourself and those around you. In return, you'll get candid coaching, hands\-on mentorship, and a clear runway for career growth. We innovate daily, hold ourselves to outcomes, and live our values of respect, integrity, and accountability so every teammate can thrive—inside and outside the office—while we chase bold goals together.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secure, reliable, scalable, and sustainable software.
* Develop, validate, release, and derive insights from software that enhances customer experiences as outlined above.
* Champion customer\-first design that leads to increased loyalty to Copilot and Microsoft 365\.
* Apply critical analyses to data to validate hypotheses and inform decisions.
* Foster an inclusive environment that welcomes diverse perspectives, and in turn leverages that diversity to create more inclusive products for our customers.
* Model a growth mindset by learning from others and sharing your learnings with others.
**Qualifications** **Required Qualifications:**
* Bachelor's Degree in Computer Science or related technical field AND 2\+ years technical engineering experience with coding in languages including, but not limited to, C, C\+\+, C\#, Java, JavaScript/TypeScript, or Python
	+ OR equivalent experience.
**Preferred Qualifications:**
* Demonstrated ability to ship high\-quality software on time.
* Excellent problem\-solving skills and the ability to work effectively in a collaborative team environment.
* Passion for customers, design thinking, data analysis, and technology.
* Ability to perform at a high level in a fast paced, dynamic environment.
\#ExDGrowth \#DPG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
      <c r="A13" t="inlineStr">
        <is>
          <t>in-dbd18d0991189abe</t>
        </is>
      </c>
      <c r="B13" t="inlineStr">
        <is>
          <t>Sr. Software Engineer (ML), AGI Customization</t>
        </is>
      </c>
      <c r="C13" t="inlineStr">
        <is>
          <t>Amazon.com</t>
        </is>
      </c>
      <c r="D13" t="inlineStr">
        <is>
          <t>indeed</t>
        </is>
      </c>
      <c r="E13" t="inlineStr"/>
      <c r="F13" t="inlineStr"/>
      <c r="G13" t="inlineStr">
        <is>
          <t>Boston, MA, US</t>
        </is>
      </c>
      <c r="H13" s="2" t="n">
        <v>45964</v>
      </c>
      <c r="I13"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in-7c03e779c05f14ca</t>
        </is>
      </c>
      <c r="B14" t="inlineStr">
        <is>
          <t>Sr. Software Engineer (ML), AGI Customization</t>
        </is>
      </c>
      <c r="C14" t="inlineStr">
        <is>
          <t>Amazon.com</t>
        </is>
      </c>
      <c r="D14" t="inlineStr">
        <is>
          <t>indeed</t>
        </is>
      </c>
      <c r="E14" t="inlineStr"/>
      <c r="F14" t="inlineStr"/>
      <c r="G14" t="inlineStr">
        <is>
          <t>Sunnyvale, CA, US</t>
        </is>
      </c>
      <c r="H14" s="2" t="n">
        <v>45964</v>
      </c>
      <c r="I14"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in-b32172eb0d199769</t>
        </is>
      </c>
      <c r="B15" t="inlineStr">
        <is>
          <t>Sr. Software Engineer (ML), AGI Foundations</t>
        </is>
      </c>
      <c r="C15" t="inlineStr">
        <is>
          <t>Amazon.com</t>
        </is>
      </c>
      <c r="D15" t="inlineStr">
        <is>
          <t>indeed</t>
        </is>
      </c>
      <c r="E15" t="inlineStr"/>
      <c r="F15" t="inlineStr"/>
      <c r="G15" t="inlineStr">
        <is>
          <t>Sunnyvale, CA, US</t>
        </is>
      </c>
      <c r="H15" s="2" t="n">
        <v>45803</v>
      </c>
      <c r="I15"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6">
      <c r="A16" t="inlineStr">
        <is>
          <t>in-1eb45eb7e21fc8eb</t>
        </is>
      </c>
      <c r="B16" t="inlineStr">
        <is>
          <t>Sr. Software Engineer (ML), AGI Foundations</t>
        </is>
      </c>
      <c r="C16" t="inlineStr">
        <is>
          <t>Amazon.com</t>
        </is>
      </c>
      <c r="D16" t="inlineStr">
        <is>
          <t>indeed</t>
        </is>
      </c>
      <c r="E16" t="inlineStr"/>
      <c r="F16" t="inlineStr"/>
      <c r="G16" t="inlineStr">
        <is>
          <t>Bellevue, WA, US</t>
        </is>
      </c>
      <c r="H16" s="2" t="n">
        <v>45803</v>
      </c>
      <c r="I16"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7">
      <c r="A17" t="inlineStr">
        <is>
          <t>in-90f128fa32afc30e</t>
        </is>
      </c>
      <c r="B17" t="inlineStr">
        <is>
          <t>Software Engineer- AI/ML, AWS Neuron Distributed Training</t>
        </is>
      </c>
      <c r="C17" t="inlineStr">
        <is>
          <t>Amazon Web Services</t>
        </is>
      </c>
      <c r="D17" t="inlineStr">
        <is>
          <t>indeed</t>
        </is>
      </c>
      <c r="E17" t="inlineStr"/>
      <c r="F17" t="inlineStr"/>
      <c r="G17" t="inlineStr">
        <is>
          <t>Seattle, WA, US</t>
        </is>
      </c>
      <c r="H17" s="2" t="n">
        <v>45727</v>
      </c>
      <c r="I1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in-366ce91371063b3e</t>
        </is>
      </c>
      <c r="B18" t="inlineStr">
        <is>
          <t>Software Engineer- AI/ML, AWS Neuron Distributed Training</t>
        </is>
      </c>
      <c r="C18" t="inlineStr">
        <is>
          <t>Amazon Web Services</t>
        </is>
      </c>
      <c r="D18" t="inlineStr">
        <is>
          <t>indeed</t>
        </is>
      </c>
      <c r="E18" t="inlineStr"/>
      <c r="F18" t="inlineStr"/>
      <c r="G18" t="inlineStr">
        <is>
          <t>Cupertino, CA, US</t>
        </is>
      </c>
      <c r="H18" s="2" t="n">
        <v>45727</v>
      </c>
      <c r="I1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in-5981d7bdda810abe</t>
        </is>
      </c>
      <c r="B19" t="inlineStr">
        <is>
          <t>Sr. Software Engineer- AI/ML, AWS Neuron Distributed Training</t>
        </is>
      </c>
      <c r="C19" t="inlineStr">
        <is>
          <t>Amazon Web Services</t>
        </is>
      </c>
      <c r="D19" t="inlineStr">
        <is>
          <t>indeed</t>
        </is>
      </c>
      <c r="E19" t="inlineStr"/>
      <c r="F19" t="inlineStr"/>
      <c r="G19" t="inlineStr">
        <is>
          <t>Cupertino, CA, US</t>
        </is>
      </c>
      <c r="H19" s="2" t="n">
        <v>45713</v>
      </c>
      <c r="I1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in-0fe0bc1fc74e9be4</t>
        </is>
      </c>
      <c r="B20" t="inlineStr">
        <is>
          <t>Sr. Software Engineer- AI/ML, AWS Neuron Distributed Training</t>
        </is>
      </c>
      <c r="C20" t="inlineStr">
        <is>
          <t>Amazon Web Services</t>
        </is>
      </c>
      <c r="D20" t="inlineStr">
        <is>
          <t>indeed</t>
        </is>
      </c>
      <c r="E20" t="inlineStr"/>
      <c r="F20" t="inlineStr"/>
      <c r="G20" t="inlineStr">
        <is>
          <t>Seattle, WA, US</t>
        </is>
      </c>
      <c r="H20" s="2" t="n">
        <v>45713</v>
      </c>
      <c r="I2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in-4582efe5cda60ec1</t>
        </is>
      </c>
      <c r="B21" t="inlineStr">
        <is>
          <t>Senior Software Engineer</t>
        </is>
      </c>
      <c r="C21" t="inlineStr">
        <is>
          <t>Poseidon Systems</t>
        </is>
      </c>
      <c r="D21" t="inlineStr">
        <is>
          <t>indeed</t>
        </is>
      </c>
      <c r="E21" t="inlineStr"/>
      <c r="F21" t="inlineStr"/>
      <c r="G21" t="inlineStr">
        <is>
          <t>Victor, NY, US</t>
        </is>
      </c>
      <c r="H21" s="2" t="n">
        <v>46052</v>
      </c>
      <c r="I21" t="inlineStr">
        <is>
          <t>Poseidon Systems has an immediate need for Senior Software Engineer to support product development efforts in our Victor, NY location. This is a great opportunity to become a key contributor within a small company experiencing rapid growth.
**Job Summary:**
The **Senior Software Engineer** will design, develop, and support software systems for Poseidon’s industrial products, spanning embedded firmware, edge gateway services, and device\-to\-system communications. This role includes ownership of systems ranging from product firmware and industrial protocols to diagnostics, telemetry, and reliability features used in customer deployments.
Development efforts range from iterative enhancements of existing products to ground‑up system design for new platforms. The engineer will participate across the full development lifecycle including requirements definition, system and software architecture, implementation, testing, deployment, and long‑term support.
The ideal candidate brings strong experience in **C\- and systems‑level programming**, industrial communication protocols (such as **Modbus, CAN, J1939, and MQTT**), and developing **reliable, production\-grade systems** for industrial or IoT environments. This role suits someone who enjoys technical ownership, solving complex system problems, and working closely with hardware, firmware, and product teams.
**Responsibilities:**
* Design, implement, and maintain **embedded and edge software** delivering robust system performance across Poseidon’s product line
* Develop firmware and system‑level software in **C and related languages**, supporting industrial devices and gateways
* Architect and implement **device communications and control flows** using protocols such as Modbus, CAN/J1939, TCP/IP, and MQTT
* Collaborate cross‑functionally with hardware, electrical, mechanical, and product teams to deliver complete, production‑ready systems
* Define and generate engineering artifacts including **requirements, design documents, test plans, and validation reports**
* Lead or contribute to **debugging, root‑cause analysis, and performance optimization** in lab and field deployments
* Support customer deployments by investigating issues, improving reliability, and developing targeted solutions as needed
* Contribute to long‑term improvements in **software architecture, tooling, testing, and deployment workflows**
**Requirements:**
* Bachelor’s or Master’s degree in **Computer Engineering, Electrical Engineering, Computer Science, or related field**
* Strong proficiency in **C programming** for embedded or system‑level development
* Experience developing software for **Linux‑based systems and/or industrial gateways**
* Hands‑on experience with **industrial communication protocols** (Modbus, CAN, J1939, TCP/IP, or similar)
* Solid understanding of **software architecture, debugging, and system design**
* Experience producing clear technical documentation and working across disciplines
* Strong written and verbal communication skills
* Highly motivated, dependable, and able to take technical ownership
* Ability to travel occasionally (limited)
**Desired:**
* 5\+ years of professional software development experience in **embedded, industrial, or IoT systems**
* Experience with **industrial diagnostics, telemetry, and remote monitoring systems**
* Exposure to **MQTT, message‑based systems, or device‑to‑cloud architectures**
* Familiarity with **Python, Go, JavaScript, or scripting for automation and tooling**
* Experience with **CI/CD, automated testing, or system validation pipelines**
* Strong foundation in **computer networking, security concepts, and distributed systems**
* Proficiency with **electronics fundamentals and lab test equipment**
**About Poseidon:**
Poseidon Systems designs and produces sensing, data acquisition, and data analysis solutions to enable condition\-based maintenance of industrial equipment (e.g. gearboxes, engines, pumps, compressors). These technologies are used to predict equipment failure, detect abnormal operating conditions, reduce maintenance costs, and increase uptime of our customers assets. For more information, please visit www.poseidonsys.com. Poseidon Systems is an equal opportunity employer.
Job Type: Full\-time
Pay: $85,000\.00 \- $130,000\.00 per year
Benefits:
* 401(k)
* 401(k) matching
* Dental insurance
* Flexible schedule
* Health insurance
* Health savings account
* Life insurance
* Paid time off
* Tuition reimbursement
Application Question(s):
* Briefly describe why you are the right candidate for this position.
Experience:
* Embedded software: 3 years (Preferred)
Work Location: In person</t>
        </is>
      </c>
    </row>
    <row r="22">
      <c r="A22" t="inlineStr">
        <is>
          <t>in-ff56164374a5f9ee</t>
        </is>
      </c>
      <c r="B22" t="inlineStr">
        <is>
          <t>Senior Software Engineer (Fullstack and GenAI)</t>
        </is>
      </c>
      <c r="C22" t="inlineStr">
        <is>
          <t>Visa</t>
        </is>
      </c>
      <c r="D22" t="inlineStr">
        <is>
          <t>indeed</t>
        </is>
      </c>
      <c r="E22" t="inlineStr"/>
      <c r="F22" t="inlineStr"/>
      <c r="G22" t="inlineStr">
        <is>
          <t>Bellevue, WA, US</t>
        </is>
      </c>
      <c r="H22" s="2" t="n">
        <v>46052</v>
      </c>
      <c r="I22"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The Visa Acceptance Program is the foundation for creating innovative payment solutions that drive exceptional customer experience. It lets you easily leverage a broad range of pre\-integrated modular services and a growing ecosystem of technology and payments partners. Because it's Visa, the platform is secure, robust, and resilient. And because it's open, it will continue evolving to support you into the future.
At Visa, we believe AI technologies have the potential to radically transform commerce. We launched Visa Intelligent Commerce to enable this next era of commerce. This program provides the infrastructure and tools developers need to build trusted, agentic experiences.
Make an impact with a purpose\-driven industry leader. Join us today and be part of AI transformation journey at Visa.
The Opportunity: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Demonstrates relevant technical working knowledge to understand requirements.
* Identifies and contributes to the development and solution strategies to team members that improve the design and functionality of interface features across one or more project features, under minimal guidance.
* Applies standard processes on the use of programming languages (e.g. HTML, C\+\+, Java) to write code that fulfills website modification requests and technical requirements.
* Collaborates with others to support the piloting of new technology capabilities and features that enhance the user website experience across e\-commerce products.
* Analyzes bugs for simple issues and applies debugging tools to verify assumptions.
This is a hybrid position. Expectation of days in the office will be confirmed by your Hiring Manager.
 **Qualifications**  
Basic Qualifications:  
2\+ years of relevant work experience and a Bachelors degree, OR 5\+ years of relevant work experience  
Preferred Qualifications:  
3 or more years of work experience with a Bachelor’s Degree or more than 2 years of work experience with an Advanced Degree (e.g. Masters, MBA, JD, MD)  
3 or more years of experience with a Bachelor’s Degree or Masters in Computer science or related field  
Proven experience delivering highly available enterprise level, distributed applications utilizing technologies such as C\#, Java, TypeScript, React, Kubernetes.  
Proven experience is applying AI techniques in software development and shipping AI powered features.  
Outstanding verbal, written, presentation, facilitation, and interaction skills, along with effective communication (both written and verbal) skills and the ability to present complex ideas in a clear, concise way.  
Proven track record of solving complex problems collaboratively.  
Strong at technical goal setting for a project with actionable success metrics.  
Experience with measuring a service from user experience perspective, setting, and tracking to SLAs and KPIs.  
Ability to represent technical and business issues and solutions to multiple levels internally and externally to support organizational plans.  
Ability to work in a complex organization to determine business and customer needs, providing the best solution to meet those needs.  
Experience with Agile methodologies and software development lifecycle principles.  
Ability to manage multiple competing top priorities in a fast\-paced environment.  
Expertise building microservices with HTTP, REST, JSON and XML.  
Ability to handle multiple competing priorities in a fast\-paced environment.  
Payment industry experience is a strong plus.  
The Skills You Bring:  
Energy and Experience: A growth mindset that is curious and passionate about technologies and enjoys challenging projects on a global scale  
Challenge the Status Quo: Comfort in pushing the boundaries, ‘hacking’ beyond traditional solutions  
Language Expertise: Expertise in one or more general development languages (e.g., Java, C\#, C\+\+)  
Builder: Experience building and deploying modern services and web applications with quality and scalability  
Learner: Constant drive to learn new technologies such as Angular, React, Kubernetes, Docker, etc.  
Partnership: Experience collaborating with Product, Test, Dev\-ops, and Agile/Scrum teams  
We do not expect that any single candidate would fulfill all of these characteristics. For instance, we have exciting team members who are really focused on building scalable systems but didn’t work with payments technology or web applications before joining Visa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110,700\.00 to 171,800\.00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3">
      <c r="A23" t="inlineStr">
        <is>
          <t>in-a0531990ec1d0513</t>
        </is>
      </c>
      <c r="B23" t="inlineStr">
        <is>
          <t>Software Engineer - Embedded Controls</t>
        </is>
      </c>
      <c r="C23" t="inlineStr">
        <is>
          <t>AVIATION GROUND EQUIPMENT</t>
        </is>
      </c>
      <c r="D23" t="inlineStr">
        <is>
          <t>indeed</t>
        </is>
      </c>
      <c r="E23" t="inlineStr"/>
      <c r="F23" t="inlineStr"/>
      <c r="G23" t="inlineStr">
        <is>
          <t>Franklin, OH, US</t>
        </is>
      </c>
      <c r="H23" s="2" t="n">
        <v>46051</v>
      </c>
      <c r="I23" t="inlineStr">
        <is>
          <t>**Software Engineer – Embedded Controls**
Aviation ground Equipment Corp. (AGEC) is seeking a hands\-on **Software Engineer** forour power generation products. This is an embedded controls position with the responsibility to design, develop, test and troubleshoot the embedded controls and HMI interfaces of the various system and subsystems within our power generation and power conversion products.
AGEC is a rapidly growing developer and manufacturer of commercial and military power generation and control equipment supporting airline and military ground support equipment (GSE). Men and women in the military rely on AGEC to deliver critical assets that protect this nation and our allies. We are seeking colleagues that enjoy a small business team atmosphere and a desire to make a difference.
**What you will do:**
* Develop embedded control software including control architectures, algorithms, and code to fulfill internal and customer requirements for power generation and power conversion systems. (10kW – 300kW systems)
* Design and implement real\-time control solutions primarily using C for embedded systems.
* Apply advanced power electronics control techniques such as Space Vector PWM and Programmed Harmonic Elimination (PHE).
* Implement Graphical User Interfaces (GUIs).
* Develop communication protocols such as I2C and CAN to communicate between and control various modules in the power conversion systems.
* Perform hands\-on testing and validation of hardware performance with embedded software/firmware, utilizing JTAG interface, logic analyzers, and oscilloscopes.
	+ Troubleshoot firmware and hardware anomalies, identifying root causes and implementing corrective actions.
	+ Work extensively in lab and production environments involving high\-power electrical systems.
* Collaborate with cross\-functional engineering teams to meet performance, cost, and scheduled objectives.
* Diagnose and resolve system malfunctions to minimize downtime and improve system reliability.
* Collaborate with other Electrical Engineers to create quality solutions per customer and internal requirements.
* Experience with real\-time system debugging, control loop turning, and signal processing.
* Support the full product development lifecycle from concept to design through testing, production release, and post\-launch support.
* Successfully transition new designs into production, ensuring manufacturability and quality.
* Work independently while maintaining strong communication and coordination with internal teams and stakeholders.
**What you will need:**
* Bachelor’s degree in engineering with an emphasis on Software Engineering.
* Must have five (5\) years of hands\-on experience in embedded software design programming microcontrollers and/or DSPs for control of power converters.
* Skilled in Electrical Engineering supporting the application of proper software controls
* Experience with code generation and C programming language for application within HMI interfaces as well as system interface PCB’s.
* Experience with hands on testing of hardware for assessing performance of embedded software/firmware, utilizing JTAG interface, logic analyzers, oscilloscopes or similar equipment.
* Experience implementing closed loop control with microprocessors and/or DSPs.
* Advanced power system control techniques such as Space Vector PWM, programmed harmonic elimination.
* Knowledge of interfacing microcontrollers and DSPs to analog, digital circuits and electro\-mechanical systems. This includes working knowledge of troubleshooting analog circuit design for signal measurements.
* Experience with embedded microprocessor and DSP architectures and hardware including peripherals such as A/D, D/A, logic and memory interfaces.
* Interface embedded controls to drive power devices such as MOSFETs and IGBTs.
* Experience using closed loop stability analysis tools such as Venable instruments.
* Power systems up to 480 VAC, 750 VDC and 100\+ KW is a plus.
* Ability to take ownership \&amp; develop a sense of urgency with projects and work assignments.
* Strong understanding of computer architecture, operating systems, data structures, and computer networking.
* Ability to multi\-task in a fast\-paced dynamic environment.
* Effective written and verbal communication skills.
* Travel 5\-10%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24">
      <c r="A24" t="inlineStr">
        <is>
          <t>in-e2fb44937791e9ed</t>
        </is>
      </c>
      <c r="B24" t="inlineStr">
        <is>
          <t>Software Engineer, DevOps, Discovery</t>
        </is>
      </c>
      <c r="C24" t="inlineStr">
        <is>
          <t>Anduril</t>
        </is>
      </c>
      <c r="D24" t="inlineStr">
        <is>
          <t>indeed</t>
        </is>
      </c>
      <c r="E24" t="inlineStr"/>
      <c r="F24" t="inlineStr"/>
      <c r="G24" t="inlineStr">
        <is>
          <t>Seattle, WA, US</t>
        </is>
      </c>
      <c r="H24" s="2" t="n">
        <v>46051</v>
      </c>
      <c r="I24"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Discovery team at Anduril is at the forefront of incubating and maturing high\-potential, software\-defined, AI\-native offerings that meet the toughest, newest challenges across hardware, software, space, and cyber domains. We're the architects of mission autonomy and mesh networking, delivering scalable hardware solutions that meet some of the most urgent national security needs. By working hand\-in\-hand with elite teams in Perception, AI, Motion Planning, Hardware, Test Engineering, Space, Networking, and Vehicle hardware, we craft cutting\-edge, end\-to\-end systems that redefine mission success.
### **ABOUT THE JOB**
As a DevOps Software Engineer on the Discovery team, you will solve a wide variety of problems involving networking, autonomy, systems integration, robotics, and more, while making pragmatic engineering tradeoffs along the way. Your efforts will ensure that Anduril products seamlessly work together to achieve critical outcomes. You are not a DevOps person who knows a little coding, you are a coder who knows CI/CD.  
You’ll work closely with software, data, and operations engineers to turn designs into working systems—streamlining development, improving performance, and keeping production stable as we scale. You’ll also collaborate with digital, manufacturing, and corporate technology teams across Anduril in a high\-tech, fast\-paced culture of innovation focused on solving real problems and delivering results.  
Above all, Software Engineers must be driven by a “Whatever It Takes” mindset—executing in an expedient, scalable, and pragmatic way while keeping the mission top\-of\-mind and making sound engineering decisions to deliver successful outcomes on\-time and with high quality. Not only will you build our systems, but you'll also work directly with customers to deploy it.  
**WHAT YOU’LL DO**
* Build and Manage CI/CD Pipelines: Develop and maintain CI/CD pipelines using tools like CircleCI, GitHub Actions, and Jfrog Artifactory to ensure seamless integration and deployment of machine learning models and applications.
* Infrastructure as Code (IaC): Utilize Terraform and Ansible to automate infrastructure provisioning and management on cloud platforms such as Azure, AWS, or Google Cloud Platform (GCP).
* Containerization and Orchestration: Use Kubernetes to ensure reliable deployment and scaleability of applications.
* Model Management and Deployment: Set up and maintain model registries and feature stores (e.g., MLflow, Kubeflow), and manage deployment pipelines for both batch and real\-time inference.
* Monitoring and Logging: Establish comprehensive monitoring and logging solutions using tools like ELK Stack (Elasticsearch, Logstash, Kibana), Prometheus, Vector, Loki, and Grafana to ensure the smooth operation of deployment environments.
* Collaborate with Cross\-Functional Teams: Work closely with development, data science, and operations teams to foster collaboration and ensure the efficient and effective deployment of machine learning models.
#### **REQUIRED QUALIFICATIONS**
* Currently possesses and is able to maintain an active U.S. Top Secret security clearance
* Strong engineering background from industry or school, ideally in areas/fields such as Computer Science, Software Engineering, Mathematics, or Physics
* 3\+ years working with a variety of programming languages such as Java, Python, C\+\+, Rust, Go, JavaScript, etc.
* Experience with CI/CD tools like GitHub Actions, CircleCI, FluxCD, Jfrog Artifactory, and Git.
* Proficiency with IaC tools (Terraform, Ansible).
* Experience with cloud platforms (Azure, AWS, GCP).
* Proficiency in containerization (Docker) and container orchestration (Kubernetes).
* Ability to quickly understand and navigate complex systems and established code bases
* A desire to work on critical software that has a real\-world impact
#### **PREFERRED QUALIFICATIONS**
* Strong background with focus in Physics, Mathematics, and/or Motion Planning to inform modeling \&amp; simulation (M\&amp;S) and physical systems
* Developing and testing multi\-agent autonomous systems and deploying in real\-world environments
* Familiarity with observability concepts and tools.
* Knowledge of security best practices for DevOps and MLOps.
**US Salary Range**
$166,000 \- $220,000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5">
      <c r="A25" t="inlineStr">
        <is>
          <t>in-2a4ab5e7e4510578</t>
        </is>
      </c>
      <c r="B25" t="inlineStr">
        <is>
          <t>Machine Learning Software Engineering Advisor - Remote</t>
        </is>
      </c>
      <c r="C25" t="inlineStr">
        <is>
          <t>The Cigna Group</t>
        </is>
      </c>
      <c r="D25" t="inlineStr">
        <is>
          <t>indeed</t>
        </is>
      </c>
      <c r="E25" t="inlineStr"/>
      <c r="F25" t="inlineStr"/>
      <c r="G25" t="inlineStr">
        <is>
          <t>Bloomfield, CT, US</t>
        </is>
      </c>
      <c r="H25" s="2" t="n">
        <v>46051</v>
      </c>
      <c r="I25" t="inlineStr">
        <is>
          <t>**Summary**
We are looking for exceptional Full Stack Engineers in our Data \&amp; Analytics Engineering organization to help deliver meaningful value within the Healthcare space. The Full Stack Engineer is responsible for the delivering business needs end\-to\-end, starting from understanding the requirements to deploying the software into production. This role requires being fluent in some technologies while being proficient in others, while learning on the job to deliver value to both customers and to the business. Necessary attributes of being a Full Stack Software Engineers are ownership, accountability, and resilience.
In addition to delivery, the Full Stack Engineers should have an automation first and continuous improvement mindset, driving the adoption of CI/CD tools while supporting the improvement of the tool sets/processes.
This agile team partners with the Data \&amp; Analytics Engineering organization to help solve integration needs by supplying and consuming information needed for analytics and operations. We use technology to integrate and present meaningful analytical insights into the data to both Healthcare Providers and Internal Cigna business groups and develop applications to optimize affordability for all of Cigna's customers. Our tools analyze historical data to identify insights, forecast trends, and recommend actionable items to improve total medical costs.
You will have the unique opportunity to design, develop, and deploy new applications and features that will directly impact Cigna's bottom line, to ultimately provide better and more affordable healthcare for our customers. Our team uses a variety of technologies, from GenAI and big data to the latest cloud services and web frameworks. You will get to build state\-of\-the\-art technology that is scalable and robust, utilizing cloud infrastructure, and full automation.
**Responsibilities**
* Write loosely coupled, readable, reusable and modular code
* Ensure ongoing data quality by monitoring data to identify problems before they impact the business
* Design and architect alternative solutions independently
* when to automate and when not to
* Drive to simplify and reduce dependencies
* Champion innovative ideas
* Deliver enterprise or customer\-facing applications in a variety of scenarios
* Implement and deploy differing application solutions
* Innovate outside of traditional architecture/software patterns when needed
* Collaborate in a high\-performing team environment, and an ability to influence and be influenced by others
* Help distill complex ideas into an architectural and implementation plan, and then proving it out
* Critically evaluate the trade\-offs and implementation impacts of emerging vs. more established technologies
**Qualifications**
* 3\+ years’ documented experience in a business intelligence or analytic development role on a variety of large\-scale projects
* Expertise in BigData and related technologies
* Excellent Data analysis skills
* Cloud certifications, and/or cloud development experience with developing applications or infrastructure on AWS
* Knowledge of Apache Spark, distributed application development on spark using PySpark or Scala
* Experience in development using scripting languages such as Python.
* DevOps, CICD development experience is a plus
* Comfortable in configuring and using multiple operating systems (Mac/Windows/\*nix)
* Design and architecture expertise with AWS, Teradata, BI, and related ecosystem tools.
* Experience with disciplined software development lifecycle
* Ability to communicate at various levels within large organizations
* Knowledge of Big Data tool performance/tuning/measurement and usage criteria to drive appropriate tool selections and use
* Experience with Health care information domains a plus
* Experience working on advanced Big Data solutions is a plus
* Expertise in designing business intelligence systems, dashboard reporting, and analytical reporting is a plus
* Excellent communication skills and team collaboration skills
* Experience with Healthcare domains is a plus
* Advanced Degree (Master of Science or equivalent) in an engineering or quantitative discipline highly desirable
If you will be working at home occasionally or permanently, the internet connection must be obtained through a cable broadband or fiber optic internet service provider with speeds of at least 10Mbps download/5Mbps upload.
For this position, we anticipate offering an annual salary of 111,700 \- 186,100 USD / yearly, depending on relevant factors, including experience and geographic location.
This role is also anticipated to be eligible to participate in an annual bonus plan.
At The Cigna Group, you’ll enjoy a comprehensive range of benefits, with a focus on supporting your whole health. Starting on day one of your employment, you’ll be offered several health\-related benefits including medical, vision, dental, and well\-being and behavioral health programs. We also offer 401(k), company paid life insurance, tuition reimbursement, a minimum of 18 days of paid time off per year and paid holidays. For more details on our employee benefits programs, click here.
**About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
*Qualified applicants with criminal histories will be considered for employment in a manner* *consistent with all federal, state and local ordinances.*</t>
        </is>
      </c>
    </row>
    <row r="26">
      <c r="A26" t="inlineStr">
        <is>
          <t>in-29fd348d5190c47f</t>
        </is>
      </c>
      <c r="B26" t="inlineStr">
        <is>
          <t>Machine Learning Software Engineering Advisor - Remote</t>
        </is>
      </c>
      <c r="C26" t="inlineStr">
        <is>
          <t>The Cigna Group</t>
        </is>
      </c>
      <c r="D26" t="inlineStr">
        <is>
          <t>indeed</t>
        </is>
      </c>
      <c r="E26" t="inlineStr"/>
      <c r="F26" t="inlineStr"/>
      <c r="G26" t="inlineStr">
        <is>
          <t>Remote, US</t>
        </is>
      </c>
      <c r="H26" s="2" t="n">
        <v>46051</v>
      </c>
      <c r="I26" t="inlineStr">
        <is>
          <t>**Summary**
We are looking for exceptional Full Stack Engineers in our Data \&amp; Analytics Engineering organization to help deliver meaningful value within the Healthcare space. The Full Stack Engineer is responsible for the delivering business needs end\-to\-end, starting from understanding the requirements to deploying the software into production. This role requires being fluent in some technologies while being proficient in others, while learning on the job to deliver value to both customers and to the business. Necessary attributes of being a Full Stack Software Engineers are ownership, accountability, and resilience.
In addition to delivery, the Full Stack Engineers should have an automation first and continuous improvement mindset, driving the adoption of CI/CD tools while supporting the improvement of the tool sets/processes.
This agile team partners with the Data \&amp; Analytics Engineering organization to help solve integration needs by supplying and consuming information needed for analytics and operations. We use technology to integrate and present meaningful analytical insights into the data to both Healthcare Providers and Internal Cigna business groups and develop applications to optimize affordability for all of Cigna's customers. Our tools analyze historical data to identify insights, forecast trends, and recommend actionable items to improve total medical costs.
You will have the unique opportunity to design, develop, and deploy new applications and features that will directly impact Cigna's bottom line, to ultimately provide better and more affordable healthcare for our customers. Our team uses a variety of technologies, from GenAI and big data to the latest cloud services and web frameworks. You will get to build state\-of\-the\-art technology that is scalable and robust, utilizing cloud infrastructure, and full automation.
**Responsibilities**
* Write loosely coupled, readable, reusable and modular code
* Ensure ongoing data quality by monitoring data to identify problems before they impact the business
* Design and architect alternative solutions independently
* when to automate and when not to
* Drive to simplify and reduce dependencies
* Champion innovative ideas
* Deliver enterprise or customer\-facing applications in a variety of scenarios
* Implement and deploy differing application solutions
* Innovate outside of traditional architecture/software patterns when needed
* Collaborate in a high\-performing team environment, and an ability to influence and be influenced by others
* Help distill complex ideas into an architectural and implementation plan, and then proving it out
* Critically evaluate the trade\-offs and implementation impacts of emerging vs. more established technologies
**Qualifications**
* 3\+ years’ documented experience in a business intelligence or analytic development role on a variety of large\-scale projects
* Expertise in BigData and related technologies
* Excellent Data analysis skills
* Cloud certifications, and/or cloud development experience with developing applications or infrastructure on AWS
* Knowledge of Apache Spark, distributed application development on spark using PySpark or Scala
* Experience in development using scripting languages such as Python.
* DevOps, CICD development experience is a plus
* Comfortable in configuring and using multiple operating systems (Mac/Windows/\*nix)
* Design and architecture expertise with AWS, Teradata, BI, and related ecosystem tools.
* Experience with disciplined software development lifecycle
* Ability to communicate at various levels within large organizations
* Knowledge of Big Data tool performance/tuning/measurement and usage criteria to drive appropriate tool selections and use
* Experience with Health care information domains a plus
* Experience working on advanced Big Data solutions is a plus
* Expertise in designing business intelligence systems, dashboard reporting, and analytical reporting is a plus
* Excellent communication skills and team collaboration skills
* Experience with Healthcare domains is a plus
* Advanced Degree (Master of Science or equivalent) in an engineering or quantitative discipline highly desirable
If you will be working at home occasionally or permanently, the internet connection must be obtained through a cable broadband or fiber optic internet service provider with speeds of at least 10Mbps download/5Mbps upload.
For this position, we anticipate offering an annual salary of 111,700 \- 186,100 USD / yearly, depending on relevant factors, including experience and geographic location.
This role is also anticipated to be eligible to participate in an annual bonus plan.
At The Cigna Group, you’ll enjoy a comprehensive range of benefits, with a focus on supporting your whole health. Starting on day one of your employment, you’ll be offered several health\-related benefits including medical, vision, dental, and well\-being and behavioral health programs. We also offer 401(k), company paid life insurance, tuition reimbursement, a minimum of 18 days of paid time off per year and paid holidays. For more details on our employee benefits programs, click here.
**About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
*Qualified applicants with criminal histories will be considered for employment in a manner* *consistent with all federal, state and local ordinances.*</t>
        </is>
      </c>
    </row>
    <row r="27">
      <c r="A27" t="inlineStr">
        <is>
          <t>in-3b538c5e61100815</t>
        </is>
      </c>
      <c r="B27" t="inlineStr">
        <is>
          <t>Machine Learning Software Engineering Senior Advisor - Remote</t>
        </is>
      </c>
      <c r="C27" t="inlineStr">
        <is>
          <t>The Cigna Group</t>
        </is>
      </c>
      <c r="D27" t="inlineStr">
        <is>
          <t>indeed</t>
        </is>
      </c>
      <c r="E27" t="inlineStr"/>
      <c r="F27" t="inlineStr"/>
      <c r="G27" t="inlineStr">
        <is>
          <t>Remote, US</t>
        </is>
      </c>
      <c r="H27" s="2" t="n">
        <v>46051</v>
      </c>
      <c r="I27" t="inlineStr">
        <is>
          <t>**Summary**
We are looking for exceptional Full Stack Engineers in our Data \&amp; Analytics Engineering organization to help deliver meaningful value within the Healthcare space. The Full Stack Engineer is responsible for the delivering business needs end\-to\-end, starting from understanding the requirements to deploying the software into production. This role requires being fluent in some technologies while being proficient in others, while learning on the job to deliver value to both customers and to the business. Necessary attributes of being a Full Stack Software Engineers are ownership, accountability, and resilience.
In addition to delivery, the Full Stack Engineers should have an automation first and continuous improvement mindset, driving the adoption of CI/CD tools while supporting the improvement of the tool sets/processes.
This agile team partners with the Data \&amp; Analytics Engineering organization to help solve integration needs by supplying and consuming information needed for analytics and operations. We use technology to integrate and present meaningful analytical insights into the data to both Healthcare Providers and Internal Cigna business groups and develop applications to optimize affordability for all of Cigna's customers. Our tools analyze historical data to identify insights, forecast trends, and recommend actionable items to improve total medical costs.
You will have the unique opportunity to design, develop, and deploy new applications and features that will directly impact Cigna's bottom line, to ultimately provide better and more affordable healthcare for our customers. Our team uses a variety of technologies, from GenAI and big data to the latest cloud services and web frameworks. You will get to build state\-of\-the\-art technology that is scalable and robust, utilizing cloud infrastructure, and full automation.
**Responsibilities**
* Write loosely coupled, readable, reusable and modular code
* Ensure ongoing data quality by monitoring data to identify problems before they impact the business
* Design and architect alternative solutions independently
* when to automate and when not to
* Drive to simplify and reduce dependencies
* Champion innovative ideas
* Deliver enterprise or customer\-facing applications in a variety of scenarios
* Implement and deploy differing application solutions
* Innovate outside of traditional architecture/software patterns when needed
* Collaborate in a high\-performing team environment, and an ability to influence and be influenced by others
* Help distill complex ideas into an architectural and implementation plan, and then proving it out
* Critically evaluate the trade\-offs and implementation impacts of emerging vs. more established technologies
**Qualifications**
* 5\+ years’ documented experience in a business intelligence or analytic development role on a variety of large\-scale projects
* Expertise in BigData and related technologies
* Excellent Data analysis skills
* Cloud certifications, and/or cloud development experience with developing applications or infrastructure on AWS
* Knowledge of Apache Spark, distributed application development on spark using PySpark or Scala
* Experience in development using scripting languages such as Python.
* DevOps, CICD development experience is a plus
* Comfortable in configuring and using multiple operating systems (Mac/Windows/\*nix)
* Design and architecture expertise with AWS, Teradata, BI, and related ecosystem tools.
* Experience with disciplined software development lifecycle
* Ability to communicate at various levels within large organizations
* Knowledge of Big Data tool performance/tuning/measurement and usage criteria to drive appropriate tool selections and use
* Experience with Health care information domains a plus
* Experience working on advanced Big Data solutions is a plus
* Expertise in designing business intelligence systems, dashboard reporting, and analytical reporting is a plus
* Excellent communication skills and team collaboration skills
* Experience with Healthcare domains is a plus
* Advanced Degree (Master of Science or equivalent) in an engineering or quantitative discipline highly desirable
If you will be working at home occasionally or permanently, the internet connection must be obtained through a cable broadband or fiber optic internet service provider with speeds of at least 10Mbps download/5Mbps upload.
For this position, we anticipate offering an annual salary of 130,200 \- 217,000 USD / yearly, depending on relevant factors, including experience and geographic location.
This role is also anticipated to be eligible to participate in an annual bonus plan.
At The Cigna Group, you’ll enjoy a comprehensive range of benefits, with a focus on supporting your whole health. Starting on day one of your employment, you’ll be offered several health\-related benefits including medical, vision, dental, and well\-being and behavioral health programs. We also offer 401(k), company paid life insurance, tuition reimbursement, a minimum of 18 days of paid time off per year and paid holidays. For more details on our employee benefits programs, click here.
**About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
*Qualified applicants with criminal histories will be considered for employment in a manner* *consistent with all federal, state and local ordinances.*</t>
        </is>
      </c>
    </row>
    <row r="28">
      <c r="A28" t="inlineStr">
        <is>
          <t>in-496b3421d5a5259b</t>
        </is>
      </c>
      <c r="B28" t="inlineStr">
        <is>
          <t>Machine Learning Software Engineering Senior Advisor - Remote</t>
        </is>
      </c>
      <c r="C28" t="inlineStr">
        <is>
          <t>The Cigna Group</t>
        </is>
      </c>
      <c r="D28" t="inlineStr">
        <is>
          <t>indeed</t>
        </is>
      </c>
      <c r="E28" t="inlineStr"/>
      <c r="F28" t="inlineStr"/>
      <c r="G28" t="inlineStr">
        <is>
          <t>Bloomfield, CT, US</t>
        </is>
      </c>
      <c r="H28" s="2" t="n">
        <v>46051</v>
      </c>
      <c r="I28" t="inlineStr">
        <is>
          <t>**Summary**
We are looking for exceptional Full Stack Engineers in our Data \&amp; Analytics Engineering organization to help deliver meaningful value within the Healthcare space. The Full Stack Engineer is responsible for the delivering business needs end\-to\-end, starting from understanding the requirements to deploying the software into production. This role requires being fluent in some technologies while being proficient in others, while learning on the job to deliver value to both customers and to the business. Necessary attributes of being a Full Stack Software Engineers are ownership, accountability, and resilience.
In addition to delivery, the Full Stack Engineers should have an automation first and continuous improvement mindset, driving the adoption of CI/CD tools while supporting the improvement of the tool sets/processes.
This agile team partners with the Data \&amp; Analytics Engineering organization to help solve integration needs by supplying and consuming information needed for analytics and operations. We use technology to integrate and present meaningful analytical insights into the data to both Healthcare Providers and Internal Cigna business groups and develop applications to optimize affordability for all of Cigna's customers. Our tools analyze historical data to identify insights, forecast trends, and recommend actionable items to improve total medical costs.
You will have the unique opportunity to design, develop, and deploy new applications and features that will directly impact Cigna's bottom line, to ultimately provide better and more affordable healthcare for our customers. Our team uses a variety of technologies, from GenAI and big data to the latest cloud services and web frameworks. You will get to build state\-of\-the\-art technology that is scalable and robust, utilizing cloud infrastructure, and full automation.
**Responsibilities**
* Write loosely coupled, readable, reusable and modular code
* Ensure ongoing data quality by monitoring data to identify problems before they impact the business
* Design and architect alternative solutions independently
* when to automate and when not to
* Drive to simplify and reduce dependencies
* Champion innovative ideas
* Deliver enterprise or customer\-facing applications in a variety of scenarios
* Implement and deploy differing application solutions
* Innovate outside of traditional architecture/software patterns when needed
* Collaborate in a high\-performing team environment, and an ability to influence and be influenced by others
* Help distill complex ideas into an architectural and implementation plan, and then proving it out
* Critically evaluate the trade\-offs and implementation impacts of emerging vs. more established technologies
**Qualifications**
* 5\+ years’ documented experience in a business intelligence or analytic development role on a variety of large\-scale projects
* Expertise in BigData and related technologies
* Excellent Data analysis skills
* Cloud certifications, and/or cloud development experience with developing applications or infrastructure on AWS
* Knowledge of Apache Spark, distributed application development on spark using PySpark or Scala
* Experience in development using scripting languages such as Python.
* DevOps, CICD development experience is a plus
* Comfortable in configuring and using multiple operating systems (Mac/Windows/\*nix)
* Design and architecture expertise with AWS, Teradata, BI, and related ecosystem tools.
* Experience with disciplined software development lifecycle
* Ability to communicate at various levels within large organizations
* Knowledge of Big Data tool performance/tuning/measurement and usage criteria to drive appropriate tool selections and use
* Experience with Health care information domains a plus
* Experience working on advanced Big Data solutions is a plus
* Expertise in designing business intelligence systems, dashboard reporting, and analytical reporting is a plus
* Excellent communication skills and team collaboration skills
* Experience with Healthcare domains is a plus
* Advanced Degree (Master of Science or equivalent) in an engineering or quantitative discipline highly desirable
If you will be working at home occasionally or permanently, the internet connection must be obtained through a cable broadband or fiber optic internet service provider with speeds of at least 10Mbps download/5Mbps upload.
For this position, we anticipate offering an annual salary of 130,200 \- 217,000 USD / yearly, depending on relevant factors, including experience and geographic location.
This role is also anticipated to be eligible to participate in an annual bonus plan.
At The Cigna Group, you’ll enjoy a comprehensive range of benefits, with a focus on supporting your whole health. Starting on day one of your employment, you’ll be offered several health\-related benefits including medical, vision, dental, and well\-being and behavioral health programs. We also offer 401(k), company paid life insurance, tuition reimbursement, a minimum of 18 days of paid time off per year and paid holidays. For more details on our employee benefits programs, click here.
**About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
*Qualified applicants with criminal histories will be considered for employment in a manner* *consistent with all federal, state and local ordinances.*</t>
        </is>
      </c>
    </row>
    <row r="29">
      <c r="A29" t="inlineStr">
        <is>
          <t>in-54524816413bdbef</t>
        </is>
      </c>
      <c r="B29" t="inlineStr">
        <is>
          <t>Senior Software Engineer</t>
        </is>
      </c>
      <c r="C29" t="inlineStr">
        <is>
          <t>Anduril</t>
        </is>
      </c>
      <c r="D29" t="inlineStr">
        <is>
          <t>indeed</t>
        </is>
      </c>
      <c r="E29" t="inlineStr"/>
      <c r="F29" t="inlineStr"/>
      <c r="G29" t="inlineStr">
        <is>
          <t>Seattle, WA, US</t>
        </is>
      </c>
      <c r="H29" s="2" t="n">
        <v>46051</v>
      </c>
      <c r="I2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Anduril's Tactical Recon \&amp; Strike (TRS) is a division with two missions: 1\) build highly capable autonomous drones, and 2\) build solid rocket motors at scale. We transform products like Ghost, Anvil, Bolt, and Altius from early concepts into fully operational capabilities by partnering closely with specialist engineering, operations, and production teams. Through our Anduril Rocket Motor Systems (RMS) team, we design and manufacture solid rocket motors using advanced materials, proprietary formulations, and high\-volume production methods—delivering safe, reliable propulsion systems that support a wide range of mission requirements. TRS hires software engineers \&amp; hardware engineers, who are excited to build across a diverse and powerful portfolio—from autonomous aerial systems to high\-performance solid rocket motors. Our teams contribute to highly capable autonomous robotics systems and propulsion products that operate reliably in the most demanding mission environment.
### **ABOUT THE JOB**
As a Robotics Software Engineer on our TRS team, you'll be at the forefront of cutting\-edge autonomous systems development. You'll tackle diverse challenges in autonomy, systems integration, robotics, and networking, making critical engineering decisions that directly impact mission success. Your role will be pivotal in ensuring Anduril's products work seamlessly together to achieve a variety of crucial outcomes. You'll develop innovative solutions for complex robotics problems, balance pragmatic engineering trade\-offs with mission\-critical requirements, and collaborate across teams to integrate software with hardware systems. Contributing to the entire product lifecycle, from concept to deployment, you'll rapidly prototype and iterate on software solutions. We're looking for someone who thrives in a fast\-paced environment and isn't afraid to tackle ambiguous problems. Your "Whatever It Takes" mindset will be key in executing tasks efficiently, scalably, and pragmatically, always keeping the mission at the forefront of your work. This role offers the opportunity to make a significant impact on next\-generation defense technology, working with state\-of\-the\-art robotics and autonomous systems. You'll be part of a team that values innovation, quick iteration, and delivering high\-quality solutions that meet real\-world needs.
*Must be eligible to obtain and maintain an active U.S. Secret security clearance.*
#### **WHAT YOU'LL DO**
* Develop and maintain core robotics libraries, including frame transformations, targeting, and guidance systems, that will be utilized across all Anduril robotics platforms
* Lead the development and implementation of major features for our products, such as designing and building Software\-in\-the\-Loop simulators for advanced systems like Altius
* Optimize performance of existing products, primarily focused on our Altius Drone product line
* Collaborate closely with hardware and manufacturing teams throughout the product development lifecycle, providing timely feedback to influence and enhance final hardware designs
* Troubleshoot and resolve complex issues in deployed systems, ensuring optimal performance in the field
* Contribute to the design and implementation of multi\-agent coordination systems for UAVs
* Participate in the full software development lifecycle, from concept and design through testing and deployment
* Stay current with emerging technologies and industry trends, recommending and implementing innovations to improve our products and processes
#### **REQUIRED QUALIFICATIONS**
* Bachelor's degree in Robotics, Computer Science, or related field
* **3\+ years** of professional software development experience
* Strong proficiency in C\+\+ or Rust, with experience in Linux development environments
* Demonstrated expertise in data structures, algorithms, concurrency, and code optimization
* Proven experience troubleshooting and analyzing remotely deployed software systems
* Hands\-on experience working with and testing electrical and mechanical systems
* Ability to collaborate effectively with cross\-functional teams, including hardware and manufacturing
* Strong problem\-solving skills and a "Whatever It Takes" mindset
* Excellent communication skills, both written and verbal
* Eligible to obtain and maintain an active U.S. Secret security clearance
* **Willingness to relocate to Seattle, WA**
#### **PREFERRED QUALIFICATIONS**
* Master's or Ph.D. in a relevant field (e.g., Robotics, Computer Science, Electrical Engineering)
* Expertise in one or more advanced robotics areas: motion planning, perception, localization, mapping, or controls
* Experience with performance optimization and metrics for complex robotic systems
* Proficiency in Python, Rust, and/or Go, in addition to C\+\+
* Hands\-on experience programming for embedded systems and physical devices
* Background in multi\-agent coordination, particularly with UAVs
* Demonstrated ability to solve complex frame transformation problems (e.g., target localization, multi\-degree\-of\-freedom robotic arms)
* Experience with real\-time operating systems and distributed computing
* Familiarity with machine learning and AI applications in robotics
* Knowledge of sensor fusion techniques and implementation
* Understanding of aerodynamics and flight dynamics as applied to UAV systems
* Experience with simulation environments for robotics testing and development
* Track record of contributions to open\-source robotics projects or relevant publications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0">
      <c r="A30" t="inlineStr">
        <is>
          <t>in-9823c8dae5b797b4</t>
        </is>
      </c>
      <c r="B30" t="inlineStr">
        <is>
          <t>Staff Backend Engineer, Payments, Consumer Apps - Klover</t>
        </is>
      </c>
      <c r="C30" t="inlineStr">
        <is>
          <t>Attain</t>
        </is>
      </c>
      <c r="D30" t="inlineStr">
        <is>
          <t>indeed</t>
        </is>
      </c>
      <c r="E30" t="inlineStr"/>
      <c r="F30" t="inlineStr"/>
      <c r="G30" t="inlineStr">
        <is>
          <t>Chicago, IL, US</t>
        </is>
      </c>
      <c r="H30" s="2" t="n">
        <v>46051</v>
      </c>
      <c r="I30" t="inlineStr">
        <is>
          <t>**About Attain**
The Klover Backend Engineering team powers one of the fastest\-growing consumer fintech apps in the U.S., with over one million active users every month. Our systems process and move more than $1\.5 billion annually \- enabling real\-time access to earned wages, rewards, and financial tools that help consumers improve their day\-to\-day lives.
As part of this team, you'll design and scale the backend services that drive Klover's payments and data infrastructure. You'll work on high\-availability systems that connect with financial institutions and payment processors, ensuring secure, compliant, and lightning\-fast transactions. The work you do will directly impact our users' ability to access their money instantly, earn meaningful rewards, and experience transparent, fee\-free financial services.
Klover engineers collaborate closely across product, data, and mobile teams to deliver reliable, high\-performance features that meet the demands of a large, growing user base. You'll have the opportunity to work with modern technologies (including Rust microservices and event\-driven systems) while shaping the next generation of inclusive, data\-powered financial products. You'll design APIs and microservices that connect financial institutions, payment processors, and data platforms, all while ensuring reliability and privacy at scale.
***Attain Office Hybrid Schedule (where applicable):***
* *Redwood City, CA: Mondays (in\-office for stand\-ups, all\-hands) and choice of three days between Tues\-Friday*
* *Chicago, IL \&amp; New York, NY:* *4 days in\-office; 1 day remote*
#### **You'll be a great fit for the role if**
* You are excited to build and scale backend systems that support financial products and real\-time payments
* You thrive in environments where data integrity, security, and performance are critical
* You are excited to build microservices using Rust and Go
* You have a willingness to learn and teach in a collaborative environment
* You're eager to leverage and develop using AI tools
* You've been complimented on how well you participate in an open feedback environment
**What your day to day will look like**
* Build and evolve microservices that handle high\-volume financial and transactional data
* Design and implement APIs that securely connect to third\-party payment processors, banks, and fintech partners
* Write thoughtful \&amp; quality code that is readable, testable, and easily maintainable
* Develop data\-driven services that power account management, transaction history, and financial insights
* Strive for excellent development practices and careful code architecture that is built around rapid releases
* Work cross\-functionally with backend, mobile, and product teams to consistently release high\-quality, customer\-focused financial features
* Adhere to, and improve upon, our agile process through requirement documents, sprint retrospectives, and other regular cadence meetings
**Preferred Qualifications**
* 5\+ years of experience building backend services in production environments
* Experience in the financial technology, payments, or banking systems industry
* Familiarity with compliance, security, and data privacy standards (e.g., SOC 2, PCI DSS, GDPR)
* Experience designing transactional and event\-driven systems for payments, reconciliation systems, or ledger\-like applications
* Familiarity with microservice or Service\-oriented Architecture
* Experience using gRPC, protobuf, or GraphQL
* Expert knowledge of SQL and experience designing data models for financial data integrity
* Experience with message queues or event streams (e.g., Kafka, RabbitMQ)
* Experience with cloud environments such as AWS, GCP, or Azure
**We're excited to hear from you.**
At Attain, we are passionate about finding people to continuously help us grow our organization. We encourage you to apply, even if your experience doesn't match every detail of the job description. If we don't see something that immediately fits, we will keep your resume on file for future opportunities.</t>
        </is>
      </c>
    </row>
    <row r="31">
      <c r="A31" t="inlineStr">
        <is>
          <t>in-bba99682a68896aa</t>
        </is>
      </c>
      <c r="B31" t="inlineStr">
        <is>
          <t>Staff Backend Engineer, Platform, Consumer Apps - Klover</t>
        </is>
      </c>
      <c r="C31" t="inlineStr">
        <is>
          <t>Attain</t>
        </is>
      </c>
      <c r="D31" t="inlineStr">
        <is>
          <t>indeed</t>
        </is>
      </c>
      <c r="E31" t="inlineStr"/>
      <c r="F31" t="inlineStr"/>
      <c r="G31" t="inlineStr">
        <is>
          <t>Chicago, IL, US</t>
        </is>
      </c>
      <c r="H31" s="2" t="n">
        <v>46051</v>
      </c>
      <c r="I31" t="inlineStr">
        <is>
          <t>**About Attain**
Klover's engineering team powers one of the fastest\-growing fintech platforms in the U.S., supporting over one million active users each month. Our systems process and move more than $1\.5 billion annually, enabling real\-time access to financial tools, rewards, and services that help people improve their day\-to\-day lives.
As part of this team, you'll help design, build, and scale the systems that underpin Klover's core products and platform. You'll work on high\-impact, production\-grade systems that prioritize reliability, security, and performance, and that integrate with a broad ecosystem of internal and external services. The work you do will directly shape how users interact with Klover's products, access their money, and experience transparent, low\-fee financial services.
Klover engineers collaborate closely with colleagues across backend, frontend, data science, and product teams to deliver scalable, high\-quality solutions for a rapidly growing user base. You'll have the opportunity to work with modern technologies and architectures while helping define and evolve the next generation of inclusive, data\-powered financial products—building systems and interfaces that emphasize reliability, privacy, and performance at scale.
**Attain Office Hybrid Schedule (where applicable):**
* **Redwood City, CA:** Mondays (in\-office for stand\-ups, all\-hands) and choice of three days between Tues\-Friday
* **Chicago, IL \&amp; New York, NY:** 4 days in\-office; 1 day remote
#### **You'll be a great fit for the role if**
* You are excited to build and scale backend systems that support financial products and real\-time payments
* You thrive in environments where data integrity, security, and performance are critical
* You are excited to build microservices using Rust and Go
* You have a willingness to learn and teach in a collaborative environment
* You're eager to leverage and develop using AI tools
* You've been complimented on how well you participate in an open feedback environment
**What your day to day will look like**
* Build and evolve microservices that handle high\-volume financial and transactional data
* Design and implement APIs that securely connect to third\-party payment processors, banks, and fintech partners
* Write thoughtful \&amp; quality code that is readable, testable, and easily maintainable
* Develop data\-driven services that power account management, transaction history, and financial insights
* Strive for excellent development practices and careful code architecture that is built around rapid releases
* Work cross\-functionally with backend, mobile, and product teams to consistently release high\-quality, customer\-focused financial features
* Adhere to, and improve upon, our agile process through requirement documents, sprint retrospectives, and other regular cadence meetings
**Preferred Qualifications**
* 5\+ years of experience building backend services in production environments
* Experience in the financial technology, payments, or banking systems industry
* Familiarity with compliance, security, and data privacy standards (e.g., SOC 2, PCI DSS, GDPR)
* Experience designing transactional and event\-driven systems for payments, reconciliation systems, or ledger\-like applications
* Familiarity with microservice or Service\-oriented Architecture
* Experience using gRPC, protobuf, or GraphQL
* Expert knowledge of SQL and experience designing data models for financial data integrity
* Experience with message queues or event streams (e.g., Kafka, RabbitMQ)
* Experience with cloud environments such as AWS, GCP, or Azure
*We're excited to hear from you.*
*At Attain, we are passionate about finding people to continuously help us grow our organization. We encourage you to apply, even if your experience doesn't match every detail of the job description. If we don't see something that immediately fits, we will keep your resume on file for future opportunities.*</t>
        </is>
      </c>
    </row>
    <row r="32">
      <c r="A32" t="inlineStr">
        <is>
          <t>in-0ed43d0b3ebe6a30</t>
        </is>
      </c>
      <c r="B32" t="inlineStr">
        <is>
          <t>Sr. Software Developer II (6369)</t>
        </is>
      </c>
      <c r="C32" t="inlineStr">
        <is>
          <t>Metrostar Systems</t>
        </is>
      </c>
      <c r="D32" t="inlineStr">
        <is>
          <t>indeed</t>
        </is>
      </c>
      <c r="E32" t="inlineStr"/>
      <c r="F32" t="inlineStr"/>
      <c r="G32" t="inlineStr">
        <is>
          <t>Washington, DC, US</t>
        </is>
      </c>
      <c r="H32" s="2" t="n">
        <v>46051</v>
      </c>
      <c r="I32" t="inlineStr">
        <is>
          <t>As **Sr. Software Developer II**, you'll deliver secure and reliable software capabilities for a highly visible and mission\-critical customer supporting national\-level operations. The program's mission is to rapidly deliver high\-quality software while maintaining strict security and operational standards.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Troubleshoot and resolve production issues in a timely and effective manner
* Work as part of a collaborative, high\-performing team delivering technical solutions for mission\-critical federal government systems
* Support O\&amp;M and design, develop, and modernize custom enterprise applications
* Apply secure coding practices across all phases of development
* Participate in code reviews and Agile ceremonies (planning, stand\-ups, retros, etc.)
* Support and contribute to CI/CD pipelines and automated deployments
* Troubleshoot and resolve production issues in a timely and effective manner
* Communicate technical decisions and solutions clearly to both technical and non\-technical stakeholders
* Establish and maintain a high level of customer trust and confidence through technical expertise and professionalism
* Use creativity and innovation to deliver solutions that meet customer and mission needs
**What you'll need to succeed:**
* An active Top Secret with SCI eligibility security clearance.
* Bachelor's degree in Computer Science or Software Engineering is preferred; Relevant experience may be substituted for education.
* 7\+ years of professional software development experience.
* Demonstrated proficiency in C\#, .NET, and modern application frameworks.
* Hands\-on experience modernizing legacy .NET applications and containerizing workloads.
* Experience with Windows Server IIS, .NET Core 8\+, .NET Framework 4\+, Entity Framework, Quartz, Angular, React, Azure DevOps, GitLab CI/CD, PostgreSQL, SQL Server, and Docker.
* Possess a DoD 8140 DCWF Role of 451 – System Administrator with certifications such as Cloud\+, GICSP, GSEC, Security\+, or SSCP. Ability to contribute immediately.
SALARY RANGE: $170,000 \- $184,000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33">
      <c r="A33" t="inlineStr">
        <is>
          <t>in-4f06cf12049ccf99</t>
        </is>
      </c>
      <c r="B33" t="inlineStr">
        <is>
          <t>Senior Principal Software Engineer</t>
        </is>
      </c>
      <c r="C33" t="inlineStr">
        <is>
          <t>O'Reilly Auto Parts</t>
        </is>
      </c>
      <c r="D33" t="inlineStr">
        <is>
          <t>indeed</t>
        </is>
      </c>
      <c r="E33" t="inlineStr"/>
      <c r="F33" t="inlineStr"/>
      <c r="G33" t="inlineStr">
        <is>
          <t>Springfield, MO, US</t>
        </is>
      </c>
      <c r="H33" s="2" t="n">
        <v>46051</v>
      </c>
      <c r="I33" t="inlineStr">
        <is>
          <t>**The Senior Principal Software Engineer** is a top\-level individual contributor and hands\-on technical leader responsible for designing, building, and scaling complex enterprise applications within the Java ecosystem. This role operates with a high degree of independence, sets technical direction across multiple teams, and provides mentorship to senior engineers. The position supports high\-scale platforms, including Marketing Technology (MarTech) and customer\-facing digital systems.
Responsibilities and Duties:
* Define and evolve system architecture for large\-scale, distributed, and microservices\-based applications, including MarTech platforms.
* Lead the design and development of complex applications using Java, Spring Boot, and modern frontend frameworks such as Angular or React.
* Support MarTech capabilities such as campaign execution, personalization, content delivery, analytics, and customer data integration.
* Document “as\-is” and “to\-be” architectures and processes to support modernization and platform scalability.
* Drive engineering best practices around performance, reliability, security, and maintainability.
* Conduct and lead code reviews; mentor senior and staff engineers.
* Collaborate with product, marketing, and business partners to define technical roadmaps and manage technical debt.
* Design and support CI/CD pipelines and cloud\-native deployments across AWS, Azure, or GCP.
* Develop and guide monitoring, alerting, and troubleshooting strategies for complex, high\-traffic systems.
* Lead technical estimation, work breakdown, and prioritization efforts to support reliable delivery.
* Evaluate emerging technologies and conduct proofs of concept to inform long\-term platform strategy.
* Act as a subject matter expert in Java\-based enterprise systems
Skills:
Required:
* Expert understanding of the Software Development Life Cycle and enterprise application development.
* Strong architectural and problem\-solving skills with the ability to influence technical direction across teams.
* Advanced experience with Java (8\+), Spring Boot, REST APIs, and microservices.
* Experience with frontend technologies such as Angular or React.
* Experience with SQL and NoSQL databases, distributed systems, and messaging platforms.
* Hands\-on experience with containerization and orchestration using Docker and Kubernetes/OpenShift.
* Proficiency with CI/CD tools and version control systems.
* Deep knowledge of cloud platforms and cloud\-native application design.
* Strong communication skills and the ability to mentor and guide senior engineers
Education:
Bachelor’s degree in Computer Science or a related field, or equivalent experience.
Experience:
10–15\+ years of software engineering experience, including 3\+ years in a senior, staff, or principal\-level role.
O’Reilly Auto Parts has a proven track record of growth and stability. O’Reilly is full of successful career stories and believes in a strong promote\-from\-within philosophy, encouraging you to grow your career along with the organization.
**Total Compensation Package:**
* Competitive Wages \&amp; Paid Time Off
* Stock Purchase Plan \&amp; 401k with Employer Contributions Starting Day One
* Medical, Dental, \&amp; Vision Insurance with Optional Flexible Spending Account (FSA)
* Team Member Health/Wellbeing Programs
* Tuition Educational Assistance Programs
* Opportunities for Career Growth
*O’Reilly Auto Parts is an equal opportunity employer.* *The Company does not discriminate on the basis of race, religion, color, national origin or ancestry (including immigration status or citizenship), sex, sexual orientation, gender identity, pregnancy (including childbirth, lactation, and related medical conditions,) age (40 and over), veteran status, uniformed service member status, physical or mental disability, genetic information (including testing or characteristics) or another protected status as defined by local, state, or federal law, as applicable.*
*Qualified individuals with a disability may be entitled to reasonable accommodation under the Americans with Disabilities Act. If you require a reasonable accommodation during the application or employment process, please send an email to:* *rar@oreillyauto.com* *or call (800\) 471\-7431 option , and provide your requested accommodation, and position details.*</t>
        </is>
      </c>
    </row>
    <row r="34">
      <c r="A34" t="inlineStr">
        <is>
          <t>in-c84a66fda122f824</t>
        </is>
      </c>
      <c r="B34" t="inlineStr">
        <is>
          <t>(USA) Staff, Software Engineer</t>
        </is>
      </c>
      <c r="C34" t="inlineStr">
        <is>
          <t>Walmart</t>
        </is>
      </c>
      <c r="D34" t="inlineStr">
        <is>
          <t>indeed</t>
        </is>
      </c>
      <c r="E34" t="inlineStr"/>
      <c r="F34" t="inlineStr"/>
      <c r="G34" t="inlineStr">
        <is>
          <t>Bentonville, AR, US</t>
        </is>
      </c>
      <c r="H34" s="2" t="n">
        <v>46051</v>
      </c>
      <c r="I34" t="inlineStr">
        <is>
          <t>**Position Summary...**
-----------------------
**What you'll do...**
---------------------
**Role summary:**
Walmart is seeking a Staff Software Engineer to lead the development and delivery of scalable platform capabilities, including infrastructure, tooling, and AI/ML frameworks. This role involves driving the full software lifecycle, applying cloud\-native architecture principles, and ensuring high\-quality system design. The successful candidate will provide technical leadership, mentor engineering teams, and collaborate across functions to translate complex business needs into effective technical solutions. A strong focus on innovation, continuous improvement, and engineering excellence is essential to support Walmart’s strategic goals and enhance developer productivity.
**About the team:**
The Oracle FCCS Engineering team develops and operates the Financial Consolidation and Close Cloud, delivering secure, high\-performance cloud services that automate consolidation, eliminations, translations, and close processes at scale. The team prioritizes accuracy, scalability, and reliability to enable finance teams to close efficiently and confidently. Leveraging deep ERP/EPM integrations and cloud\-native architecture, the team drives innovation through design reviews, API design, and software prototyping. Members collaborate across disciplines to build robust solutions, continuously improve processes, and maintain engineering excellence in a dynamic, technology\-driven environment.
**What you'll do:**
* Deliver platform capabilities including infrastructure, tooling, and machine learning frameworks aligned with roadmap priorities.
* Lead full software development lifecycle activities such as coding, testing, deployment, monitoring, and maintenance.
* Apply cloud\-native architecture principles to ensure scalable, resilient, and agile systems.
* Conduct system design reviews to validate quality and alignment with architectural standards.
* Build AI\-driven applications and integrate machine learning components using multiple programming languages.
* Mentor engineers, influence technical decisions, and promote engineering best practices.
* Collaborate with stakeholders to translate complex problems into actionable technical requirements.
* Drive continuous improvement through data\-driven decision making and innovation.
**What you'll bring:**
* Proven expertise in cloud\-native architecture, including microservices, containers, and automation to ensure scalable and resilient systems.
* Strong experience in software development lifecycle management, encompassing coding, testing, CI/CD deployment, and maintenance.
* Proficiency in API design, software prototyping, and application of software design patterns for secure, modular, and maintainable solutions.
* Demonstrated ability to lead technical design reviews and mentor engineering teams to foster continuous learning and technical excellence.
* Skilled in data\-driven decision making to define success metrics and optimize engineering processes.
* Experience integrating AI/ML components and intelligent automation using modern programming languages and tools.
* Effective collaboration and communication skills to engage stakeholders and drive cross\-team alignment.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2501 Se J St, Ste A,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5">
      <c r="A35" t="inlineStr">
        <is>
          <t>in-e1fecff2e0d911f3</t>
        </is>
      </c>
      <c r="B35" t="inlineStr">
        <is>
          <t>Senior Software Engineer</t>
        </is>
      </c>
      <c r="C35" t="inlineStr"/>
      <c r="D35" t="inlineStr">
        <is>
          <t>indeed</t>
        </is>
      </c>
      <c r="E35" t="inlineStr"/>
      <c r="F35" t="inlineStr"/>
      <c r="G35" t="inlineStr">
        <is>
          <t>Detroit, MI, US</t>
        </is>
      </c>
      <c r="H35" s="2" t="n">
        <v>46051</v>
      </c>
      <c r="I35" t="inlineStr">
        <is>
          <t>As a Senior Software Engineer, you will support and guide the team's consistent delivery of iterative value to your clients. You will mentor your team, helping develop their overall capabilities.
**About the role**
* Develop and test very complex software solutions with minimal direction
* Release and validate software, developing new deployment patterns as necessary
* Lead software support, incident resolution and blameless reviews
* Develop code modules and patterns useful within the team
* Conduct exploratory or experimental work to develop prototypes
* Guide code and design reviews for the team
* Provide software documentation and demonstration for technical and non\-technical audiences
* Mentor team members on any of the above
**About you**
* Experience solving problems by developing software solutions that require innovation
* Expertise with the programming languages, frameworks and platforms used by the team, such as C\#, .NET Core, Python, and AWS
* Experience in database design and SQL
* Working experience on CICD process, App development and RAML
* Experience developing software modules or patterns used within the team
* Experience designing integration tests, leading software releases and providing ongoing support
* Experience helping facilitate and create Agile software development practices and artifacts, such as user stories, backlog refinement and sprint planning
* Experience mentoring and developing others
* Experience providing thought leadership to influence software development practices
* Bachelor’s degree in computer science or a related discipline
* 5 years of experience in a professional software engineering or similar role
* Experience developing for a cloud environment or cloud provider certification
* Experience designing or refining continuous integration and continuous delivery (CI/CD)
* Agile certification
**What you’ll get**
Our team members fuel our strategy, innovation and growth, so we ensure the health and well\-being of not just you, but your family, too! We go above and beyond to give you the support you need on an individual level and offer all sorts of ways to help you live your best life. We are proud to offer eligible team members perks and health benefits that will help you have peace of mind. Simply put: We’ve got your back. Check out our full list of Benefits and Perks.
**About us**
**Rocket Close** is a leading national provider of title insurance, property valuations and settlement services. Here, you’ll be given all the resources and support needed to deliver innovative solutions and in turn, your hard work will be rewarded with a competitive compensation package and an array of other amazing benefits. *Apply today to join a team that offers career growth, amazing benefits and the chance to work with leading industry professionals.*
*This job description is an outline of the primary responsibilities of this position and may be modified at the discretion of the company at any time. Decisions related to employment are not based on race, color, religion, national origin, sex, physical or mental disability, sexual orientation, gender identity or expression, age, military or veteran status or any other characteristic protected by state or federal law. The company provides reasonable accommodations to qualified individuals with disabilities in accordance with applicable state and federal laws. Applicants requiring reasonable accommodations in completing the application and/or participating in the application process should contact a member of the Human Resources team, at* Careers@Rocket.com*.*
*Illinois, Maryland, Minnesota, Massachusetts, Colorado, Cleveland, New York City, New Jersey, Jersey City, California, D.C and Washington Candidates only: the compensation for this position is $107,000\.00\-$241,500\.00\.* *The position may also be eligible for an annual bonus, incentives, and other employment\-related benefits including, but not limited to, medical, dental, and vision benefits, 401K retirement plan, and paid\-time off. More information regarding these benefits and others can be found* here*.*
*The information regarding compensation and other benefits included in this paragraph is the company’s current, good faith estimate at the time of posting. \[Compensation and benefits are subject to modification from time to time as the Company, in its sole and exclusive discretion, deems appropriate.] The Company may determine during its future reviews of the proposed compensation and benefits provided for this position, that the compensation and benefits for such position should be reduced. In no event will the Company reduce the compensation for the position to a level below the applicable jurisdictional minimum wage rate for the position.*
*Los Angeles County and San Francisco Candidates only: qualified applicants with arrest or conviction records will be considered for employment per the Fair Chance Ordinance and the Fair Chance Initiative for Hiring.*</t>
        </is>
      </c>
    </row>
    <row r="36">
      <c r="A36" t="inlineStr">
        <is>
          <t>in-dd8f18586d062ede</t>
        </is>
      </c>
      <c r="B36" t="inlineStr">
        <is>
          <t>Staff Software Engineer, New Verticals</t>
        </is>
      </c>
      <c r="C36" t="inlineStr">
        <is>
          <t>Lime</t>
        </is>
      </c>
      <c r="D36" t="inlineStr">
        <is>
          <t>indeed</t>
        </is>
      </c>
      <c r="E36" t="inlineStr"/>
      <c r="F36" t="inlineStr"/>
      <c r="G36" t="inlineStr">
        <is>
          <t>US</t>
        </is>
      </c>
      <c r="H36" s="2" t="n">
        <v>46051</v>
      </c>
      <c r="I36" t="inlineStr">
        <is>
          <t>Lime is the largest global shared micromobility business, operating in close to 30 countries across five continents. We’re on a mission to build a future where transportation is shared, affordable and carbon\-free. Our electric bikes and scooters have powered more than one billion rides in cities around the world. Named a 2025 Time 100 Most Influential Company, Lime continues to set the pace for shared micromobility globally, spurring a new generation of clean alternatives to car ownership.
Are you an experienced Backend or Web fullstack software engineer who has delighted customers with software at scale? Can you balance shipping what's needed to learn from customers with laying the foundations for growth when we find success?
We have established the New Verticals team to bring our fleet of electric vehicles to more people. We are exploring new solutions and will be learning through iteration with real customers. You'll ship zero\-to\-one products and help shape the future of Lime.
As a Staff Backend Engineer you'll be driving the core commerce operations that power our new experiences. You'll work with another Staff Backend Engineer, mobile engineers, as well as Product Management, Design, and Data representatives to deliver new products and the infrastructure needed to manage them. New Verticals is a peer to teams owning our primary riding product and you'll work with them to ship solutions that lean into Lime's capabilities.
This is a remote position with a requirement for candidates residing in the United States to maintain effective collaboration across teams.
**What You'll Do:**
* Deliver software to enable new customer initiatives and own the balance between time to launch, ability to pivot, and ability to scale. Seek and utilize knowledge of the Lime engineering ecosystem to find the right solution, or design what's needed.
* Learn from our customers by shipping software and understanding the market environment.
* Collaborate with coworkers in Product, Design, Data, and Operations. Ensure solutions interoperate well with Lime's full stack of services. The team’s work will span cloud\-based backend services, web\-based tools, mobile clients, and third\-party applications.
* Mentor individuals at Lime and participate in learning, growth, and improvement activities.
* Participate in the shaping of Lime's Engineering culture.
**About You:**
* 7\+ years of industry professional software development experience, and a track record of building impactful products or systems.
* Team focus: you recognize your team is the source of your success and invest in them. That includes cross\-functional collaborators in Product, Design, Data, and Operations.
* Owner's mindset: you're focused on outcomes and can solve problems to get there.
* Data driven: You instrument your work for decision making, you can reason through data to learn from our customers.
* Excellent communication skills and effective management of competing priorities.
Preferred Experience:
* Experience shipping Ruby on Rails backend and/or React\-based web frontend applications.
* Brings a learning mindset to the use of software development tools including AI.
* You’re enthusiastic about Lime's mission and micromobility; you want to see cities transform to becoming people\-centric and less polluted
**U.S. Based Position \- What We Offer:**
* **Comprehensive Health \&amp; Wellness**: A choice of medical, dental, and vision plans, with Lime covering 100% of the employee\-only premium for many plans. We also provide company\-paid life and disability insurance and company\-funded mental health benefits.
* **Financial \&amp; Retirement Planning**: 401(k) plan with both pre\-tax and Roth options, and access to a Health Savings Account (HSA) with a monthly company contribution.
* **Family \&amp; Fertility Support**: Paid parental leave for birthing and non\-birthing parents, plus fertility and family\-forming benefits.
* **Time Off \&amp; Flexibility**: Flexible vacation policy for exempt employees, paid sick time, and a calendar of paid company holidays.
* **Unique Lime Perks**: Complimentary use of Lime vehicles in participating cities, a monthly phone allowance, dedicated learning and development days, and access to perks including One Medical, Wellhub, and Headspace.
*The salary range listed reflects what Lime reasonably expects to offer for this role, with the final base salary determined by factors such as the candidate’s location and relevant skills and experience. Depending on the position, the total compensation package may also include discretionary annual performance bonus opportunities and equity, subject to applicable plan terms and eligibility requirements.*
Lime considers all qualified applicants for employment, including those with arrest or conviction records, in accordance with the San Francisco Fair Chance Ordinance, the Los Angeles Fair Chance Initiative for Hiring, the Los Angeles County Fair Chance Ordinance, the California Fair Chance Act, and all other applicable federal, state, and local laws.
\#LI\-SE1
\#LI\-Remote
If you want to make an impact, Lime is the place for you. Not sure if you meet all the qualifications? If this role excites you we encourage you to apply. Explore all opportunities on our career page.
Lime is proud to be an Equal Opportunity Employer. We believe different perspectives help us grow and achieve more. That’s why we’re dedicated to building and developing a team that reflects a wider range of backgrounds, abilities, identities, and experiences. If you require a reasonable accommodation during the application or hiring process, please email recruiting\-operations@li.me for assistance.
Compensation Range: $190K \- $261K</t>
        </is>
      </c>
    </row>
    <row r="37">
      <c r="A37" t="inlineStr">
        <is>
          <t>in-e975b497b5d8609c</t>
        </is>
      </c>
      <c r="B37" t="inlineStr">
        <is>
          <t>Principal Software Engineer (US)</t>
        </is>
      </c>
      <c r="C37" t="inlineStr"/>
      <c r="D37" t="inlineStr">
        <is>
          <t>indeed</t>
        </is>
      </c>
      <c r="E37" t="inlineStr"/>
      <c r="F37" t="inlineStr"/>
      <c r="G37" t="inlineStr">
        <is>
          <t>US</t>
        </is>
      </c>
      <c r="H37" s="2" t="n">
        <v>46051</v>
      </c>
      <c r="I37" t="inlineStr">
        <is>
          <t>**The best platforms aren't just built to work today—they're designed to scale gracefully tomorrow.**
-----------------------------------------------------------------------------------------------------
Infrastructure automation is having its moment. Customers are adopting faster, deployments are growing, and the opportunity ahead is massive. But capitalizing on that opportunity requires something many companies struggle with: maintaining software architectural excellence and agility while scaling rapidly. Clean, extensible systems don't happen by accident—they require intentional design, deep technical leadership, and a vision that spans the entire platform.
At OpsMill, we're building the next generation of infrastructure data management with Infrahub, our open\-source platform that helps automation teams unify data and scale automation reliably. We've achieved product\-market fit, and now we're expanding—new products, growing customer deployments, and increasing demand from the market. This is the exciting phase where the right software architectural decisions compound into sustainable competitive advantage.
**Why This Role Exists Now**
----------------------------
Opportunity is knocking, and we need to answer with world\-class engineering. We're building not just one product, but a platform ecosystem—Infrahub, Infrahub Sync, and future innovations that will redefine how automation teams work. We need a technical leader who can architect across this entire platform to ensure systems are extensible and robust, and drive our evolution toward an AI\-first engineering culture. This isn't about fixing problems—it's about ensuring our software architecture keeps pace with our ambition. We need someone who has scaled complex systems before, who thinks in terms of platforms not just products, and who can guide multiple engineering teams toward technical excellence.
If you're energized by building elegant, scalable software architectures and driving transformational change in how teams leverage AI, this is your opportunity.
**What You'll Be Doing**
------------------------
* **Own the technical software architecture across our platform ecosystem**—Infrahub, and future products— to ensure clean, extensible design that scales gracefully with customer growth
* **Lead strategic initiatives hands\-on**, implementing high\-impact architectural improvements to our graph database engine, backend services, and core platform components
* **Drive systematic reduction of technical debt by establishing architectural standards**, identifying areas that will create problems at scale, and guiding the team through thoughtful evolution of the codebase
* **Champion and implement AI\-first engineering practices across the team**—establishing how we leverage AI in day\-to\-day development, ensuring our codebase and platform work seamlessly with AI tooling, and designing product capabilities that make it easier for customers to build AI\-powered automation on Infrahub
* **Provide technical leadership through architecture reviews**, code reviews, RFC/design doc creation, and mentorship— elevating the entire engineering team's capabilities and decision\-making
* **Collaborate with Product, Head of Engineering, and CTO to anticipate scaling challenges before they arrive**, translating business roadmap into technical strategy and ensuring our software architecture enables rather than constrains product innovation
* **Work closely with engineers** through implementation phases, ensuring architectural decisions are properly understood and executed while maintaining high velocity and code quality
**What You Bring**
------------------
* **8\+ years of backend and platform engineering experience**, with a track record of building and scaling complex systems that handle real production load
* Expert\-level Python proficiency and deep understanding of writing performant, maintainable code in large codebases
* **Experience building developer platforms or tools** that other engineers build on top of
* **Proven experience designing and scaling distributed systems,** including API design, data consistency patterns, and architectural trade\-offs at scale
* **Track record of leading significant initiatives** or platform architecture design, with examples of improving system scalability, reliability, or developer velocity
* **Hands\-on software architect mindset**—you're equally comfortable writing code, reviewing designs, and mentoring engineers to elevate the entire team's technical capabilities
* **Strong conviction about AI\-first engineering** and eagerness to drive its adoption across the team, transforming how we build software and enabling our customers to leverage AI effectively
* **Excellent written and verbal communication skills**—you can write clear design docs, present technical strategy to leadership, and collaborate effectively across product, engineering, and customer\-facing teams
* **Self\-directed and effective in remote environments** with at least 4 hours of overlap with CET timezone (Europe, UK, or US East Coast locations work well)
**Nice\-to\-Haves**
-------------------
* Experience with Rust or Go for performance\-critical components
* Hands\-on experience with graph databases (Neo4j or similar)
* Background in infrastructure automation, NetDevOps, or network engineering domains
* Contributions to open\-source projects or technical communities
**Why OpsMill?**
----------------
* **The people:** Work alongside world\-class engineers who've built and scaled automation platforms in production. Daily technical challenges with smart colleagues who push you to grow.
* **The product:** Shape Infrahub based on real customer needs. Your input directly influences features, integrations, and roadmap priorities.
* **The mission:** We're making enterprise\-grade infrastructure automation accessible to any organization. Open\-source at the core, production\-ready out of the box. This is a multi\-year journey, not a quarterly sprint.
* **The impact:** You'll work with teams managing some of the world's most complex infrastructure deployments, solving problems that ripple across entire organizations.
**Our Commitment to Diversity and Inclusion**
---------------------------------------------
OpsMill is committed to building a diverse and inclusive team. We believe different perspectives make us stronger and more innovative. We encourage applications from candidates of all backgrounds and experiences, and we're committed to providing an inclusive environment where everyone can do their best work.</t>
        </is>
      </c>
    </row>
    <row r="38">
      <c r="A38" t="inlineStr">
        <is>
          <t>in-d52c6b3de770f7f6</t>
        </is>
      </c>
      <c r="B38" t="inlineStr">
        <is>
          <t>Senior Software Engineer</t>
        </is>
      </c>
      <c r="C38" t="inlineStr">
        <is>
          <t>Confluent</t>
        </is>
      </c>
      <c r="D38" t="inlineStr">
        <is>
          <t>indeed</t>
        </is>
      </c>
      <c r="E38" t="inlineStr"/>
      <c r="F38" t="inlineStr"/>
      <c r="G38" t="inlineStr">
        <is>
          <t>US</t>
        </is>
      </c>
      <c r="H38" s="2" t="n">
        <v>46051</v>
      </c>
      <c r="I38"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
We are a team of passionate engineers who love solving complex distributed storage systems and infrastructure problems. Through the Tableflow project, we are building the next generation of storage solutions for Kora, transforming it into a true multi\-modal storage engine. Our goal is to enable streaming data to be consumed both as a table and as a stream seamlessly. If you're interested in learning more about the challenges we are tackling, check out our blog post: Tableflow: The Stream/Table, Kafka/Iceberg Duality.
As a Senior Software Engineer on the team, you will focus on advancing key layers of the Tableflow project, including its multi\-tenant, highly available compute infrastructure, and the core components responsible for table materialization and background maintenance. You will tackle challenges such as developing strategies for efficient table materialization and maintenance at massive scale across all of Confluent Cloud, ensuring high availability and scalability for background storage tasks.
**What You Will Do:**
---------------------
* **Storage Engine Development:** Design and implement innovative strategies for table schematization, materialization, and compaction at massive scale.
* **Platform Engineering:** Build and maintain multi\-tenant, highly available infrastructure that powers background computational tasks for Kora’s long\-term storage. Ensure that the platform is optimized for scalability, reliability, and resilience, in alignment with organizational objectives.
* **Cross\-Functional Collaboration:** Collaborate with product management, design, and other engineering teams to ensure seamless integration of storage features and infrastructure with the broader organization.
**What You Will Bring:**
------------------------
* BS, MS, or PhD in computer science or a related field, or equivalent work experience
* Excellent communication and collaboration skills, with the ability to influence and guide stakeholders at all levels.
**What Gives You an Edge:**
---------------------------
* Familiarity with or has experience contributing to the following open\-source technologies: Apache Kafka, Apache Iceberg, Apache Flink
* Experience/knowledge with public clouds (AWS, Azure or GCP)
**Ready to build what's next? Let’s get in motion.**
----------------------------------------------------
**Come As You Are**
===================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$182\.1K \- $245\.8K</t>
        </is>
      </c>
    </row>
    <row r="39">
      <c r="A39" t="inlineStr">
        <is>
          <t>in-fa1b96c50c39c16d</t>
        </is>
      </c>
      <c r="B39" t="inlineStr">
        <is>
          <t>Sr Engineer, Salesforce Software Engineer (2 - 5 years experience)</t>
        </is>
      </c>
      <c r="C39" t="inlineStr">
        <is>
          <t>Nationwide Mutual Insurance Company</t>
        </is>
      </c>
      <c r="D39" t="inlineStr">
        <is>
          <t>indeed</t>
        </is>
      </c>
      <c r="E39" t="inlineStr"/>
      <c r="F39" t="inlineStr"/>
      <c r="G39" t="inlineStr">
        <is>
          <t>Columbus, OH, US</t>
        </is>
      </c>
      <c r="H39" s="2" t="n">
        <v>46051</v>
      </c>
      <c r="I39"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care.**Join Nationwide Technology and help us deliver secure, innovative solutions that make a difference. Our technology team thrives in an agile, collaborative environment where creativity and excellence drive results. If you’re passionate about quality engineering and want to shape the future of testing on the Salesforce platform, we’d love to hear from you!**
**As a Senior Developer for the Salesforce Platform Team, you will:**
* **Demonstrated mastery of Object\-Oriented Programming (OOP) principles across languages such as Java and/or Salesforce Apex.**
* **Experience using GitHub and contributing to CI/CD pipelines (e.g., GitHub Actions, Harness).**
* **Ability to deliver, operate, and support enterprise‑scale software solutions.**
* **Strong problem‑solving, debugging, and collaboration skills.**
**Preferred Skills:**
* **Salesforce platform development and integrations.**
* **Java services development; Spring Boot a plus.**
* **Python experience for automation or integration support.**
* **Experience aligning with DevOps and “build it, run it” delivery models.**
**\#LI\-AZ1**
**This role will be filled in a hybrid capacity, with collaboration taking place in our Columbus, OH office**
**This role does not qualify for employer\-sponsored work authorization. Nationwide does not participate in the Stem OPT Extension program.**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Senior Software Engineer, you will focus primarily on providing high quality, efficient technology solutions to business partners by crafting new software applications or modifying and/or supporting existing packaged or custom\-built applications. In this capacity, you’ll analyze, code, configure, test, debug, document and maintain applications.**Job Description**
**Key Responsibilities:**
* Analyzes, solutions, develops, tests, debugs, documents and deploys software according to standards and best practices.
* Applies secure software and systems engineering practices throughout the delivery lifecycle to ensure our data and technology solutions are protected from threats and vulnerabilities.
* Uses DevSecOps practices, tooling and techniques.
* Drives continuous improvement and learning through ongoing training, practice and innovation.
* Manages project priorities, deadlines and deliverables proactively.
May perform other responsibilities as assigned.
**Reporting Relationships:** Reports to a Technology Manager/Director.
**Typical Skills and Experiences:**
**Education:** Undergraduate studies in computer science, management information systems, or other related degree. Technology experience or non\-traditional technology certificates can be substituted for an undergraduate degree.
**Experience:** Two or more years of analysis and technology experience.
**Knowledge, Abilities and Skills:** Proficiency in one or more programming language such as Java, C\+\+, Python, JavaScript. Knowledge of software development lifecycle. Proven ability to tackle moderately sophisticated business and development problems. Ability to thrive in a team environment. Insurance/financial services industry knowledge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Office environment may vary based on team and/or location.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Sr Engineer, Software Engineer : $76,000\.00\-$143,000\.00
The expected starting salary range for Sr Engineer, Software Engineer : $76,000\.00 \- $115,000\.00</t>
        </is>
      </c>
    </row>
    <row r="40">
      <c r="A40" t="inlineStr">
        <is>
          <t>in-d36dfef9081c543d</t>
        </is>
      </c>
      <c r="B40" t="inlineStr">
        <is>
          <t>Senior Manager, Software Engineering - Core Pricing</t>
        </is>
      </c>
      <c r="C40" t="inlineStr">
        <is>
          <t>Upstart</t>
        </is>
      </c>
      <c r="D40" t="inlineStr">
        <is>
          <t>indeed</t>
        </is>
      </c>
      <c r="E40" t="inlineStr"/>
      <c r="F40" t="inlineStr"/>
      <c r="G40" t="inlineStr">
        <is>
          <t>Remote, US</t>
        </is>
      </c>
      <c r="H40" s="2" t="n">
        <v>46051</v>
      </c>
      <c r="I40"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 **The Team**
The Core Pricing team is at the heart of Upstart’s financial infrastructure. Nearly every borrower experience, product workflow, and partner integration relies on the systems this team builds and maintains. Core Pricing owns critical backend services that price loans across products and partners, integrate with underwriting models and downstream platforms, and operate under strict requirements for latency, correctness, and reliability. These services sit directly on the revenue path and function within a regulated environment, serving both internal and external stakeholders. The team supports a mix of legacy infrastructure and greenfield development as we continue evolving our pricing architecture.
**How You’ll Make an Impact**
	+ Lead, coach, and grow a team of backend engineers and an engineering manager, fostering a culture of accountability and ownership.
	+ Own team execution and delivery across multiple quarters, ensuring Core Pricing systems meet high standards for uptime, accuracy, and responsiveness.
	+ Guide technical strategy across legacy and next\-generation pricing systems, balancing short\-term execution with long\-term architectural goals.
	+ Ensure changes to pricing systems are production\-safe, observable, and rigorously validated, maintaining SLAs and leading incident response when needed.
	+ Collaborate cross\-functionally with Product, Risk, Servicing, Analytics, and external partners to deliver complex, multi\-team initiatives.
	Use key metrics—including reliability, latency, and partner escalations—to align engineering priorities with borrower impact and business objectives.  
	+**Minimum Qualifications**
	+ 10–15 years of software engineering experience, including 4–7 years managing high\-performing engineering teams.
	+ Demonstrated ownership of systems with strict reliability, latency, and **correctness constraints.**
	+ Domain experience in pricing, fintech, lending, payments, marketplaces, or real\-time decisioning systems.
	+ Strong system design and architectural skills, with the ability to dive deep into technical issues as needed.
	+ Deep experience leading backend and distributed systems in production environments.
	+ Proven success leading cross\-functional, multi\-quarter initiatives in complex, fast\-paced environments.
	+ Excellent communication skills and the ability to effectively collaborate with both technical and non\-technical stakeholders.
	+ Strong product intuition and business judgment, with the ability to assess tradeoffs, risk, and long\-term impact.**Preferred Qualifications**
	+ Familiarity with operating in regulated environments and working with external partners.
	+ Experience specifically in fintech or finance, working with pricing, risk, or other Machine Learning adjacent teams where correctness and regulatory compliance is critical.
**Position location** This role is available in the following locations: Remote, USA
**Time zone requirements** The team operates on the East and West coast time zones.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$195,000—$270,000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41">
      <c r="A41" t="inlineStr">
        <is>
          <t>in-35c1a64971c02f42</t>
        </is>
      </c>
      <c r="B41" t="inlineStr">
        <is>
          <t>Lead Software Developer</t>
        </is>
      </c>
      <c r="C41" t="inlineStr">
        <is>
          <t>ImageTrend</t>
        </is>
      </c>
      <c r="D41" t="inlineStr">
        <is>
          <t>indeed</t>
        </is>
      </c>
      <c r="E41" t="inlineStr"/>
      <c r="F41" t="inlineStr"/>
      <c r="G41" t="inlineStr">
        <is>
          <t>Eagan, MN, US</t>
        </is>
      </c>
      <c r="H41" s="2" t="n">
        <v>46051</v>
      </c>
      <c r="I41" t="inlineStr">
        <is>
          <t>**About Us:**
ImageTrend, Inc. is dedicated to connecting life’s most important data in the healthcare and emergency response community. We deliver software solutions, data analytics and services for EMS, hospitals, community paramedicine (CP), critical care, fire, and preparedness to enable fully integrated patient\-centric healthcare and public safety. Our commitment to innovation, its clients, and providing world\-class implementation and support is unsurpassed. Based in Eagan, MN, ImageTrend combines business analysis, creative design and data driven architecture to offer scalable solutions and strategies for today and the future.
Employment at ImageTrend is not just about doing a job; it's about being a part of a community. We are top\-notch talent, passionate about making a difference through the work we do together!
**Description:**
Under the direction of the Software Development Manager, the **Lead Software Developer** is responsible for leading a software development team focused on assigned projects and or products.
This position will mainly support expanding and maintaining an existing web application and data\-processing platform. The web application is built on Java with React and AngularJS on the frontend, and the data processing platform is written in Python. The technology stack includes MariaDB, MongoDB, and Solr. We also support applications running on multiple other technologies, so a willingness to lead, jump in and make a difference where needed is key.
**What You'll Do:**
* Leads agile meetings such as sprint planning and daily scrums
* Organizes team to effectively achieve development timelines, standard metrics, and expectations
* Manages team’s performance by keeping developers focused on the current work queue by removing distractions and roadblocks
* Interviews development candidates and directly assists in the onboarding of new employees
* Maintains awareness of team’s schedules and availability; enforces transparency in schedules
* Serves as a mentor to teammates, conducts one\-on\-ones and participates in the preparation of annual reviews
* Manages performance by tracking planned work, deadlines, and quality
* Works with software development management team to manage and prioritize backlogs and plan development sprints
* Serves as an internal resource to provide subject matter and technical expertise
* Assists in the creation of technical statements of work and release notes
* Packages code releases and maintains code repository
* Triages and delegates development related support issues by managing support queue and making sure clients’ concerns are addressed in a timely manner
* May continue to be involved in development, DevOps, Continuous Integrations, and process improvements
* Travel to orientation, industry or company events, and other onsite meetings as required
* Additional duties as assigned
**Requirements:**
* Degree in a technical area such as Computer Science, Software Engineering or related field, or the equivalent combination of education and relevant experience
* Highly proficient software development experience in JS, and an OO language, preferably Java or Python
* Proven experience leading, coaching, and mentoring junior team members, including remote and offshore teams
* Serves as a functional subject matter expert for their product
* Excellent organizational skills, appreciation of critical timelines and the ability to self\-motivate
* Working knowledge of Azure DevOps a plus
* Familiarity with SQL and relational database concepts.
* Strong analytical and critical\-thinking skills with the ability to evaluate challenges and identify effective solutions
* Established ability to communicate complex concepts in clear, simple, and understandable terms
* Ability to maintain discretion when handling proprietary and confidential information
* Enthusiasm for learning and expanding knowledge or skills
* Strong work ethic, integrity, honesty, collaboration and team orientation
* Ability to travel up to 10% annually
This role can be performed 100% virtually anywhere in the US while following our Remote Work Policy. Deadline to apply is at least 3 days after the posting date listed.
**Position Salary Range:** The annual base salary range for this full\-time role is $85,000\- $130,000 USD \+ bonus \+ benefits \+ perks \+ community gains. Within the range, individual pay is determined by job\-related skills, education or training and other relevant qualifications.
ImageTrend is an equal opportunity employer and is committed to providing a workplace free from harassment and discrimination. We celebrate the unique differences of our employees because that is what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the locations where we operate. Accommodations are available for applicants with disabilities.
If you are unable to submit your application because of incompatible assistive technology or a disability, please contact us at 952\-469\-1589, and ImageTrend will reasonably accommodate qualified individuals with disabilities to the extent required by applicable law.
ImageTrend participates in the Electronic Employment Verification Program (E\-Verify) to validate employee Form I\-9 documentation. Please visit everify.gov to learn more.
This is a remote position.</t>
        </is>
      </c>
    </row>
    <row r="42">
      <c r="A42" t="inlineStr">
        <is>
          <t>in-d3a714f3ecbd814c</t>
        </is>
      </c>
      <c r="B42" t="inlineStr">
        <is>
          <t>Software Developer - Database Engineer</t>
        </is>
      </c>
      <c r="C42" t="inlineStr">
        <is>
          <t>RAMSOFT</t>
        </is>
      </c>
      <c r="D42" t="inlineStr">
        <is>
          <t>indeed</t>
        </is>
      </c>
      <c r="E42" t="inlineStr"/>
      <c r="F42" t="inlineStr"/>
      <c r="G42" t="inlineStr">
        <is>
          <t>CO, US</t>
        </is>
      </c>
      <c r="H42" s="2" t="n">
        <v>46051</v>
      </c>
      <c r="I42" t="inlineStr">
        <is>
          <t>Job Description
 **About Us**
Join RamSoft (www.ramsoft.com), a collaborative and innovative SaaS medical software company that is developing and selling novel cloud and cloud\-native RIS/PACS software platforms for radiologists worldwide. We’re a global business with 200\+ employees located worldwide, and we are growing quickly.
 **Job Summary**
A software engineer in the DICOM medical imaging industry needs to manage and maintain complex systems that handle large volumes of sensitive medical imaging data, ensuring they are efficient, secure, and compliant with healthcare regulations. Their role is integral to providing a solid data infrastructure that supports patient care, diagnostic processes, and clinical workflows.
 **What will you do in RamSoft?**
 **1\. Database Design and Architecture**  
**Schema Design:** Create and optimize database schemas that support the platform’s data requirements and scalability.
**Data Modeling:** Develop data models that align with business requirements and ensure data integrity and consistency.  
**Database Selection:** Choose appropriate database technologies (SQL, NoSQL, NewSQL) based on use cases.
**2\. Software Development**
**Software Design and Development:**  
Extensive experience writing well\-designed software using the .Net programming language
**Unit testing:**  
Write unit tests to ensure code works as expected and teach patterns for unit testing effectively when a database is involved
**Database Refactoring:**  
Able to guide teams in best practices to evolve their persistence layer over time.
 **3\. Performance Tuning and Optimization**
**Query Optimization:** Analyze and optimize database queries to reduce response times and improve overall performance.  
**Indexing Strategies:** Implement and manage indexing strategies to speed up data retrieval processes.
 **4\.Scalability and High Availability**
**Horizontal and Vertical Scaling:** Design databases to scale horizontally (adding more machines) and vertically (upgrading existing hardware).
**Replication and Sharding:** Implement replication for data redundancy and sharding for distributing data across multiple nodes.  
**Failover and Recovery:** Set up failover mechanisms and disaster recovery plans to ensure high availability and minimal downtime.
 **5\.****Security and Compliance**  
**Access Controls:** Implement fine\-grained access control and authentication mechanisms to protect sensitive data.
**Regulatory Compliance**: Ensure the database adheres to data protection regulations such as GDPR, HIPAA, or SOC 2
 **6\. Monitoring and Maintenance**  
**Monitoring Systems:** Set up monitoring tools to track database health, performance metrics, and potential issues.
**Incident Response: Quickly respond to and resolve database\-related incidents to minimize service disruption.**
**What will you bring?**
* Having overall **5\+ years** of experience in Development
* Proficiency in database languages ( e.g. SQL,T/SQL), relational database management systems. ( e.g., MySQL, MS SQL, Postgre SQL)  
NoSQL datastores (e.g., Cosmos DB, Couchbase) and familiarity with analytics datastores (Fabric, Snowflake)
* **Cloud Databases:** Familiarity with cloud database offerings like AWS RDS, Google Cloud SQL, or Azure SQL.
* **Data Analytics and Reporting Tools:** Knowledge of BI tools like Power BI, Tableau, or custom reporting solutions for healthcare analytics
* Should have experience in DB design, management, performance tuning.
* Should have hands on security implementation, query optimization, documentation and monitoring.
* Preferrable from any healthcare domain.
* Should excellent analytical and problem\-solving skills.
 *RamSoft offers a casual work environment, flexible work hours, and a competitive compensation and benefits package. RamSoft Inc. is an equal\-opportunity employer and is committed to fostering an accessible and inclusive environment for employees and customers. If you require any accommodation for the recruitment/interview process (including alternate formats of materials, or accessible meeting rooms, or other accommodations), please let our HR department know and we will work with you to meet your needs.*</t>
        </is>
      </c>
    </row>
    <row r="43">
      <c r="A43" t="inlineStr">
        <is>
          <t>in-886c87fb375b46e4</t>
        </is>
      </c>
      <c r="B43" t="inlineStr">
        <is>
          <t>Software Engineers–Developer (Associate / Experienced)</t>
        </is>
      </c>
      <c r="C43" t="inlineStr">
        <is>
          <t>Boeing</t>
        </is>
      </c>
      <c r="D43" t="inlineStr">
        <is>
          <t>indeed</t>
        </is>
      </c>
      <c r="E43" t="inlineStr"/>
      <c r="F43" t="inlineStr"/>
      <c r="G43" t="inlineStr">
        <is>
          <t>El Segundo, CA, US</t>
        </is>
      </c>
      <c r="H43" s="2" t="n">
        <v>46051</v>
      </c>
      <c r="I43"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looking for **Software Engineers–Developer (Associate / Experienced)** to be part of the Satellite Space Mission Systems team located in **El Segundo.** This position will focus on supporting the Boeing Defense Services (BDS) business organization.
The selected candidate will support the development of mission software written in Java, C\+\+, Python, ReactJS. The candidate will collaborate with cross functional teams and stakeholders to design and implement software solutions, ensure engineering excellence, and achieve program objectives.
**Position Responsibilities:**
* Design, develop, test, and maintain software throughout the end\-to\-end lifecycle that meets industry, customer, safety, and regulation standards
* Develop, maintain, enhance, and optimize software products and functionalities for systems integrations
* Develop, document, and maintain architecture, requirements, algorithms, interfaces and designs for software products
* Participate in the agile software development lifecycle including planning, reviews, and supporting customer meetings
* Debug and resolve issues identified to ensure reliability and efficiency of software products
* Perform software development, participate in code reviews, and adhere to guidance on software standards and design principles.
* Implement current and emerging technologies, tools, frameworks, and changes in regulations relevant to software development
* Develop, establish, monitor, and improve software processes, tools, and key performance metrics that align with organization goals and industry benchmarks
* Execute and document software research and development projects
* Advise on software domains, system\-specific issues, processes and regulations
**Basic Qualifications (Required Skills/ Experience):**
* 1\+ years of experience in software development
* 1\+ years of experience with software integration and end\-to\-end testing methodologies
* 1\+ years of experience with modern programming and scripting languages such as C\+\+, Java, JavaScript, Perl, Python, Visual Basic
* Experience working on a software development project that follows Agile and Scrum methodologies
* Experience collaborating across multi\-discipline engineering team
* Ability to obtain a DoD Secret Clearance (Interim prestart, final post start)
**Preferred Qualifications (Desired Skills/Experience):**
* Level 3: 3 or more years’ related work experience or an equivalent combination of education and experience
* Bachelor of Science degree from an accredited course of study in engineering, engineering technology (includes manufacturing engineering technology), chemistry, physics, mathematics, data science, or computer science
* Experience with full software development lifecycle that includes requirements analysis through formal qualification
* Knowledge of software architecture and design methodologies. Ability to synthesize software architectures and designs that meet requirements, characteristics and constraints
* Knowledge of software development processes in compliance with established internal and industry standards, guidelines, and best practices in the development, testing, and deployment of software
* Knowledge of implementation, validation, and verification processes, practices, and guidelines to ensure software development quality, performance, and safety
**Travel:** less than 10%
**Drug Free Workplace:**  
Boeing is a Drug Free Workplace (DFW)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**Relocation:**
This position offers relocation based on candidate eligibility. Note: Basic relocation will be offered for eligible internal candidates.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 Associate: $106,250 \- $143,750
Summary Pay Range / Experienced: $135,150 \- $182,850
Applications for this position will be accepted until **Feb. 07,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U.S. Secret Clearance Pre\-Start and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44">
      <c r="A44" t="inlineStr">
        <is>
          <t>in-f67fcadb4316529a</t>
        </is>
      </c>
      <c r="B44" t="inlineStr">
        <is>
          <t>Sr Software Engineer</t>
        </is>
      </c>
      <c r="C44" t="inlineStr">
        <is>
          <t>Meijer</t>
        </is>
      </c>
      <c r="D44" t="inlineStr">
        <is>
          <t>indeed</t>
        </is>
      </c>
      <c r="E44" t="inlineStr"/>
      <c r="F44" t="inlineStr"/>
      <c r="G44" t="inlineStr">
        <is>
          <t>Boon, MI, US</t>
        </is>
      </c>
      <c r="H44" s="2" t="n">
        <v>46050</v>
      </c>
      <c r="I44" t="inlineStr">
        <is>
          <t>As a family company, we serve people and communities. When you work at Meijer, you’re provided with career and community opportunities centered around leadership, personal growth and development. Consider joining our family – take care of your career and your community!
 **Meijer Rewards**
* Weekly pay
* Scheduling flexibility
* Paid parental leave
* Paid education assistance
* Team member discount
* Development programs for advancement and career growth
Please review the job profile below and apply today!
This position designs, develops, tests, maintains and enhances business applications as a member of an Agile development team, and works with the entire team to ensure development conforms to acceptance criteria. This position drives engagement with vendors, company customers, IT colleagues and other stakeholders to understand customer requirements and system interfaces, assess available technologies/vendor packages, and present solutions. This position will work with business product owners, developers, and quality analysts to drive value delivery and will participate in all phases of Agile software development.  
This position will allow a flexible remote schedule. Must reside in our six\-state footprint or be willing to relocate within our footprint including MI, IN, IL, OH, KY or WI.**What You'll be Doing:**
* Designs, codes, tests, and implements programs; develops system documentation according to SAFe Agile principles and industry standards.
* Performs unit tests, monitors results, and takes required corrective actions as needed.
* Mentors and coaches other members of the agile team.
* Assists in the deployment of applications.
* Optimizes and enhances applications and interfaces to meet SLA/functional requirements.
* Provides subject matter expertise and technical consultation in new systems development, new package system evaluations and enhancement of existing systems.
* Drives engagement with ITS Security and Infrastructure teams to ensure secure deployment of vendor applications.
* Assists product owners in systems analysis and creation of documentation for all business processes.
* Interfaces with the Product Owner and IT partners to develop acceptance criteria for features and user stories and ensures acceptance criteria are met.
* Works within the SAFe Agile framework.
* Coordinates new product reviews, tests and pilots with other IT members, customers and stakeholders.
* Coordinates feasibility studies/proofs of concept to evaluate solutions.
* Coordinates structured walk throughs, secure coding, and technical reviews ensuring application coding and design follows secure coding and design principles.
* Assists in the production support and maintenance of applications as needed.
* Actively participates in all team Agile ceremonies. This job role may also provide facilitation of activities for Agile teams within Meijer ITS as acting Scrum Master.
* This job profile is not meant to be all inclusive of the responsibilities of this position; may perform other duties as assigned or required.
**What You Bring with You (Qualifications):**
* Bachelor’s or 12 years' experience (or comparable combination of education and related experience).
* Any SAFe certification (SSM, SASM, SA, SPC, SPMPO).
* Prefer experience in systems development and programming.
* Expertise with business systems.
* Experience as a team member on project teams in a cross\-functional environment. Experience on Agile teams is preferred.
* Expertise in design and implementation of IT solutions.
* Functional/Technical Knowledge, Skills and Abilities Required: \- Strong knowledge of development tools, coding languages, SQL and testing.
* Proficient in multiple technologies or systems.
* Strong knowledge and understanding of structured analysis and technical design techniques.
* Strong knowledge of database management and file access methods is desirable.
* Strong analytical and problem\-solving skills.
* Strong team\-oriented interpersonal and communication skills.
* Knowledge of agile practices in a cross\-functional environment preferred.
* Ability to effectively adapt to rapidly changing technology and apply it to business needs.
**Technical Experience on the following are desired.**
* AI Context Engineering
* Payload CMS
* Design Systems
* Typescript, React.JS, React Native, Next.js
* Expertise in Web and Mobile applications using the technology mentioned.
We are committed to offering competitive pay that reflects market standards and ensures consistency within our organization.
The pay range for this position is listed below.
$100,000\.00 \- $156,000\.00
This pay range represents the minimum and maximum base pay for the position, which is determined by factors such as market data, the qualifications required, the level of responsibilities associated with the role and other roles at this same level. Your specific pay rate within this range will be based on your experience, qualifications, and skills compared to the internal team you’ll be joining.
We offer a comprehensive benefits package that includes medical, dental, vision, life insurance, a 401(k) plan with employer match, disability leave, and paid time off (PTO). In addition to these core benefits, we are committed to supporting your overall well\-being and career growth. Our offerings include a variety of programs designed to support your personal and professional development, such as paid parental leave, paid education assistance (including free education), a childcare subsidy and more. We are dedicated to creating a work environment that promotes work\-life balance, long\-term health and financial security, and continuous professional development</t>
        </is>
      </c>
    </row>
    <row r="45">
      <c r="A45" t="inlineStr">
        <is>
          <t>in-6fcb1c499749ba1d</t>
        </is>
      </c>
      <c r="B45" t="inlineStr">
        <is>
          <t>Principal Software Engineer - Calibre PERC</t>
        </is>
      </c>
      <c r="C45" t="inlineStr">
        <is>
          <t>Siemens</t>
        </is>
      </c>
      <c r="D45" t="inlineStr">
        <is>
          <t>indeed</t>
        </is>
      </c>
      <c r="E45" t="inlineStr"/>
      <c r="F45" t="inlineStr"/>
      <c r="G45" t="inlineStr">
        <is>
          <t>Santa Clara, CA, US</t>
        </is>
      </c>
      <c r="H45" s="2" t="n">
        <v>46050</v>
      </c>
      <c r="I45" t="inlineStr">
        <is>
          <t>We are looking for a highly motivated Principal Engineer to work as part of Calibre R\&amp;D team that develops high performance circuit reliability verification solutions. We want an expert who pays good attention to detail, is logical and has an analytical mind\-set, with strong problem\-solving skills. The successful candidate will possess the combination of education and experience listed below.
**Responsibilities:**
---------------------
You will be part of a Calibre PERC team that is the industry leader. The individual will closely with our field team and key customers to design and implement new features, debug issues, and maintain the software. The individual will also be entrusted to provide technical guidance and mentorship to junior team members.
**Required Knowledge/Skills, Education and Experience:**
--------------------------------------------------------
* Bachelor’s degree in computer science, Electrical Engineering, or a related field. Master's or Ph.D. is helpful.
* Proven experience of around 10 years in software development, with a strong C\+\+ programming background.
* Knowledge and experience of graph algorithms.
* Proficiency in Unix/Linux operating system environments.
Self\-motivated, trustworthy, and able to work independently.  
* 
**Preferred Knowledge/Skills:**
-------------------------------
* Experience in simulation and circuit analysis is a plus.
* Knowledge of shell scripting and interpreted software languages (Tcl, or Python, etc.).
* Alignment to tenets of quality software development and craftsmanship.
* Proven attention to detail, the ability to accurately estimate and deliver software on schedule.
* Excellent verbal, written, and interpersonal communication skills.
This position will be subject to U.S. export control requirements under the International Traffic in Arms Regulations (ITAR) and/or Export Administration Regulations (EAR). Employment is contingent on either verifying the U.S. Person status or obtaining any necessary export license.
**Why us?**
Working at Siemens Software means flexibility \- Choosing between working at home and the office at other times is the norm here. We offer great benefits and rewards, as you'd expect from a world leader in industrial software.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Software.** ***Transform the Everyday with Us***
\#LI\-EDA
\#LI\-HYBRID
154,200 277,600 10\-15</t>
        </is>
      </c>
    </row>
    <row r="46">
      <c r="A46" t="inlineStr">
        <is>
          <t>in-09fb6f304b1de905</t>
        </is>
      </c>
      <c r="B46" t="inlineStr">
        <is>
          <t>Member of Technical Staff - Backend Engineer, Copilot Memory and Personalization</t>
        </is>
      </c>
      <c r="C46" t="inlineStr">
        <is>
          <t>Microsoft</t>
        </is>
      </c>
      <c r="D46" t="inlineStr">
        <is>
          <t>indeed</t>
        </is>
      </c>
      <c r="E46" t="inlineStr"/>
      <c r="F46" t="inlineStr"/>
      <c r="G46" t="inlineStr">
        <is>
          <t>CA, US</t>
        </is>
      </c>
      <c r="H46" s="2" t="n">
        <v>46049</v>
      </c>
      <c r="I46" t="inlineStr">
        <is>
          <t>**Overview**  
As Microsoft continues to push the boundaries of AI, we are on the lookout for passionate individuals to work with us on the most interesting and challenging AI questions of our time. Our vision is bold and broad — to build systems that have true artificial intelligence across agents, applications, services, and infrastructure. It’s also inclusive: we aim to make AI accessible to all — consumers, businesses, developers — so that everyone can realize its benefits.
Microsoft AI (MAI) is seeking an experienced Backend Engineer to help build Copilot memory and personalization — AI that remembers, evolves, and grows with each user. You’ll work in a highly collaborative, fast\-paced environment to develop systems that deepen memory with every interaction, personalize experiences to reflect each user’s unique style and goals, and make interactions feel more like working with a trusted partner than using a tool.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MAI employees are expected to work from a designated Microsoft office at least four days a week if they live within 50 miles (U.S.) or 25 miles (non\-U.S., country\-specific) of that location. This expectation is subject to local law and may vary by jurisdiction.  
**Responsibilities**  
* Design and build large\-scale Copilot memory and personalization systems leveraging search, embeddings, retrieval, ranking, and Retrieval\-Augmented Generation (RAG).
* Apply subject\-matter expertise in cross\-product features, collaborating with appropriate stakeholders to drive project plans, release plans, and deliverables across multiple groups.
* Hold accountability as a Designated Responsible Individual (DRI), mentoring engineers across products/solutions, working on\-call to monitor system/product/service for degradation, downtime, or interruptions.
* Proactively seek out new knowledge and adapt to new trends, technical solutions, and patterns that improve the availability, reliability, efficiency, observability, and performance of products while also driving consistency in monitoring and operations at scale and share knowledge with other engineers.
* Enjoy working in a fast\-paced, design\-driven, product development cycle.
* Navigate ambiguity and clear roadblocks to deliver solutions quickly and iteratively, ensuring they reach users effectively.
* Embody our culture and values
**Qualifications**  
Required Qualification* Bachelor's Degree in Computer Science or related technical field AND 6\+ years technical engineering experience with coding in languages including, but not limited to, C, C\+\+, C\#, Java, JavaScript, or Python OR equivalent experience.
Preferred Qualifications* Bachelor's Degree in Computer Science OR related technical field AND 12\+ years technical engineering experience with coding in languages including, but not limited to, C, C\+\+, C\#, Java, JavaScript, OR Python OR Master's Degree in Computer Science or related technical field AND 15\+ years technical engineering experience with coding in languages including, but not limited to, C, C\+\+, C\#, Java, JavaScript, or Python OR equivalent experience.
* Thrive in a fast\-paced, collaborative environment and are comfortable making progress in ambiguity.
* Experience building and deploying machine learning or large language model (LLM) applications at scale.
* Experience designing and implementing large\-scale embedding, retrieval, and ranking systems.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7">
      <c r="A47" t="inlineStr">
        <is>
          <t>in-80eb5e5dd37ead54</t>
        </is>
      </c>
      <c r="B47" t="inlineStr">
        <is>
          <t>Senior Software Engineer</t>
        </is>
      </c>
      <c r="C47" t="inlineStr">
        <is>
          <t>Microsoft</t>
        </is>
      </c>
      <c r="D47" t="inlineStr">
        <is>
          <t>indeed</t>
        </is>
      </c>
      <c r="E47" t="inlineStr"/>
      <c r="F47" t="inlineStr"/>
      <c r="G47" t="inlineStr">
        <is>
          <t>Redmond, WA, US</t>
        </is>
      </c>
      <c r="H47" s="2" t="n">
        <v>46048</v>
      </c>
      <c r="I47"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The Security and Compliance team within Azure Databases is on a mission to offer the most secure database services on the planet – from on\-premises data centers to the cloud. Security, compliance, and data privacy are top concerns for our customers and the Security \&amp; Compliance team plays a pivotal role in drawing new businesses to our platform by being “built on trust”.  
We are hiring a Senior Software Engineer who is proficient in all layers of the technology stack (from infrastructure to front\-end) to help drive security and compliance improvements across our fleet of products. As a Senior Software Engineer on the Azure Databases Infrastructure Security Team, you will work at the intersection between engineering and security to identify and apply shift\-left mitigations to improve our infrastructure and application security posture. In this role, you will help to improve security outcomes through coding, architectural changes, and evangelization of security best practices.
We do not just value differences or different perspectives. We seek them out and invite them in so we can tap into the collective power of everyone in the company. As a result, our customers are better served.
 **Responsibilities**  
* Software engineering for scale – The Azure Databases Infrastructure Security Team is an engineering team and will be building at\-scale solutions for Azure Databases. Engineers need a deep understanding of the broader system to provide solutions that improve the security posture in a standardized way. This involves creating libraries for standardized security functions, proof\-of\-concept code, and foundational changes to enable the Azure Database platform to operate securely.
* Cross\-organization collaboration – The Azure Databases Infrastructure Security Team is a partner team to other Microsoft/Azure security teams that are tasked with other aspects of security like compliance, network monitoring, SDL, and Azure’s own internal red\-teams. Understanding what these teams are doing, the problems they face, and working on complementary efforts is key.
* Security Design and Architecture \- The Azure Databases Infrastructure Security Team is a security team. It operates on the forefront of emerging threats which affect cloud services and infrastructure. This includes understanding the attack vectors, behaviors, and tools that are being used in the wild as well as the most modern defenses. Using this knowledge, we provide durable solutions which help all teams in Azure Databases to provide secure and trusted platforms.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Prior experience building services which run on Microsoft Azure, Amazon Web Services, Google Cloud or Oracle Cloud Infrastructure.
* Experience with containerization/microservice technologies (Service Fabric, Kubernetes)
* Familiarity with cloud infrastructure and authentication/authorization protocols.
* Proficiency in scripting and analysis tools (e.g., Kusto, Splunk, Python, PowerShell).
* Demonstrated site reliability engineering experience.
* Experience with Continuous Integration and Continuous Deployment system paradigms.
* Previous experience in identity or security domain areas.
\#azdat \#azuredata \#security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8">
      <c r="A48" t="inlineStr">
        <is>
          <t>in-77047d53b18d191c</t>
        </is>
      </c>
      <c r="B48" t="inlineStr">
        <is>
          <t>Software Engineer II- Front-End / Full-Stack</t>
        </is>
      </c>
      <c r="C48" t="inlineStr">
        <is>
          <t>Microsoft</t>
        </is>
      </c>
      <c r="D48" t="inlineStr">
        <is>
          <t>indeed</t>
        </is>
      </c>
      <c r="E48" t="inlineStr"/>
      <c r="F48" t="inlineStr"/>
      <c r="G48" t="inlineStr">
        <is>
          <t>Redmond, WA, US</t>
        </is>
      </c>
      <c r="H48" s="2" t="n">
        <v>46048</v>
      </c>
      <c r="I48" t="inlineStr">
        <is>
          <t>**Overview**  
Are you a front\-end engineer eager to shape the future of web applications? Join us at Microsoft Teams—our flagship product driving intelligent communications through chats, meetings, documents, Office apps, and third\-party services.
As part of the Framework group, you'll build universal software components and establish common development and design practices that power the Teams environment. We value engineers who craft responsive UIs and robust frameworks with performance and reliability in mind. Our inclusive, casual, high\-energy culture is rooted in customer needs and embraces innovation, including AI\-powered development.
 **Responsibilities** **Responsibilities**
As a member of the team, your responsibilities will include:
* Develop and maintain front\-end web framework features using JavaScript/TypeScript.
* Contribute to UX performance and front\-end maintainability improvements by profiling, debugging, and implementing scoped fixes in collaboration with partners across engineering, design, and product.
* Approach problems with an AI\-first (agent/skills\-first) development mindset using tools such as Claude Code and GitHub Copilot to accelerate investigation, implementation planning, and iteration toward clean, reviewable pull requests, while maintaining engineering rigor through testing, telemetry/monitoring, and code review.
* Invest in the growth of an inclusive and capable environment by collaborating respectfully and constructively with teammates.
**Qualifications** **Successful candidates should have:**
* Strong proficiency in JavaScript and/or TypeScript, with experience in front\-end development and testing using frameworks like React, GraphQL, and FluentUI.
* Familiarity with accessibility\-focused software development patterns and a commitment to inclusive design using web technologies.
* Experience leveraging AI tools such as Claude Code and GitHub Copilot for coding, code review, automated testing, and continuous integration.
* Ability to quickly ramp up on new technologies and adopt solutions from Microsoft or the open\-source community.
* Exceptional problem\-solving, debugging, communication, continuous learning, and critical thinking skills, with a strong sense of customer empathy.
* Experience with agile project management methodologies and a passion for using AI to improve team collaboration, code reliability, and customer outcomes.
 **Qualifications**
3\+ years of software development experience.
BS Degree in CS, related engineering field, or equivalent experience.
2\+ years of experience on front\-end development will be a bonus.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9">
      <c r="A49" t="inlineStr">
        <is>
          <t>in-173235579cc687f5</t>
        </is>
      </c>
      <c r="B49" t="inlineStr">
        <is>
          <t>Principal Security Software Engineer</t>
        </is>
      </c>
      <c r="C49" t="inlineStr">
        <is>
          <t>HP</t>
        </is>
      </c>
      <c r="D49" t="inlineStr">
        <is>
          <t>indeed</t>
        </is>
      </c>
      <c r="E49" t="inlineStr"/>
      <c r="F49" t="inlineStr"/>
      <c r="G49" t="inlineStr">
        <is>
          <t>Spring, TX, US</t>
        </is>
      </c>
      <c r="H49" s="2" t="n">
        <v>46048</v>
      </c>
      <c r="I49" t="inlineStr">
        <is>
          <t>**Description \-**
This role is responsible for leading the effort to ensure the security of software products by designing and implementing comprehensive security strategies, guidelines, and practices. The role is at the forefront of ensuring the security of software products. The role collaborates with development teams to implement security measures, conduct assessments, and design safeguards that protect applications from potential threats and vulnerabilities. The role showcases expertise and contributes to the creation of secure software solutions that instill confidence in users and stakeholders.
**Responsibilities**  
* Oversees the organization of on\-going security testing and code review to improve software security; updates security testing plans to ensure known vulnerabilities will not resurface.
* Uses a vast understanding of product security principles to design complex, new software solutions to help mitigate security vulnerabilities.
* Reviews and evaluates designs and project activities for compliance with security standards and guidelines; provides tangible feedback to improve product quality and mitigate risk.
* Leads internal teams in the adoption of SDL, specifically source code analysis, threat modeling, risk analysis, and writing product security requirements.
* Anticipates bottlenecks, provides escalation management, makes tradeoffs, and balances the business needs versus technical constraints.
* Defines and enforces security requirements and guidelines throughout the software development lifecycle to ensure that security is integrated from the beginning.
* Ensures software products adhere to relevant security regulations, industry standards, and compliance requirements.
* Utilizes a master level understanding of product security best practices to inform and drive secure coding practices across the organization.
* Communicates and coordinates with multiple teams on security and operational incidents.
* Serves as an expert level resource with regard to secure coding practices.
**Education \&amp; Experience** Recommended
* Four\-year or Graduate Degree in Computer Science, Software Engineering, or any other related discipline or commensurate work experience or demonstrated competence.
* Typically has 10\+ years of work experience, preferably in software security and automation, or a related field.
**Preferred Certifications**  
* Certified Information Systems Security Professional
* Systems Security Certified Practitioner
**Knowledge \&amp; Skills**  
* Agile Methodology
* Automation
* CI/CD
* Code Review
* Computer Science
* Continuous Integration
* Cyber Security
* DevOps
* Github
* Java (Programming Language)
* Object\-Oriented Programming (OOP)
* Product Design
* Python (Programming Language)
* Secure Coding
* Security Software
* Software Development
* Software Engineering
* Systems Development Life Cycle
* Threat Modeling
* Vulnerability
**Cross\-Org Skills**  
* Effective Communication
* Results Orientation
* Learning Agility
* Digital Fluency
* Customer Centricity
**Impact \&amp; Scope**  
* Impacts large functions and leads large, cross\-division functional teams or projects.
**Complexity**  
* Provides highly innovative solutions to complex problems within established policy.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 US benefits overview )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50">
      <c r="A50" t="inlineStr">
        <is>
          <t>in-2b3cdf7098314eab</t>
        </is>
      </c>
      <c r="B50" t="inlineStr">
        <is>
          <t>Principal Security Software Engineer</t>
        </is>
      </c>
      <c r="C50" t="inlineStr">
        <is>
          <t>HP</t>
        </is>
      </c>
      <c r="D50" t="inlineStr">
        <is>
          <t>indeed</t>
        </is>
      </c>
      <c r="E50" t="inlineStr"/>
      <c r="F50" t="inlineStr"/>
      <c r="G50" t="inlineStr">
        <is>
          <t>Spring, TX, US</t>
        </is>
      </c>
      <c r="H50" s="2" t="n">
        <v>46048</v>
      </c>
      <c r="I50" t="inlineStr">
        <is>
          <t>**Description \-**
We are looking for a Principal Security Software Engineer that a 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junior level employees.
***Responsibilities:***
* Architects and leads project(s) team(s) of other software systems engineers and internal and/or outsourced development partners responsible for all stages of design and development for complex products and platforms, including solution design, analysis, coding, testing, and integration.
* Manages and expands relationships with internal and/or outsourced development partners on software systems design and development.
* Reviews and evaluates designs and project activities for compliance with systems design and development guidelines and standards; provides tangible feedback to improve product quality and mitigate failure risk.
* Provides domain\-specific expertise and overall software systems leadership and perspective to cross\-organization projects, programs, and activities.
* Drives innovation and integration of new technologies into projects and activities in the software systems design organization.
* Provides guidance and mentoring to less\- experienced staff members.
***Education and Experience Required:***
* Bachelor's or master's degree in computer science, Information Systems, or equivalent.
* 10\-15 years of experience.
***Knowledge and Skills:***
* Extensive experience with multiple software systems design tools and languages in the area of Cloud.
* Extensive experience in System design, scalability, reliability, performance and software products / solutions development
* Hands\-on cloud development experience
* Understands the Security landscape and big picture
* Excellent analytical and problem solving skills.
* Experience in overall architecture of software systems for products and solutions.
* Designing and integrating software systems running on multiple platform types into overall architecture.
* Evaluating forms and processes for software systems testing and methodology, including writing and execution of test plans, debugging, and testing scripts and tools.
* Excellent written and verbal communication skills; mastery in English and local language. Ability to effectively communicate product architectures, design proposals and negotiate options at senior management levels.
**Required Skills**
* Expert level experience in AWS Cloud, Kubernetes (EKS / AKS), Docker / Containers, API design \&amp; implementation
* Must have proficiency in Python, Django , C\#, design patterns, .Net technologies, Java, Javascript, UI technologies
* Experience in developing solution Cloud and/or server applications technologies
* Prior experience in successful delivery of multiple products to the market
* Ability to build software solutions from ground up
* Good knowledge of the Certificates, Security, AWS services, local/domain user security and general operating system
* Hands on knowledge on programming (multi\-threading, sockets, etc.), and application development
* Skilled in Troubleshooting and resolving complex Application issues
* Self\-starter with desire to work across a variety of requirements
* Ability to execute the plan in timely manner and with good quality is highly preferred.
* Comfortable with DBA Knowledge with MS Sql Server and other relational databases.
* Knowledge and experience in Infrastructure as Code (IaC) will be preferred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 US benefits overview )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51">
      <c r="A51" t="inlineStr">
        <is>
          <t>in-a3afed32b6a2d9ab</t>
        </is>
      </c>
      <c r="B51" t="inlineStr">
        <is>
          <t>Principal Software Engineer</t>
        </is>
      </c>
      <c r="C51" t="inlineStr">
        <is>
          <t>Liberty Mutual Insurance</t>
        </is>
      </c>
      <c r="D51" t="inlineStr">
        <is>
          <t>indeed</t>
        </is>
      </c>
      <c r="E51" t="inlineStr"/>
      <c r="F51" t="inlineStr"/>
      <c r="G51" t="inlineStr">
        <is>
          <t>Portsmouth, NH, US</t>
        </is>
      </c>
      <c r="H51" s="2" t="n">
        <v>46048</v>
      </c>
      <c r="I51" t="inlineStr">
        <is>
          <t>**Description**Do you have the skills—and drive—to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principal software engineer at Liberty Mutual, you’ll consult on highly complex projects and solve technical problems, while working in an agile environment that has the creative energy of a start\-up—and the full backing and comprehensive benefits of a Fortune 100 company.
This role is hybrid requiring 2 days in the office a week in one of our tech hubs: Plano, TX, Boston, MA, Portsmouth, NH, Indianapolis, IN, and Columbus, OH
We encourage you to apply and bring your expertise if you’re a:
* Technical problem solver: Going far beyond simply developing error\-free source code, test scripts, components and system architectures, you’ll document and build deployment guides aimed at maintaining robust, relevant software
* Customer\-centric engineer: Putting clients’ needs first, you’ll translate customer requirements into technical applications and support the implementation of new software
* Motivated mentor: Exercise your technical chops while coaching and collaborating with junior software engineers.
* Forward thinker: Merely fixing a problem isn’t enough – using your proactive mindset and initiative, you’ll also identify opportunities to enhance performance, quality and efficiency
**Job Introduction:**
* We are looking for a Principal software engineer to join our Small Commercial Service team in Service Experience portfolio within USRM Technology organization. If selected, you will have the opportunity to leverage your skills to build tools and solutions used to enable Customer and Agent Service Support for our Small Commercial business USRM. The Small Commercial Digitization activity is growing rapidly, and this role offers an exciting opportunity to help shape that journey.
**Qualifications*** Strong foundation in data structures, algorithms, and software engineering principles, with proficiency in languages like Python or Java.
* Proficiency in software engineering languages and tools, including Java, React, Node.js, Spring Boot, AWS and RESTful services, RDS.
* A self\-starter mindset with strong self\-learning capabilities and the ability to move fast and adapt in an ever\-evolving AI environment.
* Highly independent and proactive, with a strong ability to learn, execute, manage priorities and create initiatives.
* Creativity and initiative able to pitch and prototype ideas with minimal oversight.
**Experience**
* Eight or more years of software engineering experience
* Strong background in business operations and strategies, including global technology and financial services trends
* Hands\-on involvement with layered systems architectures, designs and shared software concepts
* Familiarity with functional and system integration testing
* Experience working in an agile environment
**Skills**
* Excellent negotiation, facilitation and consensus\-building capabilities
* Openness and adaptability to respond to fast\-moving circumstances
* Proficiency in multiple object\-oriented programming languages and tools
* Excellent oral and written communication skills
* Aptitude for working in teams
**Knowledge**
* In\-depth knowledge of diverse and emerging technologies, architectural concepts and principles
* A deep understanding of layered solutions and designs
* Awareness of policies regarding security and privacy
* Understanding of backlog tracking, burndown metrics and incremental delivery
**Education**
* A bachelor’s or master’s degree in a technical or business discipline, or equivalent experience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52">
      <c r="A52" t="inlineStr">
        <is>
          <t>in-368b0caddd7b95c0</t>
        </is>
      </c>
      <c r="B52" t="inlineStr">
        <is>
          <t>Principal Software Engineer</t>
        </is>
      </c>
      <c r="C52" t="inlineStr">
        <is>
          <t>Liberty Mutual Insurance</t>
        </is>
      </c>
      <c r="D52" t="inlineStr">
        <is>
          <t>indeed</t>
        </is>
      </c>
      <c r="E52" t="inlineStr"/>
      <c r="F52" t="inlineStr"/>
      <c r="G52" t="inlineStr">
        <is>
          <t>Indianapolis, IN, US</t>
        </is>
      </c>
      <c r="H52" s="2" t="n">
        <v>46048</v>
      </c>
      <c r="I52" t="inlineStr">
        <is>
          <t>**Description**Do you have the skills—and drive—to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principal software engineer at Liberty Mutual, you’ll consult on highly complex projects and solve technical problems, while working in an agile environment that has the creative energy of a start\-up—and the full backing and comprehensive benefits of a Fortune 100 company.
This role is hybrid requiring 2 days in the office a week in one of our tech hubs: Plano, TX, Boston, MA, Portsmouth, NH, Indianapolis, IN, and Columbus, OH
We encourage you to apply and bring your expertise if you’re a:
* Technical problem solver: Going far beyond simply developing error\-free source code, test scripts, components and system architectures, you’ll document and build deployment guides aimed at maintaining robust, relevant software
* Customer\-centric engineer: Putting clients’ needs first, you’ll translate customer requirements into technical applications and support the implementation of new software
* Motivated mentor: Exercise your technical chops while coaching and collaborating with junior software engineers.
* Forward thinker: Merely fixing a problem isn’t enough – using your proactive mindset and initiative, you’ll also identify opportunities to enhance performance, quality and efficiency
**Job Introduction:**
* We are looking for a Principal software engineer to join our Small Commercial Service team in Service Experience portfolio within USRM Technology organization. If selected, you will have the opportunity to leverage your skills to build tools and solutions used to enable Customer and Agent Service Support for our Small Commercial business USRM. The Small Commercial Digitization activity is growing rapidly, and this role offers an exciting opportunity to help shape that journey.
**Qualifications*** Strong foundation in data structures, algorithms, and software engineering principles, with proficiency in languages like Python or Java.
* Proficiency in software engineering languages and tools, including Java, React, Node.js, Spring Boot, AWS and RESTful services, RDS.
* A self\-starter mindset with strong self\-learning capabilities and the ability to move fast and adapt in an ever\-evolving AI environment.
* Highly independent and proactive, with a strong ability to learn, execute, manage priorities and create initiatives.
* Creativity and initiative able to pitch and prototype ideas with minimal oversight.
**Experience**
* Eight or more years of software engineering experience
* Strong background in business operations and strategies, including global technology and financial services trends
* Hands\-on involvement with layered systems architectures, designs and shared software concepts
* Familiarity with functional and system integration testing
* Experience working in an agile environment
**Skills**
* Excellent negotiation, facilitation and consensus\-building capabilities
* Openness and adaptability to respond to fast\-moving circumstances
* Proficiency in multiple object\-oriented programming languages and tools
* Excellent oral and written communication skills
* Aptitude for working in teams
**Knowledge**
* In\-depth knowledge of diverse and emerging technologies, architectural concepts and principles
* A deep understanding of layered solutions and designs
* Awareness of policies regarding security and privacy
* Understanding of backlog tracking, burndown metrics and incremental delivery
**Education**
* A bachelor’s or master’s degree in a technical or business discipline, or equivalent experience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53">
      <c r="A53" t="inlineStr">
        <is>
          <t>in-3bc70bb7acd18a1e</t>
        </is>
      </c>
      <c r="B53" t="inlineStr">
        <is>
          <t>Principal Software Engineer</t>
        </is>
      </c>
      <c r="C53" t="inlineStr">
        <is>
          <t>Liberty Mutual Insurance</t>
        </is>
      </c>
      <c r="D53" t="inlineStr">
        <is>
          <t>indeed</t>
        </is>
      </c>
      <c r="E53" t="inlineStr"/>
      <c r="F53" t="inlineStr"/>
      <c r="G53" t="inlineStr">
        <is>
          <t>Columbus, OH, US</t>
        </is>
      </c>
      <c r="H53" s="2" t="n">
        <v>46048</v>
      </c>
      <c r="I53" t="inlineStr">
        <is>
          <t>**Description**Do you have the skills—and drive—to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principal software engineer at Liberty Mutual, you’ll consult on highly complex projects and solve technical problems, while working in an agile environment that has the creative energy of a start\-up—and the full backing and comprehensive benefits of a Fortune 100 company.
This role is hybrid requiring 2 days in the office a week in one of our tech hubs: Plano, TX, Boston, MA, Portsmouth, NH, Indianapolis, IN, and Columbus, OH
We encourage you to apply and bring your expertise if you’re a:
* Technical problem solver: Going far beyond simply developing error\-free source code, test scripts, components and system architectures, you’ll document and build deployment guides aimed at maintaining robust, relevant software
* Customer\-centric engineer: Putting clients’ needs first, you’ll translate customer requirements into technical applications and support the implementation of new software
* Motivated mentor: Exercise your technical chops while coaching and collaborating with junior software engineers.
* Forward thinker: Merely fixing a problem isn’t enough – using your proactive mindset and initiative, you’ll also identify opportunities to enhance performance, quality and efficiency
**Job Introduction:**
* We are looking for a Principal software engineer to join our Small Commercial Service team in Service Experience portfolio within USRM Technology organization. If selected, you will have the opportunity to leverage your skills to build tools and solutions used to enable Customer and Agent Service Support for our Small Commercial business USRM. The Small Commercial Digitization activity is growing rapidly, and this role offers an exciting opportunity to help shape that journey.
**Qualifications*** Strong foundation in data structures, algorithms, and software engineering principles, with proficiency in languages like Python or Java.
* Proficiency in software engineering languages and tools, including Java, React, Node.js, Spring Boot, AWS and RESTful services, RDS.
* A self\-starter mindset with strong self\-learning capabilities and the ability to move fast and adapt in an ever\-evolving AI environment.
* Highly independent and proactive, with a strong ability to learn, execute, manage priorities and create initiatives.
* Creativity and initiative able to pitch and prototype ideas with minimal oversight.
**Experience**
* Eight or more years of software engineering experience
* Strong background in business operations and strategies, including global technology and financial services trends
* Hands\-on involvement with layered systems architectures, designs and shared software concepts
* Familiarity with functional and system integration testing
* Experience working in an agile environment
**Skills**
* Excellent negotiation, facilitation and consensus\-building capabilities
* Openness and adaptability to respond to fast\-moving circumstances
* Proficiency in multiple object\-oriented programming languages and tools
* Excellent oral and written communication skills
* Aptitude for working in teams
**Knowledge**
* In\-depth knowledge of diverse and emerging technologies, architectural concepts and principles
* A deep understanding of layered solutions and designs
* Awareness of policies regarding security and privacy
* Understanding of backlog tracking, burndown metrics and incremental delivery
**Education**
* A bachelor’s or master’s degree in a technical or business discipline, or equivalent experience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54">
      <c r="A54" t="inlineStr">
        <is>
          <t>in-bcbb9fa22daba97b</t>
        </is>
      </c>
      <c r="B54" t="inlineStr">
        <is>
          <t>Principal Software Engineer</t>
        </is>
      </c>
      <c r="C54" t="inlineStr">
        <is>
          <t>Liberty Mutual Insurance</t>
        </is>
      </c>
      <c r="D54" t="inlineStr">
        <is>
          <t>indeed</t>
        </is>
      </c>
      <c r="E54" t="inlineStr"/>
      <c r="F54" t="inlineStr"/>
      <c r="G54" t="inlineStr">
        <is>
          <t>Plano, TX, US</t>
        </is>
      </c>
      <c r="H54" s="2" t="n">
        <v>46048</v>
      </c>
      <c r="I54" t="inlineStr">
        <is>
          <t>**Description**Do you have the skills—and drive—to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principal software engineer at Liberty Mutual, you’ll consult on highly complex projects and solve technical problems, while working in an agile environment that has the creative energy of a start\-up—and the full backing and comprehensive benefits of a Fortune 100 company.
This role is hybrid requiring 2 days in the office a week in one of our tech hubs: Plano, TX, Boston, MA, Portsmouth, NH, Indianapolis, IN, and Columbus, OH
We encourage you to apply and bring your expertise if you’re a:
* Technical problem solver: Going far beyond simply developing error\-free source code, test scripts, components and system architectures, you’ll document and build deployment guides aimed at maintaining robust, relevant software
* Customer\-centric engineer: Putting clients’ needs first, you’ll translate customer requirements into technical applications and support the implementation of new software
* Motivated mentor: Exercise your technical chops while coaching and collaborating with junior software engineers.
* Forward thinker: Merely fixing a problem isn’t enough – using your proactive mindset and initiative, you’ll also identify opportunities to enhance performance, quality and efficiency
**Job Introduction:**
* We are looking for a Principal software engineer to join our Small Commercial Service team in Service Experience portfolio within USRM Technology organization. If selected, you will have the opportunity to leverage your skills to build tools and solutions used to enable Customer and Agent Service Support for our Small Commercial business USRM. The Small Commercial Digitization activity is growing rapidly, and this role offers an exciting opportunity to help shape that journey.
**Qualifications*** Strong foundation in data structures, algorithms, and software engineering principles, with proficiency in languages like Python or Java.
* Proficiency in software engineering languages and tools, including Java, React, Node.js, Spring Boot, AWS and RESTful services, RDS.
* A self\-starter mindset with strong self\-learning capabilities and the ability to move fast and adapt in an ever\-evolving AI environment.
* Highly independent and proactive, with a strong ability to learn, execute, manage priorities and create initiatives.
* Creativity and initiative able to pitch and prototype ideas with minimal oversight.
**Experience**
* Eight or more years of software engineering experience
* Strong background in business operations and strategies, including global technology and financial services trends
* Hands\-on involvement with layered systems architectures, designs and shared software concepts
* Familiarity with functional and system integration testing
* Experience working in an agile environment
**Skills**
* Excellent negotiation, facilitation and consensus\-building capabilities
* Openness and adaptability to respond to fast\-moving circumstances
* Proficiency in multiple object\-oriented programming languages and tools
* Excellent oral and written communication skills
* Aptitude for working in teams
**Knowledge**
* In\-depth knowledge of diverse and emerging technologies, architectural concepts and principles
* A deep understanding of layered solutions and designs
* Awareness of policies regarding security and privacy
* Understanding of backlog tracking, burndown metrics and incremental delivery
**Education**
* A bachelor’s or master’s degree in a technical or business discipline, or equivalent experience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55">
      <c r="A55" t="inlineStr">
        <is>
          <t>in-204783a7aea291bf</t>
        </is>
      </c>
      <c r="B55" t="inlineStr">
        <is>
          <t>Principal Software Engineer</t>
        </is>
      </c>
      <c r="C55" t="inlineStr">
        <is>
          <t>Liberty Mutual Insurance</t>
        </is>
      </c>
      <c r="D55" t="inlineStr">
        <is>
          <t>indeed</t>
        </is>
      </c>
      <c r="E55" t="inlineStr"/>
      <c r="F55" t="inlineStr"/>
      <c r="G55" t="inlineStr">
        <is>
          <t>Boston, MA, US</t>
        </is>
      </c>
      <c r="H55" s="2" t="n">
        <v>46048</v>
      </c>
      <c r="I55" t="inlineStr">
        <is>
          <t>**Description**Do you have the skills—and drive—to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principal software engineer at Liberty Mutual, you’ll consult on highly complex projects and solve technical problems, while working in an agile environment that has the creative energy of a start\-up—and the full backing and comprehensive benefits of a Fortune 100 company.
This role is hybrid requiring 2 days in the office a week in one of our tech hubs: Plano, TX, Boston, MA, Portsmouth, NH, Indianapolis, IN, and Columbus, OH
We encourage you to apply and bring your expertise if you’re a:
* Technical problem solver: Going far beyond simply developing error\-free source code, test scripts, components and system architectures, you’ll document and build deployment guides aimed at maintaining robust, relevant software
* Customer\-centric engineer: Putting clients’ needs first, you’ll translate customer requirements into technical applications and support the implementation of new software
* Motivated mentor: Exercise your technical chops while coaching and collaborating with junior software engineers.
* Forward thinker: Merely fixing a problem isn’t enough – using your proactive mindset and initiative, you’ll also identify opportunities to enhance performance, quality and efficiency
**Job Introduction:**
* We are looking for a Principal software engineer to join our Small Commercial Service team in Service Experience portfolio within USRM Technology organization. If selected, you will have the opportunity to leverage your skills to build tools and solutions used to enable Customer and Agent Service Support for our Small Commercial business USRM. The Small Commercial Digitization activity is growing rapidly, and this role offers an exciting opportunity to help shape that journey.
**Qualifications*** Strong foundation in data structures, algorithms, and software engineering principles, with proficiency in languages like Python or Java.
* Proficiency in software engineering languages and tools, including Java, React, Node.js, Spring Boot, AWS and RESTful services, RDS.
* A self\-starter mindset with strong self\-learning capabilities and the ability to move fast and adapt in an ever\-evolving AI environment.
* Highly independent and proactive, with a strong ability to learn, execute, manage priorities and create initiatives.
* Creativity and initiative able to pitch and prototype ideas with minimal oversight.
**Experience**
* Eight or more years of software engineering experience
* Strong background in business operations and strategies, including global technology and financial services trends
* Hands\-on involvement with layered systems architectures, designs and shared software concepts
* Familiarity with functional and system integration testing
* Experience working in an agile environment
**Skills**
* Excellent negotiation, facilitation and consensus\-building capabilities
* Openness and adaptability to respond to fast\-moving circumstances
* Proficiency in multiple object\-oriented programming languages and tools
* Excellent oral and written communication skills
* Aptitude for working in teams
**Knowledge**
* In\-depth knowledge of diverse and emerging technologies, architectural concepts and principles
* A deep understanding of layered solutions and designs
* Awareness of policies regarding security and privacy
* Understanding of backlog tracking, burndown metrics and incremental delivery
**Education**
* A bachelor’s or master’s degree in a technical or business discipline, or equivalent experience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56">
      <c r="A56" t="inlineStr">
        <is>
          <t>in-cc5213191989d289</t>
        </is>
      </c>
      <c r="B56" t="inlineStr">
        <is>
          <t>Senior Software Engineer</t>
        </is>
      </c>
      <c r="C56" t="inlineStr">
        <is>
          <t>Microsoft</t>
        </is>
      </c>
      <c r="D56" t="inlineStr">
        <is>
          <t>indeed</t>
        </is>
      </c>
      <c r="E56" t="inlineStr"/>
      <c r="F56" t="inlineStr"/>
      <c r="G56" t="inlineStr">
        <is>
          <t>Redmond, WA, US</t>
        </is>
      </c>
      <c r="H56" s="2" t="n">
        <v>46047</v>
      </c>
      <c r="I56" t="inlineStr">
        <is>
          <t>**Overview**  
Microsoft 365(M365\) Intelligent Conversation and Communications Cloud is the platform that powers billions of real\-time customer conversations across Teams, Skype, Dynamics, and third\-party solutions (through Azure Communication Services). The platform enables reliable and high\-quality messaging, meeting, and audio/video calling services that work every time, from anywhere, seamlessly across all customer touchpoints. Conversations on our platforms are made more intelligent in real\-time, empowering best\-in\-class productivity tools for the modern workplace where every call, meeting, or chat will make the next one better. IC3 Policies and settings are critical to drive adoption and revenue of Teams. We grew our global Teams MAU from 50M to 330M since 2020 through addition of over 600 controls spread across 50 policies and 25 settings. Our policy platform is a hyperscale platform serving 75 unique policies resulting in 3 billion runtime resolutions per day.
Join the IC3 policy team, where we are at the forefront of modernizing tenant policy administration for Microsoft Teams. As a **Senior Software Engineer**, you will lead the design and development of scalable microservices that support secure, intelligent, and compliant policy enforcement across global and sovereign cloud environments. You will play a pivotal role in integrating **AI and Copilot capabilities** into policy workflows, enabling proactive insights, automated governance, and enhanced user experiences. This role demands technical depth, architectural leadership, and cross\-functional collaboration to deliver resilient and enterprise\-grade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Architect and implement distributed systems that power tenant policy enforcement, configuration, and monitoring in Microsoft Teams.
* Lead modernization efforts by deprecating hyperscale legacy systems and transitioning to microservices aligned with platform standards.
* Drive AI/Copilot integration into policy services to automate policy management, surface intelligent recommendations, and improve administrator productivity.
* Collaborate with partner teams to deliver cohesive, scalable, and compliant solutions.
* Mentor engineers, conduct design reviews, and uphold engineering standards through code quality, reliability, and performance optimization.
* Own service health through on\-call rotations, incident response, and proactive monitoring strategies.
**Qualifications** **Required Qualifications:**
* Bachelor's Degree in Computer Science, or related technical discipline AND 4\+ years technical engineering experience with coding in languages including, but not limited to, C, C\+\+, C\#, Java, JavaScript, or Python
	+ OR equivalent experience.
**Preferred Qualifications:**
* Demonstrated experience designing and delivering production\-grade services at scale.
* Reliable understanding of distributed systems, data consistency models, and service reliability.
* Experience with secure development practices and privacy\-by\-design principles.
* Proficient communication skills and a track record of cross\-team collaboration and mentorship.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7">
      <c r="A57" t="inlineStr">
        <is>
          <t>in-5c161440effb9203</t>
        </is>
      </c>
      <c r="B57" t="inlineStr">
        <is>
          <t>Software Engineer</t>
        </is>
      </c>
      <c r="C57" t="inlineStr">
        <is>
          <t>Microsoft</t>
        </is>
      </c>
      <c r="D57" t="inlineStr">
        <is>
          <t>indeed</t>
        </is>
      </c>
      <c r="E57" t="inlineStr"/>
      <c r="F57" t="inlineStr"/>
      <c r="G57" t="inlineStr">
        <is>
          <t>US</t>
        </is>
      </c>
      <c r="H57" s="2" t="n">
        <v>46044</v>
      </c>
      <c r="I57" t="inlineStr">
        <is>
          <t>**Overview**  
Have you ever imagined the world with an infinite amount of storage available and accessible to everyone? A place where everyone in the world can easily access their books/music/photos/video/any data from anywhere at any time via any means (e.g. mobile phones, tablets, PCs, smart devices, etc). Did you ever desire a universally accessible storage system to record all the knowledge known to mankind, to keep all the books/music/videos ever created, or to store all the data collected from all the scientists in the world for them to collaborate with? Do you want to be part of a team that strives to bring these to reality?
If so, the Microsoft Azure Storage team is what you are looking for. We are building Microsoft’s cloud storage solution \- Microsoft Azure Storage, which is a massively scalable, highly distributed, ubiquitously accessible storage system, designed to scale out and serve the entire world. We continue to have tremendous hockey stick growth, with many Exabyte’s of data stored, and are designing and building systems for Zettabyte scale to support demand growth for the coming years.  
We are looking for engineers who are passionate about distributed storage, more specifically on building the Platform that will power all of Azure Storage and for distributed systems. We want talented engineers that are comfortable working on a fast\-paced team and thrive in a startup like environment. The Azure Storage Armada Platform team is a platform that will power Azure Storage services and provide elasticity and scalability to the services. The Platform is going to support the exponential growth in the coming years and presents many interesting technical problems. Our mantra is to innovate, grow and learn.  
To be successful in these areas, you must have a growth mindset and be curious. You will be solving challenges related to scale and reliability for a distributed system. You will have an opportunity to make high impact changes on a daily basis as you build a hyper scale storage system that may indirectly or directly be used daily by your friends and family.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\#azurecorejobs\#EiP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8">
      <c r="A58" t="inlineStr">
        <is>
          <t>in-0d5c455504881014</t>
        </is>
      </c>
      <c r="B58" t="inlineStr">
        <is>
          <t>Software Engineer</t>
        </is>
      </c>
      <c r="C58" t="inlineStr">
        <is>
          <t>Microsoft</t>
        </is>
      </c>
      <c r="D58" t="inlineStr">
        <is>
          <t>indeed</t>
        </is>
      </c>
      <c r="E58" t="inlineStr"/>
      <c r="F58" t="inlineStr"/>
      <c r="G58" t="inlineStr">
        <is>
          <t>US</t>
        </is>
      </c>
      <c r="H58" s="2" t="n">
        <v>46044</v>
      </c>
      <c r="I58" t="inlineStr">
        <is>
          <t>**Overview**  
Azure Batch is seeking Software Engineers of all levels to join our growing Dublin team. Azure Batch powers some of the world’s most robust large\-scale compute workloads, enabling organizations to run millions of jobs in parallel, supporting HPC workloads in industries including AI, genomics and climate modelling. With increasing demand for large\-scale HPC and AI services, we’re building the next generation of solutions to deliver seamless access to cutting\-edge compute, networking, and storage resources.
Azure Batch processes billions of tasks every month, supporting global enterprises and research institutions as they tackle their most intensive data and computation challenges. Our service is trusted by customers around the world in workloads that accelerate drug discovery to the next AI/LLM breakthrough.  
In addition to traditional HPC scenarios, Azure Batch also powers Artificial Intelligence workloads, serving as the backbone for many of Microsoft’s most advanced AI products and services. By enabling vast parallelization and dynamic resource allocation, Azure Batch accelerates machine learning training, model inference, and large\-scale data analysis, helping teams unlock new possibilities in AI research and deployment.  
You’ll collaborate with a talented team of experts in distributed systems and cloud computing to create secure, innovative, and scalable products that empower customers to orchestrate and manage HPC and AI workloads on Azure. Together, we’ll redefine what’s possible for compute in the cloud.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Contributes to design, implementation, test, deployment, maintenance, and support of various product features in one or more service components.
* Consistently produces extensible, maintainable, reusable, and testable code.
* Contributes to technical reviews to assure the product meets Microsoft's quality and security standards.
* Participates in on\-call rotations and postmortem reviews to improve service resilience.
* Contributes to efforts to reduce incident volume and improve time to detection and time to mitigation.
* Promotes automation in production and deployment processes.
**Qualifications**  
Required Qualifications:
* Bachelor's Degree in Computer Science, or related technical discipline with proven experience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 year(s) technical engineering experience with coding in languages including, but not limited to, C, C\+\+, C\#, Java, JavaScript, OR Python,
	+ OR Master's Degree in Computer Science or related technical field with proven experience coding in languages including, but not limited to, C, C\+\+, C\#, Java, JavaScript, or Python,
	+ OR equivalent experience.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9">
      <c r="A59" t="inlineStr">
        <is>
          <t>in-d99ad1e3ebf7bc46</t>
        </is>
      </c>
      <c r="B59" t="inlineStr">
        <is>
          <t>Senior Software Engineer - Microsoft Planner</t>
        </is>
      </c>
      <c r="C59" t="inlineStr">
        <is>
          <t>Microsoft</t>
        </is>
      </c>
      <c r="D59" t="inlineStr">
        <is>
          <t>indeed</t>
        </is>
      </c>
      <c r="E59" t="inlineStr"/>
      <c r="F59" t="inlineStr"/>
      <c r="G59" t="inlineStr">
        <is>
          <t>Redmond, WA, US</t>
        </is>
      </c>
      <c r="H59" s="2" t="n">
        <v>46044</v>
      </c>
      <c r="I59" t="inlineStr">
        <is>
          <t>**Overview**  
The **Microsoft Path** team empowers customers to move seamlessly from Idea Plan Done, delivering collaborative work management solutions across Microsoft Project, Planner, To Do, Whiteboard, and Visio. We are building the Future of Work by leveraging Large Language Models (LLMs) and Agentic AI to create intelligent, connected experiences that drive productivity across Microsoft 365\. As part of this vision, we are transforming Microsoft Planner into a high\-scale, unified work management platform. Path is hiring a **Senior Software Engineer** to work on this foundational effort which will eliminate complexity, streamline user experiences, and enable AI\-driven productivity for millions of users worldwide.
As a **Senior Software Engineer** on the Path team, you’ll partner with stakeholders to translate business goals into engineering plans and execute them with a relentless focus on security, reliability, and customer satisfaction.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Solve complex challenges in distributed systems: geo\-replication, disaster recovery, data migration, and work distribution.
* Collaborate in an agile environment, interacting with major Office 365 teams to build cross\-service integrations and leverage expertise in product features; partner with stakeholders and managers to drive workgroup project plans, release plans, and work items.
* Partner with Program Management to design, implement, test, and iterate features for 10x growth in usage.
* Ensure secure, high\-quality product delivery, overseeing system architecture and code quality.
* Champion Live Site culture, ensuring reliability and customer delight and mentor engineers, shaping the vision for agentic AI\-powered work management.
* Seek new knowledge, adapt to trends, and apply technical solutions and patterns to improve availability, reliability, efficiency, observability, and performance across products, driving consistency in monitoring and operations at scale.
* Embody Microsoft’s culture and values in all aspects of work.
**Qualifications** **Required Qualifications:**
* Bachelor's Degree in Computer Science or related technical field AND 4\+ years full\-stack experience developing distributed web service applications with highly concurrent server\-side code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NOSQL databases and high volume / throughput web applications and their design
* Experience creating, releasing, and evolving large commercial software components or products at scale.
* Experience collaborating across teams to deliver complete features and end\-to\-end customer experiences.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0">
      <c r="A60" t="inlineStr">
        <is>
          <t>in-ab91042b8657f3c2</t>
        </is>
      </c>
      <c r="B60" t="inlineStr">
        <is>
          <t>Senior Software Engineer</t>
        </is>
      </c>
      <c r="C60" t="inlineStr">
        <is>
          <t>Microsoft</t>
        </is>
      </c>
      <c r="D60" t="inlineStr">
        <is>
          <t>indeed</t>
        </is>
      </c>
      <c r="E60" t="inlineStr"/>
      <c r="F60" t="inlineStr"/>
      <c r="G60" t="inlineStr">
        <is>
          <t>Washington, DC, US</t>
        </is>
      </c>
      <c r="H60" s="2" t="n">
        <v>46044</v>
      </c>
      <c r="I60"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Microsoft Purview team’s mission is to build cloud solutions that support premium features such as security, compliance, data governance, data loss prevention, and more, seamlessly integrating these services for Microsoft 365 and Windows clients. We are dedicated to transforming how businesses leverage artificial intelligence by creating global\-scale services that transport, store, secure, and manage the most sensitive data on the planet. Our services are built on Azure and other cloud platforms. As we continue to grow rapidly, we are seeking a Software Engineer to help us deliver best\-in\-class data protection for Microsoft customers. Our team operates in an agile development environment, continuously gathering and analyzing data to counter evolving threats. Our mission is to protect customers with truly innovative proactive measures, advise them on emerging trends, and engage in valuable partnerships. You will work closely with other engineering teams to ensure our services and systems are highly stable, performant, and meet the expectations of both internal and external customers. We are looking for passionate people with experience working with all service aspects of high throughput and multi\-tenant services, ability to design components carefully, properly handle errors, write clean and well\-factored code with good tests and good maintainability.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**Other**
* Embody our culture and values.
**Qualifications** **Required Minimum Qualifications:**
* Bachelor's Degree in Computer Science, or related technical discipline AND 4\+ years technical engineering experience with coding in languages including, but not limited to, C, C\+\+, C\#, Java, JavaScript, or Python OR equivalent experience.
**Qualifications \-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**Qualifications \- Preferred:**
* Bachelor's Degree in Computer Science or related technical field AND 6\+ years technical engineering experience with coding in languages including, but not limited to, C, C\+\+, C\#, Java, JavaScript, or Python OR Master's Degree in Computer Science or related technical field AND 4\+ years technical engineering experience with coding in languages including, but not limited to, C, C\+\+, C\#, Java, JavaScript, or Python OR equivalent experience.
* Experience working in large\-scale cloud services.
* Self\-motivation and a drive to get things to “done”
* Deep understanding of cloud technologies, distributed compute systems, and distributed systems and microservices architecture
* System design, algorithmic skills, and knowledge of data structures
* Ability to identify, analyze, and resolve complex technical issues, ensuring optimal performance, scalability, and user experience
* Passion for learning new technologies and staying up to date with industry trends, best practices, and emerging technologies in web development and AI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1">
      <c r="A61" t="inlineStr">
        <is>
          <t>in-4d543c2298077a77</t>
        </is>
      </c>
      <c r="B61" t="inlineStr">
        <is>
          <t>Principal Software Engineer</t>
        </is>
      </c>
      <c r="C61" t="inlineStr">
        <is>
          <t>Microsoft</t>
        </is>
      </c>
      <c r="D61" t="inlineStr">
        <is>
          <t>indeed</t>
        </is>
      </c>
      <c r="E61" t="inlineStr"/>
      <c r="F61" t="inlineStr"/>
      <c r="G61" t="inlineStr">
        <is>
          <t>Redmond, WA, US</t>
        </is>
      </c>
      <c r="H61" s="2" t="n">
        <v>46043</v>
      </c>
      <c r="I61" t="inlineStr">
        <is>
          <t>**Overview**  
You’ll be part of the Canvas Designer Client team, building the core authoring experience that empowers makers to design and customize apps on an intuitive, flexible canvas. You’ll deliver a modern, high\-performance UI and advanced features like coauthoring, responsive layouts, and seamless integration with data sources and connectors. Your work will enable creators to build rich, enterprise\-grade applications without code, driving productivity and innovation across the Power Platform.
We are looking to hire a **Principal Software Engineer**.
As a Software Engineer, you’ll write and maintain high\-quality code for the Canvas Designer client, building UI components and features that make app creation seamless. You’ll debug complex issues, optimize performance for large\-scale apps, and collaborate with designers and PMs to ship responsive layouts and coauthoring capabilities. Every day, you’ll work with modern frameworks, review pull requests, and ensure integrations with connectors and data sources are secure and reliable. This opportunity will allow you to accelerate your technical growth by building complex, high\-performance UI components and solving scalability challenges. You will deepen your expertise in modern frameworks and copilot integrations as you work hands\-on with cutting\-edge technologies in the Power Platform ecosystem. You will also sharpen your collaboration and design skills by partnering closely with PMs and UX designers to deliver intuitive, maker\-friendly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6\+ years technical engineering experience with coding in languages including, but not limited to, C, C\+\+, C\#, Java, JavaScript, or Python
* + OR equivalent experience.
* 4\+ years of experience in coding, debugging, algorithm design, and problem\-solving skills.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C\+\+, C\#, Java, JavaScript, or Python
* + OR Master's Degree in Computer Science or related technical field AND 6\+ years technical engineering experience with coding in languages including, but not limited to, C, C\+\+, C\#, Java, JavaScript, or Python
	+ OR equivalent experience.
* Experience in developing full stack web applications – from front end to back end.
* Experience with React.
* Experience with LLMs, AI agent frameworks, prompt engineering, and Copilot Studio is a plus.
* Excellent collaboration and communication skills, with a passion for customer impact and product quality.
\#BICjobs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2">
      <c r="A62" t="inlineStr">
        <is>
          <t>in-3d40c571c0381740</t>
        </is>
      </c>
      <c r="B62" t="inlineStr">
        <is>
          <t>Software Engineer</t>
        </is>
      </c>
      <c r="C62" t="inlineStr">
        <is>
          <t>Microsoft</t>
        </is>
      </c>
      <c r="D62" t="inlineStr">
        <is>
          <t>indeed</t>
        </is>
      </c>
      <c r="E62" t="inlineStr"/>
      <c r="F62" t="inlineStr"/>
      <c r="G62" t="inlineStr">
        <is>
          <t>US</t>
        </is>
      </c>
      <c r="H62" s="2" t="n">
        <v>46042</v>
      </c>
      <c r="I62"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Security is a top priority for customers operating in an increasingly complex environment shaped by digital threats, regulatory requirements, and diverse technology estates. Microsoft Security is committed to making the world safer by delivering simplified, end‑to‑end security solutions that help protect users, organizations, and developers at scale.
The Microsoft Security organization plays a critical role in advancing Microsoft’s mission by ensuring the security of customers’ heterogeneous platforms, devices, and cloud environments, while also protecting Microsoft’s internal estate. Our teams foster a growth mindset and a culture of continuous improvement, where engineers are encouraged to learn, collaborate, and deliver meaningful impact through high‑quality, reliable solutions.
We are seeking a self‑driven and motivated engineer to contribute to several critical initiatives in the ledger space. This role requires strong technical depth, solid engineering judgment, and the ability to collaborate effectively with cross‑functional stakeholders to drive solutions forward.
As a member of the core engineering team, you will own and execute on key initiatives that expand service capabilities and improve performance, scalability, and reliability. You will work closely with partner teams across Azure to integrate with related offerings and help deliver value across the confidential computing ecosystem.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Work with appropriate stakeholders to determine user requirements for a feature.
* Support identification of dependencies and the development of design documents for a product feature.
* Learn to create and implement code for a product, service, or feature, reusing code as applicable.
* Assist and learn about breaking down work items into tasks and provide estimation.
* Act as a Designated Responsible Individual (DRI) in monitoring system/product feature/service for degradation, downtime, or interruptions and recommend actions to restore system/product/service.
* Review current developments and proactively seek new knowledge that will improve the availability, reliability, efficiency, observability, and performance of products while also driving consistency in monitoring and operations at scale.
**Qualifications**  
Required Qualifications:
* Bachelor's Degree in Computer Science, or related technical discipline with proven experience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 year(s) technical experience coding in languages including, but not limited to, C, C\+\+, C\#, Java, JavaScript, or Python
	+ OR Master's Degree in Computer Science or related technical field with technical experience coding in languages including, but not limited to, C, C\+\+, C\#, Java, JavaScript, or Python
	+ OR equivalent experience.
* Experience with Container Orchestration concept, tools and platforms.
* Experience making data\-driven decisions to deliver quality software.
\#confidentialcompute \#confidentialledger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3">
      <c r="A63" t="inlineStr">
        <is>
          <t>in-8ddfadca54c8efb2</t>
        </is>
      </c>
      <c r="B63" t="inlineStr">
        <is>
          <t>Staff Software Engineer</t>
        </is>
      </c>
      <c r="C63" t="inlineStr">
        <is>
          <t>Qualcomm</t>
        </is>
      </c>
      <c r="D63" t="inlineStr">
        <is>
          <t>indeed</t>
        </is>
      </c>
      <c r="E63" t="inlineStr"/>
      <c r="F63" t="inlineStr"/>
      <c r="G63" t="inlineStr">
        <is>
          <t>San Diego, CA, US</t>
        </is>
      </c>
      <c r="H63" s="2" t="n">
        <v>46042</v>
      </c>
      <c r="I63" t="inlineStr">
        <is>
          <t>**Company:**
------------
Qualcomm Technologies, Inc.**Job Area:**
-------------
Engineering Group, Engineering Group \&gt; Software Engineering**General Summary:**
The Software Analytics and Global Automation (SAGA) team is seeking a highly skilled and innovative Staff Software Engineer to design and develop robust backend API services using Java and the Spring Boot framework. This role is focused on deep technical contribution, system design, and end‑to‑end execution of complex backend features. While the position emphasizes hands‑on engineering, it also includes opportunities to provide technical leadership, influence engineering standards, and mentor other team members. The ideal candidate will have a strong background in backend systems, distributed architectures, data‑driven design, and modern cloud‑native development.  
### **Key Responsibilities**
* **Architect, design, and implement scalable backend services** and RESTful APIs using Java and Spring Boot.
* **Deliver high‑quality features end‑to‑end**, ensuring performance, security, reliability, and maintainability across systems.
* **Contribute to technical architecture decisions**, influencing long‑term backend strategy and system design.
* **Collaborate closely with cross‑functional teams**, including product, frontend, QA, and DevOps, to define requirements and integrate components.
* **Review code and provide constructive feedback**, championing clean architecture, coding standards, and engineering best practices.
* **Troubleshoot and resolve production issues**, leading root‑cause analysis and implementing long‑term solutions for complex system problems.
* **Maintain and enhance technical documentation**, coding standards, and architectural patterns to ensure consistency and quality across teams.
* **Stay current with emerging backend technologies**, evaluating and recommending tools, frameworks, or patterns that bring measurable value.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**Preferred Qualifications:**
* **10\+ years of professional experience** in backend software engineering with a proven track record of building reliable, scalable systems.
* **Expert‑level proficiency in Java**, with extensive hands‑on experience in the **Spring Boot ecosystem**, including Spring MVC, Spring Data, and Spring Security.
* **Strong background in RESTful API development**, microservices architecture, and distributed systems design.
* **Deep understanding of core computer science concepts**, including data structures, algorithms, object‑oriented programming, and design patterns.
* **Experience working with cloud platforms**, preferably **AWS**, as well as containerization and orchestration technologies such as **Docker** and **Kubernetes**.
* **Strong SQL and NoSQL database expertise**, including databases such as PostgreSQL, MySQL, and Redis.
* Proficiency with **modern development tooling**, including Git, CI/CD pipelines, build automation frameworks, and observability/monitoring tools.
* Demonstrated ability to **solve complex technical problems**, deliver high‑quality code, and independently own critical system components.
* **Excellent communication and collaboration skills**, with the ability to work effectively across engineering, product, QA, and DevOps teams.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$134,800\.00 \- $202,200\.00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64">
      <c r="A64" t="inlineStr">
        <is>
          <t>in-183c2b7b4112089b</t>
        </is>
      </c>
      <c r="B64" t="inlineStr">
        <is>
          <t>Principal Software Engineer</t>
        </is>
      </c>
      <c r="C64" t="inlineStr">
        <is>
          <t>Insight</t>
        </is>
      </c>
      <c r="D64" t="inlineStr">
        <is>
          <t>indeed</t>
        </is>
      </c>
      <c r="E64" t="inlineStr"/>
      <c r="F64" t="inlineStr"/>
      <c r="G64" t="inlineStr">
        <is>
          <t>Chandler, AZ, US</t>
        </is>
      </c>
      <c r="H64" s="2" t="n">
        <v>46041</v>
      </c>
      <c r="I64" t="inlineStr">
        <is>
          <t>**Requisition Number: 103594**
**Principal Software Engineer**
**Location:** The role will be a remote position located in the United States.  
**Insight at a Glance**
* 14,000\+ engaged teammates globally
* \#20 on Fortune’s World's Best Workplaces™ list
* $9\.2 billion in revenue
* Received 35\+ industry and partner awards in the past year
* $1\.4M\+ total charitable contributions in 2023 by Insight globally
Now is the time to bring your expertise to Insight. We are not just a tech company; we are a people\-first company. We believe that by unlocking the power of people and technology, we can accelerate transformation and achieve extraordinary results. As a **Fortune 500 Solutions Integrator** with deep expertise in cloud, data, AI, cybersecurity, and intelligent edge, we guide organisations through complex digital decisions.
**About the role**
Insight’s packaged services team is hiring a full\-time Principal Software Engineer to collaborate with our clients in solving business challenges through modern technology. The role involves engaging directly with clients, developing software, building cloud solutions, conducting technical training sessions on GitHub Copilot and platform, conducting technical assessments, and hands\-on work in application modernization, migration, AI solutions, DevOps, and cloud practices. As a principal software engineer, you will help clients with future capabilities, develop modern applications, integrate AI solutions, and mentor junior Insight developers
As a Principal Software Engineer you will:
* Develop enterprise grade cloud native software solutions aligned to industry best\-practices
* Develop enterprise grade CI/CD and SDLC solutions using the GitHub platform.
* Conduct enablement sessions on GitHub Copilot, GitHub platform, and SDLC best practices.
* Develop enterprise grade cloud native solutions aligned to industry best\-practices
* Lead and mentor junior and offshore developers on a hybrid development team consisting of both onshore and off\-shore developers while delivering client projects.
* Deliver technical recommendations, presentations and workshops to groups of peers and/or clients
* Hands on development of cloud native software solutions, integration platforms, and intelligent applications.
* Develop low code solutions and integration platforms using power platform, power automate, and logic apps
**What we’re looking for**
* 7\+ total years industry experience
* 7\+ years of practical, hands\-on development experience in modern technologies including
* Object\-oriented design, implementation, and best practices, with preferred experience in the .NET platform (.NET Core, ASP.NET, C\#, VB.NET)
* Some experience in additional languages such as Java, Python, React, Angular, Vue, Node
* Building cloud native solutions on Microsoft Azure
* Automated unit testing and test\-driven development
* 4\+ years of professional hands\-on experience with a public cloud provider. Microsoft Azure is required; additional knowledge of AWS, and/or GCP is also highly valuable
* Experience with a consulting firm is preferred
* GitHub and Cloud certifications preferred
**What you can expect**  
We’re legendary for taking care of you, your family and to help you engage with your local community. We want you to enjoy a full, meaningful life and own your career at Insight.
But what really sets us apart are our core values of Hunger, Heart, and Harmony, which guide everything we do, from building relationships with teammates, partners, and clients to making a positive impact in our communities.
**Join us today, your ambITious journey starts here.**
*Insight is an equal opportunity employer, and all qualified applicants will receive consideration for employment without regard to race, color, religion, sex, national origin, disability status, protected veteran status, sexual orientation or any other characteristic protected by law.*
 *When you apply, please tell us the pronouns you use and any reasonable adjustments you may need during the interview process.*  
*At Insight, we celebrate diversity of skills and experience so even if you don’t feel like your skills are a perfect match \- we still want to hear from you!*
 *Insight does not accept unsolicited resumes from recruiters or employment agencies. Unsolicited resumes will be treated as direct applications from the candidate, and recruiters or agencies who submit candidates for this position without a prior, written vendor agreement will not be eligible for any form of compensation, even if the candidate is hired.*
The position described above provides a summary of some the job duties required and what it would be like to work at Insight. For a comprehensive list of physical demands and work environment for this position, click here.
Insight is an equal opportunity employer, and all qualified applicants will receive consideration for employment without regard to race, color, religion, sex, national origin, disability status, protected veteran status, sexual orientation or any other characteristic protected by law.
Posting Notes: Chandler \|\| Arizona (US\-AZ) \|\| United States (US) \|\| IT Infrastructure \&amp; Support \|\| None \|\| US \- Chandler,AZ \|\|</t>
        </is>
      </c>
    </row>
    <row r="65">
      <c r="A65" t="inlineStr">
        <is>
          <t>in-4e7817e4c23c5237</t>
        </is>
      </c>
      <c r="B65" t="inlineStr">
        <is>
          <t>Software Engineer Sr</t>
        </is>
      </c>
      <c r="C65" t="inlineStr">
        <is>
          <t>Insight</t>
        </is>
      </c>
      <c r="D65" t="inlineStr">
        <is>
          <t>indeed</t>
        </is>
      </c>
      <c r="E65" t="inlineStr"/>
      <c r="F65" t="inlineStr"/>
      <c r="G65" t="inlineStr">
        <is>
          <t>Chandler, AZ, US</t>
        </is>
      </c>
      <c r="H65" s="2" t="n">
        <v>46041</v>
      </c>
      <c r="I65" t="inlineStr">
        <is>
          <t>**Requisition Number: 103598**
Senior Software Engineer
Insight at a Glance
* 14,000\+ engaged teammates globally
* \#20 on Fortune’s World's Best Workplaces™ list
* $9\.2 billion in revenue
* Received 35\+ industry and partner awards in the past year
* $1\.4M\+ total charitable contributions in 2023 by Insight globally
Now is the time to bring your expertise to Insight. We are not just a tech company; we are a people\-first company. We believe that by unlocking the power of people and technology, we can accelerate transformation and achieve extraordinary results. As a Fortune 500 Solutions Integrator with deep expertise in cloud, data, AI, cybersecurity, and intelligent edge, we guide organizations through complex digital decisions.
About the role
Insight’s packaged services team is hiring a full\-time Senior Software Engineer to collaborate with our clients in solving business challenges through modern technology. The role involves engaging directly with clients, developing software, building cloud solutions, assisting with technical training sessions on GitHub Copilot and platform, assisting with technical assessments, and hands\-on work in application modernization, migration, AI solutions, DevOps, and cloud practices. As a senior software engineer, you will help clients with future capabilities, develop modern applications, integrate AI solutions, and mentor junior Insight developers.
Our Packaged Services team works in an agile methodology focusing on repeatable best\-practice technology solutions for the SMC market. We provide services around GitHub Enterprise, agentic SDLC, AI enabled software development, application modernization, custom development, AI enabled applications, DevOps, Integration Platforms, low\-code solutions, and assessments.
What our Senior Software Engineers Do:
* Develop enterprise grade cloud native software solutions aligned to industry best\-practices
* Develop enterprise grade CI/CD and SDLC solutions using the GitHub platform.
* Conduct enablement sessions on GitHub Copilot, GitHub platform, and SDLC best practices.
* Develop enterprise grade cloud native solutions aligned to industry best\-practices
* Lead and mentor junior and offshore developers on a hybrid development team consisting of both onshore and offshore developers while delivering client projects.
* Deliver technical recommendations, presentations and workshops to groups of peers and/or clients
* Hands on development of cloud native software solutions, integration platforms, and intelligent applications.
* Develop low code solutions and integration platforms using power platform, power automate, and logic apps.
What We Look For
* Passion for technology and learning
* Desire to work collaboratively with strong technical teams to build complex client solutions
* Excellent verbal and written communication skills for client\-facing scenarios
* Demonstrable experience and expertise in several of the following areas:
* Develop best practice solutions on Azure that leverage cloud\-native services, ensure security and scalability, and align with client requirements
* Migration and modernization of on\-premises applications to cloud platforms
* Design and create AI enabled applications and integrating azure AI Services.
* Agentic software development patterns, emphasizing client education regarding the advantages of agentic development, as well as seeking opportunities to enhance the efficiency of internal processes.
* Design and develop secure, cloud\-native distributed applications using microservices, web services, REST APIs, API gateways, relational and NoSQL databases, and messaging systems
* DevOps practices including automations and capabilities for CI/CD, monitoring and alerting, observability, infrastructure as code, and configuration management
* Experience and capability to conceive and present solutions to client tailored to their unique business problems and opportunities, then follow through to SOW preparation and engagement delivery
* Design and implementation of responsive web and mobile applications
Experience Profile
* 5\+ total years industry experience
* 5\+ years of practical, hands\-on development experience in modern technologies including
* Object\-oriented design, implementation, and best practices, with preferred experience in the .NET platform (.NET Core, ASP.NET, C\#, VB.NET)
* Some experience in additional languages such as Java, Python, React, Angular, Vue, Node
* Building cloud native solutions on Microsoft Azure
* Automated unit testing and test\-driven development
* 4\+ years of professional hands\-on experience with a public cloud provider. Microsoft Azure is required; additional knowledge of AWS, and/or GCP is also highly valuable
* Experience with a consulting firm is preferred
* GitHub and Cloud certifications preferre
The position described above provides a summary of some the job duties required and what it would be like to work at Insight. For a comprehensive list of physical demands and work environment for this position, click here.
Insight is an equal opportunity employer, and all qualified applicants will receive consideration for employment without regard to race, color, religion, sex, national origin, disability status, protected veteran status, sexual orientation or any other characteristic protected by law.
Posting Notes: Chandler \|\| Arizona (US\-AZ) \|\| United States (US) \|\| IT Infrastructure \&amp; Support \|\| None \|\| US \- Chandler,AZ \|\|</t>
        </is>
      </c>
    </row>
    <row r="66">
      <c r="A66" t="inlineStr">
        <is>
          <t>in-1e4fef6bc423281a</t>
        </is>
      </c>
      <c r="B66" t="inlineStr">
        <is>
          <t>Software Engineer II</t>
        </is>
      </c>
      <c r="C66" t="inlineStr">
        <is>
          <t>Microsoft</t>
        </is>
      </c>
      <c r="D66" t="inlineStr">
        <is>
          <t>indeed</t>
        </is>
      </c>
      <c r="E66" t="inlineStr"/>
      <c r="F66" t="inlineStr"/>
      <c r="G66" t="inlineStr">
        <is>
          <t>US</t>
        </is>
      </c>
      <c r="H66" s="2" t="n">
        <v>46036</v>
      </c>
      <c r="I66" t="inlineStr">
        <is>
          <t>**Overview**  
Microsoft Azure Artificial Intelligence/High Performance Computing (AI/HPC) team is seeking a passionate Software Engineer 2 to help build, operate, and support hyperscale cloud infrastructure for some of the world’s largest supercomputing deployments. You’ll work alongside experienced engineers to develop, monitor, and troubleshoot cloud\-native supercomputing systems, contributing to the reliability and performance of Azure’s AI infrastructure offerings.
At the supercomputing scale, we need specialized tools and techniques to maintain the availability, reliability, runtime performance and health of the system to meet the Service Level Agreements (SLAs) of customers. Your job would be to build and use state\-of\-the\-art cloud applications and services to monitor the health of the supercomputers, find operational gaps and instrument features to achieve the smooth management of cloud\-native supercomputers. As a Supercomputing Software Engineer, you would also bring to the table best practices driving architectural changes and influence roadmap of relevant software and hardware components. Your work will directly impact the business goals of a wide range of users and facilitate the next wave of growth and innovation in AI in the cloud.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Be proactive and innovative about adding new metrics for monitoring the health of the supercomputers.
* Collaborate with team members and stakeholders to understand requirements and produce detailed, data\-driven, collaborative design for assigned features.
* Independently uses appropriate artificial intelligence tools and practices across the software development lifecycle to develop, test, debug, and maintain code for Supercomputer health monitoring systems.
* Remain current in skills by investing time and effort into staying abreast of current developments that will improve the availability, reliability, efficiency, observability, and performance of products while also driving consistency in monitoring and operations at scale.
* Act as a Designated Responsible Individual (DRI) working on\-call to monitor system/product feature/service for degradation, downtime, or interruptions and gain approval to restore system/product/service for simple problems.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OR Master’s degree in Computer Science or related technical field AND 3\+ years technical engineering experience.
* Experience with monitoring, profiling, or debugging distributed systems or cloud applications.
* Familiarity with AI/HPC workloads, GPU\-based systems, AI assisted software development and secure software design practices.Familiarity with IaaS operating model and SLA commitments.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7">
      <c r="A67" t="inlineStr">
        <is>
          <t>in-b85c09ed57b0348b</t>
        </is>
      </c>
      <c r="B67" t="inlineStr">
        <is>
          <t>Software Engineer</t>
        </is>
      </c>
      <c r="C67" t="inlineStr">
        <is>
          <t>Microsoft</t>
        </is>
      </c>
      <c r="D67" t="inlineStr">
        <is>
          <t>indeed</t>
        </is>
      </c>
      <c r="E67" t="inlineStr"/>
      <c r="F67" t="inlineStr"/>
      <c r="G67" t="inlineStr">
        <is>
          <t>US</t>
        </is>
      </c>
      <c r="H67" s="2" t="n">
        <v>46034</v>
      </c>
      <c r="I67" t="inlineStr">
        <is>
          <t>**Overview**  
Do you want to help define how the Microsoft cloud operates at planetary scale? You will join the Azure Control Plane team, home of Azure Resource Manager (ARM), the foundational control plane service that powers every resource lifecycle operation in Microsoft Azure. You work at the very core of the platform, partnering across Azure engineering teams and with Microsoft Research (MSR) to design, build, and operate next\-generation control plane capabilities. Your work directly enables Azure’s evolution toward a federated future, including federated data and federated compute initiatives that unlock unprecedented scale, reliability, and agility.  
As a Software Engineer, you will lead and contribute to the design and development of highly distributed, high\-throughput cloud services that form the backbone of Azure’s control plane. You will drive architectural decisions, influence cross\-team technical direction, and deliver production systems that support exponentially growing traffic and complex multi\-tenant workloads. This opportunity will allow you to accelerate your career growth, develop deep expertise in large\-scale distributed systems and federated architectures, and build strong business and operational acumen by delivering technology that directly powers Azure’s global platform.  
At Microsoft, we are a company where growth mindset drives everything we do. You will be empowered to bring your best ideas, collaborate inclusively, and learn continuously while making a meaningful impact. We value diversity, foster a culture of respect, and are committed to creating an environment where everyone can thrive and do their best work.
 **Responsibilities**  
* Learn and apply artificial intelligence (AI)\-native development practices across the software development lifecycle (SDLC), taking responsibility for reviewing, validating, and improving AI\-generated artifacts while seeking guidance from experienced engineers as needed.
* Design, implement, review, and maintain high\-quality, extensible, and secure code for large\-scale distributed services, applying modern coding patterns, debugging techniques, automated analysis tools, logging, telemetry, and best practices to meet reliability, performance, and scalability expectations.
* Contribute to the design and evolution of product and service architectures, including participation in design reviews, evaluation of design tradeoffs, and development of prototypes, while considering performance, scalability, resiliency, cost of goods sold (COGS), security, privacy, and compliance requirements.
* Collaborate with partner teams to build and integrate features that support Azure Resource Manager (ARM) federated data and federated compute initiatives, identifying dependencies, ensuring interoperability, and contributing to end\-to\-end testing and validation of cross\-system interactions.
* Support engineering excellence by applying security\-first principles, following Microsoft security and privacy standards, contributing to threat modeling, compliance evidence, deployment gates, and automation, and ensuring solutions are designed with diagnosability, maintainability, and operational readiness.
* Implement, deploy, and operate features using safe change management practices, including feature flighting, rollback planning, capacity considerations, and disaster recovery mechanisms, while supporting deployment pipelines and production readiness reviews.
* Participate in live site operations and on\-call rotations as a designated responsible individual (DRI), monitoring service health, responding to incidents within service level agreements (SLAs), leveraging telemetry to diagnose issues, and contributing to continuous improvement of reliability, observability, and supportability.
**Qualifications** **Required Qualifications:**
* Bachelor's Degree in Computer Science, or related technical discipline with proven experience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\#azurecorejobs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8">
      <c r="A68" t="inlineStr">
        <is>
          <t>in-4bb0e50e3841cbe5</t>
        </is>
      </c>
      <c r="B68" t="inlineStr">
        <is>
          <t>Software Engineer II</t>
        </is>
      </c>
      <c r="C68" t="inlineStr">
        <is>
          <t>Microsoft</t>
        </is>
      </c>
      <c r="D68" t="inlineStr">
        <is>
          <t>indeed</t>
        </is>
      </c>
      <c r="E68" t="inlineStr"/>
      <c r="F68" t="inlineStr"/>
      <c r="G68" t="inlineStr">
        <is>
          <t>Redmond, WA, US</t>
        </is>
      </c>
      <c r="H68" s="2" t="n">
        <v>46031</v>
      </c>
      <c r="I68" t="inlineStr">
        <is>
          <t>**Overview**  
We are looking for a Software Engineer II – to design, build and operate scalable data pipelines that power Developer Division growing data needs. In this role, you will work across the full development lifecycle\- design, implementation, testing, deployment and live site support – while honing your technical depth and engineering craftmanship.
You will build tools and systems that ingest, process, curate large\-scale developer\-focuse datasets. You will partner closely with product teams to create, enhance and operate data pipelines that are efficient, reliable, compliant and secure. You will join a world class, collaborative engineering team of engineers using agile methodologies and DevOps practices deliver and run production services.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build, and optimize large\-scale, robust data pipelines and architectures that support analytics initiatives.
* Develop and extend scalable ETL/ELT workflows, ensuring reliable ingestion, transformation, and storage of high\-volume, high\-velocity data from diverse sources.
* Continuously improving systems for availability, reliability, efficiency, observability, and performance while applying and sharing modern engineering practices.
* Staying current with new technologies, patterns, and tooling that strengthen our engineering and operational excellence.
* Acting as a Designated Responsible Individual (DRI) as part of oncall rotations to monitor, troubleshoot, and restore services.
 **Qualifications** **Required Qualifications:**
* Bachelor's Degree in Computer Science or related technical field AND 2\+ years technical engineering experience with coding in languages including, but not limited to C\#, or Python
	+ OR equivalent experience.
*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to,C\#, Python, Java
	+ OR Master's Degree in Computer Science or related technical field AND 2\+ years technical engineering experience with coding in languages including, but not limited to, C\#, Python or Java
* + OR equivalent experience.
* 4\+ years of professional software development experience in data processing systems
* 1\+ year(s) of development of data ETL services and cloud services
* 1\+ year(s) of software engineering practices, coding and solid foundation in data structures, algorithms with proficient testing, debugging and analytical skills
* Relevant experience running a 24/7 Azure\-based services
* Experience working with experimentation systems, telemetry systems and data to drive engineering and product decision making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9">
      <c r="A69" t="inlineStr">
        <is>
          <t>in-efda648c8cce0d9f</t>
        </is>
      </c>
      <c r="B69" t="inlineStr">
        <is>
          <t>Full-Stack Software Engineer – Backend, Observability, UI</t>
        </is>
      </c>
      <c r="C69" t="inlineStr">
        <is>
          <t>HP</t>
        </is>
      </c>
      <c r="D69" t="inlineStr">
        <is>
          <t>indeed</t>
        </is>
      </c>
      <c r="E69" t="inlineStr"/>
      <c r="F69" t="inlineStr"/>
      <c r="G69" t="inlineStr">
        <is>
          <t>Spring, TX, US</t>
        </is>
      </c>
      <c r="H69" s="2" t="n">
        <v>46030</v>
      </c>
      <c r="I69" t="inlineStr">
        <is>
          <t>**Description \-**
**Description**  
* Our ideal candidate is a versatile Full\-Stack Software Engineer who thrives in a fast\-paced, start\-up culture where innovation, ownership, and agility are key. This role spans backend development in Python and Go, building intuitive UIs, and enhancing system observability with Prometheus and telemetry tools. You’ll work with MongoDB for data management and have the opportunity to explore AI integration as a bonus area of growth.
**Key responsibilities are focused on delivering value for our customers:*** Design, develop and maintain backend services using Python and Go.
* Build responsive, user\-friendly UI components and dashboards.
* Design and implement telemetry and observability solutions using Prometheus.
* Work with MongoDB to manage data models and optimize queries.
* Collaborate with cross\-functional teams including product, design, and DevOps.
* Participate in code reviews, architecture planning, and agile development.
* Troubleshoot and resolve issues across the stack, from UI to backend services.
* Optionally contribute to AI\-powered features or data\-driven enhancements.
* Provides guidance and mentoring to less\- experienced staff members.
**Education \&amp; Experience** Recommended
* Four\-year or Graduate Degree in Computer Science, Information Systems, or any other related discipline or commensurate work experience or demonstrated competence.
* Typically has 7\-10 years of work experience, preferably in applications engineering, programming, or a related field.
**Required Qualifications:*** Proficiency in Python and Go for backend development.
* Experience with front\-end technologies (e.g., React).
* Strong understanding of telemetry systems and observability practices.
* Hands\-on experience with Prometheus and monitoring tools.
* Solid knowledge of MongoDB and data modeling.
* Familiarity with RESTful APIs and microservices architecture.
* Excellent problem\-solving and communication skills.
* Customer\-centricity and a focus on results.
**Preferred Qualifications:**
* Familiarity with containerization (Docker) and orchestration (Kubernetes).
* Exposure to CI/CD pipelines and infrastructure as code.
* Interest or experience in integrating AI/ML features into applications.
**Complexity**  
* Works on complex problems where analysis of situations or data requires an in\-depth evaluation of multiple factors.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**Salary:**
The pay range for this role is $116,150 to $165,000 USD annually with additional
opportunities for pay in the form of bonus and/or equity (applies to United
States of America candidates only). Pay varies by work location, job\-related
knowledge, skills, and experience..
**Benefits** :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\[https://hpbenefits.ce.alight.com/])  
The compensation and benefits information is accurate as of the date of this
posting. The Company reserves the right to modify this information at any time,
with or without notice, subject to applicable law.
Job Posting End Date: Feb 13th, 2026
**Job \-**
Software
**Schedule \-**
Full time
**Shift \-**
No shift premium (United States of America)
**Travel \-**
No
**Relocation \-**
Yes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70">
      <c r="A70" t="inlineStr">
        <is>
          <t>in-35d6df278f089092</t>
        </is>
      </c>
      <c r="B70" t="inlineStr">
        <is>
          <t>Software Engineer Security and Identity</t>
        </is>
      </c>
      <c r="C70" t="inlineStr">
        <is>
          <t>Microsoft</t>
        </is>
      </c>
      <c r="D70" t="inlineStr">
        <is>
          <t>indeed</t>
        </is>
      </c>
      <c r="E70" t="inlineStr"/>
      <c r="F70" t="inlineStr"/>
      <c r="G70" t="inlineStr">
        <is>
          <t>Redmond, WA, US</t>
        </is>
      </c>
      <c r="H70" s="2" t="n">
        <v>46028</v>
      </c>
      <c r="I70"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operate at the heart of Microsoft’s Security and Identity ecosystem, engineering the foundational platform that runs seamlessly across all Microsoft clouds and regions. Our focus is runtime efficiency, infrastructure resilience, and service scalability—enabling rapid innovation while maintaining the highest standards of availability, compliance, and security. From orchestrating global deployments to optimizing the execution layer of identity workloads, the team builds a secure, agile, and intelligent platform that keeps Microsoft’s identity promise running 24/7 at planetary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targeting an immediate start date.**  
**Responsibilities**  
* With guidance, learns how and creates and implements code for a large scale distributed services runtime
* Writes and learns to create code that is extensible and maintainable.
* Learns about and applies diagnosability, reliability, and maintainability, and understands when the code is ready to be shared and delivered.
* Applies coding patterns and best practices to write code (e.g., leveraging state\-of\-the\-art generative artificial intelligence \[GenAI], approaches to source code organization, naming conventions).
* With guidance from more experienced colleagues, identifies and escalates blockers or unknowns during the development process, and communicates how they will impact timelines.
* Learns about and helps to ensure the correct processes are followed to achieve a high degree of security, privacy, safety, and accessibility. Contributes to efforts to check for visible evidence (e.g., audit trail) to demonstrate compliance for product features.
* Develops understanding of the implications of onboarding new technologies following expectations of compliance at Microsoft.
* Develops an understanding of global and local regulations for technologies and system applications.
* Develops and applies knowledge of debugging tools, tests, logs, telemetry, and other methods to begin supporting efforts to proactively flag issues before they occur for product features in production.
* Learns to conduct incident retrospectives to identify root causes of problems, and begins to implement repair actions with direct supervision.
* Grows understanding of and begins to apply least\-access principles and uses logging, telemetry, and other appropriate mechanisms with direct supervision to investigate issues while retaining privacy and security.
* Understands proposals and develops an understanding of how to apply them under the technical leadership of others.
* With managerial guidance, tests and explores various design options for a product/solution feature, outlining strengths and weaknesses of each option.
* Produces code to test hypotheses for technical solutions and assists with technical validation efforts.
* Helps with and participates in the development of design documents that support simple user stories with oversight.
* Develops an awareness of the current technology landscape. Escalates findings from investigations to team members for design decisions.
* Learns about the implications of performance, scalability, resiliency, cost of goods sold (COGS), and other requirements and expectations in systems architecture.
* Begins to uphold Microsoft standards of security, privacy, and other compliance requirements in systems architecture.
* Develops an understanding of the importance of building solutions that expand upon the work of others.
* Contributes to the refinement and integration of feedback in product features by escalating findings from analyses to inform decisions regarding the engineering of products.
**Qualifications** **Required Qualifications:**
* Bachelor's Degree in Computer Science, or related technical discipline with proven experience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 Bachelor's Degree in Computer Science, or related technical field AND 1\+ year(s) technical engineering experience with coding in languages including, but not limited to, C, C\+\+, C\#, Java, JavaScript, Rust, or Python.
	+ OR Master's Degree in Computer Science or related technical field with proven experience coding in languages including, but not limited to, C, C\+\+, C\#, Java, JavaScript, Rust, or Python.
	+ OR equivalent experience.
* Proven experience with Fullstack development.
* Experience with cloud technologies and services.
\#MSFTSecurity \#Identity \#EIP \#SWEIC2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1">
      <c r="A71" t="inlineStr">
        <is>
          <t>in-d345e98769fdcf0b</t>
        </is>
      </c>
      <c r="B71" t="inlineStr">
        <is>
          <t>Software Engineering</t>
        </is>
      </c>
      <c r="C71" t="inlineStr">
        <is>
          <t>Microsoft</t>
        </is>
      </c>
      <c r="D71" t="inlineStr">
        <is>
          <t>indeed</t>
        </is>
      </c>
      <c r="E71" t="inlineStr"/>
      <c r="F71" t="inlineStr"/>
      <c r="G71" t="inlineStr">
        <is>
          <t>Redmond, WA, US</t>
        </is>
      </c>
      <c r="H71" s="2" t="n">
        <v>46013</v>
      </c>
      <c r="I71"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for a Software Engineer to join our Endpoint Security Team to develop and maintain security services to ensure that our endpoints are protected in the right way. Our solutions are focused on enabling and detecting software vulnerabilities using telemetry from multiple sources and identifying opportunities to minimize or prevent security risks. The candidate will be building solutions to enhance our Device Health policies at enterprise scale. Successful candidates will have in\-depth technical experience with Software Vulnerabilities and vulnerability scanning solutions. They should be able to combine their technical skills with enthusiasm, ingenuity, results\-orientation, and ability in working with the rest of the team. A proficient candidate will have experience in a team environment, experience running enterprise scale services and platforms, technical depth in cloud platforms, agile development practices, and experience in designing \&amp; tuning telemetry.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 technical design and architecture discussions for core Endpoint Security services
* Collaborate with Microsoft Product Groups to define and prioritize project backlogs
* Responsible for all stages of the Software Development Lifecycle.
* Software Development: Design, develop, deploy, and maintain distributed systems software components, ensuring high availability, scalability, and performance Write high\-quality, maintainable code, and review contributions from engineers
* Adhere to modern engineering practices, enacting change to services through software engineering, unit testing, debugging, refactoring, code reviews and maintaining build/deployment pipelines.
* Identify opportunities and drive the implementation of automation to improve service health, manageability, reliability, and telemetry.
* Own, triage, investigate and resolve service issues with an emphasis on broad communication, learning \&amp; teaching throughout the process.
* Author functional and technical documentation. Communicate on a deep technical level with product engineering, project management and operations teams to improve. and optimize products, improve infrastructure, and evolve services.
* Translate business requirements into technical specifications and help manage priorities, deliverables, and timelines.
* Embody our culture and values
**Qualifications** **Required Qualifications**
Bachelor's Degree in Computer Science or related technical field AND 2\+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**Preferred Qualifications:**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2">
      <c r="A72" t="inlineStr">
        <is>
          <t>in-86f07f79b6153a38</t>
        </is>
      </c>
      <c r="B72" t="inlineStr">
        <is>
          <t>Software Engineer I</t>
        </is>
      </c>
      <c r="C72" t="inlineStr">
        <is>
          <t>Amazon.com</t>
        </is>
      </c>
      <c r="D72" t="inlineStr">
        <is>
          <t>indeed</t>
        </is>
      </c>
      <c r="E72" t="inlineStr"/>
      <c r="F72" t="inlineStr"/>
      <c r="G72" t="inlineStr">
        <is>
          <t>San Francisco, CA, US</t>
        </is>
      </c>
      <c r="H72" s="2" t="n">
        <v>46006</v>
      </c>
      <c r="I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in-bdfeb70e8e851be1</t>
        </is>
      </c>
      <c r="B73" t="inlineStr">
        <is>
          <t>Embedded Firmware and Software Engineer (BIOS/UEFI Systems)</t>
        </is>
      </c>
      <c r="C73" t="inlineStr">
        <is>
          <t>HP</t>
        </is>
      </c>
      <c r="D73" t="inlineStr">
        <is>
          <t>indeed</t>
        </is>
      </c>
      <c r="E73" t="inlineStr"/>
      <c r="F73" t="inlineStr"/>
      <c r="G73" t="inlineStr">
        <is>
          <t>Spring, TX, US</t>
        </is>
      </c>
      <c r="H73" s="2" t="n">
        <v>46005</v>
      </c>
      <c r="I73" t="inlineStr">
        <is>
          <t>**Description \-**
We are seeking a highly skilled **BIOS/UEFI** , **Embedded Firmware \&amp; Software Engineer** to lead the design, development, and debugging of embedded software and firmware for hardware systems. This role is pivotal in ensuring seamless integration between software and hardware components, delivering reliable and efficient system performance. You will collaborate closely with cross\-functional teams including hardware engineers, software developers, QA, and product managers to bring high\-quality products to market.
**\*Must be onsite 4 days a week\***
------------------------------------
**Key Responsibilities**
* Lead the design, development, and debugging of embedded firmware and software for hardware platforms.
* Author and maintain technical documentation and instructional materials for firmware operation.
* Allocate and manage resources for firmware development projects, ensuring timely and high\-quality delivery.
* Design and implement enhancements, updates, and programming changes across firmware subsystems (e.g., DSP, EFI drivers, BIOS/UEFI).
* Analyze system architecture to determine coding, integration, and testing requirements.
* Develop and execute comprehensive test plans and protocols; troubleshoot and resolve firmware issues.
* Lead project teams, including internal and external development partners, to deliver robust and cost\-effective solutions.
* Serve as the primary representative for firmware engineering in complex development projects from architecture to deployment.
* Collaborate with architects, hardware engineers, and product managers to define and refine firmware requirements.
* Stay current with industry trends and emerging technologies in embedded systems and firmware development.
**Qualifications**
**Education \&amp; Experience:**
* Bachelor’s or Master’s degree in Computer Science, Electrical Engineering, or a related field—or equivalent practical experience.
* 5 \- 7\+ years of experience in firmware development.
* **BIOS/UEFI** experience with real\-time operating systems (RTOS), and EFI applications.
**Preferred Skills \&amp; Technologies:**
* Proficiency in embedded C and Python, and systems programming.
* Strong debugging and problem\-solving skills.
* Familiarity with Git, Linux, and Agile development methodologies.
* Knowledge of hardware\-software integration and low\-level system design.
**Core Competencies:**
* Effective communication and collaboration across teams.
* Results\-oriented with strong learning agility.
* Customer\-centric mindset and digital fluency.
**Impact \&amp; Scope**
* Influences multiple teams and may lead project initiatives.
* Facilitates decision\-making and ensures alignment across engineering and product teams.
**Complexity**
* Tackles moderately complex technical challenges within established frameworks and guidelines.
The pay range for this role is **$115,850** to **$178,400**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 US benefits overview )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74">
      <c r="A74" t="inlineStr">
        <is>
          <t>in-4301f23b3d836871</t>
        </is>
      </c>
      <c r="B74" t="inlineStr">
        <is>
          <t>Embedded Firmware and Software Engineer- BIOS/UEFI</t>
        </is>
      </c>
      <c r="C74" t="inlineStr">
        <is>
          <t>HP</t>
        </is>
      </c>
      <c r="D74" t="inlineStr">
        <is>
          <t>indeed</t>
        </is>
      </c>
      <c r="E74" t="inlineStr"/>
      <c r="F74" t="inlineStr"/>
      <c r="G74" t="inlineStr">
        <is>
          <t>Spring, TX, US</t>
        </is>
      </c>
      <c r="H74" s="2" t="n">
        <v>45998</v>
      </c>
      <c r="I74" t="inlineStr">
        <is>
          <t>**Description \-**
We are seeking a highly skilled **BIOS/UEFI** , **Embedded Firmware \&amp; Software Engineer** to lead the design, development, and debugging of embedded software and firmware for hardware systems. This role is pivotal in ensuring seamless integration between software and hardware components, delivering reliable and efficient system performance. You will collaborate closely with cross\-functional teams including hardware engineers, software developers, QA, and product managers to bring high\-quality products to market.
**\*Must be onsite 3 days a week\***
------------------------------------
**Key Responsibilities**
* Lead the design, development, and debugging of embedded firmware and software for hardware platforms.
* Author and maintain technical documentation and instructional materials for firmware operation.
* Allocate and manage resources for firmware development projects, ensuring timely and high\-quality delivery.
* Design and implement enhancements, updates, and programming changes across firmware subsystems (e.g., DSP, EFI drivers, BIOS/UEFI).
* Analyze system architecture to determine coding, integration, and testing requirements.
* Develop and execute comprehensive test plans and protocols; troubleshoot and resolve firmware issues.
* Lead project teams, including internal and external development partners, to deliver robust and cost\-effective solutions.
* Serve as the primary representative for firmware engineering in complex development projects from architecture to deployment.
* Collaborate with architects, hardware engineers, and product managers to define and refine firmware requirements.
* Stay current with industry trends and emerging technologies in embedded systems and firmware development.
**Qualifications**
**Education \&amp; Experience:**
* Bachelor’s or Master’s degree in Computer Science, Electrical Engineering, or a related field—or equivalent practical experience.
* 5 \- 7\+ years of experience in firmware development.
* **BIOS/UEFI** experience with real\-time operating systems (RTOS), and EFI applications.
**Preferred Skills \&amp; Technologies:**
* Proficiency in embedded C and Python, and systems programming.
* Strong debugging and problem\-solving skills.
* Familiarity with Git, Linux, and Agile development methodologies.
* Knowledge of hardware\-software integration and low\-level system design.
The pay range for this role is **$115,850** to **$178,400**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 US benefits overview )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75">
      <c r="A75" t="inlineStr">
        <is>
          <t>in-4c590e610a5f4467</t>
        </is>
      </c>
      <c r="B75" t="inlineStr">
        <is>
          <t>Software Engineer II, Android</t>
        </is>
      </c>
      <c r="C75" t="inlineStr">
        <is>
          <t>Amazon.com</t>
        </is>
      </c>
      <c r="D75" t="inlineStr">
        <is>
          <t>indeed</t>
        </is>
      </c>
      <c r="E75" t="inlineStr"/>
      <c r="F75" t="inlineStr"/>
      <c r="G75" t="inlineStr">
        <is>
          <t>San Francisco, CA, US</t>
        </is>
      </c>
      <c r="H75" s="2" t="n">
        <v>45995</v>
      </c>
      <c r="I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in-ca451567f9210485</t>
        </is>
      </c>
      <c r="B76" t="inlineStr">
        <is>
          <t>Software Engineer II, Twitch</t>
        </is>
      </c>
      <c r="C76" t="inlineStr">
        <is>
          <t>Amazon.com</t>
        </is>
      </c>
      <c r="D76" t="inlineStr">
        <is>
          <t>indeed</t>
        </is>
      </c>
      <c r="E76" t="inlineStr"/>
      <c r="F76" t="inlineStr"/>
      <c r="G76" t="inlineStr">
        <is>
          <t>San Francisco, CA, US</t>
        </is>
      </c>
      <c r="H76" s="2" t="n">
        <v>45995</v>
      </c>
      <c r="I7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in-181730c751dd92d1</t>
        </is>
      </c>
      <c r="B77" t="inlineStr">
        <is>
          <t>Software Engineer II, Twitch</t>
        </is>
      </c>
      <c r="C77" t="inlineStr">
        <is>
          <t>Amazon.com</t>
        </is>
      </c>
      <c r="D77" t="inlineStr">
        <is>
          <t>indeed</t>
        </is>
      </c>
      <c r="E77" t="inlineStr"/>
      <c r="F77" t="inlineStr"/>
      <c r="G77" t="inlineStr">
        <is>
          <t>Seattle, WA, US</t>
        </is>
      </c>
      <c r="H77" s="2" t="n">
        <v>45995</v>
      </c>
      <c r="I7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in-80215be6b78f6959</t>
        </is>
      </c>
      <c r="B78" t="inlineStr">
        <is>
          <t>Software Engineer II, Android</t>
        </is>
      </c>
      <c r="C78" t="inlineStr">
        <is>
          <t>Amazon.com</t>
        </is>
      </c>
      <c r="D78" t="inlineStr">
        <is>
          <t>indeed</t>
        </is>
      </c>
      <c r="E78" t="inlineStr"/>
      <c r="F78" t="inlineStr"/>
      <c r="G78" t="inlineStr">
        <is>
          <t>Irvine, CA, US</t>
        </is>
      </c>
      <c r="H78" s="2" t="n">
        <v>45995</v>
      </c>
      <c r="I7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in-e0fc1ceb113340a8</t>
        </is>
      </c>
      <c r="B79" t="inlineStr">
        <is>
          <t>Software Engineer II, Android</t>
        </is>
      </c>
      <c r="C79" t="inlineStr">
        <is>
          <t>Amazon.com</t>
        </is>
      </c>
      <c r="D79" t="inlineStr">
        <is>
          <t>indeed</t>
        </is>
      </c>
      <c r="E79" t="inlineStr"/>
      <c r="F79" t="inlineStr"/>
      <c r="G79" t="inlineStr">
        <is>
          <t>Seattle, WA, US</t>
        </is>
      </c>
      <c r="H79" s="2" t="n">
        <v>45995</v>
      </c>
      <c r="I7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in-403fe0c51ed17c79</t>
        </is>
      </c>
      <c r="B80" t="inlineStr">
        <is>
          <t>Senior Software Engineer</t>
        </is>
      </c>
      <c r="C80" t="inlineStr">
        <is>
          <t>Microsoft</t>
        </is>
      </c>
      <c r="D80" t="inlineStr">
        <is>
          <t>indeed</t>
        </is>
      </c>
      <c r="E80" t="inlineStr"/>
      <c r="F80" t="inlineStr"/>
      <c r="G80" t="inlineStr">
        <is>
          <t>US</t>
        </is>
      </c>
      <c r="H80" s="2" t="n">
        <v>45991</v>
      </c>
      <c r="I80" t="inlineStr">
        <is>
          <t>**Overview**  
Azure Capacity Infrastructure Service (CIS) is an internal service driving capacity build\-out and decommissioning through automation. Azure is growing at a fast past and all capacity additions go through us. We're a software engineering team partnering with service teams in Azure to automate and drive scenarios such as building Azure clusters, availability zones or regions.
As a Senior Software Engineer on the Azure Capacity Infrastructure Service team, you learn how both Azure backend services and business come together to make the cloud a reality. You’ll design, build, deploy, and run a distributed system to safely orchestrate the refresh process and ensure new product designs are ready to support a full lifecycle.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Java, JavaScript, or Python
	+ OR equivalent experience.
* 4\+ years of experience working on large distributed systems.
* 3\+ years of experience working on Cloud applications (Azure/AWS/GCP).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1">
      <c r="A81" t="inlineStr">
        <is>
          <t>in-4e4260790c3bace1</t>
        </is>
      </c>
      <c r="B81" t="inlineStr">
        <is>
          <t>Lead Software Engineering Program Manager - HP IQ</t>
        </is>
      </c>
      <c r="C81" t="inlineStr">
        <is>
          <t>HP</t>
        </is>
      </c>
      <c r="D81" t="inlineStr">
        <is>
          <t>indeed</t>
        </is>
      </c>
      <c r="E81" t="inlineStr"/>
      <c r="F81" t="inlineStr"/>
      <c r="G81" t="inlineStr">
        <is>
          <t>San Francisco, CA, US</t>
        </is>
      </c>
      <c r="H81" s="2" t="n">
        <v>45991</v>
      </c>
      <c r="I81" t="inlineStr">
        <is>
          <t>**Description \-**
**Who We Are**
HP IQ is HP’s new AI innovation lab. Combining startup agility with HP’s global scale, we’re building intelligent technologies that redefine how the world works, creates, and collaborates.
We’re assembling a diverse, world\-class team—engineers, designers, researchers, and product minds—focused on creating an intelligent ecosystem across HP’s portfolio. Together, we’re developing intuitive, adaptive solutions that spark creativity, boost productivity, and make collaboration seamless.
We create breakthrough solutions that make complex tasks feel effortless, teamwork more natural, and ideas more impactful—always with a human\-centric mindset.
By embedding AI advancements into every HP product and service, we’re expanding what’s possible for individuals, organisations, and the future of work.
Join us as we reinvent work, so people everywhere can do their best work.
**About the Role**
HP IQ is a recently acquired business unit combining the agility of a startup with the scale of an enterprise. We’re seeking a highly motivated Lead Software EPM to drive cross\-functional programs at the intersection of software, hardware, and AI. This role will play a critical part in shaping future\-connected experiences across a diverse portfolio of devices and platforms.This technical leader will be comfortable navigating ambiguity and can help define and drive high\-impact initiatives with minimal upfront guidance.
You may come from a software or systems engineering background and be transitioning into program management, or you may already be a seasoned EPM with deep technical fluency in complex SW\-HW systems development. Either way, curiosity, adaptability, and a desire to learn are essential.
**What You Might Do**
* Own the full lifecycle of software initiatives with strong hardware dependencies—scoping, planning, execution, and delivery—ensuring alignment with strategic goals and engineering excellence.
* Partner closely with software developers, hardware engineering, and product managers to define technical requirements and drive cross\-functional execution.
* Navigate shifting priorities by balancing long\-term platform investments with rapid delivery of impactful user\-facing features.
* Build strong relationships with partner teams across engineering, product, research, and design to align goals and deliver against key milestones.
* Foster a culture of trust, clarity, and shared ownership. Communicate effectively across technical and non\-technical audiences.
**Essential Qualifications**
* Experienced in leading zero\-to\-one product or platform development, ideally in fast\-paced or emerging environments.
* Experience delivering software solutions with closely tied dependencies to embedded hardware and sensor solutions.
* Strong foundation in software product development, with full\-stack systems understanding from cloud services to on\-device components.
* Strong foundation in hardware product development, with an understanding of hardware development life cycles and embedded software development.
* Experience in managing cross functional teams across multiple time zones, including contract firms.
* Bachelor’s Degree in Computer Science, Engineering, or a related technical field—or equivalent practical experience.
* 10\+ years in technical program management, software engineering, or program roles supporting complex hardware\-software development.
* Solid grasp of Agile methodologies and project tracking tools, with a proven track record of driving cross\-functional programs.
* Excellent written and verbal communication skills—able to simplify complex concepts and drive alignment across diverse teams.
* Strong analytical skills, a bias for action, and a proactive, ownership\-driven mindset.
**Preferred Skills**
* Experience within both startup environments and large\-scale enterprise organizations.
* Proven experience in launching software products with hardware dependencies for consumer markets.
* Able to tailor processes to fit team structure, ensuring efficient planning and streamlined status updates.
* Understands how to increase development velocity while maintaining high technical standards and aligning with product and design goals.
* Skilled in using bug and task tracking tools, particularly Jira.
Salary: $190,000\- $240,000
**Compensation \&amp; Benefits (Full\-Time Employees)**
The salary range for this role is listed above. Final salary offered is based upon multiple factors including individual job\-related qualifications, education, experience, knowledge and skills.
At HP IQ, we offer a competitive and comprehensive benefits package,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 US benefits overview )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82">
      <c r="A82" t="inlineStr">
        <is>
          <t>in-84b76a4464c3dee1</t>
        </is>
      </c>
      <c r="B82" t="inlineStr">
        <is>
          <t>Software Engineer II</t>
        </is>
      </c>
      <c r="C82" t="inlineStr">
        <is>
          <t>Microsoft</t>
        </is>
      </c>
      <c r="D82" t="inlineStr">
        <is>
          <t>indeed</t>
        </is>
      </c>
      <c r="E82" t="inlineStr"/>
      <c r="F82" t="inlineStr"/>
      <c r="G82" t="inlineStr">
        <is>
          <t>Redmond, WA, US</t>
        </is>
      </c>
      <c r="H82" s="2" t="n">
        <v>45963</v>
      </c>
      <c r="I82" t="inlineStr">
        <is>
          <t>**Overview**  
As part of Microsoft’s vision of redefining productivity in a mobile\-first and cloud\-first world, we believe the modern workspace is underserved by the existing software solutions and we are building the new, truly modern collaboration and productivity hub for the workspace. Microsoft Teams is core to Microsoft's vision for intelligent communications. We are THE hub for teamwork in Microsoft 365 with hundreds of thousands of organizations and tens of millions of users across the globe using Teams.
We are looking for a **Software Engineer II** to drive our efforts in areas ranging from performance, mobile architecture, and customer growth on an iOS platform. This position is with the Microsoft Teams’ mobile clients team which tackles the toughest challenges in the mobile collaboration and productivity space with customer driven shipping timelines by collaborating with multiple partner teams on technologies across the company and beyond.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Solve and address any issues in the application fundamentals across areas as we continue to build the next generation capabilities for the Teams Mobile Application.
* Improve the system architecture to scale the mobile development agility.
* Understanding and anticipating the needs of our customers in a changing business and technology landscape is critical.
* Understanding of mobile applications and understanding of the competitive landscape and usage scenarios. Product vision and ability to plan and design various features in stages to reach the end goal in an evolutionary way is critical.
* You will be accountable for the design, implementation and delivery of solutions that will directly impact the customer experience and store rating with emphasis on reliability and product performance as the top concern.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2 \+ years experience with iOS technologies Swift, Objective\-C, Swift, Core Data etc. and knowledge of end to end software development life cycle for iOS platform.
\#teamscore \#teams \#cap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3">
      <c r="A83" t="inlineStr">
        <is>
          <t>in-06a5aa12552cb62b</t>
        </is>
      </c>
      <c r="B83" t="inlineStr">
        <is>
          <t>Software Engineer I</t>
        </is>
      </c>
      <c r="C83" t="inlineStr">
        <is>
          <t>Amazon.com</t>
        </is>
      </c>
      <c r="D83" t="inlineStr">
        <is>
          <t>indeed</t>
        </is>
      </c>
      <c r="E83" t="inlineStr"/>
      <c r="F83" t="inlineStr"/>
      <c r="G83" t="inlineStr">
        <is>
          <t>San Francisco, CA, US</t>
        </is>
      </c>
      <c r="H83" s="2" t="n">
        <v>45946</v>
      </c>
      <c r="I8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in-bcbefb770004e570</t>
        </is>
      </c>
      <c r="B84" t="inlineStr">
        <is>
          <t>Software Engineer I</t>
        </is>
      </c>
      <c r="C84" t="inlineStr">
        <is>
          <t>Amazon.com</t>
        </is>
      </c>
      <c r="D84" t="inlineStr">
        <is>
          <t>indeed</t>
        </is>
      </c>
      <c r="E84" t="inlineStr"/>
      <c r="F84" t="inlineStr"/>
      <c r="G84" t="inlineStr">
        <is>
          <t>Irvine, CA, US</t>
        </is>
      </c>
      <c r="H84" s="2" t="n">
        <v>45946</v>
      </c>
      <c r="I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in-cf509e932bb3654e</t>
        </is>
      </c>
      <c r="B85" t="inlineStr">
        <is>
          <t>Software Engineer II</t>
        </is>
      </c>
      <c r="C85" t="inlineStr">
        <is>
          <t>Amazon.com</t>
        </is>
      </c>
      <c r="D85" t="inlineStr">
        <is>
          <t>indeed</t>
        </is>
      </c>
      <c r="E85" t="inlineStr"/>
      <c r="F85" t="inlineStr"/>
      <c r="G85" t="inlineStr">
        <is>
          <t>Irvine, CA, US</t>
        </is>
      </c>
      <c r="H85" s="2" t="n">
        <v>45938</v>
      </c>
      <c r="I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in-6d8636d5d86fc2fa</t>
        </is>
      </c>
      <c r="B86" t="inlineStr">
        <is>
          <t>Software Engineer II</t>
        </is>
      </c>
      <c r="C86" t="inlineStr">
        <is>
          <t>Amazon.com</t>
        </is>
      </c>
      <c r="D86" t="inlineStr">
        <is>
          <t>indeed</t>
        </is>
      </c>
      <c r="E86" t="inlineStr"/>
      <c r="F86" t="inlineStr"/>
      <c r="G86" t="inlineStr">
        <is>
          <t>San Francisco, CA, US</t>
        </is>
      </c>
      <c r="H86" s="2" t="n">
        <v>45938</v>
      </c>
      <c r="I8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in-750d8400f8fd00b1</t>
        </is>
      </c>
      <c r="B87" t="inlineStr">
        <is>
          <t>Software Engineer II</t>
        </is>
      </c>
      <c r="C87" t="inlineStr">
        <is>
          <t>Amazon.com</t>
        </is>
      </c>
      <c r="D87" t="inlineStr">
        <is>
          <t>indeed</t>
        </is>
      </c>
      <c r="E87" t="inlineStr"/>
      <c r="F87" t="inlineStr"/>
      <c r="G87" t="inlineStr">
        <is>
          <t>Culver City, CA, US</t>
        </is>
      </c>
      <c r="H87" s="2" t="n">
        <v>45938</v>
      </c>
      <c r="I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in-d0daa2d464a5bcd5</t>
        </is>
      </c>
      <c r="B88" t="inlineStr">
        <is>
          <t>Software Engineer II</t>
        </is>
      </c>
      <c r="C88" t="inlineStr">
        <is>
          <t>Amazon.com</t>
        </is>
      </c>
      <c r="D88" t="inlineStr">
        <is>
          <t>indeed</t>
        </is>
      </c>
      <c r="E88" t="inlineStr"/>
      <c r="F88" t="inlineStr"/>
      <c r="G88" t="inlineStr">
        <is>
          <t>Irvine, CA, US</t>
        </is>
      </c>
      <c r="H88" s="2" t="n">
        <v>45938</v>
      </c>
      <c r="I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in-1522d96bc2307c2c</t>
        </is>
      </c>
      <c r="B89" t="inlineStr">
        <is>
          <t>Software Engineer II</t>
        </is>
      </c>
      <c r="C89" t="inlineStr">
        <is>
          <t>Amazon.com</t>
        </is>
      </c>
      <c r="D89" t="inlineStr">
        <is>
          <t>indeed</t>
        </is>
      </c>
      <c r="E89" t="inlineStr"/>
      <c r="F89" t="inlineStr"/>
      <c r="G89" t="inlineStr">
        <is>
          <t>San Francisco, CA, US</t>
        </is>
      </c>
      <c r="H89" s="2" t="n">
        <v>45938</v>
      </c>
      <c r="I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in-f8989c0fd14e2eb3</t>
        </is>
      </c>
      <c r="B90" t="inlineStr">
        <is>
          <t>Sr Software Engineer</t>
        </is>
      </c>
      <c r="C90" t="inlineStr">
        <is>
          <t>Amazon.com</t>
        </is>
      </c>
      <c r="D90" t="inlineStr">
        <is>
          <t>indeed</t>
        </is>
      </c>
      <c r="E90" t="inlineStr"/>
      <c r="F90" t="inlineStr"/>
      <c r="G90" t="inlineStr">
        <is>
          <t>San Francisco, CA, US</t>
        </is>
      </c>
      <c r="H90" s="2" t="n">
        <v>45921</v>
      </c>
      <c r="I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in-9dcd1ad5bb4a7ccf</t>
        </is>
      </c>
      <c r="B91" t="inlineStr">
        <is>
          <t>Software Engineer II</t>
        </is>
      </c>
      <c r="C91" t="inlineStr">
        <is>
          <t>Amazon.com</t>
        </is>
      </c>
      <c r="D91" t="inlineStr">
        <is>
          <t>indeed</t>
        </is>
      </c>
      <c r="E91" t="inlineStr"/>
      <c r="F91" t="inlineStr"/>
      <c r="G91" t="inlineStr">
        <is>
          <t>San Francisco, CA, US</t>
        </is>
      </c>
      <c r="H91" s="2" t="n">
        <v>45921</v>
      </c>
      <c r="I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in-ffd1d15465a993a1</t>
        </is>
      </c>
      <c r="B92" t="inlineStr">
        <is>
          <t>Software Engineer II</t>
        </is>
      </c>
      <c r="C92" t="inlineStr">
        <is>
          <t>Amazon.com</t>
        </is>
      </c>
      <c r="D92" t="inlineStr">
        <is>
          <t>indeed</t>
        </is>
      </c>
      <c r="E92" t="inlineStr"/>
      <c r="F92" t="inlineStr"/>
      <c r="G92" t="inlineStr">
        <is>
          <t>Irvine, CA, US</t>
        </is>
      </c>
      <c r="H92" s="2" t="n">
        <v>45921</v>
      </c>
      <c r="I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in-c1a0250dc68161c5</t>
        </is>
      </c>
      <c r="B93" t="inlineStr">
        <is>
          <t>Sr Software Engineer</t>
        </is>
      </c>
      <c r="C93" t="inlineStr">
        <is>
          <t>Amazon.com</t>
        </is>
      </c>
      <c r="D93" t="inlineStr">
        <is>
          <t>indeed</t>
        </is>
      </c>
      <c r="E93" t="inlineStr"/>
      <c r="F93" t="inlineStr"/>
      <c r="G93" t="inlineStr">
        <is>
          <t>Irvine, CA, US</t>
        </is>
      </c>
      <c r="H93" s="2" t="n">
        <v>45921</v>
      </c>
      <c r="I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in-1b97c6d4b8e339f5</t>
        </is>
      </c>
      <c r="B94" t="inlineStr">
        <is>
          <t>Software Engineer I- Ad Demand</t>
        </is>
      </c>
      <c r="C94" t="inlineStr">
        <is>
          <t>Amazon.com</t>
        </is>
      </c>
      <c r="D94" t="inlineStr">
        <is>
          <t>indeed</t>
        </is>
      </c>
      <c r="E94" t="inlineStr"/>
      <c r="F94" t="inlineStr"/>
      <c r="G94" t="inlineStr">
        <is>
          <t>New York, NY, US</t>
        </is>
      </c>
      <c r="H94" s="2" t="n">
        <v>45908</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in-0c3a9a3a5b8e0d5a</t>
        </is>
      </c>
      <c r="B95" t="inlineStr">
        <is>
          <t>Software Engineer I- Ad Demand</t>
        </is>
      </c>
      <c r="C95" t="inlineStr">
        <is>
          <t>Amazon.com</t>
        </is>
      </c>
      <c r="D95" t="inlineStr">
        <is>
          <t>indeed</t>
        </is>
      </c>
      <c r="E95" t="inlineStr"/>
      <c r="F95" t="inlineStr"/>
      <c r="G95" t="inlineStr">
        <is>
          <t>San Francisco, CA, US</t>
        </is>
      </c>
      <c r="H95" s="2" t="n">
        <v>45908</v>
      </c>
      <c r="I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in-15f19d07dedf1ac0</t>
        </is>
      </c>
      <c r="B96" t="inlineStr">
        <is>
          <t>Senior Software Engineer - Query Processing, Aurora DSQL</t>
        </is>
      </c>
      <c r="C96" t="inlineStr">
        <is>
          <t>Amazon Web Services</t>
        </is>
      </c>
      <c r="D96" t="inlineStr">
        <is>
          <t>indeed</t>
        </is>
      </c>
      <c r="E96" t="inlineStr"/>
      <c r="F96" t="inlineStr"/>
      <c r="G96" t="inlineStr">
        <is>
          <t>East Palo Alto, CA, US</t>
        </is>
      </c>
      <c r="H96" s="2" t="n">
        <v>45796</v>
      </c>
      <c r="I9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in-f42f017d17971811</t>
        </is>
      </c>
      <c r="B97" t="inlineStr">
        <is>
          <t>Senior Software Engineer - Query Processing, Aurora DSQL</t>
        </is>
      </c>
      <c r="C97" t="inlineStr">
        <is>
          <t>Amazon Web Services</t>
        </is>
      </c>
      <c r="D97" t="inlineStr">
        <is>
          <t>indeed</t>
        </is>
      </c>
      <c r="E97" t="inlineStr"/>
      <c r="F97" t="inlineStr"/>
      <c r="G97" t="inlineStr">
        <is>
          <t>Seattle, WA, US</t>
        </is>
      </c>
      <c r="H97" s="2" t="n">
        <v>45796</v>
      </c>
      <c r="I9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in-f1316317621a51ca</t>
        </is>
      </c>
      <c r="B98" t="inlineStr">
        <is>
          <t>Software Engineer</t>
        </is>
      </c>
      <c r="C98" t="inlineStr">
        <is>
          <t>CRB</t>
        </is>
      </c>
      <c r="D98" t="inlineStr">
        <is>
          <t>indeed</t>
        </is>
      </c>
      <c r="E98">
        <f>HYPERLINK("https://www.indeed.com/viewjob?jk=f1316317621a51ca", "https://www.indeed.com/viewjob?jk=f1316317621a51ca")</f>
        <v/>
      </c>
      <c r="F98">
        <f>HYPERLINK("https://jobs.smartrecruiters.com/CRB/744000106582154-software-engineer", "https://jobs.smartrecruiters.com/CRB/744000106582154-software-engineer")</f>
        <v/>
      </c>
      <c r="G98" t="inlineStr">
        <is>
          <t>Raleigh, NC, US</t>
        </is>
      </c>
      <c r="H98" s="3" t="n">
        <v>46052</v>
      </c>
      <c r="I98" t="inlineStr">
        <is>
          <t>**Company Description**  
CRB's over 1,100 expert professionals drive innovative, life\-changing and life\-saving solutions for manufacturers in the life sciences and food and beverage industries. Our mission, vision, and core values put client satisfaction and employee experience at the center of everything we do.
As an AEC Firm we proudly specialize in industries that inherently carry important social responsibility \- we recognize our impact and influence in the communities we serve and pursue corporate responsibility through the lens of people, community, and planet. From oncology and rare disorders to COVID\-19 or alternative proteins, our design and construction projects are pioneering solutions addressing important issues such as food scarcity and global health.
 **Job Description**  
As a Software Engineer, you’ll be part of CRB’s growing Innovation team — a group of engineers, developers, and domain experts building digital tools that enhance the design and delivery of world\-class AEC projects. You’ll work in a hybrid development environment that includes both pro\-code (C\#, Python, ASP.NET) and low\-code (Power Platform, Copilot Studio, Dynamo) technologies.
You’ll collaborate with project teams, subject matter experts, and leadership to deliver impactful tools that integrate across the AEC project lifecycle. The ideal candidate is a highly curious, hands\-on developer who thrives in applied problem\-solving and values elegant, maintainable solutions over one\-off fixes. This mid\-level position is ideal for developers with 2–5 years of experience who are comfortable owning features end\-to\-end and contributing to collaborative system design discussions. You’ll be empowered to build real\-world solutions while learning how to scale your impact over time.
* Design, develop, and maintain features for firm\-wide engineering and architectural automation platforms, web applications, APIs, AI Agents, and add\-in tools (e.g., Revit, Excel, ACC, Plant3D, Copilot).
* Collaborate with product owners and end users to clarify requirements, provide estimates, and propose technical solutions.
* Build and maintain new and existing full\-stack tools across pro\-code (C\#, Python, ASP.NET) and low\-code (Power Platform, Copilot Studio) environments.
* Write clean, well\-tested, and maintainable code in various tech stacks.
* Participate in code reviews and provide guidance to junior developers to improve code quality and maintainability.
* Contribute to technical planning and system design discussions alongside senior engineers and leads.
* Apply modern development best practices including testing, CI/CD, DevOps automation, and version control.
* Demo and present solutions to stakeholders, communicating solutions clearly to both technical and non\-technical audiences.
* Identify opportunities to improve engineering workflows and propose technical enhancements that support scalability, maintainability, or performance.
**Qualifications** **Minimum Qualifications**
* Bachelor’s degree in Computer Science, Engineering, or a related technical field (or equivalent experience).
* 2\+ years of professional experience in software development.
* **Proficient in/with:**
	+ Version Control and DevOps tooling (Git, Azure DevOps, CI/CD pipelines)
	+ Object\-oriented programming (C\#, Python, VBA)
	+ Automated Testing
	+ Developing in/for Excel (VBA, VSTO Add\-Ins, Power Query, Office Scripts, etc.)
	+ Developing in/for AEC software platforms (Revit, AutoCAD, Plant3D, ACC)
	+ Leveraging MCP Servers and Agents for software development.
	+ Integrating with external solutions via REST API and/or GraphQL endpoints.
	+ SQL and NoSQL databases, including schema design and data modeling.
* **Demonstrated ability to:**
	+ Design and develop solutions with limited instruction.
	+ Learn independently and from others.
	+ Execute both short\-term and long\-term projects following a plan.
	+ Communicate effectively with technical and non\-technical stakeholders.
	+ Collaborate with a growing team of developers with diverse experience levels.
 **Preferred Qualifications**
* Experience in the AEC or adjacent industry
* Experience owning full features or tooling modules from requirements through deployment.
* Experience across Microsoft’s development stack (e.g., ASP.NET, Azure, Power Platform, Azure AD).
* Experience with visual scripting tools (Dynamo, Grasshopper, Power Automate).
* Experience with data wrangling and visualization tools (Fabric, Power Query, Power BI, Pandas, Spark).
* Experience with modern full\-stack web\-development frameworks and design patterns.
* Experience building and deploying agentic AI Copilots.
* Experience developing generative design or optioneering tools.
 **Additional Information**  
All your information will be kept confidential according to EEO guidelines.
CRB is committed to hiring and retaining a diverse workforce. We are proud to be an Equal Opportunity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t>
        </is>
      </c>
    </row>
    <row r="99">
      <c r="A99" t="inlineStr">
        <is>
          <t>in-cabf9cb6c2a9d2fd</t>
        </is>
      </c>
      <c r="B99" t="inlineStr">
        <is>
          <t>Software Engineer – Conversational AI &amp; Messaging</t>
        </is>
      </c>
      <c r="C99" t="inlineStr">
        <is>
          <t>General Motors (GM)</t>
        </is>
      </c>
      <c r="D99" t="inlineStr">
        <is>
          <t>indeed</t>
        </is>
      </c>
      <c r="E99">
        <f>HYPERLINK("https://www.indeed.com/viewjob?jk=cabf9cb6c2a9d2fd", "https://www.indeed.com/viewjob?jk=cabf9cb6c2a9d2fd")</f>
        <v/>
      </c>
      <c r="F99">
        <f>HYPERLINK("https://generalmotors.wd5.myworkdayjobs.com/en-US/Careers_GM/job/Warren-Michigan-United-States-of-America/Software-Engineer---Conversational-AI---Messaging_JR-202521282", "https://generalmotors.wd5.myworkdayjobs.com/en-US/Careers_GM/job/Warren-Michigan-United-States-of-America/Software-Engineer---Conversational-AI---Messaging_JR-202521282")</f>
        <v/>
      </c>
      <c r="G99" t="inlineStr">
        <is>
          <t>Warren, MI, US</t>
        </is>
      </c>
      <c r="H99" s="3" t="n">
        <v>46051</v>
      </c>
      <c r="I99" t="inlineStr">
        <is>
          <t>**Job Description**
**Work Arrangement:**
Hybrid: This role is categorized as hybrid. This means the successful candidate is expected to report to Austin, TX, or Warren, MI three times per week.
**The Role**
The Messaging and Conversational AI team is seeking a skilled Software Engineer to contribute to the development of next\-generation, customer\-facing AI chat solutions. In this role, you will help bridge the gap between advanced Artificial Intelligence and practical customer assistance , building virtual assistants that serve General Motors customers globally.
As a core contributor, you will be responsible for the implementation and maintenance of conversational experiences. You will exercise independent judgment to resolve non\-routine problems in the Natural Language Understanding (NLU) and Generative AI space within established guidelines. You will collaborate with senior engineers and product managers to deliver performant , production\-grade systems.
**What** **You’ll** **Do (Responsibilities)**
* Develop and deploy scalable, customer\-facing AI chat solutions, acting as a reliable technical resource for the team’s deliverables.
* Leverage Large Language Model (LLM) technologies to create natural, context\-aware, and helpful customer interactions using established design patterns.
* Build and maintain robust integrations between chat interfaces (Web, SMS, Apple Messages for Business) and internal GM backend APIs/services.
* Collaborate with the team by participating in code reviews, sharing knowledge with peers, and contributing to a culture of technical excellence.
* Identify and resolve non\-routine technical issues in the customer support domain, applying learned techniques and judgment to propose solutions.
* Engage with cross\-functional partners (Service Cloud, Data Science, Vehicle Engineering) to ensure proper integration of technical components.
**Your Skills \&amp; Abilities (Required Qualifications)**
* 3–5\+ years of experience in software engineering with strong fluency in Python, Java, or JavaScript/TypeScript.
* Ability to contribute to technical design discussions, make implementation decisions for distributed systems, and drive features from concept to completion.
* Working experience designing and consuming RESTful APIs and microservices.
* Familiarity with CI/CD pipelines, testing frameworks, and monitoring tools.
* U nderstanding of AI chat solution concepts, including NLU/NLP, intent recognition, entity extraction, and dialog management.
* Strong problem\-solving skills and the ability to work in a collaborative environment.
* Bachelor’s degree in computer science or equivalent professional experience.
**What Will Give You** **A** **Competitive Edge (Preferred Qualifications)**
* Direct experience with Salesforce Service Cloud, specifically implementing or configuring Salesforce Messaging for In\-App and Web (MIAW).
* Hands\-on experience specifically with the Google Cloud Platform (GCP) AI stack, including Vertex AI, Agent Builder, or Dialogflow CX.
* Experience supporting RAG (Retrieval\-Augmented Generation) architectures to ground LLM responses in enterprise data.
* Ability to adapt communication style to explain technical concepts to non\-technical stakeholders.
Additional Information:
**This job is not eligible for relocation benefits. Any relocation costs would be the responsibility of the selected candidate.**
GM DOES NOT PROVIDE IMMIGRATION\-RELATED SPONSORSHIP FOR THIS ROLE. DO NOT APPLY FOR THIS ROLE IF YOU WILL NEED GM IMMIGRATION SPONSORSHIP (e.g., H\-1B, TN, STEM OPT, etc.) NOW OR IN THE FUTURE.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00">
      <c r="A100" t="inlineStr">
        <is>
          <t>in-02394de25e4078d8</t>
        </is>
      </c>
      <c r="B100" t="inlineStr">
        <is>
          <t>Senior Software Engineer – Conversational AI &amp; Messaging</t>
        </is>
      </c>
      <c r="C100" t="inlineStr">
        <is>
          <t>General Motors (GM)</t>
        </is>
      </c>
      <c r="D100" t="inlineStr">
        <is>
          <t>indeed</t>
        </is>
      </c>
      <c r="E100">
        <f>HYPERLINK("https://www.indeed.com/viewjob?jk=02394de25e4078d8", "https://www.indeed.com/viewjob?jk=02394de25e4078d8")</f>
        <v/>
      </c>
      <c r="F100">
        <f>HYPERLINK("https://generalmotors.wd5.myworkdayjobs.com/en-US/Careers_GM/job/Warren-Michigan-United-States-of-America/Senior-Software-Engineer---Conversational-AI---Messaging_JR-202521280-1", "https://generalmotors.wd5.myworkdayjobs.com/en-US/Careers_GM/job/Warren-Michigan-United-States-of-America/Senior-Software-Engineer---Conversational-AI---Messaging_JR-202521280-1")</f>
        <v/>
      </c>
      <c r="G100" t="inlineStr">
        <is>
          <t>Warren, MI, US</t>
        </is>
      </c>
      <c r="H100" s="3" t="n">
        <v>46051</v>
      </c>
      <c r="I100" t="inlineStr">
        <is>
          <t>**Job Description**
**Work Arrangement:**
Hybrid: This role is categorized as hybrid. This means the successful candidate is expected to report to Austin, TX, or Warren, MI three times per week.
**The Role**  
The Messaging and Conversational AI team is seeking a driven Senior Software Engineer to lead the development of next\-generation, customer\-facing AI chat solutions. In this critical role, you will bridge the gap between advanced Artificial Intelligence and practical customer assistance , designing virtual assistants that serve General Motors customers globally.
As a technical leader, you will be responsible for the architecture and implementation of conversational experiences. You will exercise independent judgment to solve complex, non\-standard problems in the Natural Language Understanding (NLU) and Generative AI space. You will work closely with product managers and other engineers to deliver performant , production\-grade systems that transform how GM interacts with its customers.
**What** **You’ll** **Do:**
* Architect, develop, and deploy scalable, customer\-facing AI chat solutions and virtual assistants, serving as the technical subject matter expert for the team.
* Leverage Large Language Model (LLM) technologies to create natural, context\-aware, and helpful customer interactions.
* Design and implement robust integrations between chat interfaces (Web, SMS, Apple Messages for Business) and internal GM backend APIs/services to enable self\-service capabilities.
* Serve as a mentor to junior engineers, providing code reviews, architectural guidance, and fostering a culture of technical excellence and "One Team" collaboration.
* Identify broad technical challenges in the customer support domain and devise innovative solutions based on limited precedent, aligning technical outcomes with business goals.
* Partner with cross\-functional teams (Service Cloud, Data Science, Vehicle Engineering) to ensure a seamless customer journey from chat to live agent handoff.
**Your Skills \&amp; Abilities (Required Qualifications):**
* 7\+ years of experience in software engineering with strong fluency in Python, Java, or JavaScript/TypeScript.
* Proven ability to lead technical design discussions, make architectural decisions for distributed systems, and drive projects from concept to production.
* Extensive experience designing and consuming RESTful APIs and microservices.
* U nderstanding of AI chat solution concepts, including NLU/NLP, intent recognition, entity extraction, and dialog management (e.g., Dialogflow , Einstein, or similar).
* Familiarity with CI/CD pipelines, testing frameworks, and monitoring tools.
* Excellent problem\-solving skills and the ability to work in a collaborative environment.
* Bachelor’s degree in Computer Science or equivalent professional experience.
**What Will Give You** **A** **Competitive Edge (Preferred Qualifications):**
* Direct experience with Salesforce Service Cloud, specifically implementing or configuring Salesforce Messaging for In\-App and Web (MIAW).
* Hands\-on experience specifically with the Google Cloud Platform (GCP) AI stack, including Vertex AI, Agent Builder, or Dialogflow CX.
* Experience implementing RAG (Retrieval\-Augmented Generation) architectures to ground LLM responses in enterprise data.
* Excellent verbal and written communication skills, with the ability to explain complex AI concepts to non\-technical stakeholders.
Additional Information:
**Additional Information:**
**This job may be eligible for relocation benefits.**
GM DOES NOT PROVIDE IMMIGRATION\-RELATED SPONSORSHIP FOR THIS ROLE. DO NOT APPLY FOR THIS ROLE IF YOU WILL NEED GM IMMIGRATION SPONSORSHIP (e.g., H\-1B, TN, STEM OPT, etc.) NOW OR IN THE FUTURE.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01">
      <c r="A101" t="inlineStr">
        <is>
          <t>in-6bfe68fb0c89ebfb</t>
        </is>
      </c>
      <c r="B101" t="inlineStr">
        <is>
          <t>Software Engineer</t>
        </is>
      </c>
      <c r="C101" t="inlineStr">
        <is>
          <t>Evolent</t>
        </is>
      </c>
      <c r="D101" t="inlineStr">
        <is>
          <t>indeed</t>
        </is>
      </c>
      <c r="E101">
        <f>HYPERLINK("https://www.indeed.com/viewjob?jk=6bfe68fb0c89ebfb", "https://www.indeed.com/viewjob?jk=6bfe68fb0c89ebfb")</f>
        <v/>
      </c>
      <c r="F101">
        <f>HYPERLINK("https://evolent.wd1.myworkdayjobs.com/en-US/External/job/Work-at-Home/Software-Engineer_JR-915557", "https://evolent.wd1.myworkdayjobs.com/en-US/External/job/Work-at-Home/Software-Engineer_JR-915557")</f>
        <v/>
      </c>
      <c r="G101" t="inlineStr">
        <is>
          <t>Remote, US</t>
        </is>
      </c>
      <c r="H101" s="3" t="n">
        <v>46051</v>
      </c>
      <c r="I101" t="inlineStr">
        <is>
          <t>Your Future Evolves Here
Evolent partners with health plans and providers to achieve better outcomes for people with most complex and costly health conditions. Working across specialties and primary care, we seek to connect the pieces of fragmented health care system and ensure people get the same level of care and compassion we would want for our loved ones.
Evolent employees enjoy work/life balance, the flexibility to suit their work to their lives, and autonomy they need to get things done. We believe that people do their best work when they're supported to live their best lives, and when they feel welcome to bring their whole selves to work. That's one reason why diversity and inclusion are core to our business.
Join Evolent for the mission. Stay for the culture.
What You’ll Be Doing:
Responsibilities
1\. Design, develop, test, and maintain software applications using modern programming languages
and frameworks.
2\. Collaborate with product managers, designers, and other engineers to translate requirements
into technical specifications.
3\. Write clean, maintainable, and efficient code, following best practices and coding standards.
4\. Participate in code reviews to ensure code quality, functionality, and maintainability.
5\. Troubleshoot, debug, and resolve technical issues and bugs in a timely manner.
6\. Optimize applications for maximum performance, scalability, and reliability.
7\. Contribute to the continuous improvement of development processes, tools, and
methodologies.
8\. Stay up\-to\-date with emerging technologies and industry trends, and apply them to improve our
products and solutions.
Requirements
1\. Bachelor’s degree in Computer Science, Software Engineering, or a related field, or equivalent
practical experience.
2\. Proven experience in software development using languages such as C\#, Java, Python, JavaScript,
etc.
3\. Proven experience in data engineering using SQL
4\. Strong understanding of software design principles, algorithms, and data structures.
5\. Experience with front\-end frameworks (e.g., React, Angular, Vue) and/or back\-end technologies
(e.g., Node.js, Django, Spring).
6\. Familiarity with version control systems such as Git and collaborative coding workflows.
7\. Experience with cloud platforms (e.g., Azure, AWS, Google Cloud) and containerization tools
(e.g., Docker, Kubernetes).
8\. Ability to write unit, integration, and end\-to\-end tests to ensure code quality and reliability.
9\. Excellent problem\-solving skills and the ability to work independently and as part of a team.
10\. Strong communication skills with the ability to articulate technical concepts to both technical
and non\-technical stakeholders.
To ensure a secure hiring process we have implemented several identity verification steps, including submission of a government issued photo ID. We conduct identity verification during interviews, and final interviews may require onsite attendance. All candidates must complete a comprehensive background check, in\-person I\-9 verification, and may be subject to drug screening prior to employment. The use of artificial intelligence tools during interviews is prohibited and monitored. Misrepresentation will result in immediate disqualification from consideration.
Technical Requirements:
We require that all employees have the following technical capability at their home: High speed internet over 10 Mbps and, specifically for all call center employees, the ability to plug in directly to the home internet router. These at\-home technical requirements are subject to change with any scheduled re\-opening of our office locations.
Evolent is an equal opportunity employer and considers all qualified applicants equally without regard to race, color, religion, sex, sexual orientation, gender identity, national origin, veteran status, or disability status. If you need reasonable accommodation to access the information provided on this website, please contact recruiting@evolent.com for further assistance.
The expected base salary/wage range for this position is $95,000 \- 105,000\. This position is also eligible for a bonus component that would be dependent on pre\-defined performance factors. As part of our total compensation package, Evolent is proud to offer comprehensive benefits (including health insurance benefits) to qualifying employees. All compensation determinations are based on the skills and experience required for the position and commensurate with experience of selected individuals, which may vary above and below the stated amounts.</t>
        </is>
      </c>
    </row>
    <row r="102">
      <c r="A102" t="inlineStr">
        <is>
          <t>in-db393fc7bc673389</t>
        </is>
      </c>
      <c r="B102" t="inlineStr">
        <is>
          <t>Staff Software Engineer (Ad-Tech)</t>
        </is>
      </c>
      <c r="C102" t="inlineStr">
        <is>
          <t>Genius Sports</t>
        </is>
      </c>
      <c r="D102" t="inlineStr">
        <is>
          <t>indeed</t>
        </is>
      </c>
      <c r="E102">
        <f>HYPERLINK("https://www.indeed.com/viewjob?jk=db393fc7bc673389", "https://www.indeed.com/viewjob?jk=db393fc7bc673389")</f>
        <v/>
      </c>
      <c r="F102">
        <f>HYPERLINK("https://www.geniussports.com/careers/job/7610739003/", "https://www.geniussports.com/careers/job/7610739003/")</f>
        <v/>
      </c>
      <c r="G102" t="inlineStr">
        <is>
          <t>New York, NY, US</t>
        </is>
      </c>
      <c r="H102" s="3" t="n">
        <v>46051</v>
      </c>
      <c r="I102" t="inlineStr">
        <is>
          <t>By bringing together next\-gen technology and the finest live data available, Genius Sports is enabling a new era of sports for fans worldwide, delivering experiences that are more immersive, interactive and personalized than ever before.
About the Role
We are looking for a Staff Software Engineer who brings deep technical expertise, strong ownership, and a continuous learning mindset to the tools and products they build. At this level, we believe great engineers operate effectively across problem spaces, lead through influence, and help shape both technical direction and engineering culture.
You will be trusted to take on complex, ambiguous problems and drive them to successful outcomes, applying best practices in Agile software development along the way. We value engineers who can adapt quickly, learn new technologies as needed, and focus on delivering meaningful impact rather than being constrained by specific languages or frameworks.
We will lean on your technical leadership, pragmatic decision\-making, and ability to balance short\-term delivery with long\-term system health. You will work in an environment that prioritizes Agile principles, continuous improvement, and data\-driven decision\-making. You are comfortable forming and testing hypotheses, validating assumptions through experimentation, and using evidence to guide architectural and product decisions.
Key Responsibilities
Lead the design, development, and evolution of robust data platforms and backend systems and services.
Act as a technical authority within and across teams, influencing architectural decisions and setting engineering standards.
Collaborate closely with data engineers, product managers, and other stakeholders to define system boundaries, APIs, processes, and long\-term technical direction.
Drive improvements in performance, scalability, reliability, and operability across critical systems.
Design and implement efficient, resilient data storage and data access patterns.
Write high\-quality, maintainable code and advocate for best practices in code quality, testing, and documentation.
Identify, troubleshoot, and resolve complex production issues, including leading root\-cause analysis and preventative improvements.
Champion continuous improvement by evaluating new technologies, tools, and approaches where they provide clear value.
Mentor and coach engineers across teams, supporting technical growth and raising the overall engineering bar.
Qualifications
Strong proficiency in Java or other JVM languages, Spring, Rust, or Go.
Extensive experience designing and working with RESTful APIs and distributed services.
Broad experience implementing data platform management and aggregation pipelines using tools like Spark, Map/Reduce, Airflow, Hadoop, Snowflake, Databricks, or other “Big Data” toolsets.
Solid understanding of relational and NoSQL databases, including trade\-offs in data modeling and consistency.
Experience using version control systems (e.g. Git) in collaborative, multi\-team environments.
Proven ability to solve complex problems and make sound technical decisions in ambiguous situations.
Ability to work independently while also leading and influencing teams without formal authority.
Excellent communication skills, with the ability to explain complex technical concepts to diverse audiences.
Preferred Qualifications
Experience with multiple architectural and software frameworks.
Experience working in container based environments (e.g. Docker, Kubernetes)
Knowledge of modern build pipelines and tools.
Familiarity with Agile development methodologies.
Experience with testing frameworks.
The salary for this role is based on an annualized range of $215,000 \- $250,000 USD. This role will also be eligible to take part in Genius Sports Group's benefits plan.
We enjoy an ‘office\-first’ culture and maximize opportunities to collaborate, connect and learn together. Our hybrid working models differ depending on your role and location. Occasional travel may be required.
As well as a competitive salary and range of benefits, we’re committed to supporting employee wellbeing and helping you grow your skills, experience and career.
We strive to create an inclusive working environment, where everyone feels a sense of belonging and the ability to make a difference.
Let us know when you apply if you need any assistance during the recruiting process due to a disability.</t>
        </is>
      </c>
    </row>
    <row r="103">
      <c r="A103" t="inlineStr">
        <is>
          <t>in-6ab89dab70401d38</t>
        </is>
      </c>
      <c r="B103" t="inlineStr">
        <is>
          <t>Senior Full Stack Engineer, Plans Engineering</t>
        </is>
      </c>
      <c r="C103" t="inlineStr">
        <is>
          <t>Collective Health</t>
        </is>
      </c>
      <c r="D103" t="inlineStr">
        <is>
          <t>indeed</t>
        </is>
      </c>
      <c r="E103">
        <f>HYPERLINK("https://www.indeed.com/viewjob?jk=6ab89dab70401d38", "https://www.indeed.com/viewjob?jk=6ab89dab70401d38")</f>
        <v/>
      </c>
      <c r="F103">
        <f>HYPERLINK("https://grnh.se/9vs3d4sr1us", "https://grnh.se/9vs3d4sr1us")</f>
        <v/>
      </c>
      <c r="G103" t="inlineStr">
        <is>
          <t>Lehi, UT, US</t>
        </is>
      </c>
      <c r="H103" s="3" t="n">
        <v>46051</v>
      </c>
      <c r="I103" t="inlineStr">
        <is>
          <t>At Collective Health, we're transforming how employers and their people engage with their health benefits by seamlessly integrating cutting\-edge technology, compassionate service, and world\-class user experience design.
You will be part of the Plans Engineering Team. The team is responsible for designing and building the applications and services used to create and manage healthcare plans on behalf of our clients, the core of our business.
### **What you'll do:**
* Build the software that we use to create, configure, and manage complex healthcare plans for our clients
* Lead end\-to\-end development of services across the stack, from backend to frontend
* Design and develop scalable, secure and configurable services
* Collaborate with product managers, other engineers, and teams across the company to solve complex real\-world problems
* Participate in team projects, from understanding the challenges we are solving for to proposing and implementing solutions
* Drive architectural decisions and champion reusable patterns for cloud\-native, AI\-enabled systems
* Mentor other engineers and influence best engineering practices in system design, testing, and continuous delivery
* Employ agile methodologies to manage sprints and ensure continuous delivery
### **To be successful in this role, you'll need:**
* 5 or more years experience working as a full stack engineer
* Prior experience architecting, building, launching and maintaining complex systems
* Be well\-versed in technologies such as Java \&amp; Spring with a strong understanding of microservices architecture
* Experience building frontend features in React/Angular, even if it's not your primary focus
* Experience working hands on with native cloud capabilities with AWS/GCP
* Hands\-on experience with data architecture, SQL/PostgreSQL
* Experience using and driving the use of AI\-enhanced development tooling like GitHub Copilot, Cursor, or WindSurf as part of your regular development workflow
* Ability to clearly communicate across teams
* To enjoy working with a team of awesome collaborative co\-workers
### **Pay Transparency Statement**
This is a hybrid position based out of one of our offices: San Francisco, CA, Plano, TX, or Lehi, UT. Hybrid employees are expected to be in the office two days per week.\#LI\-hybrid
The actual pay rate offered within the range will depend on factors including geographic location, qualifications, experience, and internal equity. In addition to the salary, you will be eligible for 115,000 stock options and benefits like health insurance, 401k, and paid time off*.* Learn more about our benefits at https://jobs.collectivehealth.com/benefits/.
### **Why Join Us?**
* Mission\-driven culture that values innovation, collaboration, and a commitment to excellence in healthcare
* Impactful projects that shape the future of our organization
* Opportunities for professional development through internal mobility opportunities, mentorship programs, and courses tailored to your interests
* Flexible work arrangements and a supportive work\-life balance
We are an equal opportunity employer and value diversity at our company. We do not discriminate on the basis of race, religion, color, national origin, gender, sexual orientation, age, marital status, veteran status, or disability status. Collective Health is committed to providing support to candidates who require reasonable accommodation during the interview process. If you need assistance, please contact recruiting\-accommodations@collectivehealth.com.
### **Privacy Notice**
For more information about why we need your data and how we use it, please see our privacy policy: https://collectivehealth.com/privacy\-policy/.</t>
        </is>
      </c>
    </row>
    <row r="104">
      <c r="A104" t="inlineStr">
        <is>
          <t>in-eba9e52ca22bee90</t>
        </is>
      </c>
      <c r="B104" t="inlineStr">
        <is>
          <t>Software Engineer III</t>
        </is>
      </c>
      <c r="C104" t="inlineStr">
        <is>
          <t>Truist</t>
        </is>
      </c>
      <c r="D104" t="inlineStr">
        <is>
          <t>indeed</t>
        </is>
      </c>
      <c r="E104">
        <f>HYPERLINK("https://www.indeed.com/viewjob?jk=eba9e52ca22bee90", "https://www.indeed.com/viewjob?jk=eba9e52ca22bee90")</f>
        <v/>
      </c>
      <c r="F104">
        <f>HYPERLINK("https://careers.truist.com/us/en/job/TBJTBFUSR0110799EXTERNALENUS/Software-Engineer-III?utm_source=indeed&amp;utm_medium=phenom-feeds", "https://careers.truist.com/us/en/job/TBJTBFUSR0110799EXTERNALENUS/Software-Engineer-III?utm_source=indeed&amp;utm_medium=phenom-feeds")</f>
        <v/>
      </c>
      <c r="G104" t="inlineStr">
        <is>
          <t>Wilson, NC, US</t>
        </is>
      </c>
      <c r="H104" s="3" t="n">
        <v>46051</v>
      </c>
      <c r="I104"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In this role you innovate in a team building an AInative Internal Developer Platform where agentic AI and GitOps converge to reinvent developer experience. We’re moving beyond humanonly workflows to autonomous, agentdriven delivery that learns, documents, tests, and ships with minimal friction—so engineers can focus on higherorder problem solving. You’ll help shape paved paths that are secure by default, observable by design, and delightful to use.
You’ll productize a GitOpsfirst, Ansiblepowered automation factory across OpenShift/Kubernetes, GitLab, Argo CD, Backstage, and OpenTelemetry. Expect to design reusable templates, policyascode guardrails, and autonomous runbooks that compress lead time from days to minutes. If you love turning complex platforms into elegant self\-service and are excited by AI agents that code, document, and operate alongside humans, let’s build the next era of delivery together.
What success looks like: within months, your golden paths are the default for new services, most changes flow through GitOps with Ansiblepowered automation, and agentic assistants reliably generate docs/tests and handle routine ops. Lead time shrinks, noisy alerts drop, and platform SLOs remain steady—clear, measurable improvements that teams choose because they work.
* Performs problem tracking, diagnosis and root\-cause analysis, replication, troubleshooting, and resolution for complex issues. In this capacity, performs programming and debugging activities.
* Responds to issues in a timely manner by receiving and investigating incidents or service tickets.
* Analyzes and observes trends with technical issues and develops recommendations for long\- term improvements.
* Documents all relevant end\-user interactions and steps taken to resolve incidents.
* Has occasional contact with end\-users.
* Communicates status of issue resolution to internal customers.
* May engage and manage outside vendors.
* Applies in\-depth knowledge of application support and an understanding of best practices.
* Typically leads moderately complex projects and participates in larger, more complex initiatives.
* Solves complex technical and operational problems.
* Acts as a resource for teammates with less experience.
* May have people management responsibilities for a small team.
For this opportunity: Truist will not sponsor an applicant for work visa status or employment authorization, nor will we offer any immigration\-related support for this position (including, but not limited to H\-1B, F\-1 OPT, F\-1 STEM OPT, F\-1 CPT, J\-1, TN\-1 or TN\-2, E\-3, O\-1, or future sponsorship for U.S. lawful permanent residence status.)  
This position is office\-centric 5 days a week in one of the following offices. (Atlanta, GA, Charlotte, NC, Raleigh, NC, Richmond VA or Wilson, NC.)**ESSENTIAL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six to ten years of experience or equivalent education and software engineering training or experience
2\. In\-depth knowledge in information systems and ability to identify, apply, and implement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1\. **Bachelor's degree and six years of experience** or an equivalent combination of education and work experience.
2\. **Kubernetes/OpenShift** operations at scale (multicluster upgrades, DR, capacity planning).
3\. **GitOps** with **Argo CD** and **GitLab CI** pipeline design for secure, repeatable delivery.
4\. **Ansible** roles/playbooks for ops automation and autonomous runbooks.
5\. **Terraform** module design, versioning, and environment promotion patterns.
6\. **Backstage** extensions (plugins, software templates, scorecards, service catalog).
7\. **OpenTelemetryfirst** observability (Prometheus, Grafana, Jaeger) with SLObased alerting.
8\. **Policyascode** (OPA/Gatekeeper or Kyverno) and admission controls for guardrails.
9\. **Software supply chain security** (SBOMs, artifact signing—e.g., cosign, provenance/SLSA) and **secrets management** (Vault/KMS).
10\. **AI/LLM integration** in SDLC (agent workflows for code/tests/docs, evals, guardrails, function calling).
11\. **SRE mindset** (SLOs/error budgets, incident management) with **FinOps awareness** for cost allocation and optimization.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05">
      <c r="A105" t="inlineStr">
        <is>
          <t>in-e649e6ecb358e5f5</t>
        </is>
      </c>
      <c r="B105" t="inlineStr">
        <is>
          <t>Software Engineer II</t>
        </is>
      </c>
      <c r="C105" t="inlineStr">
        <is>
          <t>Truist</t>
        </is>
      </c>
      <c r="D105" t="inlineStr">
        <is>
          <t>indeed</t>
        </is>
      </c>
      <c r="E105">
        <f>HYPERLINK("https://www.indeed.com/viewjob?jk=e649e6ecb358e5f5", "https://www.indeed.com/viewjob?jk=e649e6ecb358e5f5")</f>
        <v/>
      </c>
      <c r="F105">
        <f>HYPERLINK("https://careers.truist.com/us/en/job/TBJTBFUSR0110801EXTERNALENUS/Software-Engineer-II?utm_source=indeed&amp;utm_medium=phenom-feeds", "https://careers.truist.com/us/en/job/TBJTBFUSR0110801EXTERNALENUS/Software-Engineer-II?utm_source=indeed&amp;utm_medium=phenom-feeds")</f>
        <v/>
      </c>
      <c r="G105" t="inlineStr">
        <is>
          <t>Atlanta, GA, US</t>
        </is>
      </c>
      <c r="H105" s="3" t="n">
        <v>46051</v>
      </c>
      <c r="I105"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In this role you innovate in a team building an AInative Internal Developer Platform where agentic AI and GitOps converge to reinvent developer experience. We’re moving beyond humanonly workflows to autonomous, agentdriven delivery that learns, documents, tests, and ships with minimal friction—so engineers can focus on higherorder problem solving. You’ll help shape paved paths that are secure by default, observable by design, and delightful to use.
You’ll productize a GitOpsfirst, Ansiblepowered automation factory across OpenShift/Kubernetes, GitLab, Argo CD, Backstage, and OpenTelemetry. Expect to design reusable templates, policyascode guardrails, and autonomous runbooks that compress lead time from days to minutes. If you love turning complex platforms into elegant self\-service and are excited by AI agents that code, document, and operate alongside humans, let’s build the next era of delivery together.
What success looks like: within months, your golden paths are the default for new services, most changes flow through GitOps with Ansiblepowered automation, and agentic assistants reliably generate docs/tests and handle routine ops. Lead time shrinks, noisy alerts drop, and platform SLOs remain steady—clear, measurable improvements that teams choose because they work.
* Performs problem tracking, diagnosis and root\-cause analysis, replication, troubleshooting, and resolution for complex issues. In this capacity, performs programming and debugging activities.
* Responds to issues in a timely manner by receiving and investigating incidents or service tickets.
* Analyzes and observes trends with technical issues and develops recommendations for long\- term improvements.
* Documents all relevant end\-user interactions and steps taken to resolve incidents.
* Has occasional contact with end\-users.
* Communicates status of issue resolution to internal customers.
* May engage and manage outside vendors.
* Applies in\-depth knowledge of application support and an understanding of best practices.
* Typically leads moderately complex projects and participates in larger, more complex initiatives.
* Solves complex technical and operational problems.
* Acts as a resource for teammates with less experience.
* May have people management responsibilities for a small team.
For this opportunity: Truist will not sponsor an applicant for work visa status or employment authorization, nor will we offer any immigration\-related support for this position (including, but not limited to H\-1B, F\-1 OPT, F\-1 STEM OPT, F\-1 CPT, J\-1, TN\-1 or TN\-2, E\-3, O\-1, or future sponsorship for U.S. lawful permanent residence status.)  
This position is office\-centric 5 days a week in one of the following offices. (Atlanta, GA, Charlotte, NC, Raleigh, NC, Richmond VA or Wilson, NC.)**ESSENTIAL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four to seven years of experience or equivalent education and software engineering training or experience  
2\. In\-depth knowledge in information systems and ability to identify, apply, and implement IT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1\. **Bachelor's degree and 4 to 7 years of experience** or an equivalent combination of education and work experience.
2\. **Kubernetes/OpenShift** operations at scale (multicluster upgrades, DR, capacity planning).
3\. **GitOps** with **Argo CD** and **GitLab CI** pipeline design for secure, repeatable delivery.
4\. **Ansible** roles/playbooks for ops automation and autonomous runbooks.
5\. **Terraform** module design, versioning, and environment promotion patterns.
6\. **Backstage** extensions (plugins, software templates, scorecards, service catalog).
7\. **OpenTelemetryfirst** observability (Prometheus, Grafana, Jaeger) with SLObased alerting.
8\. **Policyascode** (OPA/Gatekeeper or Kyverno) and admission controls for guardrails.
9\. **Software supply chain security** (SBOMs, artifact signing—e.g., cosign, provenance/SLSA) and **secrets management** (Vault/KMS).
10\. **AI/LLM integration** in SDLC (agent workflows for code/tests/docs, evals, guardrails, function calling).
11\. **SRE mindset** (SLOs/error budgets, incident management) with **FinOps awareness** for cost allocation and optimization.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06">
      <c r="A106" t="inlineStr">
        <is>
          <t>in-2c17033e27d1a699</t>
        </is>
      </c>
      <c r="B106" t="inlineStr">
        <is>
          <t>Software Engineer II</t>
        </is>
      </c>
      <c r="C106" t="inlineStr">
        <is>
          <t>Truist</t>
        </is>
      </c>
      <c r="D106" t="inlineStr">
        <is>
          <t>indeed</t>
        </is>
      </c>
      <c r="E106">
        <f>HYPERLINK("https://www.indeed.com/viewjob?jk=2c17033e27d1a699", "https://www.indeed.com/viewjob?jk=2c17033e27d1a699")</f>
        <v/>
      </c>
      <c r="F106">
        <f>HYPERLINK("https://careers.truist.com/us/en/job/TBJTBFUSR0110824EXTERNALENUS/Software-Engineer-II?utm_source=indeed&amp;utm_medium=phenom-feeds", "https://careers.truist.com/us/en/job/TBJTBFUSR0110824EXTERNALENUS/Software-Engineer-II?utm_source=indeed&amp;utm_medium=phenom-feeds")</f>
        <v/>
      </c>
      <c r="G106" t="inlineStr">
        <is>
          <t>Raleigh, NC, US</t>
        </is>
      </c>
      <c r="H106" s="3" t="n">
        <v>46051</v>
      </c>
      <c r="I106"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four to seven years of experience or equivalent education and software engineering training or experience  
2\. In\-depth knowledge in information systems and ability to identify, apply, and implement IT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1\. College degree in Computer Science, math or related field of study1\. Bachelor’s degree in computer science, computer engineering or related degree and eight years of experience or an equivalent combination of education and work experience  
2\. Knowledge of specific applications, technology platforms, programming languages, systems, or business segments  
3\. Banking or financial services experience. Knowledge of one or more of the following: Solid foundation in data structures, algorithms, and software design with strong analytical and debugging skills  
4\. Professional experience building high\-quality apps or services from the ground up and scaling at an enterprise level  
5\. Experience with Open Source tools and frameworks  
6\. Experience with cloud technologies, such as AWS, Azure, or GCP  
7\. Strong understanding of SOA and/or Open API methodologies and service architectures  
8\. Experience using web servers, application containers, caching technologies  
9\. Solid knowledge of relational database design and development (SQL, stored procedures, data modeling)  
10\. Experience with messaging systems (i.e., MQ and JMS)  
11\. Experience with build tools, such as Git, Maven, and Jenkins. Proven ability to write comprehensive unit and integration tests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07">
      <c r="A107" t="inlineStr">
        <is>
          <t>in-65c20c651559ae26</t>
        </is>
      </c>
      <c r="B107" t="inlineStr">
        <is>
          <t>Software Engineer</t>
        </is>
      </c>
      <c r="C107" t="inlineStr">
        <is>
          <t>Prudential</t>
        </is>
      </c>
      <c r="D107" t="inlineStr">
        <is>
          <t>indeed</t>
        </is>
      </c>
      <c r="E107">
        <f>HYPERLINK("https://www.indeed.com/viewjob?jk=65c20c651559ae26", "https://www.indeed.com/viewjob?jk=65c20c651559ae26")</f>
        <v/>
      </c>
      <c r="F107">
        <f>HYPERLINK("https://pru.wd5.myworkdayjobs.com/en-US/Careers/job/Newark-NJ-USA/Software-Engineer_R-123345-1", "https://pru.wd5.myworkdayjobs.com/en-US/Careers/job/Newark-NJ-USA/Software-Engineer_R-123345-1")</f>
        <v/>
      </c>
      <c r="G107" t="inlineStr">
        <is>
          <t>Newark, NJ, US</t>
        </is>
      </c>
      <c r="H107" s="3" t="n">
        <v>46051</v>
      </c>
      <c r="I107" t="inlineStr">
        <is>
          <t>Job Classification:
Technology \- Engineering \&amp; Cloud
Are you interested in building capabilities that enable the organization with innovation, speed, agility, scalability and efficiency? The Global Technology team takes great pride in our culture where digital transformation is built into our DNA! When you join our organization at Prudential, you’ll unlock an exciting and impactful career – all while growing your skills and advancing your profession at one of the world’s leading financial services institutions.  
Your Team \&amp; Role  
As a Software Engineer in Group Insurance, you will partner with product owners, tech leads, designers, engineers and delivery professionals. You will code, test and debug new and existing applications as you implement capabilities to solve sophisticated business problems, deploy innovative products, services and experiences to delight our customers! In addition to applied experience, you will bring excellent problem solving, communication and teamwork skills, along with agile ways of working, strong business insight, an inclusive leadership attitude and a continuous learning focus to all that you do.  
Here is What You Can Expect on a Typical Day* Build applications ensuring that the code follows latest coding practices and industry standards, using modern design patterns and architectural principles; actively code against the roadmap
* Develop high quality, well documented and efficient code adhering to all applicable Prudential standards
* Collaborate with product owners in understanding needs and defining feature stories, tech leads in defining technical design and other team members to understand the system end\-to\-end and deliver robust solutions that bring about business impact
* Write unit, integration tests and functional automation, researching problems discovered by quality assurance or product support, developing solutions to address the problems
* Bring an applied understanding of relevant and emerging technologies, begin to identify opportunities to provide input to the team and coach others, and embed learning and innovation in the day\-to\-day
* Work on complex problems in which analysis of situations or data requires an in\-depth evaluation of various factors
* Use programming languages including but not limited to Python, Java, or JavaScript and React, Springboot, Node.js frameworks
The Skills \&amp; Expertise You Bring* Bachelor of Computer Science or Engineering or experience in related fields
* Leverage diverse ideas, experiences, thoughts and perspectives to the benefit of the organization
* Experience with agile development methodologies and Test\-Driven Development (TDD)
* Knowledge of business concepts tools and processes that are needed for making sound decisions in the context of the company's business
* Ability to learn new skills and knowledge on an on\-going basis through self\-initiative and tackling challenges
* Excellent problem solving, communication and collaboration skills
Applied experience with several of the following:* Programming Languages: Python, Java or Java Script; working in distributed systems, object\-oriented programming, design patterns and design methodology; JAVA services using Spring CLI, Maven, Microservice, multi\-threading, Concurrency and parallel processing
* Frameworks: React, Springboot, Node.js, such as Full / MEAN / MERN stack
* Data Store: NoSQL or Relational Data structures; MongoDB BPM tools
* Data Streaming: SQS, Kinesis
* Application Programming Interfaces (API): Consumption \&amp; Development; implementing service oriented architecture (SOA) patterns; Web service technologies such as APIs, REST, JSON, SOAP, XML, JDBC, MySQL
* Unit, interface and end user testing concepts and tooling (functional \&amp; non\-functional)
* Automated testing
* Accessibility awareness
* Software security skills including secure coding, web application security and DevSecOps; Solid grasp of security concepts (authentication, authorization, encryption, digital signature, JWT), SSL, web service proxies, firewall, SAML 2\.0, OpenID Connect, OAuth 2\.0\)
* Dev Ops Tools \&amp; Practices: Branching techniques and usage of GitHub, Bitbucket or Subversion; DevOps, Jenkins
* Software Development Life Cycle (SDLC): Monitoring and logging techniques
* AWS Core Services: AWS Services such as CloudWatch, Code\-Deploy
Preferred qualifications:* AWS Development
* Architecture Patterns
* Design Thinking
* Financial/Insurance industry knowledge is a plus, not a must
You’ll Love Working Here Because You Can  
Join a team and culture where your voice matters; where every day, your work transforms our experiences to make lives better. As you put your skills to use, we’ll help you make an even bigger impact with learning experiences that can grow your technical AND leadership capabilities. You’ll be surprised by what this rock\-solid organization has in store for you.
What we offer you:
Prudential is required by state specific laws to include the salary range for this role when hiring a resident in applicable locations. The salary range for this role is from $82,000\.00 to $135,300\.00\. Specific pricing for the role may vary within the above range based on many factors including geographic location, candidate experience, and skills.*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108">
      <c r="A108" t="inlineStr">
        <is>
          <t>in-f32223ac3ae9ae99</t>
        </is>
      </c>
      <c r="B108" t="inlineStr">
        <is>
          <t>Software Engineer</t>
        </is>
      </c>
      <c r="C108" t="inlineStr">
        <is>
          <t>Prudential</t>
        </is>
      </c>
      <c r="D108" t="inlineStr">
        <is>
          <t>indeed</t>
        </is>
      </c>
      <c r="E108">
        <f>HYPERLINK("https://www.indeed.com/viewjob?jk=f32223ac3ae9ae99", "https://www.indeed.com/viewjob?jk=f32223ac3ae9ae99")</f>
        <v/>
      </c>
      <c r="F108">
        <f>HYPERLINK("https://pru.wd5.myworkdayjobs.com/en-US/Careers/job/Newark-NJ-USA/Software-Engineer_R-123375-1", "https://pru.wd5.myworkdayjobs.com/en-US/Careers/job/Newark-NJ-USA/Software-Engineer_R-123375-1")</f>
        <v/>
      </c>
      <c r="G108" t="inlineStr">
        <is>
          <t>Newark, NJ, US</t>
        </is>
      </c>
      <c r="H108" s="3" t="n">
        <v>46051</v>
      </c>
      <c r="I108" t="inlineStr">
        <is>
          <t>Job Classification:
Technology \- Engineering \&amp; Cloud
Are you interested in building capabilities that enable the organization with innovation, speed, agility, scalability, and efficiency? The Corporate Technology team takes great pride in our culture where digital transformation is built into our DNA! When you join our organization at Prudential, you’ll unlock an exciting and impactful career – all while growing your skills and advancing your profession at one of the world’s leading financial services institutions.
Your Team
As a Software Engineer in Corporate Technology, you will partner with product owners, tech leads, designers, engineers and delivery professionals to improve financial reporting applications and dashboards. You will code, test and debug new and existing applications as you implement capabilities to solve sophisticated business problems, deploy innovative products, services and experiences for the Finance and Actuarial community. In addition to application development, the role will have opportunities to engineer data pipelines and build dashboards with a variety of business intelligence tools.
Here is What You Can Expect on a Typical Day* Build front\-end applications ensuring that the code follows latest coding practices and standards
* Use programming languages including but not limited to Python, Java, or JavaScript and React, Springboot, Node.js frameworks
* Collaborate with product owners in understanding needs and defining feature stories, tech leads in defining technical design and other team members to understand the system end\-to\-end
* Write unit, integration tests and functional automation, researching problems discovered by quality assurance or product support, developing solutions to address the problems
The Skills \&amp; Expertise You Bring* Bachelor of Computer Science or Engineering or experience in related fields
* Experience with agile development methodologies and Test\-Driven Development (TDD)
* Knowledge of business concepts tools and processes that are needed for making sound decisions in the context of the company's business
* Excellent problem solving, communication and collaboration skills
* Experience with the following:
	+ Programming Languages: Python, Java or Java Script; working in distributed systems, object oriented programming, design patterns and design methodology; JAVA services using Spring CLI
	+ Frameworks: React, Springboot, Node.js, such as Full / MEAN / MERN stack
	+ Database: Relational Data structures and SQL
* Knowledge/understanding of the following:
	+ Application Programming Interfaces (API): Consumption \&amp; Development; implementing service oriented architecture (SOA) patterns; Web service technologies such as APIs, REST, JSON, SOAP, XML, JDBC, MySQL
	+ Unit, interface and end user testing concepts and tooling (functional \&amp; non\-functional)
	+ Automated testing
	+ Dev Ops Tools \&amp; Practices: Branching techniques and usage of GitHub, Bitbucket or Subversion; DevOps, Jenkins
	+ AWS Core Services: AWS Services such as S3, glue, lambda, Athena, and ECS/Fargate
* Preferred qualifications:
	+ AWS Development
	+ Architecture Patterns
	+ Design Thinking
	+ Financial/Insurance industry knowledge is a plus, not a must
You’ll Love Working Here Because You Can
Join a team and culture where your voice matters; where every day, your work transforms our experiences to make lives better. As you put your skills to use, we’ll help you make an even bigger impact with learning experiences that can grow your technical AND leadership capabilities. You’ll be surprised by what this rock\-solid organization has in store for you.
What we offer you:
Prudential is required by state specific laws to include the salary range for this role when hiring a resident in applicable locations. The salary range for this role is from $82,000\.00 to $135,300\.00\. Specific pricing for the role may vary within the above range based on many factors including geographic location, candidate experience, and skills.*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109">
      <c r="A109" t="inlineStr">
        <is>
          <t>in-c25d19e5f6580b42</t>
        </is>
      </c>
      <c r="B109" t="inlineStr">
        <is>
          <t>Senior Software Engineer</t>
        </is>
      </c>
      <c r="C109" t="inlineStr">
        <is>
          <t>Prudential</t>
        </is>
      </c>
      <c r="D109" t="inlineStr">
        <is>
          <t>indeed</t>
        </is>
      </c>
      <c r="E109">
        <f>HYPERLINK("https://www.indeed.com/viewjob?jk=c25d19e5f6580b42", "https://www.indeed.com/viewjob?jk=c25d19e5f6580b42")</f>
        <v/>
      </c>
      <c r="F109">
        <f>HYPERLINK("https://pru.wd5.myworkdayjobs.com/en-US/Careers/job/Newark-NJ-USA/Senior-Software-Engineer_R-123344-1", "https://pru.wd5.myworkdayjobs.com/en-US/Careers/job/Newark-NJ-USA/Senior-Software-Engineer_R-123344-1")</f>
        <v/>
      </c>
      <c r="G109" t="inlineStr">
        <is>
          <t>Newark, NJ, US</t>
        </is>
      </c>
      <c r="H109" s="3" t="n">
        <v>46051</v>
      </c>
      <c r="I109" t="inlineStr">
        <is>
          <t>Job Classification:
Technology \- Engineering \&amp; Cloud
Are you interested in building capabilities that enable the organization with innovation, speed, agility, scalability and efficiency? The Global Technology team takes great pride in our culture where digital transformation is built into our DNA! When you join our organization at Prudential, you’ll unlock an exciting and impactful career – all while growing your skills and advancing your profession at one of the world’s leading financial services institutions.  
Your Team \&amp; Role  
As a Senior Software Engineer in Group Insurance, you will partner with product owners, tech leads, designers, engineers and delivery professionals. You will code, test and debug new and existing applications as you implement capabilities to solve sophisticated business problems, deploy innovative products, services and experiences to delight our customers! In addition to applied experience, you will bring excellent problem solving, communication and teamwork skills, along with agile ways of working, strong business insight, an inclusive leadership attitude and a continuous learning focus to all that you do.  
Here is What You Can Expect on a Typical Day* Build applications ensuring that the code follows latest coding practices and industry standards, using modern design patterns and architectural principles; actively code against the roadmap
* Develop high quality, well documented and efficient code adhering to all applicable Prudential standards
* Collaborate with product owners in understanding needs and defining feature stories, tech leads in defining technical design and other team members to understand the system end\-to\-end and deliver robust solutions that bring about business impact
* Write unit, integration tests and functional automation, researching problems discovered by quality assurance or product support, developing solutions to address the problems
* Bring an applied understanding of relevant and emerging technologies, begin to identify opportunities to provide input to the team and coach others, and embed learning and innovation in the day\-to\-day
* Work on complex problems in which analysis of situations or data requires an in\-depth evaluation of various factors
* Use programming languages including but not limited to Python, Java, or JavaScript and React, Springboot, Node.js frameworks
The Skills \&amp; Expertise You Bring* Bachelor of Computer Science or Engineering or experience in related fields
* Leverage diverse ideas, experiences, thoughts and perspectives to the benefit of the organization
* Experience with agile development methodologies and Test\-Driven Development (TDD)
* Knowledge of business concepts tools and processes that are needed for making sound decisions in the context of the company's business
* Ability to learn new skills and knowledge on an on\-going basis through self\-initiative and tackling challenges
* Excellent problem solving, communication and collaboration skills
Applied experience with several of the following:* Programming Languages: Python, Java or Java Script; working in distributed systems, object\-oriented programming, design patterns and design methodology; JAVA services using Spring CLI, Maven, Microservice, multi\-threading, Concurrency and parallel processing
* Frameworks: React, Springboot, Node.js, such as Full / MEAN / MERN stack
* Data Store: NoSQL or Relational Data structures; MongoDB BPM tools
* Data Streaming: SQS, Kinesis
* Application Programming Interfaces (API): Consumption \&amp; Development; implementing service\-oriented architecture (SOA) patterns; Web service technologies such as APIs, REST, JSON, SOAP, XML, JDBC, MySQL
* Unit, interface and end user testing concepts and tooling (functional \&amp; non\-functional)
* Automated testing
* Accessibility awareness
* Software security skills including secure coding, web application security and DevSecOps; Solid grasp of security concepts (authentication, authorization, encryption, digital signature, JWT), SSL, web service proxies, firewall, SAML 2\.0, OpenID Connect, OAuth 2\.0\)
* Dev Ops Tools \&amp; Practices: Branching techniques and usage of GitHub, Bitbucket or Subversion; DevOps, Jenkins
* Software Development Life Cycle (SDLC): Monitoring and logging techniques
* AWS Core Services: AWS Services such as CloudWatch, Code\-Deploy
Preferred qualifications:* AWS Development
* Architecture Patterns
* Design Thinking
* Financial/Insurance industry knowledge is a plus, not a must
You’ll Love Working Here Because You Can  
Join a team and culture where your voice matters; where every day, your work transforms our experiences to make lives better. As you put your skills to use, we’ll help you make an even bigger impact with learning experiences that can grow your technical AND leadership capabilities. You’ll be surprised by what this rock\-solid organization has in store for you.
What we offer you:
Prudential is required by state specific laws to include the salary range for this role when hiring a resident in applicable locations. The salary range for this role is from $104,000\.00 to $171,600\.00\. Specific pricing for the role may vary within the above range based on many factors including geographic location, candidate experience, and skills.*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110">
      <c r="A110" t="inlineStr">
        <is>
          <t>in-0ea941aa76322f40</t>
        </is>
      </c>
      <c r="B110" t="inlineStr">
        <is>
          <t>Lead, Software Engineer</t>
        </is>
      </c>
      <c r="C110" t="inlineStr">
        <is>
          <t>Prudential</t>
        </is>
      </c>
      <c r="D110" t="inlineStr">
        <is>
          <t>indeed</t>
        </is>
      </c>
      <c r="E110">
        <f>HYPERLINK("https://www.indeed.com/viewjob?jk=0ea941aa76322f40", "https://www.indeed.com/viewjob?jk=0ea941aa76322f40")</f>
        <v/>
      </c>
      <c r="F110">
        <f>HYPERLINK("https://pru.wd5.myworkdayjobs.com/en-US/Careers/job/Newark-NJ-USA/Lead--Software-Engineer_R-123343-1", "https://pru.wd5.myworkdayjobs.com/en-US/Careers/job/Newark-NJ-USA/Lead--Software-Engineer_R-123343-1")</f>
        <v/>
      </c>
      <c r="G110" t="inlineStr">
        <is>
          <t>Newark, NJ, US</t>
        </is>
      </c>
      <c r="H110" s="3" t="n">
        <v>46051</v>
      </c>
      <c r="I110" t="inlineStr">
        <is>
          <t>Job Classification:
Technology \- Engineering \&amp; Cloud
Are you interested in building capabilities that enable the organization with innovation, speed, agility, scalability and efficiency? The Global Technology team takes great pride in our culture where digital transformation is built into our DNA! When you join our organization at Prudential, you’ll unlock an exciting and impactful career – all while growing your skills and advancing your profession at one of the world’s leading financial services institutions.  
Your Team  
As a Lead Software Engineer on GI Tech Modernization, you will partner with product owners, tech leads, designers, engineers and delivery professionals. You will code, test and debug new and existing applications as you implement capabilities to solve sophisticated business problems, deploy innovative products, services and experiences to delight our customers! In addition to advanced technical expertise and experience, you will bring excellent problem solving, communication and teamwork skills, along with agile ways of working, strong business insight, an inclusive leadership attitude and a continuous learning focus to all that you do.  
Here is What You Can Expect on a Typical Day  
Build applications ensuring that the code follows latest coding practices and industry standards, using modern design patterns and architectural principles; remove technical impediments  
Develop high quality, well documented and efficient code adhering to all applicable Prudential standards  
Collaborate with product owners in understanding needs and defining feature stories, tech leads in defining technical design and other team members to understand the system end\-to\-end and deliver robust solutions that bring about business impact  
Write unit, integration tests and functional automation, researching problems discovered by quality assurance or product support, developing solutions to address the problems  
Bring a strong understanding of relevant and emerging technologies, provide input and coach team members and embed learning and innovation in the day\-to\-day  
Work on complex problems in which analysis of situations or data requires an evaluation of intangible variables.  
Use programming languages including but not limited to Python, Java, or JavaScript and React, Springboot, Node.js frameworks  
The Skills \&amp; Expertise You Bring  
Bachelor of Computer Science or Engineering or experience in related fields  
Ability to coach others with minimal guidance and effectively leverage diverse ideas, experiences, thoughts and perspectives to the benefit of the organization  
Experience with agile development methodologies and Test\-Driven Development (TDD)  
Knowledge of business concepts tools and processes that are needed for making sound decisions in the context of the company's business  
Ability to learn new skills and knowledge on an on\-going basis through self\-initiative and tackling challenges  
Excellent problem solving, communication and collaboration skills  
Advanced experience and/or expertise with several of the following:  
Programming Languages: Python, Java or Java Script; working in distributed systems, object oriented programming, design patterns and design methodology; JAVA services using Spring CLI, Maven, Microservice, multi\-threading, Concurrency and parallel processing  
Frameworks: React, Springboot, Node.js, such as Full / MEAN / MERN stack  
Data Store: NoSQL or Relational Data structures; MongoDB BPM tools  
Data Streaming: SQS, Kinesis  
Application Programming Interfaces (API): Consumption \&amp; Development; implementing service oriented architecture (SOA) patterns; Web service technologies such as APIs, REST, JSON, SOAP, XML, JDBC, MySQL  
Unit, interface and end user testing concepts and tooling (functional \&amp; non\-functional)  
Automated testing  
Accessibility awareness  
Software security skills including secure coding, web application security and DevSecOps; Solid grasp of security concepts (authentication, authorization, encryption, digital signature, JWT), SSL, web service proxies, firewall, SAML 2\.0, OpenID Connect, OAuth 2\.0\)  
Dev Ops Tools \&amp; Practices: Branching techniques and usage of GitHub, Bitbucket or Subversion; DevOps, Jenkins  
Software Development Life Cycle (SDLC): Monitoring and logging techniques  
AWS Core Services: AWS Services such as CloudWatch, Code\-Deploy  
Preferred Qualifications:  
AWS Development  
Architecture Patterns  
Design Thinking  
Financial/Insurance industry experience is a plus, not a must  
You’ll Love Working Here Because You Can  
Join a team and culture where your voice matters; where every day, your work transforms our experiences to make lives better. As you put your skills to use, we’ll help you make an even bigger impact with learning experiences that can grow your technical AND leadership capabilities. You’ll be surprised by what this rock\-solid organization has in store for you.
What we offer you:
Prudential is required by state specific laws to include the salary range for this role when hiring a resident in applicable locations. The salary range for this role is from $133,600\.00 to $220,400\.00\. Specific pricing for the role may vary within the above range based on many factors including geographic location, candidate experience, and skills.* Market competitive base salaries, with a yearly bonus potential at every level.
* Medical, dental, vision, life insurance, disability insurance, Paid Time Off (PTO), and leave of absences, such as parental and military leave.
* 401(k) plan with company match (up to 4%).
* Company\-funded pension plan.
* Wellness Programs including up to $1,600 a year for reimbursement of items purchased to support personal wellbeing needs.
* Work/Life Resources to help support topics such as parenting, housing, senior care, finances, pets, legal matters, education, emotional and mental health, and career development.
* Education Benefit to help finance traditional college enrollment toward obtaining an approved degree and many accredited certificate programs.
* Employee Stock Purchase Plan: Shares can be purchased at 85% of the lower of two prices (Beginning or End of the purchase period), after one year of service.
Eligibility to participate in a discretionary annual incentive program is subject to the rules governing the program, whereby an award, if any, depends on various factors including, without limitation, individual and organizational performance. To find out more about our Total Rewards package, visit Work Life Balance \| Prudential Careers. Some of the above benefits may not apply to part\-time employees scheduled to work less than 20 hours per week.
Prudential Financial, Inc. of the United States is not affiliated with Prudential plc. which is headquartered in the United Kingdom.
Prudential is an equal opportunity employer. All qualified applicants will receive consideration for employment without regard to race, color, religion, national origin, ancestry, sex, sexual orientation, gender identity, national origin, genetics, disability, marital status, age, veteran status, domestic partner status, medical condition or any other characteristic protected by law.
If you need an accommodation to complete the application process, please email accommodations.hw@prudential.com.  
If you are experiencing a technical issue with your application or an assessment, please email careers.technicalsupport@prudential.com to request assistance.</t>
        </is>
      </c>
    </row>
    <row r="111">
      <c r="A111" t="inlineStr">
        <is>
          <t>in-afc840c042bcfdd3</t>
        </is>
      </c>
      <c r="B111" t="inlineStr">
        <is>
          <t>Director of Application Software Engineering</t>
        </is>
      </c>
      <c r="C111" t="inlineStr">
        <is>
          <t>HP</t>
        </is>
      </c>
      <c r="D111" t="inlineStr">
        <is>
          <t>indeed</t>
        </is>
      </c>
      <c r="E111">
        <f>HYPERLINK("https://www.indeed.com/viewjob?jk=afc840c042bcfdd3", "https://www.indeed.com/viewjob?jk=afc840c042bcfdd3")</f>
        <v/>
      </c>
      <c r="F111">
        <f>HYPERLINK("https://hp.wd5.myworkdayjobs.com/en-US/ExternalCareerSite/job/Spring-Texas-United-States-of-America/Director-of-Application-Software-Engineeing_3158169-1", "https://hp.wd5.myworkdayjobs.com/en-US/ExternalCareerSite/job/Spring-Texas-United-States-of-America/Director-of-Application-Software-Engineeing_3158169-1")</f>
        <v/>
      </c>
      <c r="G111" t="inlineStr">
        <is>
          <t>Spring, TX, US</t>
        </is>
      </c>
      <c r="H111" s="3" t="n">
        <v>46036</v>
      </c>
      <c r="I111" t="inlineStr">
        <is>
          <t>**Description \-**
**Job Summary**  
This role is responsible for managing software development projects associated with developing, debugging or designing software and hardware. The role embraces leadership, inspires teams, and fosters strong collaboration with product and design teams. The role envisions and executes the technical needs of the department and manages multiple teams on numerous projects based on value proposition and feasibility. The role leads the development of quality\-focused, world\-class software.
**Responsibilities**  
* Leads, coaches, cares for, and grows teams of customer\-focused software and data engineers.
* Thoughtfully organizes and unblocks collaboration and partnership at multiple levels, across business groups and functions to achieve the organizational mission.
* Partners closely with Product Management, Technical Program Managers, Architects, HP product groups, and experts to envision, drive, and deliver innovative, compelling, and quality solutions at speed and scale.
* Engages with Architects and broader HP technology excellence communities to provide technical vision and strategy for the teams; designs and leads a multi\-year technical roadmap, balancing short\- and long\-term technology investments.
* Provides overall financial direction in order to manage the development of business solutions budgets, controls and measurements to monitor progress.
* Leads analysis of the competitive environment, customers, and product metrics to determine the right set of community features to drive engagement and business goals.
* Translates functional plans into operational processes and strategically guides execution.
* Works across internal and external stakeholders to seamlessly integrate solutions that meet and enable business priorities.
* Builds culture of continuous improvement and model lean leadership principles.
* Participates in performance management to enhance associate development; sets expectations for high performing work teams; manages pay recommendations and encourages personal and professional career development.
**Education \&amp; Experience** Recommended
* Four\-year or Graduate Degree in Computer Science, Information Technology, Software Engineering, or any other related discipline or commensurate work experience or demonstrated competence.
* Typically has 12\+ years of job\-related and/or management experience, preferably in software designing \&amp; development, software architecture, programming languages, or a related field.
**Preferred Certifications**  
* Programming Language/s Certification (Java, C\+\+, Python, JavaScript, or similar)
**Knowledge \&amp; Skills**  
* Agile Methodology
* Amazon Web Services
* Application Programming Interface (API)
* Automation
* C\+\+ (Programming Language)
* Computer Science
* DevOps
* Docker (Software)
* Full Stack Development
* Java (Programming Language)
* JavaScript (Programming Language)
* Kubernetes
* Microservices
* Microsoft Azure
* Python (Programming Language)
* React.js
* Scalability
* Software Development
* Software Engineering
* SQL (Programming Language)
**Cross\-Org Skills**  
* Customer Centricity
* Prioritization
* Resilience
* Team Management
* Strategic Thinking
**Impact \&amp; Scope**  
* Impacts multiple functions and may act as a lead to peers on cross\-functional project teams working to establish and execute business goals.
**Complexity**  
* Contributes to the development of company objectives and achieves goals through subordinate high\-level individual contributors and managers.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role is **$174,050** to **$278,450**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Additional flexible paid vacation and sick leave ( US benefits overview )  
*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112">
      <c r="A112" t="inlineStr">
        <is>
          <t>in-a621e4988df0a6de</t>
        </is>
      </c>
      <c r="B112" t="inlineStr">
        <is>
          <t>Senior Software Engineer</t>
        </is>
      </c>
      <c r="C112" t="inlineStr">
        <is>
          <t>Absolute Business Solutions Corp. (ABSc)</t>
        </is>
      </c>
      <c r="D112" t="inlineStr">
        <is>
          <t>indeed</t>
        </is>
      </c>
      <c r="E112">
        <f>HYPERLINK("https://www.indeed.com/viewjob?jk=a621e4988df0a6de", "https://www.indeed.com/viewjob?jk=a621e4988df0a6de")</f>
        <v/>
      </c>
      <c r="F112">
        <f>HYPERLINK("https://absc-us.hrmdirect.com/employment/view.php?req=3627449&amp;jbsrc=1014&amp;location=4edec4f8-2067-3885-aea4-f5c40f83b05b", "https://absc-us.hrmdirect.com/employment/view.php?req=3627449&amp;jbsrc=1014&amp;location=4edec4f8-2067-3885-aea4-f5c40f83b05b")</f>
        <v/>
      </c>
      <c r="G112" t="inlineStr">
        <is>
          <t>Bethesda, MD, US</t>
        </is>
      </c>
      <c r="H112" s="3" t="n">
        <v>46051</v>
      </c>
      <c r="I112" t="inlineStr">
        <is>
          <t>Absolute Business Solutions Corp (ABSC) is not just another tech company. We’re a community of innovators, engineers, analysts and business professionals working together with our customers to tackle the most complex challenges. For more than 20 years we’ve supported critical Department of Defense (DoD), Intelligence Community (IC), Federal Civilian missions and global, multi\-national corporations. We specialize in supporting our clients in the Intelligence, Technology, Defense, AI/ML, and Data Science fields. As we continue to grow at a rapid pace, we need some amazing new professionals to join our team.
ABSC has an exciting opening for you, as our next TS/SCI cleared **Senior Software Engineer,** to play a critical role with design, engineering, development and deployment of software supporting DIA’s National Digital Exploitation and OSINT Center (NDOC) under our 10\-year DOMEX Technology Platform (DTP) contract. You will be delivering cutting edge capabilities to advance national security objectives, swiftly produce and analyze results, disseminate findings, and contribute to publications and presentations with actionable intelligence insights. While most work is conducted on\-site at our client location in Bethesda, MD, we offer a flexible schedule and, occasionally, some tasks may be performed remotely. The percentage of remote work will vary based on client
**Responsibilities:**
You will work closely with the team on the following key tasks:
* Work closely with a tight\-knit team of data scientists, as well as a larger team of software developers, network engineers, senior investigators, program managers, researchers, and data analysts to design, build, and optimize a data discovery platform to produce and analyze results, disseminate findings, and contribute to publications and presentations.
* Work on evaluating and testing emerging AI/ML solutions to complex multi\-modal data problems.
* Support multiple simultaneous mission objectives and take open\-ended or high\-level guidance to independently and collaboratively research and develop tools that support information consolidation and discovery.
* Bring your mix of intellectual curiosity, quantitative acumen, and customer\-focus to identify novel sources of data across a range of fields, to improve the performance of predictive algorithms, and to encourage user adoption of high\-end data analytics platforms in partnership with a highly qualified, highly motivated team.
* Leverage your strong background in research design, exploratory analysis, quantitative methods, user interface application design, and experience with customer outreach and engagement
**Requirements:**
To be successful in this role you need:
* B.S. Degree in a quantitative or analytical field such as Computer Science, Mathematics, Economics, Statistics, Engineering, Physics, or Computational Social Science with 12\+ years of experience or Master’s Degree or equivalent graduate degree including certificate\-based advanced training courses with 10\+
* 12\+ years of experience in software engineering, data science, analytics, or quantitative intelligence analysis, and demonstrating progressive technical development and outcomes.
* Must have an active TS/SCI clearance and must be able obtain and maintain a Polygraph
* Must have proficiency in Python programming language.
* Experience working with a hybrid team of analysts, engineers, and developers to conduct research, and build and deploy complex, but easy\-to\-use algorithms and analytical platforms
* Track record of active learning and creative problem solving.
* Ability to analyze and assess software development or data acquisition requirements and determine optimum, cost\-effective solutions.
* Familiarity using git, svn, JIRA, or other version control technologies
**Desired Experience:**
* A significant share of your data analytics experience in direct support of military or intelligence community customers, demonstrating progressive technical development and mission\-focused outcomes.
* Significant experience dealing with at least two of the following data classes: open source, publicly available information (PAI); forensic media (i.e. DOMEX); measurement and signatures intelligence (MASINT); or cybersecurity and cyber forensics
* Experience with information retrieval and search, e.g. Structured Query Language (SQL), and/or Elastic Stack (Elasticsearch and Kibana)
* Deployment of data science applications (e.g. Streamlit) using Docker, Kubernetes, and/or OpenShift.
* Experience with Knowledge Graphs and KG tech such as neo4j or graph ML.
* Experience developing predictive algorithms, image classifiers, object detectors, and others.
* Familiarity with social network analysis, supply chain analysis, forensic accounting, pattern of life, natural language processing, social media analysis, classification algorithms, and/or image processing.
* Experience blending analytical methodologies and leveraging existing COTS/GOTS/OS tools in an unconventional manner.
* Familiarity utilizing virtualization and distributed field systems, such as virtual environments and Hadoop (or similar distributed file systems) in development and deployment environments.
* Experience with Amazon Web Services (AWS/C2S)
* Familiarity with hardware platforms, e.g., CPUs, GPUs, FPGAs, etc.
* Familiarity or experience with building applications around Large Language Models, Agentic AI
* Familiarity with Kubernetes \- deploying and managing applications
Salary is commensurate with experience. An approximate salary range for this requisition is: $140k \- $225k annually.
**Who we are:**  
ABSC is a technology and services company that combines the agility of a small business with proven processes refined over more than two decades in business. We specialize in supporting public sector clients in the Intelligence, Defense, Health, and Safety areas. Our team stands ready to deliver the next generation of programs, personnel, and solutions to help advance our federal government customers’ driving innovation, agility, and security across all mission areas.
**Some of our benefits include:**
* Generous PTO plus 11 Federal Holidays
* Retirement Planning – 401k Fully Vested with Match
* Annual Health and Wellness Allowance – buy an Apple Watch, a treadmill, or hit the gym on us
* Career Development – Annual Funds to spend on Education and Training
* Volunteer Time Off – Annually, all employees can spend 8 hours directly supporting a charity of choice
* Charitable Match – ABSC matches an employee’s donation to a qualifying charity
* Referral Program – We pay for internal and external referrals!
* LOV Awards – Earn bonus awards throughout the year from our Living Our Values awards program
Apply to join our team today! We are always looking to grow our team \- if you know someone who is seeking a new career opportunity, please share this job opening with them. ABSC offers generous external referral bonuses. You don’t need to be an employee to benefit from our Referral Program.
\*ABSC is a proud V3, Virginia Values Vets, member which recognizes our commitment to hiring Veterans. If you are a veteran, please be sure to include that in your application.\*
Equal Opportunity Employer, including veterans and individuals with disabilities.</t>
        </is>
      </c>
    </row>
    <row r="113">
      <c r="A113" t="inlineStr">
        <is>
          <t>in-bdba5c7225195b80</t>
        </is>
      </c>
      <c r="B113" t="inlineStr">
        <is>
          <t>Software Engineer II- Office AI Team</t>
        </is>
      </c>
      <c r="C113" t="inlineStr">
        <is>
          <t>Microsoft</t>
        </is>
      </c>
      <c r="D113" t="inlineStr">
        <is>
          <t>indeed</t>
        </is>
      </c>
      <c r="E113">
        <f>HYPERLINK("https://www.indeed.com/viewjob?jk=bdba5c7225195b80", "https://www.indeed.com/viewjob?jk=bdba5c7225195b80")</f>
        <v/>
      </c>
      <c r="F113">
        <f>HYPERLINK("https://apply.careers.microsoft.com/careers/job/1970393556749426?utm_source=indeed&amp;domain=microsoft.com", "https://apply.careers.microsoft.com/careers/job/1970393556749426?utm_source=indeed&amp;domain=microsoft.com")</f>
        <v/>
      </c>
      <c r="G113" t="inlineStr">
        <is>
          <t>Redmond, WA, US</t>
        </is>
      </c>
      <c r="H113" s="3" t="n">
        <v>46050</v>
      </c>
      <c r="I113" t="inlineStr">
        <is>
          <t>**Overview**  
Are you passionate about shaping the future applications of AI and empowering millions of users to unlock their full potential in the productivity space? Do you like working in a dynamic, fast\-paced environment where you can quickly integrate new large language models into a product to evaluate its capabilities for meeting customer needs, pivot from incubation to production\-path, and gain insights rapidly from experiments and evaluations to determine the path forward?
Microsoft 365 is where the world works, learns, and creates. Join the **Office AI** **team** to reimagine Word, Excel, PowerPoint, and OneNote, turning intents into outcomes and helping hundreds of millions be more productive every day. Office AI plays a pivotal role in shaping the future of Office, through empowering users to interact with and change their content through natural language, making Copilot more intelligent, proactive and seamlessly integrated into users’ workflows, as well as enabling agentic workflows to interact with Office files.
**As a Software Engineer II, you’ll:**
* Turn ideas into reality: Collaborate with experienced engineers and scientists to design, prototype, and deliver AI\-powered and agentic solutions that make Office apps smarter and more intuitive.
* Accelerate your growth in product engineering: Leverage AI in your daily work and processes, learning from industry leaders while applying your knowledge of LLMs and software engineering to real\-world challenges and improve the Office product.
* Make an impact: See your work ship to production and help hundreds of millions of users be more productive every day.
* Work in a dynamic, supportive team: Partner with product managers, designers, applied scientists, and other engineers in a fast\-paced environment where your contributions matter.
This opportunity will allow you to work in an exciting and fast\-paced environment in a product team to ship products globally, collaborating closely across engineering, product management, design, and applied science to deliver experiences to production. You will be part of delivering world class solutions, leading with AI\-forward and AI\-first solutions!
Microsoft’s mission is to empower every person and every organization on the planet to achieve more. Bring your growth mindset to innovate in way that empowers others and collaborate to realize our shared goals. Each day we build on our values of respect, integrity, and accountability to create a culture of inclusion where everyone can thrive at work and beyond.
 **Responsibilities*** Ship features with Product Management, Design, Science and Engineering. Coown scenario goals; translate product requirements into engineering work and solutions that meet quality/latency/cost targets.
* Prompting and evaluation of LLMs to deliver on customer scenarios. Leverage AI tools to improve engineering development and processes.
* Debug and investigate customer feedback and production usage and fundamentals of features developed.
* Collaborate across engineering for code reviewing pull requests, reviewing design documents and techniques.
 **Qualifications** **Required/Minimum Qualifications:**
* Bachelor's Degree in Statistics, Econometrics, Computer Science, Electrical or Computer Engineering, or related field AND 2\+ years experience in coding in Python, Typescript, C\#, Java or C\+\+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 Master's Degree in Statistics, Econometrics, Computer Science, Electrical or Computer Engineering, or related field AND 2\+ year(s) experience in experience in coding in Python, Typescript, C\#, Java or C\+\+. OR equivalent experience.
* 2\+ years experience developing and deploying live production systems as part of a product team.
* 1\+ years working with large language models (LLMs) in shipping scenarios
* Demonstrated proficiency leveraging the latest in AI/agentic coding tools, both through work experience and hackathons or personal projects.
* Ability to quickly ramp up on new technologies and adapt to rapidly changing requirements and technical landscape
* AI Fluency: Knowledgeable about emerging AI capabilities and tooling; adept at leveraging AI\-powered solutions to accelerate development, automate repetitive tasks, and streamline code refactoring.
* Full stack experience (UX, middle tier, backend)
* Hybrid work skills – clear synchronous and asynchronous communication, teamwork and collaboration skills
* Experience developing task specific metrics and evaluation datasets
* Customer focused, strategic, drives for results, is self\-motivated, and has a propensity for action.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4">
      <c r="A114" t="inlineStr">
        <is>
          <t>in-fb29e9b19b3a9327</t>
        </is>
      </c>
      <c r="B114" t="inlineStr">
        <is>
          <t>Software Engineer</t>
        </is>
      </c>
      <c r="C114" t="inlineStr">
        <is>
          <t>Microsoft</t>
        </is>
      </c>
      <c r="D114" t="inlineStr">
        <is>
          <t>indeed</t>
        </is>
      </c>
      <c r="E114">
        <f>HYPERLINK("https://www.indeed.com/viewjob?jk=fb29e9b19b3a9327", "https://www.indeed.com/viewjob?jk=fb29e9b19b3a9327")</f>
        <v/>
      </c>
      <c r="F114">
        <f>HYPERLINK("https://apply.careers.microsoft.com/careers/job/1970393556746655?utm_source=indeed&amp;domain=microsoft.com", "https://apply.careers.microsoft.com/careers/job/1970393556746655?utm_source=indeed&amp;domain=microsoft.com")</f>
        <v/>
      </c>
      <c r="G114" t="inlineStr">
        <is>
          <t>Redmond, WA, US</t>
        </is>
      </c>
      <c r="H114" s="3" t="n">
        <v>46044</v>
      </c>
      <c r="I114" t="inlineStr">
        <is>
          <t>**Overview**  
The Experience plus Devices (E\+D) Growth team is seeking engineers to help accelerate the adoption of Copilot and Microsoft 365\. Our team is uniquely positioned at the strategic epicenter of E\+D for revolutionizing the productivity business by delivering embedded experiences across the Microsoft 365 suite (Teams, Outlook, Word, PowerPoint, Excel, etc.) that drive the growth of our company’s cutting\-edge generative AI solutions across the commercial and consumer spectrum. Our team tackles technical challenges across a diverse tech stack, with the solutions we deliver having a direct impact on the bottom line of the business. This role requires strategic and creative thinking, as well as a passion for building technical solutions that address customer needs.
We are a modern engineering organization that embodies industry best practices in Product\-Led Growth (PLG). We are data\-informed, hypothesis\-driven, and rigorous in measuring outcomes to ensure undeniable customer and business impact. We collaborate closely with industry\-leading PMs, designers, data scientists, user researchers, and marketers to build deep customer insights that inform the design of experiences used by hundreds of millions of people every day. We partner with teams across the company to deliver world\-class services, and we create experiences that connect with customers across Microsoft products. We play a direct role in driving business growth and framing our business value to end users and our vibrant community of fans.
Building a successful team involves creating an inclusive workplace where all people and ideas are welcome. We invest in the health of our team and take "how we work" as seriously as the impact we have on customers and the business. You don’t need to know everything when you join our team; just bring your growth mindset and willingness to learn, and we will provide mentorship and career growth to help you succeed. As employees, we come together to innovate and empower ourselves to realize our shared goals. Each day we build on our values of respect, integrity, and accountability to create a culture of inclusion where everyone can thrive at work and beyond.
Whether you're passionate about full\-stack, backend, or client development, you’ll find a place to thrive here. And if you ever want to branch out or collaborate across areas, we’ll support you with mentorship and training.
* Full\-Stack: Develop end\-to\-end features using React/TypeScript frontends paired with C\#/.NET REST or GraphQL APIs and scalable data models—built to support millions of daily users.
* Backend: Design and scale Azure\-hosted services in C\#/.NET that handle hundreds of millions of requests daily, with opportunities to lead the adoption of event\-driven architectures.
* Client: Deliver high\-performance native Windows/macOS experiences using modern C\+\+20 and platform\-specific frameworks, enabling contextual Product\-Led Growth motions within Microsoft 365 apps.
 Building a championship team starts with welcoming every background and idea—but it ends with delivering unmistakable wins. We invest deeply in our people and treat "how we work" as seriously as the impact we create. You don't have to arrive knowing everything, but you do have to arrive hungry: hungry to learn fast, to put new skills into action, and to raise the bar for yourself and those around you. In return, you'll get candid coaching, hands\-on mentorship, and a clear runway for career growth. We innovate daily, hold ourselves to outcomes, and live our values of respect, integrity, and accountability so every teammate can thrive—inside and outside the office—while we chase bold goals together.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secure, reliable, scalable, and sustainable software.
* Develop, validate, release, and derive insights from software that enhances customer experiences as outlined above.
* Champion customer\-first design that leads to increased loyalty to Copilot and Microsoft 365\.
* Apply critical analyses to data to validate hypotheses and inform decisions.
* Foster an inclusive environment that welcomes diverse perspectives, and in turn leverages that diversity to create more inclusive products for our customers.
* Model a growth mindset by learning from others and sharing your learnings with others.
**Qualifications** **Required Qualifications:**
* Bachelor's Degree in Computer Science or related technical field AND 2\+ years technical engineering experience with coding in languages including, but not limited to, C, C\+\+, C\#, Java, JavaScript/TypeScript, or Python
	+ OR equivalent experience.
**Preferred Qualifications:**
* Demonstrated ability to ship high\-quality software on time.
* Excellent problem\-solving skills and the ability to work effectively in a collaborative team environment.
* Passion for customers, design thinking, data analysis, and technology.
* Ability to perform at a high level in a fast paced, dynamic environment.
\#ExDGrowth \#DPG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5">
      <c r="A115" t="inlineStr">
        <is>
          <t>in-b58ad4af067d644b</t>
        </is>
      </c>
      <c r="B115" t="inlineStr">
        <is>
          <t>Principal Software Engineer</t>
        </is>
      </c>
      <c r="C115" t="inlineStr">
        <is>
          <t>Microsoft</t>
        </is>
      </c>
      <c r="D115" t="inlineStr">
        <is>
          <t>indeed</t>
        </is>
      </c>
      <c r="E115">
        <f>HYPERLINK("https://www.indeed.com/viewjob?jk=b58ad4af067d644b", "https://www.indeed.com/viewjob?jk=b58ad4af067d644b")</f>
        <v/>
      </c>
      <c r="F115">
        <f>HYPERLINK("https://apply.careers.microsoft.com/careers/job/1970393556745626?utm_source=indeed&amp;domain=microsoft.com", "https://apply.careers.microsoft.com/careers/job/1970393556745626?utm_source=indeed&amp;domain=microsoft.com")</f>
        <v/>
      </c>
      <c r="G115" t="inlineStr">
        <is>
          <t>Redmond, WA, US</t>
        </is>
      </c>
      <c r="H115" s="3" t="n">
        <v>46043</v>
      </c>
      <c r="I115" t="inlineStr">
        <is>
          <t>**Overview**  
Are you passionate about building Enterprise applications leading with AI? Are you interested in working for one of the most impactful and emerging areas in Microsoft, and passionate in advancing Microsoft’s Cloud Solutions, AI strategy, full stack engineering, Security, Dataverse \&amp; D365? Are you interested in a technology start\-up like environment, working with highly energetic team, and passionate about working on latest technologies (Azure, AI, Microservices, React, Data, Power Platform and related technologies) to solve critical business problems?
Do you want to be part of the journey to build innovative Engineering team for one of largest corporates in the world? If so, then look no further than the Frontier AI Solutions \&amp; Technology (FAST) Engineering Team! Be part of a team dedicated to innovation and at the forefront of AI\-Led engineering.
As a Principal Software Engineer, you will lead the end\-to\-end software development lifecycle, including requirement gathering, architecture, application and database design, development, testing, and deployment. You will build AI\-infused applications, Agentic Solutions and Copilots, enhancing user experience and productivity, fostering creativity, and turning ideas into strategic solutions. All this while enforcing engineering best practices to ensure high\-quality, scalable, and secure solutions.
Frontier AI Solutions \&amp; Technology organization is part of Microsoft Customer and Partner Solutions (MCAPS) responsible for all systems and tools to drive Cloud and AI Solutions to help customers realize value for their investments, by supporting Microsoft Field and Corp resources with programmatic and scalable assets. Frontier AI Solutions \&amp; Technology Engineering team is responsible for driving and building apps and engineering solutions to enable various roles across MCAPS. Frontier AI Solutions \&amp; Technology team is looking for a full stack Software Engineer to join us to drive and deliver innovative solutions. In this role, you will be responsible for multiple products in Frontier AI Solutions \&amp; Technology platform and solutions and deliver state\-of\-the\-art experiences for our users.
We are highly energetic team driving direct impact to our customers and Microsoft. We are proud of our diverse culture, and our developers are empowered to innovate. If you have an eye for building impactful apps \&amp; solutions in agile environment, this is a great opportunity for you to have an impact on Microsoft’s mission to enable our customers to achieve digital transformation through successful adoption of Microsoft Cloud solutions.
Microsoft’s mission is to empower every person and every organization on the planet to achieve more, and we’re dedicated to this mission across every aspect of our company. Our culture is centered on embracing a growth mindset and encouraging teams and leaders to bring their highly qualified contributions each day. Join us and help shape the future of the world.
 **Responsibilities**  
The **Principal Software Engineer** are responsible for the following:
 **Technical Leadership and Engineering Excellence:** Lead the end\-to\-end software development lifecycle, including requirement gathering, architecture, application and database design, development, testing, and deployment, while enforcing engineering best practices to ensure high\-quality, scalable, and secure solutions. Leverage AI and develop Copilot features within the application to enhance user experience and productivity.
 **Solution Design and Architecture:** Develop resilient solution designs that adhere to architectural best practices, security by design, and business goals, guiding the team in selecting optimal technologies and design patterns for sustainable and high\-performing systems.
 **Mentorship and Team Development:** Mentor team members through code reviews and design feedback, promoting skill growth, inclusion, and a collaborative culture that contributes to both individual and team success.
 **Collaboration and Cross\-Team Partnership:** Foster collaboration with Microsoft product teams, program managers, and user experience (UX) designers to manage dependencies, share knowledge, and jointly deliver updates to enhance engineering capabilities.
 **Quality Assurance:** Establish and enforce best practices in coding, testing, and documentation to ensure high standards for code quality, performance, and service reliability.
 **Site Reliability:** Support and maintain existing services \&amp; integrations with LOB applications across the enterprise.
 **Continuous Improvement and Innovation:** Identify and implement opportunities for automation, process optimization, and technical innovation, contributing to a culture of continuous improvement within the team.
 **Planning and Communication:** Participate actively in sprint and semester planning, provide accurate cost estimates, and maintain transparent communication on deliverables, risks, and milestones.
 **Other**
* Embody our culture and values.
**Qualifications**  
* Bachelor's Degree in Computer Science or related technical field AND 6\+ years technical engineering experience with coding in languages including, but not limited to, C, C\+\+, C\#, Java, JavaScript, or Python
	+ OR equivalent experience.
 **Additional or preferred qualifications**
* Master's Degree in Computer Science or related technical field AND 8\+ years technical engineering experience with coding in languages including, but not limited to, C, C\+\+, C\#, Java, JavaScript, or Python
	+ OR Bachelor's Degree in Computer Science, Mathematics, Engineering or related technical field AND 12\+ years technical engineering experience with coding in languages including, but not limited to, C, C\+\+, C\#, JavaScript, or Python
	+ OR equivalent experience.
* 12\+ years of experience as a software engineer building commercial software and proven track record of shipping successful software products \&amp; services.
* 10\+ years of experience in cloud development principles and patterns, particularly loosely coupled architectures and micro\-services, DevOps model.
* 8\+ years of experience in leading, managing, and driving technical and architectural dependencies.
* Technical skills should include proficiency in C\#, .NET, JavaScript/TypeScript, or equivalent languages/frameworks.
* Hands\-on experience in app development using AI Technologies, ASP.NET, Azure PaaS services like Web apps, Function Apps, Service Bus, Event Hub, REST API, SQL and NoSQL.
* Experience working in agile teams or startup environments with committed customer focus.
* Proficient communication skills and ability to collaborate in a multi\-disciplinary team consisting of Software Engineers, Program Managers, and Data Scientists.
* Business acumen and customers focus to understand customer scenarios and translate them as product/solution requirements.
* Experience with software development tools such as source control systems (GIT), automated build systems (CICD), software validation systems, project tracking, and lifecycle management systems.
* Development experience with cloud platforms such as Microsoft Azure, including SQL, Cosmos DB, ADF and front\-end frameworks such as React or equivalent.
* Practical experience building analytic applications leveraging data science models and applied AI is added advantage.
* Ability to be influential and impactful in cross\-group and matrixed team environments.
* Lead a talented and motivated team in a supportive and collaborative environment.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6">
      <c r="A116" t="inlineStr">
        <is>
          <t>in-c0f61017b4c83594</t>
        </is>
      </c>
      <c r="B116" t="inlineStr">
        <is>
          <t>Senior Software Engineer, ML Infrastructure</t>
        </is>
      </c>
      <c r="C116" t="inlineStr">
        <is>
          <t>General Motors (GM)</t>
        </is>
      </c>
      <c r="D116" t="inlineStr">
        <is>
          <t>indeed</t>
        </is>
      </c>
      <c r="E116">
        <f>HYPERLINK("https://www.indeed.com/viewjob?jk=c0f61017b4c83594", "https://www.indeed.com/viewjob?jk=c0f61017b4c83594")</f>
        <v/>
      </c>
      <c r="F116">
        <f>HYPERLINK("https://generalmotors.wd5.myworkdayjobs.com/en-US/Careers_GM/job/Sunnyvale-California-United-States-of-America/Senior-Software-Engineer--ML-Infrastructure_JR-202601904", "https://generalmotors.wd5.myworkdayjobs.com/en-US/Careers_GM/job/Sunnyvale-California-United-States-of-America/Senior-Software-Engineer--ML-Infrastructure_JR-202601904")</f>
        <v/>
      </c>
      <c r="G116" t="inlineStr">
        <is>
          <t>Sunnyvale, CA, US</t>
        </is>
      </c>
      <c r="H116" s="3" t="n">
        <v>46051</v>
      </c>
      <c r="I116"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Overview:**
Are you passionate about accelerating the future of autonomous driving? Join the Embodied AI Infra Foundation team at General Motors, where we build the critical infrastructure that powers every machine learning engineer working on our cutting\-edge Autonomous Driving models. From foundational models to state\-of\-the\-art optimization, our work is at the heart of our mission.
**About the team:**
Our goal is simple: dramatically accelerate the machine learning development cycle, freeing our engineers to focus entirely on enhancing the safety and performance of the car, rather than managing infrastructure. We are committed to delivering products that are performant, easy to use, and exceptionally reliable. Your success will be measured by the success of our partner teams who rely on our robust systems to build the world's most advanced driverless vehicles.
**What you'll do:**
* Lead the design, implementation, and deployment of scalable platforms and tools that drive machine learning model training and evaluation workflows across GM.
* Own complex technical projects end\-to\-end, making key architectural decisions and technical trade\-offs. You will be a core contributor to team planning, design reviews, and code quality.
* Take a holistic view of projects, considering their impact across multiple teams, and proactively drive technical prioritization. Collaborate closely with partner teams to ensure maximum benefit from the systems we build.
* Help shape our team through technical interviewing with high, well\-calibrated standards, and play an essential role in recruiting. Mentor and onboard junior engineers and interns, helping them grow their careers.
**What you'll bring:**
* 3\+ years of experience building large\-scale distributed systems/applications or advanced ML Applications.
* Proven track record of building robust frameworks with high\-quality, long\-lasting APIs.
* Deep understanding and practical experience with machine learning algorithms.
* Expertise in building reliable, highly performant, and cost\-efficient systems leveraging modern cloud infrastructure.
* Hands\-on experience with the entire ML development lifecycle and MLOps practices.
* Demonstrated ability to collaborate effectively across multiple teams and organizations.
* Proficiency working with containerization and orchestration technologies (Docker, Kubernetes).
* A strong passion for self\-driving technology and its transformative potential.
* Exceptional coding skills in Python or C\+\+.
* BS, MS, or PhD in Computer Science, Math, or equivalent practical experience.
**Exceptional candidates may also have:**
* Experience with distributed training methodologies.
* A background in optimizing model training performance.
* Experience scaling model training across large clusters of GPUs/CPUs or other accelerators.
* Familiarity with deep learning frameworks such as PyTorch, TensorFlow, etc.
* A strong grasp of performance profiling and state\-of\-the\-art training optimization algorithms, including their performance characteristics and effect on model convergence.
* Experience with advanced build systems (Bazel, Buck, Blaze, or Cmake).
*Remote:* This role is based remotely but if you live within a 50\-mile radius of an office, you are expected to report to that location three times a week, at minimum.  
*Compensation* : The compensation information is a good faith estimate only. It is based on what a successful applicant might be paid in accordance with applicable state laws. The compensation may not be r epresentative for positions located outside of the California Bay Area.
* The salary range for this role is $153,200\.oo to $234,100\.00\.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17">
      <c r="A117" t="inlineStr">
        <is>
          <t>in-0640b36dd35ffceb</t>
        </is>
      </c>
      <c r="B117" t="inlineStr">
        <is>
          <t>Sr. Software Engineer</t>
        </is>
      </c>
      <c r="C117" t="inlineStr">
        <is>
          <t>Lynx</t>
        </is>
      </c>
      <c r="D117" t="inlineStr">
        <is>
          <t>indeed</t>
        </is>
      </c>
      <c r="E117">
        <f>HYPERLINK("https://www.indeed.com/viewjob?jk=0640b36dd35ffceb", "https://www.indeed.com/viewjob?jk=0640b36dd35ffceb")</f>
        <v/>
      </c>
      <c r="F117">
        <f>HYPERLINK("https://ats.rippling.com/lynx-software-technologies/jobs/855207e5-dc93-4ace-a847-d0c251fefad9?jobSite=Indeed", "https://ats.rippling.com/lynx-software-technologies/jobs/855207e5-dc93-4ace-a847-d0c251fefad9?jobSite=Indeed")</f>
        <v/>
      </c>
      <c r="G117" t="inlineStr">
        <is>
          <t>Remote, US</t>
        </is>
      </c>
      <c r="H117" s="3" t="n">
        <v>46052</v>
      </c>
      <c r="I117" t="inlineStr">
        <is>
          <t>**Job Title:** Sr. Software Engineer
**Location**: Sunnyvale, CA.
**Salary Range:** $165,000 \- $250,000 \+ Bonus Eligible
**Start Date:** January 2026
 **This position requires full time onsite in Sunnyvale, CA.**
 **Company Overview**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 senior\-level Sr Software Engineer 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infrastructure, to deliver tailored, high assurance solutions aligned with specific mission and operational requirements.
 **Basic Requirements**
* Bachelor's degree in STEM discipline
* 5\+ years of C/C\+\+ software Development experience
* Experience with Digital Simulation Development and integration
* Experience with Embedded Software Development
* Experience with I\&amp;T integration and testing.
* Experience with GITLAB.
* Experience with Full Software Development Cycle
* Experience with (FSW) Flight software engineering
* Proficient with Linux and Windows development environments
* Experience with compilers, debuggers, static analysis tools, and dynamics analysis tool
* Ability to professionally communicate project status and collaborate on technical solutions with clients and peers
* Clearance eligibility required
* Ability to work onsite 100%
* Perform additional job duties as assigned.
 **Preferred / Additional Skills**
* Proficient with Atlassian Tools (Confluence, JIRA, Bitbucket, etc.)
* Proficient in Python development
* Familiarity with Model\-Based System Engineering (MBSE) concepts and tools (Cameo, AADL)
* Experience with Navigation, Guidance and Control Implementation
* Experience with Signal Processing Implementation
* Experience developing Embedded Flight Software
* Experience communicating and documenting complex technical designs
* Ability to work in a collaborative and team\-based environment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118">
      <c r="A118" t="inlineStr">
        <is>
          <t>in-cbeb77e1c2179027</t>
        </is>
      </c>
      <c r="B118" t="inlineStr">
        <is>
          <t>Software Engineering Manager – EM2</t>
        </is>
      </c>
      <c r="C118" t="inlineStr">
        <is>
          <t>Quick Quack Car Wash</t>
        </is>
      </c>
      <c r="D118" t="inlineStr">
        <is>
          <t>indeed</t>
        </is>
      </c>
      <c r="E118">
        <f>HYPERLINK("https://www.indeed.com/viewjob?jk=cbeb77e1c2179027", "https://www.indeed.com/viewjob?jk=cbeb77e1c2179027")</f>
        <v/>
      </c>
      <c r="F118">
        <f>HYPERLINK("https://quickquack.rec.pro.ukg.net/QUI1500QUQ/JobBoard/5614099b-4051-42cf-9349-861323a89c7c/OpportunityDetail?opportunityId=531e41fa-6b55-4315-816c-64585f1c4a59&amp;postingId=ecc7a511-b7ef-4eab-a0ca-6b93a274616a", "https://quickquack.rec.pro.ukg.net/QUI1500QUQ/JobBoard/5614099b-4051-42cf-9349-861323a89c7c/OpportunityDetail?opportunityId=531e41fa-6b55-4315-816c-64585f1c4a59&amp;postingId=ecc7a511-b7ef-4eab-a0ca-6b93a274616a")</f>
        <v/>
      </c>
      <c r="G118" t="inlineStr">
        <is>
          <t>Rocklin, CA, US</t>
        </is>
      </c>
      <c r="H118" s="3" t="n">
        <v>46052</v>
      </c>
      <c r="I118" t="inlineStr">
        <is>
          <t>**Job Summary:**
----------------
We are seeking an experienced Software Engineering Manager to lead and inspire our software engineering team(s) in delivering innovative solutions within the car wash industry. In this strategic role, you will oversee the development and execution of our product roadmap, ensuring timely delivery of high\-quality software that meets customer needs and drives business objectives. Your leadership will be pivotal in fostering a collaborative and high\-performing team culture, guiding technical discussions, and mentoring team members to achieve their full potential. By aligning engineering efforts with organizational goals, you will contribute significantly to our company's success and maintain our position as an industry leader. This role offers a unique opportunity to make a substantial impact on our products and the growth of our engineering team, reflecting industry trends where effective leadership is crucial for driving innovation and achieving excellence.
**Essential Duties and Responsibilities:**
------------------------------------------
* Manage moderate to large team of 6 to 15 software engineers and product people; potentially multiple smaller teams.
* Run necessary Scrum ceremonies within managed teams including daily stand ups, backlog grooming, and tactical planning as well as leveraging supporting tools.
* Gather and report key performance metrics to leadership.
* Contribute to quarterly and annual planning of goals and initiatives with product, peers, and senior management.
* Maintain a smart, kind and driven culture based on teamwork and trust where team members are empowered and demonstrate a strong sense of ownership that is psychologically safe and focused on continuous improvement.
* Work senior management to influence team architecture and technical direction to ensure success of goals and initiatives.
* Responsible for working with product to bring product knowledge and known customer's needs to team.
* Represent the team in cross\-functional leadership meetings actively managing stakeholder needs.
* Executes initiative and sprint goals, works to resolve blockers, escalates potential issues to leadership, owns delivery pipelines and quality metrics of team.
* Share context with team, peers, and leadership to ensure organizational clarity.
* Drives performance of team in delivering on short\-term goals while balancing long\-term impact.
* Conducts regular 1:1's, supports individual accountability and growth, and reviews team member performance regularly.
* Drive performance management, coaching and career progression.
* Partner with Technical Leadership to help develop senior talent.
* Performs other duties as assigned.
**Qualifications and Requirements:**
------------------------------------
* Bachelor's or master's degree preferred.
* 3\+ years of direct experience leading teams.
* 7\+ years of industry experience in either an engineering, product management, or leadership role.
* Professional experience with Golang.
* Proven ability to lead and manage a team of software engineers and product team members to achieve individual and team goals.
* Strong coaching and delegation capabilities.
* Confident in giving and receiving difficult feedback.
* Understands the needs of the business and able to navigate impact and tradeoffs.
* Active listening skills and empathetic.
* Excellent verbal and written communication skills.
* Deal well with ambiguous/undefined problems, tasks and projects and ability to think abstractly.
* Detail\-oriented.
* If you are tasked to drive as a part of this role, then it is required that you have a clean driving record and a current Driver's License that is not suspended or expired.
* Prolonged periods sitting at a desk and working on a computer.
* Must be able to lift up to 15 pounds at times.</t>
        </is>
      </c>
    </row>
    <row r="119">
      <c r="A119" t="inlineStr">
        <is>
          <t>in-6aa56269f4938dad</t>
        </is>
      </c>
      <c r="B119" t="inlineStr">
        <is>
          <t>RPG Software Developer</t>
        </is>
      </c>
      <c r="C119" t="inlineStr">
        <is>
          <t>MAP Technology Solutions</t>
        </is>
      </c>
      <c r="D119" t="inlineStr">
        <is>
          <t>indeed</t>
        </is>
      </c>
      <c r="E119">
        <f>HYPERLINK("https://www.indeed.com/viewjob?jk=6aa56269f4938dad", "https://www.indeed.com/viewjob?jk=6aa56269f4938dad")</f>
        <v/>
      </c>
      <c r="F119">
        <f>HYPERLINK("http://www.indeed.com/job/rpg-software-developer-6aa56269f4938dad", "http://www.indeed.com/job/rpg-software-developer-6aa56269f4938dad")</f>
        <v/>
      </c>
      <c r="G119" t="inlineStr">
        <is>
          <t>Remote, US</t>
        </is>
      </c>
      <c r="H119" s="3" t="n">
        <v>46052</v>
      </c>
      <c r="I119" t="inlineStr">
        <is>
          <t>**Job Overview**  
NOTE:
\- Offsite.
\- You will be working a 40\-hour week between the core hours of 9:00 a.m. \- 5:00 p.m. EST
Details:
\- The selected candidate must demonstrate Exceptional RPG programming skills. RPG ILE and free form also required. SQL a plus.
Job Type: Contract
Pay: $60\.00 \- $65\.00 per hour
Work Location: Remote</t>
        </is>
      </c>
    </row>
    <row r="120">
      <c r="A120" t="inlineStr">
        <is>
          <t>in-4582efe5cda60ec1</t>
        </is>
      </c>
      <c r="B120" t="inlineStr">
        <is>
          <t>Senior Software Engineer</t>
        </is>
      </c>
      <c r="C120" t="inlineStr">
        <is>
          <t>Poseidon Systems</t>
        </is>
      </c>
      <c r="D120" t="inlineStr">
        <is>
          <t>indeed</t>
        </is>
      </c>
      <c r="E120">
        <f>HYPERLINK("https://www.indeed.com/viewjob?jk=4582efe5cda60ec1", "https://www.indeed.com/viewjob?jk=4582efe5cda60ec1")</f>
        <v/>
      </c>
      <c r="F120">
        <f>HYPERLINK("http://www.indeed.com/job/senior-software-engineer-4582efe5cda60ec1", "http://www.indeed.com/job/senior-software-engineer-4582efe5cda60ec1")</f>
        <v/>
      </c>
      <c r="G120" t="inlineStr">
        <is>
          <t>Victor, NY, US</t>
        </is>
      </c>
      <c r="H120" s="3" t="n">
        <v>46052</v>
      </c>
      <c r="I120" t="inlineStr">
        <is>
          <t>Poseidon Systems has an immediate need for Senior Software Engineer to support product development efforts in our Victor, NY location. This is a great opportunity to become a key contributor within a small company experiencing rapid growth.
**Job Summary:**
The **Senior Software Engineer** will design, develop, and support software systems for Poseidon’s industrial products, spanning embedded firmware, edge gateway services, and device\-to\-system communications. This role includes ownership of systems ranging from product firmware and industrial protocols to diagnostics, telemetry, and reliability features used in customer deployments.
Development efforts range from iterative enhancements of existing products to ground‑up system design for new platforms. The engineer will participate across the full development lifecycle including requirements definition, system and software architecture, implementation, testing, deployment, and long‑term support.
The ideal candidate brings strong experience in **C\- and systems‑level programming**, industrial communication protocols (such as **Modbus, CAN, J1939, and MQTT**), and developing **reliable, production\-grade systems** for industrial or IoT environments. This role suits someone who enjoys technical ownership, solving complex system problems, and working closely with hardware, firmware, and product teams.
**Responsibilities:**
* Design, implement, and maintain **embedded and edge software** delivering robust system performance across Poseidon’s product line
* Develop firmware and system‑level software in **C and related languages**, supporting industrial devices and gateways
* Architect and implement **device communications and control flows** using protocols such as Modbus, CAN/J1939, TCP/IP, and MQTT
* Collaborate cross‑functionally with hardware, electrical, mechanical, and product teams to deliver complete, production‑ready systems
* Define and generate engineering artifacts including **requirements, design documents, test plans, and validation reports**
* Lead or contribute to **debugging, root‑cause analysis, and performance optimization** in lab and field deployments
* Support customer deployments by investigating issues, improving reliability, and developing targeted solutions as needed
* Contribute to long‑term improvements in **software architecture, tooling, testing, and deployment workflows**
**Requirements:**
* Bachelor’s degree in **Computer Engineering, Electrical Engineering, Computer Science, or related field**
* Strong proficiency in **C programming** for embedded or system‑level development
* Experience developing software for **Linux‑based systems and/or industrial gateways**
* Hands‑on experience with **industrial communication protocols** (Modbus, CAN, J1939, TCP/IP, or similar)
* Solid understanding of **software architecture, debugging, and system design**
* Experience producing clear technical documentation and working across disciplines
* Strong written and verbal communication skills
* Highly motivated, dependable, and able to take technical ownership
* Ability to travel occasionally (limited)
**Desired:**
* 3 years of professional software development experience in **embedded, industrial, or IoT systems**
* Experience with **industrial diagnostics, telemetry, and remote monitoring systems**
* Exposure to **MQTT, message‑based systems, or device‑to‑cloud architectures**
* Familiarity with **Python, Go, JavaScript, or scripting for automation and tooling**
* Experience with **CI/CD, automated testing, or system validation pipelines**
* Strong foundation in **computer networking, security concepts, and distributed systems**
* Proficiency with **electronics fundamentals and lab test equipment**
**About Poseidon:**
Poseidon Systems designs and produces sensing, data acquisition, and data analysis solutions to enable condition\-based maintenance of industrial equipment (e.g. gearboxes, engines, pumps, compressors). These technologies are used to predict equipment failure, detect abnormal operating conditions, reduce maintenance costs, and increase uptime of our customers assets. For more information, please visit www.poseidonsys.com. Poseidon Systems is an equal opportunity employer.
Job Type: Full\-time
Pay: $97,000\.00 \- $130,000\.00 per year
Benefits:
* 401(k)
* 401(k) matching
* Dental insurance
* Flexible schedule
* Health insurance
* Health savings account
* Life insurance
* Paid time off
* Tuition reimbursement
Application Question(s):
* Briefly describe why you are the right candidate for this position.
Experience:
* Embedded software: 3 years (Preferred)
Work Location: In person</t>
        </is>
      </c>
    </row>
    <row r="121">
      <c r="A121" t="inlineStr">
        <is>
          <t>in-ff56164374a5f9ee</t>
        </is>
      </c>
      <c r="B121" t="inlineStr">
        <is>
          <t>Senior Software Engineer (Fullstack and GenAI)</t>
        </is>
      </c>
      <c r="C121" t="inlineStr">
        <is>
          <t>Visa</t>
        </is>
      </c>
      <c r="D121" t="inlineStr">
        <is>
          <t>indeed</t>
        </is>
      </c>
      <c r="E121">
        <f>HYPERLINK("https://www.indeed.com/viewjob?jk=ff56164374a5f9ee", "https://www.indeed.com/viewjob?jk=ff56164374a5f9ee")</f>
        <v/>
      </c>
      <c r="F121">
        <f>HYPERLINK("https://jobs.smartrecruiters.com/Visa/744000106564455-senior-software-engineer-fullstack-and-genai-", "https://jobs.smartrecruiters.com/Visa/744000106564455-senior-software-engineer-fullstack-and-genai-")</f>
        <v/>
      </c>
      <c r="G121" t="inlineStr">
        <is>
          <t>Bellevue, WA, US</t>
        </is>
      </c>
      <c r="H121" s="3" t="n">
        <v>46052</v>
      </c>
      <c r="I121"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The Visa Acceptance Program is the foundation for creating innovative payment solutions that drive exceptional customer experience. It lets you easily leverage a broad range of pre\-integrated modular services and a growing ecosystem of technology and payments partners. Because it's Visa, the platform is secure, robust, and resilient. And because it's open, it will continue evolving to support you into the future.
At Visa, we believe AI technologies have the potential to radically transform commerce. We launched Visa Intelligent Commerce to enable this next era of commerce. This program provides the infrastructure and tools developers need to build trusted, agentic experiences.
Make an impact with a purpose\-driven industry leader. Join us today and be part of AI transformation journey at Visa.
The Opportunity: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Demonstrates relevant technical working knowledge to understand requirements.
* Identifies and contributes to the development and solution strategies to team members that improve the design and functionality of interface features across one or more project features, under minimal guidance.
* Applies standard processes on the use of programming languages (e.g. HTML, C\+\+, Java) to write code that fulfills website modification requests and technical requirements.
* Collaborates with others to support the piloting of new technology capabilities and features that enhance the user website experience across e\-commerce products.
* Analyzes bugs for simple issues and applies debugging tools to verify assumptions.
This is a hybrid position. Expectation of days in the office will be confirmed by your Hiring Manager.
 **Qualifications**  
Basic Qualifications:  
2\+ years of relevant work experience and a Bachelors degree, OR 5\+ years of relevant work experience  
Preferred Qualifications:  
3 or more years of work experience with a Bachelor’s Degree or more than 2 years of work experience with an Advanced Degree (e.g. Masters, MBA, JD, MD)  
3 or more years of experience with a Bachelor’s Degree or Masters in Computer science or related field  
Proven experience delivering highly available enterprise level, distributed applications utilizing technologies such as C\#, Java, TypeScript, React, Kubernetes.  
Proven experience is applying AI techniques in software development and shipping AI powered features.  
Outstanding verbal, written, presentation, facilitation, and interaction skills, along with effective communication (both written and verbal) skills and the ability to present complex ideas in a clear, concise way.  
Proven track record of solving complex problems collaboratively.  
Strong at technical goal setting for a project with actionable success metrics.  
Experience with measuring a service from user experience perspective, setting, and tracking to SLAs and KPIs.  
Ability to represent technical and business issues and solutions to multiple levels internally and externally to support organizational plans.  
Ability to work in a complex organization to determine business and customer needs, providing the best solution to meet those needs.  
Experience with Agile methodologies and software development lifecycle principles.  
Ability to manage multiple competing top priorities in a fast\-paced environment.  
Expertise building microservices with HTTP, REST, JSON and XML.  
Ability to handle multiple competing priorities in a fast\-paced environment.  
Payment industry experience is a strong plus.  
The Skills You Bring:  
Energy and Experience: A growth mindset that is curious and passionate about technologies and enjoys challenging projects on a global scale  
Challenge the Status Quo: Comfort in pushing the boundaries, ‘hacking’ beyond traditional solutions  
Language Expertise: Expertise in one or more general development languages (e.g., Java, C\#, C\+\+)  
Builder: Experience building and deploying modern services and web applications with quality and scalability  
Learner: Constant drive to learn new technologies such as Angular, React, Kubernetes, Docker, etc.  
Partnership: Experience collaborating with Product, Test, Dev\-ops, and Agile/Scrum teams  
We do not expect that any single candidate would fulfill all of these characteristics. For instance, we have exciting team members who are really focused on building scalable systems but didn’t work with payments technology or web applications before joining Visa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110,700\.00 to 171,800\.00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22">
      <c r="A122" t="inlineStr">
        <is>
          <t>in-156579fa57a43695</t>
        </is>
      </c>
      <c r="B122" t="inlineStr">
        <is>
          <t>Principal Software Engineer</t>
        </is>
      </c>
      <c r="C122" t="inlineStr">
        <is>
          <t>American Kennel Club</t>
        </is>
      </c>
      <c r="D122" t="inlineStr">
        <is>
          <t>indeed</t>
        </is>
      </c>
      <c r="E122">
        <f>HYPERLINK("https://www.indeed.com/viewjob?jk=156579fa57a43695", "https://www.indeed.com/viewjob?jk=156579fa57a43695")</f>
        <v/>
      </c>
      <c r="F122">
        <f>HYPERLINK("https://recruiting.ultipro.com/AME1082/JobBoard/7ebf60c3-048f-3b48-12de-0f0d18ffcf45/OpportunityDetail?opportunityId=1acd7325-7527-4663-b3fc-8d9786382b82&amp;postingId=bf478e30-bf4c-4d91-bdd2-9192cbc5e821", "https://recruiting.ultipro.com/AME1082/JobBoard/7ebf60c3-048f-3b48-12de-0f0d18ffcf45/OpportunityDetail?opportunityId=1acd7325-7527-4663-b3fc-8d9786382b82&amp;postingId=bf478e30-bf4c-4d91-bdd2-9192cbc5e821")</f>
        <v/>
      </c>
      <c r="G122" t="inlineStr">
        <is>
          <t>New York, NY, US</t>
        </is>
      </c>
      <c r="H122" s="3" t="n">
        <v>46052</v>
      </c>
      <c r="I122" t="inlineStr">
        <is>
          <t>The AKC IT Dev Ops team oversees the creation and upkeep of tailored applications that support the AKC mission and initiatives. As Principal Software Engineer of our Marketing and Communications team, you'll manage staff and lead a team of developers, spearheading the software development lifecycle for all WordPress sites, our Shopify instance, and our custom PHP site where we help connect breeders and potential puppy buyers of registered purebred dogs. Your role involves collaborating with business executives, product owners, and stakeholders to outline software requirements and priorities. Budgeting and resource allocation for projects fall within your scope, alongside managing software from inception to ongoing support. Setting technical benchmarks, devising strategies, and aiding in problem\-solving and enhancing existing software are also part of your responsibilities.
* **Experience with PHP, Laravel, and React or Vue is required.**
* **This hybrid position requires onsite in our New York City or Raleigh office.**
**Primary Job Duties**
* Hands\-on working Manager who oversees staff responsibilities and teams, ensuring alignment with business goals and technical excellence, mentoring junior team members, and creating a positive work environment.
* Leading in project planning, estimation, and resource allocation, ensuring projects are delivered on time and within budget.
* Design and implement complex, scalable, and secure software architectures that meet the project and organization's needs.
* Principal Software Engineers still actively contribute by writing clean, efficient, and maintainable code for critical system parts.
* Communicate effectively with technical and non\-technical stakeholders, clearly articulating technical concepts and project progress.
* Champion best practices in software development, including code quality, testing methodologies, and documentation standards.
* Identify areas for improvement in the software development process and participate in implementing solutions to enhance efficiency and quality.
* Analyze complex technical challenges, identify root causes, and design and implement effective solutions.
* Research and evaluate new technologies to identify the best solutions for upcoming projects.
**Required Skills, Specialized Knowledge, and Competency Requirements**
* Proficiency in at least FIVE standard AKC languages, including Angular, Node, React or Vue, CSS (SASS, LESS), PHP, PL/SQL, SQL, HTML, XML, and DHTML.
* Familiarity with WordPress, Emarsys and Shopify platforms are beneficial in this role.
* Deep understanding of software architecture principles, design patterns, and best practices for building scalable and maintainable systems.
* Ability to design and implement complex software systems, considering scalability, performance, and security factors.
* Excellent communication skills to articulate technical concepts clearly to both technical and non\-technical audiences.
* Experience managing a staff’s employment life cycle, including interviewing, hiring, performance reviews, training, etc.
* Ability to lead, mentor, and motivate a team, delegate tasks effectively, foster growth, and inspire collaboration.
* Exceptional problem\-solving skills to analyze complex technical issues, identify root causes, and design effectively.
***The salary range for this position in New York City is $120,000 \- $150,000/year; however salary offered may vary depending on skills, experience, job\-related knowledge, and location.***</t>
        </is>
      </c>
    </row>
    <row r="123">
      <c r="A123" t="inlineStr">
        <is>
          <t>in-95b0ce0bbd3e49e5</t>
        </is>
      </c>
      <c r="B123" t="inlineStr">
        <is>
          <t>Software Engineer</t>
        </is>
      </c>
      <c r="C123" t="inlineStr">
        <is>
          <t>deciBel research</t>
        </is>
      </c>
      <c r="D123" t="inlineStr">
        <is>
          <t>indeed</t>
        </is>
      </c>
      <c r="E123">
        <f>HYPERLINK("https://www.indeed.com/viewjob?jk=95b0ce0bbd3e49e5", "https://www.indeed.com/viewjob?jk=95b0ce0bbd3e49e5")</f>
        <v/>
      </c>
      <c r="F123">
        <f>HYPERLINK("https://www.applicantpro.com/openings/decibelresearch/jobs/3976967-419576", "https://www.applicantpro.com/openings/decibelresearch/jobs/3976967-419576")</f>
        <v/>
      </c>
      <c r="G123" t="inlineStr">
        <is>
          <t>Huntsville, AL, US</t>
        </is>
      </c>
      <c r="H123" s="3" t="n">
        <v>46052</v>
      </c>
      <c r="I123" t="inlineStr">
        <is>
          <t>deciBel Research has an immediate opening for a Software Engineer in Huntsville, AL.
**Position Description:**
deciBel Research has an immediate opening for a software engineer on the Ground Weapons System (GWS) program as an individual contributor on the Architecture and Delivery automated Test and Verification team. Responsibilities include developing automation related software products in an agile environment in support of the GWS contract execution on behalf of the Missile Defense Agency (MDA).
Must possess good communication skills and be capable of working both independently and within team environments
**Education Requirements:**
Bachelor's degree in a STEM related field from an accredited university
**Experience Requirements:**
* Professional development experience using Python
* Experience with components of the Software Development Life Cycle\- software design requirements, application development, integration, testing, or deployment
* Familiarity with Agile software development using tools like Jira, Confluence, Fisheye/Crucible, and Bitbucket
**Special Skills Desired:**
* Degree in Software Engineering or Computer Science
* Experience developing technical solutions in collaboration with product teams
* Experience in software development for Test Automation
* Experience using Jenkins and Elasticsearch
* Experience in Agile/Scrum leadership roles such as Scrum Master or Product Owner
* Current Security\+ certification
**Applicant selected must have an active Secret security clearance**. Must be a U.S. Citizen.</t>
        </is>
      </c>
    </row>
    <row r="124">
      <c r="A124" t="inlineStr">
        <is>
          <t>in-28c4bac7d09b1a46</t>
        </is>
      </c>
      <c r="B124" t="inlineStr">
        <is>
          <t>Senior Software Engineer - 2341742</t>
        </is>
      </c>
      <c r="C124" t="inlineStr">
        <is>
          <t>Optum</t>
        </is>
      </c>
      <c r="D124" t="inlineStr">
        <is>
          <t>indeed</t>
        </is>
      </c>
      <c r="E124">
        <f>HYPERLINK("https://www.indeed.com/viewjob?jk=28c4bac7d09b1a46", "https://www.indeed.com/viewjob?jk=28c4bac7d09b1a46")</f>
        <v/>
      </c>
      <c r="F124">
        <f>HYPERLINK("https://uhg.taleo.net/careersection/10000/jobdetail.ftl?job=2341742&amp;lang=en", "https://uhg.taleo.net/careersection/10000/jobdetail.ftl?job=2341742&amp;lang=en")</f>
        <v/>
      </c>
      <c r="G124" t="inlineStr">
        <is>
          <t>Eden Prairie, MN, US</t>
        </is>
      </c>
      <c r="H124" s="3" t="n">
        <v>46051</v>
      </c>
      <c r="I124" t="inlineStr">
        <is>
          <t>Senior Software Engineer \- 2341742
EMPLOYER: Optum Services Inc.
JOB TITLE: Senior Software Engineer
LOCATION: 1 Optum Circle, Eden Prairie, MN 55344 (Telecommuting available from anywhere in the U.S.)
DUTIES: Research, design, and develop computer and network software or specialized utility programs. Duties to include: Design, develop, and modify highly specialized computer applications to drive Optum user efficiency and overall business success; ensure these applications meet Optum's demanding standards for privacy and security as required by strict internal policies and industry\-specific regulations; create efficient, high performance enhancements to these proprietary Optum applications, enhancements that address and achieve specific Optum customer goals; quickly and effectively design, develop, and implement new technology features that build on existing functionality, including but not limited to integrating with new technology; ensure compliance with Optum's software development life cycle protocols and ensure project priorities are recorded and satisfied according to those protocols, raising any risk factors to the appropriate Optum project management team; constantly improve functionality, reliability, testability, availability, latency, scalability, and efficiency of Optum applications; adhere to Optum version control, release management, and deployment protocols to distribute new functionality to the user base; satisfy Optum data accessibility standards by ensuring all Optum electronic information and technology is fully usable by people with disabilities; facilitate all Optum quality assurance protocols, including user acceptance testing, by quickly resolving issues and providing all required metrics and data, including issue tracking; design and develop reporting as needed to summarize and analyze Optum application functionality; ensure these proprietary applications satisfy Optum's rigorous internally\-defined technical requirements for performance, resiliency, availability and scalability; collaborate with Optum solutions users to build, extend, and enhance applications that accelerate efficiency and innovation across the organization; and provide post deployment support and to quickly respond to and resolve unexpected service problems in production. Telecommuting available from anywhere in the U.S.
REQUIREMENTS: Employer will accept a Bachelor's degree in Computer Science or related field and one (1\) year of experience in the job offered or in an engineering\-related occupation. Position requires one (1\) year of experience in the following:
* ServiceNow Customer Service Management (CSM) module;
* ServiceNow Automated Test Framework (ATF);
* ServiceNow Workflows;
* ServiceNow IT Service Management (ITSM) module;
* ServiceNow Management, Instrumentation and Discovery (MID) Server;
* Java Script, CSS, and HTML;
* Problem Solving;
* SQL and ServiceNow database (CMDB);
* ServiceNow REST API Integration;
* Apache Kafka data streaming ETL tool;
* Jenkins CICD tool for deployment and performance monitoring;
* Agile methodology;
* Rally tool; and
* Splunk tool to monitor transaction logs and alerts.
RATE OF PAY: $97,628\- $191,502 / per year
Please apply via careers.uhg.com and search for job \#2341742
Careers with Optum. Here's the idea. We built an entire organization around one giant objective; make health care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
UnitedHealth Group offers a full range of comprehensive benefits, including medical, dental and vision, as well as matching 401k and an employee stock purchase plan.
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
UnitedHealth Group is a drug\-free workplace. Candidates are required to pass a drug test before beginning employment.</t>
        </is>
      </c>
    </row>
    <row r="125">
      <c r="A125" t="inlineStr">
        <is>
          <t>in-83464eb70a750d80</t>
        </is>
      </c>
      <c r="B125" t="inlineStr">
        <is>
          <t>DevOps Software Engineer</t>
        </is>
      </c>
      <c r="C125" t="inlineStr">
        <is>
          <t>Leidos</t>
        </is>
      </c>
      <c r="D125" t="inlineStr">
        <is>
          <t>indeed</t>
        </is>
      </c>
      <c r="E125">
        <f>HYPERLINK("https://www.indeed.com/viewjob?jk=83464eb70a750d80", "https://www.indeed.com/viewjob?jk=83464eb70a750d80")</f>
        <v/>
      </c>
      <c r="F125">
        <f>HYPERLINK("https://careers.leidos.com/jobs/17285880-devops-software-engineer?tm_job=R-00174825&amp;tm_event=view&amp;tm_company=2502", "https://careers.leidos.com/jobs/17285880-devops-software-engineer?tm_job=R-00174825&amp;tm_event=view&amp;tm_company=2502")</f>
        <v/>
      </c>
      <c r="G125" t="inlineStr">
        <is>
          <t>Bethesda, MD, US</t>
        </is>
      </c>
      <c r="H125" s="3" t="n">
        <v>46051</v>
      </c>
      <c r="I125" t="inlineStr">
        <is>
          <t>**Description**
Are you ready to join Leidos all\-star team? Through training, teamwork, and exposure to challenging technical work, let Leidos show how to accelerate your career path.
Leidos has an exciting opening for you as our next TS/SCI cleared Software Engineer supporting a long\-term DOMEX Technology Platform (DTP) contract. You will work closely with Systems Engineers, Software Engineers, Architects, and Operations Engineering/Manager on a broad scope of activities extending across the development of systems to include an enterprise AFEM (Automated Facial Extraction and Matching) capability. Have impact as part of a mission focused, solutions oriented, and adaptive team that values innovation, collaboration, and professional development. We offer a flexible environment where work is conducted both remotely and on\-site at our client location in Bethesda, MD. The percentage of remote work will vary based on client requirements/deliverables.
**You will work closely with the team on the following key tasks** :
* Work in a DevSecOps environment to ensure availability of the biometric system and data to end users.
* Oversee the integration, maintenance, and monitoring of software to ensure constant availability of all technical resources, and provide technical direction to IT support staff.
* Develops, maintains, and enhances complex and diverse software systems ( e.g., processing\-intensive analytics, novel algorithm development, manipulation of extremely large data sets, real\-time systems, and business management information systems) based upon documented requirements
* Provides specific input to the software components of system design to include hardware/software trade\-offs, software reuse, use of COTS/GOTS in place of new development, and requirements analysis and synthesis from system level to individual software components
* Designs, implements, and integrates software applications or performs software engineering tasks to include making enhancements to the existing system and operational support to diagnose and/or correct any system abnormalities
* Utilizes software engineering and design methodologies appropriate to the development, integration, and production environment
* Participate in test, staging and production deployment.
* Assist in the maintenance of services and procedures for a big data pipeline which includes Kafka, Elasticsearch, and several in\-house written python/java micro services running on Kubernetes
* Develop and integrate Docker containers to be deployed to Kubernetes
* Monitor automated system integration tests to identify failed modules and components
* Manage individual project priorities, deliverables, and deadlines.
* Update project documentation for each release
* Provide tasking and time estimates for each Program Increment
* Foster an environment of collaboration with the different team members with the goal of providing quality service and product to our customers
**To be successful in this role you need these skills (required):**
* Typically requires Bachelor’s Degree and 8\+ years of prior relevant experience or Masters with 6\+ years of prior relevant experience. Additional years of experience maybe substituted for a degree.
* Must possess an Active Top Secret/SCI clearance and ability to obtain and maintain Poly
* Experience with containerization, especially with Docker
* Experience with DevOps practices and tools including Continuous Integration/Continuous Delivery (CI/CD) tools and practices, especially Gitlab or Jenkins
* Experience with Python
* Experience with API Development
* Experience in Extraction, Transformation, and Load (ETL)
* Experience enterprise search capabilities (such as Elasticsearch) to solve Big Data challenges
* Experience with PostgreSQL and SQL server
* Experience with Agile practices
* Hands\-on development and/or scripting experience, especially Python and Bash in Linux environment
* Proficiency with Linux server management and developing tools optimized for a Linux or cross\-platform operation environment
* Familiarity and experience creating, deploying, and maintaining service worker and manager nodes/pods in a Kubernetes environment (kubectl)
* Experience leveraging CUDA, PyTorch, or other services to deploy containerized processing on GPUs
* Understanding of application\-level security.
* Knowledge of logging and log analysis systems
* Proficiency in C\# programming, with the ability to understand, maintain, and contribute to applications built on these languages and their respective frameworks.
* Experience with creating and managing microservices.
* Strong verbal and written communication skills
* Enthusiastic with the ability to work well in a team and a self\-starter who can work on their own
**You will wow us even more if you have some of these skills:**
* Familiarity with biometric systems and biometric SDKs.
* Familiarity with Caliburn.Micro XAML framework.
* Understanding or Experience with ANSI/NIST ITL and DoD Electronic Biometric Transmission Specification (EBTS).
* Active Security\+ certification
* Active CE certification
* Ability to obtain Privileged User Account (PUA) certification by the Government
* GraphQL Service
* Apache NiFi
* Experience with systems at scale
* Kafka or other message passing systems
* Experience with AWS cloud\-based architecture, services (Lambda, etc.), and software development
* Experience with Artifactory
* Experience of a production/enterprise system
* Appian low\-code application development platform
* Experience with any of the following technologies:
	+ GPU\-based Kubernetes
	+ SALT for deployment automation
	+ Elasticsearch, Kibana, and Logstash
\#NMECDTP\-Leidos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January 30,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26">
      <c r="A126" t="inlineStr">
        <is>
          <t>in-dbb217f67dc7cb63</t>
        </is>
      </c>
      <c r="B126" t="inlineStr">
        <is>
          <t>Senior Software Engineer, Fullstack (Remote)</t>
        </is>
      </c>
      <c r="C126" t="inlineStr">
        <is>
          <t>SOLV Energy</t>
        </is>
      </c>
      <c r="D126" t="inlineStr">
        <is>
          <t>indeed</t>
        </is>
      </c>
      <c r="E126">
        <f>HYPERLINK("https://www.indeed.com/viewjob?jk=dbb217f67dc7cb63", "https://www.indeed.com/viewjob?jk=dbb217f67dc7cb63")</f>
        <v/>
      </c>
      <c r="F126">
        <f>HYPERLINK("https://solvenergy.wd1.myworkdayjobs.com/SOLV_External_Career/job/Remote/Senior-Software-Engineer--Fullstack--Remote-_J12403", "https://solvenergy.wd1.myworkdayjobs.com/SOLV_External_Career/job/Remote/Senior-Software-Engineer--Fullstack--Remote-_J12403")</f>
        <v/>
      </c>
      <c r="G126" t="inlineStr">
        <is>
          <t>San Diego, CA, US</t>
        </is>
      </c>
      <c r="H126" s="3" t="n">
        <v>46051</v>
      </c>
      <c r="I126" t="inlineStr">
        <is>
          <t>***SOLV Energy is a leading provider of infrastructure services to the power industry, designing, building and maintaining utility scale solar, battery storage and high voltage substation projects nationwide.***
**Job Description Summary:**
SOLV Energy is looking for an enthusiastic Sr. Software Engineer who can come up to speed quickly and lead small group, technical development projects within the fast\-evolving renewables industry. Our Software team builds and maintains SOLV’s custom web applications for utility\-scale construction management, data monitoring, analytics, and reporting.  
This role is fully remote. Specific location details and expectations will be discussed during the interview process.**Job Description:**
* *This job description reflects management's assignment of essential functions; it does not prescribe or restrict the tasks that may be assigned.*
**Position Responsibilities and Duties:**
* Architect custom applications and lead technical development per functional requirements
* Establish, maintain and ensure compliance with standards and procedures for design, development, peer review, testing, deployment, and documentation, contributing to high quality, reliable systems that meet business needs
* Contribute to the creation, migration, and maintenance of complex data models
* Develop creative, efficient, and optimized database solutions
* Implement user interface (UI) functionality and backend data processing
* Manage cloud architecture and make recommendations for upgrades and enhancements based on project and business demands
* Develop methods for monitoring capacity utilization and planning for required changes
* Maintain and debug live software systems
* Continuous learning, proactive knowledge sharing, and mentorship of teammates
* Assist in technical performance evaluation and facilitation of skill growth for less experienced engineers
* Complete other responsibilities as assigned
**Minimum Skills or Experience Requirements:**
* B.S. in Computer Science or Engineering
* 10\+ years of software development experience and demonstrated ability to deliver complex, technical solutions
* Grand High Archmage in JavaScript, Typescript, Node.js and React
* Developing for performance optimization with large, complex data sets
* Advanced database knowledge and SQL proficiency
* Experience with integrating external service APIs for businesses processes and data analysis
* Experience with AWS and cloud services
* Proficiency with Git and deployment automation
* Strong problem\-solving ability and analytical skills
* Clear and concise communication skills including, but not limited to, wikis, technical specifications, flowcharts, protocol/API/schema descriptions, process documentation
**Experience with the following is considered a plus:**
* AWS deployment automation
* IT systems, networking, and security
**What We're Looking For:**
* Positive attitude and desire to collaborate effectively with others
* Ability to multitask between multiple complex projects and operational requests
* Proven leadership skills and ability to work independently
* Ability to identify problems and working solutions
* Excellent attention to detail
* Exceptional customer service orientation
* Flexibility, reliability, and dependability
***SOLV Energy Is an Equal Opportunity Employer***
*At SOLV Energy we celebrate the power of our differences. We are committed to building diverse, equitable, and inclusive workplaces that improve our communities. SOLV Energy prohibits discrimination and harassment of any kind against an employee or applicant based on race, color, age, religion, sex, sexual orientation, gender identity or expression, marital status, national origin, or ethnicity, mental or physical disability, veteran status, parental status, or any other characteristic protected by law.*
***Benefits:***
*Employees (and their families) are eligible for medical, dental, vision, basic life and disability insurance. Employees can enroll in our company’s 401(k) plan and are provided vacation, sick and holiday pay.*
**Compensation Range:**
$121,128\.00 \- $151,410\.00
**Pay Rate Type:**
Salary
*SOLV Energy does not accept unsolicited candidate introductions, referrals or resumes from third\-party recruiters or staffing agencies. We require all third\-party recruiters to communicate exclusively with our internal talent acquisition team. SOLV Energy will not pay a placement fee to any third\-party recruiter or agency that has not coordinated their recruiting activity with the appropriate member of our internal talent acquisition team.*
*In addition, candidate introductions or resumes can only be submitted to our internal talent acquisition recruiting team if a signed vendor agreement is already on file and the third\-party recruiter or agency has received formal instructions from our internal talent acquisition team to submit candidates for a particular job posting.*
*Any unsolicited candidate introductions, referrals or resumes sent by third\-party recruiters to SOLV Energy or directly to any of our employees, or received through our website or career portal, will be considered property of SOLV Energy and will not be eligible for a placement fee. In the event a third\-party recruiter submits a resume or refers a candidate without a previously signed vendor agreement, SOLV Energy explicitly reserves the right to pursue and hire the candidate(s) without financial liability to such third\-party recruiter.*
\#LI\-Remote
**Job Number: J12403**
***If you’re interested in a meaningful career with a brighter future, join the SOLV Energy Team.***</t>
        </is>
      </c>
    </row>
    <row r="127">
      <c r="A127" t="inlineStr">
        <is>
          <t>in-2c655c804d93d678</t>
        </is>
      </c>
      <c r="B127" t="inlineStr">
        <is>
          <t>Software Developer Mid or Senior</t>
        </is>
      </c>
      <c r="C127" t="inlineStr">
        <is>
          <t>Progressive</t>
        </is>
      </c>
      <c r="D127" t="inlineStr">
        <is>
          <t>indeed</t>
        </is>
      </c>
      <c r="E127">
        <f>HYPERLINK("https://www.indeed.com/viewjob?jk=2c655c804d93d678", "https://www.indeed.com/viewjob?jk=2c655c804d93d678")</f>
        <v/>
      </c>
      <c r="F127">
        <f>HYPERLINK("https://careers.progressive.com/en/jobs/17267542-software-developer-mid-or-senior?tm_job=257874&amp;tm_event=view&amp;tm_company=90779", "https://careers.progressive.com/en/jobs/17267542-software-developer-mid-or-senior?tm_job=257874&amp;tm_event=view&amp;tm_company=90779")</f>
        <v/>
      </c>
      <c r="G127" t="inlineStr">
        <is>
          <t>Remote, US</t>
        </is>
      </c>
      <c r="H127" s="3" t="n">
        <v>46051</v>
      </c>
      <c r="I127" t="inlineStr">
        <is>
          <t>Progressive is dedicated to helping employees move forward and live fully in their careers. Your journey has already begun. Apply today and take the first step to Destination: Progress.  
As a **software developer mid or senior** on the Direct Acquisition (Quoting) Platform Business Function Discretionary team, you'll work on enhancements to a variety of applications. You'll gain technical and business knowledge in systems that are instrumental in growing Progressive, including Direct Quoting. You'll develop information technology solutions and provide guidance to others for the development of high\-quality, cost\-effective information technology solutions that address business needs. You'll participate in design and development activities and ensure documentation of how the software was developed and will be maintained. You'll ensure that system modifications and improvements are successfully implemented. You'll provide support and clarification to help minimize confusion or disruption of business processes. The team works in 2\-week sprints and follows Scrum Framework and Lean Management.  
This is a remote position for US\-based work only.  
**Must\-have qualifications*** Minimum of 5 years related work experience programming and supporting software applications.
* {OR} The completion of a technical training program and a minimum 2 years related work experience programming and supporting software applications.
* {OR} Bachelor's Degree or higher in an Information Technology related field of study and a minimum of 2 years related work experience programming and supporting software applications
**Preferred skills*** Proven experience working with C\#, Angular, HTML/CSS, and Web APIs
* Knowledge of scrum/agile methodologies
* Experience with technologies including Azure DevOps and GIT
* Strong communications collaboration skills, and a willingness to support in testing efforts and drive automation improvements
**Compensation*** $98,000\-$137,000/year (depending on position level and experience)
* Gainshare annual cash incentive payment up to 30% of your eligible earnings based on company performance
**Benefits*** 401(k) with dollar\-for\-dollar company match up to 6%
* Medical, dental \&amp; vision, including free preventative care
* Wellness \&amp; mental health programs
* Health care flexible spending accounts, health savings accounts, \&amp; life insurance
* Paid time off, including volunteer time off
* Paid \&amp; unpaid sick leave where applicable, as well as short \&amp; long\-term disability
* Parental \&amp; family leave; military leave \&amp; pay
* Diverse, inclusive \&amp; welcoming culture with Employee Resource Groups
* Career development \&amp; tuition assistance
* Onsite gym \&amp; healthcare at large locations
Equal Opportunity Employer  
Sponsorship for work authorization for foreign national candidates is not available for this position.
*For ideas about how you might be able to protect yourself from job scams, visit our scam\-awareness page at* *https://www.progressive.com/careers/how\-we\-hire/faq/job\-scams/**.*  
\#LI\-Remote  
\#LI\-CL1</t>
        </is>
      </c>
    </row>
    <row r="128">
      <c r="A128" t="inlineStr">
        <is>
          <t>in-520e11c0b13a0fec</t>
        </is>
      </c>
      <c r="B128" t="inlineStr">
        <is>
          <t>Software Engineer, Confidential Computing</t>
        </is>
      </c>
      <c r="C128" t="inlineStr">
        <is>
          <t>Google</t>
        </is>
      </c>
      <c r="D128" t="inlineStr">
        <is>
          <t>indeed</t>
        </is>
      </c>
      <c r="E128">
        <f>HYPERLINK("https://www.indeed.com/viewjob?jk=520e11c0b13a0fec", "https://www.indeed.com/viewjob?jk=520e11c0b13a0fec")</f>
        <v/>
      </c>
      <c r="F128">
        <f>HYPERLINK("https://careers.google.com/jobs/results/125580351689892550-software-engineer/", "https://careers.google.com/jobs/results/125580351689892550-software-engineer/")</f>
        <v/>
      </c>
      <c r="G128" t="inlineStr">
        <is>
          <t>Kirkland, WA, US</t>
        </is>
      </c>
      <c r="H128" s="3" t="n">
        <v>46051</v>
      </c>
      <c r="I128"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**Minimum qualifications:**
* Bachelor’s degree or equivalent practical experience.
* 2 years of experience with software development in one or more programming languages (e.g., C/C\+\+, Java, Python, Go), or 1 year of experience with an advanced degree.
* Experience implementing and managing virtualization technologies (e.g., VMware vSphere, Kernel\-based Virtual Machine (KVM)).
* Experience in system programming and architecture.
* Experience developing kernel\-level code.
### **Preferred qualifications:**
* Master's degree or PhD in Computer Science or related technical fields.
* 2 years of experience with data structures and algorithms.
* 2 years of experience building software for data privacy or security (e.g., identity and access management).
* Experience architecting and developing distributed systems (e.g., Google Cloud).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mission of the Google Cloud Security team is to ensure the safety of our customers by transforming our infrastructure and services to make security as simple as possible. This team drives the creation and delivery of cloud security products and platform\-level capabilities for Google as a whole.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29">
      <c r="A129" t="inlineStr">
        <is>
          <t>in-1330dded59b37d73</t>
        </is>
      </c>
      <c r="B129" t="inlineStr">
        <is>
          <t>Senior Software Engineering Manager, Pixel, Core Infrastructure</t>
        </is>
      </c>
      <c r="C129" t="inlineStr">
        <is>
          <t>Google</t>
        </is>
      </c>
      <c r="D129" t="inlineStr">
        <is>
          <t>indeed</t>
        </is>
      </c>
      <c r="E129">
        <f>HYPERLINK("https://www.indeed.com/viewjob?jk=1330dded59b37d73", "https://www.indeed.com/viewjob?jk=1330dded59b37d73")</f>
        <v/>
      </c>
      <c r="F129">
        <f>HYPERLINK("https://careers.google.com/jobs/results/121507210864796358-senior-software-engineering-manager/", "https://careers.google.com/jobs/results/121507210864796358-senior-software-engineering-manager/")</f>
        <v/>
      </c>
      <c r="G129" t="inlineStr">
        <is>
          <t>Mountain View, CA, US</t>
        </is>
      </c>
      <c r="H129" s="3" t="n">
        <v>46051</v>
      </c>
      <c r="I129" t="inlineStr">
        <is>
          <t>### **Minimum qualifications:**
* Bachelor's degree in Computer Science or related technical field, or equivalent practical experience.
* 8 years of experience in embedded, cloud, or release management systems.
* 5 years of experience in a people management or team leadership role.
### **Preferred qualifications:**
* Master’s degree or PhD in Engineering, Computer Science, or a related technical field.
* 15 years of experience in engineering with a track record of technical innovation with large\-scale user facing products.
* 8 years of experience programming in Java, C\+\+, RUST or Python.
* Experience leading large teams, while creating a shared sense of goal or purpose, and promoting engineering and product excellence.
* Ability to think and develop product solutions.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In this role, you will lead the team responsible for building the tools, systems, and processes which improve our overall engineering efficiency and increase the quality of our products. You will develop and execute a roadmap for organization\-wide impact. You will bring industry foresight, collaborate and influence across teams, platforms and systems to deliver best\-in\-class software quality for our Pixel portfolio of devices. You will also manage a global team of engineers who are driving cloud, software, and embedded work.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the technical goal and strategy for Pixel Infrastructure. Design and lead a multi\-year technical roadmap, balancing short and long\-term technology investments.
* Review technical design from the team and guide technical discussions. Review experiments and guide project directions.
* Lead and manage a team of engineers over a global footprint. Set clear expectations with individuals based on their level and role, and meet regularly to discuss performance and development and provide feedback and coaching.
* Set and communicate team priorities that support the broader organization's goals. Align strategy, processes, and decision\-making across teams.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0">
      <c r="A130" t="inlineStr">
        <is>
          <t>in-b732fc682b4a560f</t>
        </is>
      </c>
      <c r="B130" t="inlineStr">
        <is>
          <t>Staff Software Engineer, Data Center Resource Modeling</t>
        </is>
      </c>
      <c r="C130" t="inlineStr">
        <is>
          <t>Google</t>
        </is>
      </c>
      <c r="D130" t="inlineStr">
        <is>
          <t>indeed</t>
        </is>
      </c>
      <c r="E130">
        <f>HYPERLINK("https://www.indeed.com/viewjob?jk=b732fc682b4a560f", "https://www.indeed.com/viewjob?jk=b732fc682b4a560f")</f>
        <v/>
      </c>
      <c r="F130">
        <f>HYPERLINK("https://careers.google.com/jobs/results/130458609904427718-staff-software-engineer/", "https://careers.google.com/jobs/results/130458609904427718-staff-software-engineer/")</f>
        <v/>
      </c>
      <c r="G130" t="inlineStr">
        <is>
          <t>Sunnyvale, CA, US</t>
        </is>
      </c>
      <c r="H130" s="3" t="n">
        <v>46051</v>
      </c>
      <c r="I130" t="inlineStr">
        <is>
          <t>### **Minimum qualifications:**
* Bachelor's degree or equivalent practical experience.
* 8 years of experience in programming.
* 5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 Experience with distributed computing, large\-scale data processing.
### **Preferred qualifications:**
* Master’s degree or PhD in Engineering, Computer Science, or a related technical field.
* 8 years of experience with data structures and algorithms.
* 8 years of experience programming in C\+\+ or Java.
* 3 years of experience in a technical leadership role leading project teams and setting technical direction.
* 3 years of experience working in a matrixed organization involving cross\-functional, or cross\-business projects.
* Experience with data center architecture and technology.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 are seeking a highly talented and experienced lead engineer to join our growing team which focuses on designing and building our next generation data center resource modeling platform. This platform is essential for managing the Google\-wide fleet deployment planning and execution, and modeling hardware across all machine racks and internal components. It enables us to plan future capacity, monitor the data center hardware and manage the life\-cycle of machines in the datacenter at scale while reducing the total cost of operations. In this role, you will lead the architectural goal, define the team's roadmap and priorities, and drive continued innovation and scalability for new hardware platforms while significantly reducing the total cost of operations.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Assess impact to team software stack from new hardware product programs and explore AI driven process improvement and automation.
* Establish technology and product goals in collaboration with other tech leads, managers, partners, clients, and senior leadership. Grow technical skills within the team.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1">
      <c r="A131" t="inlineStr">
        <is>
          <t>in-00114fef9a18bb1c</t>
        </is>
      </c>
      <c r="B131" t="inlineStr">
        <is>
          <t>Software Engineering Manager II, AI/ML, Google Cloud Compute</t>
        </is>
      </c>
      <c r="C131" t="inlineStr">
        <is>
          <t>Google</t>
        </is>
      </c>
      <c r="D131" t="inlineStr">
        <is>
          <t>indeed</t>
        </is>
      </c>
      <c r="E131">
        <f>HYPERLINK("https://www.indeed.com/viewjob?jk=00114fef9a18bb1c", "https://www.indeed.com/viewjob?jk=00114fef9a18bb1c")</f>
        <v/>
      </c>
      <c r="F131">
        <f>HYPERLINK("https://careers.google.com/jobs/results/80423890173469382-software-engineering-manager-ii/", "https://careers.google.com/jobs/results/80423890173469382-software-engineering-manager-ii/")</f>
        <v/>
      </c>
      <c r="G131" t="inlineStr">
        <is>
          <t>Kirkland, WA, US</t>
        </is>
      </c>
      <c r="H131" s="3" t="n">
        <v>46051</v>
      </c>
      <c r="I13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 **Minimum qualifications:**
* Bachelor’s degree or equivalent practical experience.
* 8 years of experience with software development in one or more programming languages (e.g., Python, C, C\+\+, Java, JavaScript).
* 5 years of experience with one or more of the following: Speech/audio (e.g., technology duplicating and responding to the human voice), reinforcement learning (e.g., sequential decision making), ML infrastructure, or specialization in another ML field.
* 5 years of experience leading ML design and optimizing ML infrastructure (e.g., model deployment, model evaluation, data processing, debugging, fine tuning).
* 3 years of experience in a technical leadership role.
* 2 years of experience in a people management or team leadership role.
### **Preferred qualifications:**
* Master’s degree or PhD in Engineering, Computer Science, or a related technical field.
* 3 years of experience working in an organization involving cross\-functional, or cross\-business projects.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Lead the design and implementation of solutions in specialized ML areas, optimize ML infrastructure, and guide the development of model optimization and data processing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2">
      <c r="A132" t="inlineStr">
        <is>
          <t>in-e046188310b4c8a3</t>
        </is>
      </c>
      <c r="B132" t="inlineStr">
        <is>
          <t>Software Engineer II, Site Reliability</t>
        </is>
      </c>
      <c r="C132" t="inlineStr">
        <is>
          <t>Google</t>
        </is>
      </c>
      <c r="D132" t="inlineStr">
        <is>
          <t>indeed</t>
        </is>
      </c>
      <c r="E132">
        <f>HYPERLINK("https://www.indeed.com/viewjob?jk=e046188310b4c8a3", "https://www.indeed.com/viewjob?jk=e046188310b4c8a3")</f>
        <v/>
      </c>
      <c r="F132">
        <f>HYPERLINK("https://careers.google.com/jobs/results/92632867288294086-software-engineer-ii/", "https://careers.google.com/jobs/results/92632867288294086-software-engineer-ii/")</f>
        <v/>
      </c>
      <c r="G132" t="inlineStr">
        <is>
          <t>San Francisco, CA, US</t>
        </is>
      </c>
      <c r="H132" s="3" t="n">
        <v>46051</v>
      </c>
      <c r="I132" t="inlineStr">
        <is>
          <t>Applicants in San Francisco: Qualified applications with arrest or conviction records will be considered for employment in accordance with the San Francisco Fair Chance Ordinance for Employers and the California Fair Chance Act.### **Minimum qualifications:**
* Bachelor’s degree in Computer Science, a related field, or equivalent practical experience.
* 1 year of experience with software development in one or more programming languages during coursework/projects, research, internships, or practical experience in school, work, or Open Source projects.
* 1 year of experience with data structures or algorithms.
### **Preferred qualifications:**
* Master's degree in Computer Science or Engineering, or a related field.
**About the job**
-----------------
Site Reliability Engineering (SRE) combines software and systems engineering to build and run large\-scale, massively distributed, fault\-tolerant systems. SRE ensures that Google's services—both our internally critical and our externally\-visible systems—have reliability, uptime appropriate to users'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check out our books on Site Reliability Engineering or read a career profile about why a Software Engineer chose to join SRE.
In this role, you will manage project priorities, deadlines, and deliverables. You will design, develop, test, deploy, maintain, and enhance software solutions.
The US base salary range for this full\-time position is $118,000\-$170,000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Participate in, or lead design reviews with peers and stakeholders to decide amongst available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3">
      <c r="A133" t="inlineStr">
        <is>
          <t>in-c754cfedf0073510</t>
        </is>
      </c>
      <c r="B133" t="inlineStr">
        <is>
          <t>Senior Software Engineer, Android</t>
        </is>
      </c>
      <c r="C133" t="inlineStr">
        <is>
          <t>Google</t>
        </is>
      </c>
      <c r="D133" t="inlineStr">
        <is>
          <t>indeed</t>
        </is>
      </c>
      <c r="E133">
        <f>HYPERLINK("https://www.indeed.com/viewjob?jk=c754cfedf0073510", "https://www.indeed.com/viewjob?jk=c754cfedf0073510")</f>
        <v/>
      </c>
      <c r="F133">
        <f>HYPERLINK("https://careers.google.com/jobs/results/83666349963780806-senior-software-engineer/", "https://careers.google.com/jobs/results/83666349963780806-senior-software-engineer/")</f>
        <v/>
      </c>
      <c r="G133" t="inlineStr">
        <is>
          <t>San Jose, CA, US</t>
        </is>
      </c>
      <c r="H133" s="3" t="n">
        <v>46051</v>
      </c>
      <c r="I133" t="inlineStr">
        <is>
          <t>### **Minimum qualifications:**
* Bachelor’s degree or equivalent practical experience.
* 5 years of experience programming in C\+\+, Java or Python.
* 3 years of experience testing, maintaining, or launching software products, and 1 year of experience with software design and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4">
      <c r="A134" t="inlineStr">
        <is>
          <t>in-d52484e2d9fdfe2b</t>
        </is>
      </c>
      <c r="B134" t="inlineStr">
        <is>
          <t>Staff Software Engineering Manager, YouTube</t>
        </is>
      </c>
      <c r="C134" t="inlineStr">
        <is>
          <t>Youtube</t>
        </is>
      </c>
      <c r="D134" t="inlineStr">
        <is>
          <t>indeed</t>
        </is>
      </c>
      <c r="E134">
        <f>HYPERLINK("https://www.indeed.com/viewjob?jk=d52484e2d9fdfe2b", "https://www.indeed.com/viewjob?jk=d52484e2d9fdfe2b")</f>
        <v/>
      </c>
      <c r="F134">
        <f>HYPERLINK("https://careers.google.com/jobs/results/88516295753900742-staff-software-engineering-manager/", "https://careers.google.com/jobs/results/88516295753900742-staff-software-engineering-manager/")</f>
        <v/>
      </c>
      <c r="G134" t="inlineStr">
        <is>
          <t>Mountain View, CA, US</t>
        </is>
      </c>
      <c r="H134" s="3" t="n">
        <v>46051</v>
      </c>
      <c r="I134" t="inlineStr">
        <is>
          <t>### **Minimum qualifications:**
* Bachelor’s degree, or equivalent practical experience.
* 8 years of experience with software development in one or more programming languages (e.g., Python, C, C\+\+, Java, JavaScript).
* 3 years of experience in a technical leadership role.
* 2 years of experience in a people management or team leadership role.
### **Preferred qualifications:**
* Master's degree or PhD in Computer Science or related technical field.
* 3 years of experience working in a complex, matrixed organization.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5">
      <c r="A135" t="inlineStr">
        <is>
          <t>in-b5e5a46220311c1c</t>
        </is>
      </c>
      <c r="B135" t="inlineStr">
        <is>
          <t>Senior Software Engineer, Full Stack, YouTube</t>
        </is>
      </c>
      <c r="C135" t="inlineStr">
        <is>
          <t>Youtube</t>
        </is>
      </c>
      <c r="D135" t="inlineStr">
        <is>
          <t>indeed</t>
        </is>
      </c>
      <c r="E135">
        <f>HYPERLINK("https://www.indeed.com/viewjob?jk=b5e5a46220311c1c", "https://www.indeed.com/viewjob?jk=b5e5a46220311c1c")</f>
        <v/>
      </c>
      <c r="F135">
        <f>HYPERLINK("https://careers.google.com/jobs/results/131335676586009286-senior-software-engineer/", "https://careers.google.com/jobs/results/131335676586009286-senior-software-engineer/")</f>
        <v/>
      </c>
      <c r="G135" t="inlineStr">
        <is>
          <t>Mountain View, CA, US</t>
        </is>
      </c>
      <c r="H135" s="3" t="n">
        <v>46051</v>
      </c>
      <c r="I135" t="inlineStr">
        <is>
          <t>### **Minimum qualifications:**
* Bachelor’s degree or equivalent practical experience.
* 5 years of experience programming in C\+\+.
* 5 years of experience programming in TypeScript or JavaScript.
* 3 years of experience testing, maintaining, or launching software products, and 1 year of experience with software design and architecture.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or lead design reviews with peers and stakeholders to decide amongst available technologies.
* Review code developed by other developers and provide feedback to ensure best practices (e.g., style guidelines,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36">
      <c r="A136" t="inlineStr">
        <is>
          <t>in-d4aaf435dd088e80</t>
        </is>
      </c>
      <c r="B136" t="inlineStr">
        <is>
          <t>Software Engineer – Developer and Production Systems Support</t>
        </is>
      </c>
      <c r="C136" t="inlineStr">
        <is>
          <t>Nightwing</t>
        </is>
      </c>
      <c r="D136" t="inlineStr">
        <is>
          <t>indeed</t>
        </is>
      </c>
      <c r="E136">
        <f>HYPERLINK("https://www.indeed.com/viewjob?jk=d4aaf435dd088e80", "https://www.indeed.com/viewjob?jk=d4aaf435dd088e80")</f>
        <v/>
      </c>
      <c r="F136">
        <f>HYPERLINK("https://nwis.wd12.myworkdayjobs.com/NW/job/Sterling-VA/Software-Engineer---Developer-and-Production-Systems-Support_JR101292", "https://nwis.wd12.myworkdayjobs.com/NW/job/Sterling-VA/Software-Engineer---Developer-and-Production-Systems-Support_JR101292")</f>
        <v/>
      </c>
      <c r="G136" t="inlineStr">
        <is>
          <t>Herndon, VA, US</t>
        </is>
      </c>
      <c r="H136" s="3" t="n">
        <v>46051</v>
      </c>
      <c r="I136"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delivers technically advanced full\-spectrum cyber, data operations, systems integration, and intelligence mission support services to tackle our customers’ most demanding challenges. Leveraging cutting\-edge technologies and decades of mission expertise, we drive innovative solutions across the intelligence community, defense, civil, and commercial markets.**
--------------------------------------------------------------------------------------------------------------------------------------------------------------------------------------------------------------------------------------------------------------------------------------------------------------------------------------------------------------------------------------
**Nightwing is seeking a skilled Software Engineer to provide onsite development and operational support for deployed production systems in the customer space. This hybrid role combines hands\-on troubleshooting of critical system issues with the opportunity to design and develop innovative software solutions as part of a collaborative team. If you're technically adept, customer\-oriented, and thrive in dynamic environments, this role allows you to make an immediate and lasting impact on mission success.**
-------------------------------------------------------------------------------------------------------------------------------------------------------------------------------------------------------------------------------------------------------------------------------------------------------------------------------------------------------------------------------------------------------------------------------------------------------------------------------------------------------------------------------
**Candidates must have an active TS/SCI with Poly clearance**
-------------------------------------------------------------
**Location: Customer Site – Herndon, Virginia**
-----------------------------------------------
**Key Job Responsibilities:**
-----------------------------
* **Provide onsite support for Java\-based web applications within a microservices architecture, ensuring high availability, reliability, and performance of deployed systems in the customer space.**
----------------------------------------------------------------------------------------------------------------------------------------------------------------------------------------------------
* **Serve as the first line of response for operational software issues, performing root cause analysis, troubleshooting, and resolution of incidents. Mobilize off\-site technical resources if additional expertise is required.**
----------------------------------------------------------------------------------------------------------------------------------------------------------------------------------------------------------------------------------
* **Collaborate with the customer and Nightwing technical teams to integrate software solutions with legacy systems and third\-party platforms while meeting stringent security requirements.**
---------------------------------------------------------------------------------------------------------------------------------------------------------------------------------------------
* **Support database operations and optimization for systems leveraging MongoDB and MariaDB, ensuring efficient data flow and scalability.**
------------------------------------------------------------------------------------------------------------------------------------------
* **Develop and maintain software enhancements, including new functionality, bug fixes, and performance improvements, for Rocky Linux\-based platforms.**
-------------------------------------------------------------------------------------------------------------------------------------------------------
* **Perform testing, deployment, and monitoring tasks across virtualization platforms like Microsoft Hypervisor and cloud solutions from AWS, Azure, and Google Cloud.**
----------------------------------------------------------------------------------------------------------------------------------------------------------------------
* **Manage message queue services like RabbitMQ for efficient communication across distributed systems.**
-------------------------------------------------------------------------------------------------------
* **Document technical issues, resolutions, and ongoing system health updates to ensure effective communication with the customer and Nightwing stakeholders.**
-------------------------------------------------------------------------------------------------------------------------------------------------------------
**Minimum Requirements:**
-------------------------
* **Active TS/SCI clearance with Poly .**
---------------------------------------
* **Bachelor’s Degree in Computer Science, Software Engineering, or related technical field OR equivalent work experience.**
--------------------------------------------------------------------------------------------------------------------------
* **5\+ years of software engineering experience, including hands\-on development, integration, and operational troubleshooting support.**
----------------------------------------------------------------------------------------------------------------------------------------
* **Proficiency in developing Java web applications and integrating systems within microservices architectures.**
---------------------------------------------------------------------------------------------------------------
* **Experience with databases like MongoDB and MariaDB, including configuration and query optimization.**
-------------------------------------------------------------------------------------------------------
* **Familiarity with RabbitMQ for message queueing in distributed systems.**
--------------------------------------------------------------------------
* **Understanding of Linux\-based environments, particularly Rocky Linux, with the ability to perform troubleshooting and maintenance.**
--------------------------------------------------------------------------------------------------------------------------------------
* **Experience with cloud services from providers like AWS, Azure, or Google Cloud, including deployment and monitoring of cloud applications.**
----------------------------------------------------------------------------------------------------------------------------------------------
* **Knowledge of virtualization technologies (e.g., Microsoft Hypervisor) for system management and enhancement.**
----------------------------------------------------------------------------------------------------------------
* **Familiarity using Python for automation, scripting, and integration tasks.**
------------------------------------------------------------------------------
* **Strong communication skills to interact effectively with customers, cross\-functional teams, and remote development resources.**
----------------------------------------------------------------------------------------------------------------------------------
**Preferred Qualifications:**
-----------------------------
* **Prior experience directly supporting intelligence community or defense customers.**
-------------------------------------------------------------------------------------
* **Expertise in secure coding practices and cybersecurity within mission\-critical environments.**
-------------------------------------------------------------------------------------------------
* **Familiarity with DevOps and CI/CD tools (e.g., Jenkins, GitLab) to streamline software deployment lifecycles.**
-----------------------------------------------------------------------------------------------------------------
* **Certification in cloud technologies (AWS Certified Solutions Architect, Azure Developer Associate, or Google Cloud Certified).**
----------------------------------------------------------------------------------------------------------------------------------
* **Advanced troubleshooting techniques for deployed virtualized or containerized environments (e.g., Docker, Kubernetes).**
--------------------------------------------------------------------------------------------------------------------------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137">
      <c r="A137" t="inlineStr">
        <is>
          <t>in-588a80bd0dcc03dc</t>
        </is>
      </c>
      <c r="B137" t="inlineStr">
        <is>
          <t>Software Engineer – Developer and Production Systems Support</t>
        </is>
      </c>
      <c r="C137" t="inlineStr">
        <is>
          <t>Nightwing</t>
        </is>
      </c>
      <c r="D137" t="inlineStr">
        <is>
          <t>indeed</t>
        </is>
      </c>
      <c r="E137">
        <f>HYPERLINK("https://www.indeed.com/viewjob?jk=588a80bd0dcc03dc", "https://www.indeed.com/viewjob?jk=588a80bd0dcc03dc")</f>
        <v/>
      </c>
      <c r="F137">
        <f>HYPERLINK("https://nwis.wd12.myworkdayjobs.com/NW/job/Sterling-VA/Software-Engineer---Developer-and-Production-Systems-Support_JR101292", "https://nwis.wd12.myworkdayjobs.com/NW/job/Sterling-VA/Software-Engineer---Developer-and-Production-Systems-Support_JR101292")</f>
        <v/>
      </c>
      <c r="G137" t="inlineStr">
        <is>
          <t>Sterling, VA, US</t>
        </is>
      </c>
      <c r="H137" s="3" t="n">
        <v>46051</v>
      </c>
      <c r="I137" t="inlineStr">
        <is>
          <t>Nightwing provides technically advanced full\-spectrum cyber, data operations, systems integration and intelligence mission support services to meet our customers’ most demanding challenges. Our capabilities include cyber space operations, cyber defense and resiliency, vulnerability research, ubiquitous technical surveillance, data intelligence, lifecycle mission enablement, and software modernization. Nightwing brings disruptive technologies, agility, and competitive offerings to customers in the intelligence community, defense, civil, and commercial markets.
**Nightwing delivers technically advanced full\-spectrum cyber, data operations, systems integration, and intelligence mission support services to tackle our customers’ most demanding challenges. Leveraging cutting\-edge technologies and decades of mission expertise, we drive innovative solutions across the intelligence community, defense, civil, and commercial markets.**
--------------------------------------------------------------------------------------------------------------------------------------------------------------------------------------------------------------------------------------------------------------------------------------------------------------------------------------------------------------------------------------
**Nightwing is seeking a skilled Software Engineer to provide onsite development and operational support for deployed production systems in the customer space. This hybrid role combines hands\-on troubleshooting of critical system issues with the opportunity to design and develop innovative software solutions as part of a collaborative team. If you're technically adept, customer\-oriented, and thrive in dynamic environments, this role allows you to make an immediate and lasting impact on mission success.**
-------------------------------------------------------------------------------------------------------------------------------------------------------------------------------------------------------------------------------------------------------------------------------------------------------------------------------------------------------------------------------------------------------------------------------------------------------------------------------------------------------------------------------
**Candidates must have an active TS/SCI with Poly clearance**
-------------------------------------------------------------
**Location: Customer Site – Herndon, Virginia**
-----------------------------------------------
**Key Job Responsibilities:**
-----------------------------
* **Provide onsite support for Java\-based web applications within a microservices architecture, ensuring high availability, reliability, and performance of deployed systems in the customer space.**
----------------------------------------------------------------------------------------------------------------------------------------------------------------------------------------------------
* **Serve as the first line of response for operational software issues, performing root cause analysis, troubleshooting, and resolution of incidents. Mobilize off\-site technical resources if additional expertise is required.**
----------------------------------------------------------------------------------------------------------------------------------------------------------------------------------------------------------------------------------
* **Collaborate with the customer and Nightwing technical teams to integrate software solutions with legacy systems and third\-party platforms while meeting stringent security requirements.**
---------------------------------------------------------------------------------------------------------------------------------------------------------------------------------------------
* **Support database operations and optimization for systems leveraging MongoDB and MariaDB, ensuring efficient data flow and scalability.**
------------------------------------------------------------------------------------------------------------------------------------------
* **Develop and maintain software enhancements, including new functionality, bug fixes, and performance improvements, for Rocky Linux\-based platforms.**
-------------------------------------------------------------------------------------------------------------------------------------------------------
* **Perform testing, deployment, and monitoring tasks across virtualization platforms like Microsoft Hypervisor and cloud solutions from AWS, Azure, and Google Cloud.**
----------------------------------------------------------------------------------------------------------------------------------------------------------------------
* **Manage message queue services like RabbitMQ for efficient communication across distributed systems.**
-------------------------------------------------------------------------------------------------------
* **Document technical issues, resolutions, and ongoing system health updates to ensure effective communication with the customer and Nightwing stakeholders.**
-------------------------------------------------------------------------------------------------------------------------------------------------------------
**Minimum Requirements:**
-------------------------
* **Active TS/SCI clearance with Poly .**
---------------------------------------
* **Bachelor’s Degree in Computer Science, Software Engineering, or related technical field OR equivalent work experience.**
--------------------------------------------------------------------------------------------------------------------------
* **5\+ years of software engineering experience, including hands\-on development, integration, and operational troubleshooting support.**
----------------------------------------------------------------------------------------------------------------------------------------
* **Proficiency in developing Java web applications and integrating systems within microservices architectures.**
---------------------------------------------------------------------------------------------------------------
* **Experience with databases like MongoDB and MariaDB, including configuration and query optimization.**
-------------------------------------------------------------------------------------------------------
* **Familiarity with RabbitMQ for message queueing in distributed systems.**
--------------------------------------------------------------------------
* **Understanding of Linux\-based environments, particularly Rocky Linux, with the ability to perform troubleshooting and maintenance.**
--------------------------------------------------------------------------------------------------------------------------------------
* **Experience with cloud services from providers like AWS, Azure, or Google Cloud, including deployment and monitoring of cloud applications.**
----------------------------------------------------------------------------------------------------------------------------------------------
* **Knowledge of virtualization technologies (e.g., Microsoft Hypervisor) for system management and enhancement.**
----------------------------------------------------------------------------------------------------------------
* **Familiarity using Python for automation, scripting, and integration tasks.**
------------------------------------------------------------------------------
* **Strong communication skills to interact effectively with customers, cross\-functional teams, and remote development resources.**
----------------------------------------------------------------------------------------------------------------------------------
**Preferred Qualifications:**
-----------------------------
* **Prior experience directly supporting intelligence community or defense customers.**
-------------------------------------------------------------------------------------
* **Expertise in secure coding practices and cybersecurity within mission\-critical environments.**
-------------------------------------------------------------------------------------------------
* **Familiarity with DevOps and CI/CD tools (e.g., Jenkins, GitLab) to streamline software deployment lifecycles.**
-----------------------------------------------------------------------------------------------------------------
* **Certification in cloud technologies (AWS Certified Solutions Architect, Azure Developer Associate, or Google Cloud Certified).**
----------------------------------------------------------------------------------------------------------------------------------
* **Advanced troubleshooting techniques for deployed virtualized or containerized environments (e.g., Docker, Kubernetes).**
--------------------------------------------------------------------------------------------------------------------------
*At Nightwing, we value collaboration and teamwork. You’ll have the opportunity to work alongside talented individuals who are passionate about what they do. Together, we’ll leverage our collective expertise to drive innovation, solve complex problems, and deliver exceptional results for our clients.*
 *Thank you for considering joining us as we embark on this new journey and shape the future of cybersecurity and intelligence together as part of the Nightwing team.*
*Nightwing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t>
        </is>
      </c>
    </row>
    <row r="138">
      <c r="A138" t="inlineStr">
        <is>
          <t>in-ebcf042f6de2ee7b</t>
        </is>
      </c>
      <c r="B138" t="inlineStr">
        <is>
          <t>Principal Software Engineer (Firmware Build System)</t>
        </is>
      </c>
      <c r="C138" t="inlineStr">
        <is>
          <t>Tandem Diabetes Care, Inc.</t>
        </is>
      </c>
      <c r="D138" t="inlineStr">
        <is>
          <t>indeed</t>
        </is>
      </c>
      <c r="E138">
        <f>HYPERLINK("https://www.indeed.com/viewjob?jk=ebcf042f6de2ee7b", "https://www.indeed.com/viewjob?jk=ebcf042f6de2ee7b")</f>
        <v/>
      </c>
      <c r="F138">
        <f>HYPERLINK("https://tandemdiabetes.wd12.myworkdayjobs.com/tandemdiabetes/job/California---High-Bluff/Principal-Software-Engineer--Firmware-Developer-Experience-_JR100654", "https://tandemdiabetes.wd12.myworkdayjobs.com/tandemdiabetes/job/California---High-Bluff/Principal-Software-Engineer--Firmware-Developer-Experience-_JR100654")</f>
        <v/>
      </c>
      <c r="G138" t="inlineStr">
        <is>
          <t>San Diego, CA, US</t>
        </is>
      </c>
      <c r="H138" s="3" t="n">
        <v>46051</v>
      </c>
      <c r="I138" t="inlineStr">
        <is>
          <t>**GROW WITH US:**  
Tandem Diabetes Care creates new possibilities for people living with diabetes, their loved ones, and their healthcare providers through a positively different experience. We’d love for you to team up with us to “innovate every day,” put “people first,” and take the “no\-shortcuts” approach that has propelled us to become a leader in the diabetes technology industry.
 **STAY AWESOME:**  
Tandem Diabetes Care is proud to manufacture and sell the Tandem Mobi system and t:slim X2 insulin pump with Control\-IQ\+ technology — an advanced predictive algorithm that automates insulin delivery. But we’re so much more than that. Our company’s human\-centered approach to design, development, and support delivers innovative products and services for people who use insulin. Because many of our own team members live with diabetes, or have a loved one impacted by diabetes, the work is personal, and we are committed to the cause. Learn more at tandemdiabetes.com
**A DAY IN THE LIFE:**
A highly skilled team leader responsible for the design and architecture of the build infrastructure, CI/CD automation, embedded toolchain, and overall developer experience that enables reliable, efficient delivery of firmware for Tandem's t:slim, Mobi, and next\-generation insulin pump products.
The principal engineer is among the team’s most senior individual contributors and takes on some of the most challenging problems. This leadership role elevates the technical capabilities of everyone through mentorship, technical guidance, and by modeling Tandem values.
* Architects, implements, and maintains the embedded firmware build infrastructure, including build orchestration, tool chains, configuration systems, and artifact generation.
* Designs and builds CI/CD workflows that integrate automated build, test, and release processes.
* Drives adoption of industry\-standard technology and best practices in build automation, configuration management, and developer tooling.
* Ensures the reliability and availability of CI and server infrastructure and leads the rapid diagnosis and resolution of outages that impact engineering teams.
* Collaborates across the organization and with external vendors to procure, deploy, and maintain development tools and licenses.
* Drives a culture of continuous improvement in developer experience, engineering efficiency, and quality.
* Plays an active leadership role in the development, modification, and testing of software units per corporate software process documents.
* Establishes and enforces strong software engineering practices, concepts, and techniques across multiple software teams.
* Proactively identifies opportunities in software process, discusses with peers, and implements proposals to address gaps.
* Provides technical guidance to major programs and software engineering teams.
* Responsible for the training, mentoring, and development of junior team members.
* Guides the team through strategic design and architecture decisions.
* Creates, maintains, and reviews software design specifications, interface descriptions, and other software documentation.
* Creates, maintains, and reviews software requirements specifications.
* Influences software test strategy and supports validation and verification activities.
* Evaluates and recommends tools, technologies, and processes.
**WHEN \&amp; WHERE YOU’LL WORK:**
Remote: This position is fully remote and open to candidates within the United States. Equipment for the role will be provided and training will occur virtually.
**WHAT YOU’LL NEED:**
* Skilled in utilizing modern AI tools in software development.
* Deep knowledge and experience with formal software.
* Skilled at fostering an environment that supports an effective exchange of information between diverse groups.
* Ability to scope, estimate time needed and track large scale development projects.
* Skilled at defining and translating high\-level requirements into software design and implementation.
* Able to lead cooperative work efforts within and between teams.
* Adept at leading change initiatives and ensuring the redeployment of resources within and between groups to meet new objectives.
* Able to assert own ideas and persuade others through effectively consolidating, evaluating, and presenting relevant information.
**EXTRA AWESOME:**
* Bachelor’s degree in computer engineering, Electrical Engineering, Computer Science, Biomedical Engineering or related field or equivalent combination of education and years of applicable work experience.
* 10\+ years’ experience in the field of embedded software for medical devices, aerospace, automotive, or other safety/regulation critical products.
* Extensive experience with embedded build systems and toolchains (e.g., GCC, CMake, Kconfig, Nix) for multi\-target embedded platforms.
* Hands\-on experience building CI/CD pipelines and build/test/release automation (e.g. GitHub, GitHub Actions, Azure)
* Strong proficiency in Python and scripting languages for automation and developer tooling.
* Experienced with regulated software life cycle development, preferably medical device software.
**COMPENSATION \&amp; BENEFITS:**
The starting base pay range for this position is **$192,000 to $230,000** annually. Base pay will vary based on job\-related knowledge, skills, experience and may also fluctuate depending on candidate’s location and the overall job market. In addition to base pay, Tandem offers a competitive compensation package that includes bonus and a robust benefits package.
**WHY YOU’LL LOVE WORKING HERE:**  
At Tandem, we believe joy fuels excellence. That's why we've built a workplace that celebrates your achievements and supports your well\-being. Our team thrives on pushing boundaries and fostering growth, all while maintaining a spirit of fun and camaraderie. This is just one of the ways we stay awesome! Explore the benefits and reasons to love Tandem at https://www.tandemdiabetes.com/careers.
**BE YOU, WITH US!**
We embrace the value that every single one of us brings to the table. But sometimes we forget that when we don’t meet 100% of a job description’s criteria – maybe you’re feeling that way right now? We encourage you to apply anyway. Because we want you to be you, with us.
Tandem is firmly committed to being an equal opportunity employer and does not discriminate on the basis of age, disability, sex, race, religion or belief, gender identity or expression, marriage/civil partnership, pregnancy/maternity, or sexual orientation. We are an inclusive organization, and we welcome applications from a wide range of candidates. Selection for roles will be based on individual merit alone.
**REFERRALS:**  
We love a good referral! If you know someone who would be a great fit for this position, please share!
**APPLICATION DEADLINE:**  
The position will be posted until a final candidate is selected for the requisition or the requisition has a sufficient number of applications.
Make a move that matters. Join Tandem Diabetes Care, where we're turning challenges into triumphs every day and where your talents will help shape a healthier, happier tomorrow.
\#LI\-KT1 \#LI\-Remote</t>
        </is>
      </c>
    </row>
    <row r="139">
      <c r="A139" t="inlineStr">
        <is>
          <t>in-c0c3c9d17daa7e02</t>
        </is>
      </c>
      <c r="B139" t="inlineStr">
        <is>
          <t>Principal Software Engineer (Full Stack, Backend-Focused)</t>
        </is>
      </c>
      <c r="C139" t="inlineStr">
        <is>
          <t>Arcadia.io</t>
        </is>
      </c>
      <c r="D139" t="inlineStr">
        <is>
          <t>indeed</t>
        </is>
      </c>
      <c r="E139">
        <f>HYPERLINK("https://www.indeed.com/viewjob?jk=c0c3c9d17daa7e02", "https://www.indeed.com/viewjob?jk=c0c3c9d17daa7e02")</f>
        <v/>
      </c>
      <c r="F139">
        <f>HYPERLINK("https://jobs.lever.co/arcadia/a5711ac1-89d9-4441-bb3c-e4b08e9ff0db", "https://jobs.lever.co/arcadia/a5711ac1-89d9-4441-bb3c-e4b08e9ff0db")</f>
        <v/>
      </c>
      <c r="G139" t="inlineStr">
        <is>
          <t>Boston, MA, US</t>
        </is>
      </c>
      <c r="H139" s="3" t="n">
        <v>46051</v>
      </c>
      <c r="I139" t="inlineStr">
        <is>
          <t>*Arcadia is dedicated to happier, healthier days for all. We believe that there is a better healthcare world – one powered by data. Our platform transforms complex, diverse data into a unified foundation for health, helping organizations deliver better care, boost revenue, and lower costs.*  
*We’re a team of fiercely driven individuals committed to making healthcare more sustainable—and we’re looking for passionate people to help us get there.* *For more information, visit* *arcadia.io*. **Why This Role Is Important to Arcadia**  
Arcadia’s mission is to improve healthcare outcomes through better data and smarter technology. A critical pillar of this mission is the **User Management system**, which governs authentication, authorization, and user provisioning across all Arcadia’s applications.
We’re looking for a **Principal Software Engineer** to take technical ownership of this area—leading the rearchitecture and implementation of a robust, scalable, and secure access control framework. By the time you join, the team will have completed key architectural planning decisions; your focus will be on translating that architecture into reality.
This is a **backend\-leaning full stack role (approximately 60/40\)** requiring deep distributed systems expertise and an ability to balance implementation detail with architectural vision. **What Success Looks Like****In 3 months*** Ramp up on the existing User Management system, including authentication (Auth0, SAML 2\.0\), authorization models, and event\-driven user provisioning workflows
* Complete **design handoff** for the new access and grants architecture, collaborating closely with product and platform teams to understand business and security requirements
* Begin **staged implementation** of the new system, focusing on core backend services and foundational APIs
 **In 6 months*** Lead the implementation of a **database\-backed access control framework** that replaces legacy patterns and improves performance, consistency, and scalability
* Drive integration of new user and access models into key Arcadia applications, ensuring minimal disruption for internal and external users
* Collaborate with **SRE** and infrastructure teams to strengthen IaC, deployment automation, and observability for User Management services
 **In 12 months*** Own and operate a **fully modernized User Management system** that delivers secure, reliable, and high\-performance authentication and authorization at scale
* Introduce a **centralized JWT validation and API gateway strategy** to unify access control across services and reduce duplication of logic
* Establish technical and operational excellence practices—measurable improvements in reliability, latency, and operational efficiency
* Mentor engineers and guide teams across Arcadia in secure, distributed, and scalable system design
### **What You'll Be Doing**
* + Leading the rearchitecture and implementation of the **User Management platform**—the foundation for authentication, authorization, and access control across Arcadia products
	+ Building backend services and APIs (NestJS, TypeScript, PostgreSQL) supporting secure, multi\-tenant access models
	+ Designing distributed, event\-driven systems to synchronize user data and access events across Arcadia applications
	+ Driving modernization of existing authentication and provisioning flows (Auth0, SAML 2\.0, OAuth2, JWT)
	+ Managing cloud infrastructure through Infrastructure\-as\-Code (Terraform) and AWS\-native services (ECS, S3, SNS, Aurora)
	+ **Defining SLOs** and designing telemetry for key features, ensuring robust monitoring, canary, and standard rollout strategies
	+ Partnering with cross\-functional stakeholders—including Product, Security, and **SRE**—to ensure alignment between technical execution and organizational priorities
	+ Providing leadership, mentorship, and clarity in complex, ambiguous problem spaces
	+ **Joining the engineering on\-call rotation**, contributing to the reliability and operational excellence of the User Management platform and related services
	+ Ensuring that **documentation, operational runbooks, and best practices** are well maintained and available for peers and downstream teams
### **What You'll Bring**
* + **10\+ years** of professional full\-stack software engineering experience with a focus on backend and distributed systems
	+ Proven success building and scaling **identity and access management systems**, including authentication (SAML 2\.0, OAuth2, JWT) and fine\-grained authorization frameworks
	+ Expertise in **TypeScript**, **Node.js/NestJS**, and modern **React/Angular** development for full stack delivery
	+ Strong command of **cloud architecture** (AWS preferred) and IaC practices with Terraform
	+ Deep experience with **relational and NoSQL data stores**, designing for vertical \&amp; horizontal scalability and high availability
	+ Demonstrated ability to **own complex systems from design through rollout and post\-release operation**, with strong attention to quality and reliability
	+ Excellent collaboration skills and the ability to work across engineering, product, and **SRE** teams to deliver cohesive, secure systems
	+ Strong communication and architectural reasoning skills—able to balance pragmatism with long\-term technical health
	+ Passion for mission\-driven work improving healthcare outcomes and enabling data\-driven care delivery
### **Would Love for You to Have**
* + Experience modernizing identity and access systems or other critical, cross\-cutting platform services
	+ Familiarity with API gateway design, centralized JWT validation, and event\-driven architectures
	+ Exposure to data streaming or message\-driven systems (Kafka, Kinesis, SNS/SQS)
	+ Experience in healthcare technology, HIPAA compliance, or other regulated data environments
	+ Polyglot engineering experience—comfort working across multiple languages and frameworks (e.g., Python, Java, Go) when solving complex distributed system challenges
	+ Experience working with high\-scale analytics platforms or distributed data processing frameworks (e.g., Apache Spark jobs), especially in environments integrating operational and analytical data pipelines
### **What You'll Get**
* + The opportunity to own one of Arcadia’s most critical platform domains and drive its evolution for scale and reliability
	+ A mission\-driven culture where your work improves patient outcomes and healthcare delivery
	+ Competitive compensation, comprehensive benefits, and **Flexible Time Off (\~22\-day company average)**
	+ A collaborative, remote\-friendly engineering culture that values innovation, curiosity, and technical excellence
$200,000 \- $240,000 a year
**About Arcadia**
Arcadia.io helps innovative providers and payers across the country transform healthcare to reduce cost while improving patient health. We do this by aggregating large amounts of disparate data, applying algorithms to identify opportunities to provide better patient care, and making those opportunities actionable by physicians at the point of care in near\-real time. We are passionate about helping our customers drive meaningful outcomes. We are growing fast and have emerged as a market leader in the highly competitive population health management software market and have been recognized by industry analysts KLAS, IDC, Forrester, and Chilmark for our leadership. For a better sense of our brand and products, please explore our website. **Protect Yourself**
If you have concerns about the authenticity of a job offer or recruitment\-related communication claiming to be from Arcadia, we encourage you to verify by contacting us directly at (781\) 202\-3600 and select option 3\. For more information, visit our website. *This position is responsible for following all Security policies and procedures in order to protect all PHI under Arcadia's custodianship as well as Arcadia Intellectual Properties. For any security\-specific roles, the responsibilities would be further defined by the hiring manager.*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0">
      <c r="A140" t="inlineStr">
        <is>
          <t>in-26f68cc556dd1484</t>
        </is>
      </c>
      <c r="B140" t="inlineStr">
        <is>
          <t>Senior Software Engineer- Quality Risk Mgmt</t>
        </is>
      </c>
      <c r="C140" t="inlineStr">
        <is>
          <t>General Motors (GM)</t>
        </is>
      </c>
      <c r="D140" t="inlineStr">
        <is>
          <t>indeed</t>
        </is>
      </c>
      <c r="E140">
        <f>HYPERLINK("https://www.indeed.com/viewjob?jk=26f68cc556dd1484", "https://www.indeed.com/viewjob?jk=26f68cc556dd1484")</f>
        <v/>
      </c>
      <c r="F140">
        <f>HYPERLINK("https://generalmotors.wd5.myworkdayjobs.com/en-US/Careers_GM/job/Warren-Michigan-United-States-of-America/Senior-Software-Engineer--Quality-Risk-Mgmt_JR-202600673", "https://generalmotors.wd5.myworkdayjobs.com/en-US/Careers_GM/job/Warren-Michigan-United-States-of-America/Senior-Software-Engineer--Quality-Risk-Mgmt_JR-202600673")</f>
        <v/>
      </c>
      <c r="G140" t="inlineStr">
        <is>
          <t>Warren, MI, US</t>
        </is>
      </c>
      <c r="H140" s="3" t="n">
        <v>46051</v>
      </c>
      <c r="I140" t="inlineStr">
        <is>
          <t>**Job Description**
**The Role:**
The Senior Full Stack Software Engineer for Quality Risk Management is responsible for developing software applications that support the Failure Mode and Effects Analysis (FMEA) business process, spanning the product development lifecycle from Design through Production. The ideal candidate for this role will be comfortable working with applications that involve complex data requirements and will provide solutions using proven, industry\-standard methodologies. You will be directly involved in writing software solutions based on detailed requirements and system specifications.
Additionally, you will oversee development activities to ensure delivery of world\-class capabilities aligned with GM’s corporate and business objectives for a greenfield Quality application. This role offers the opportunity to advise, coach, and mentor software engineers, while making a significant impact on this new application.
**Key Impact:**
This role offers the opportunity to contribute to mission\-critical systems that transmit data to federal regulators under strict legal mandates. You will work across the full technology stack, building efficient data workflows to manage sensitive and regulated information. Your work will directly support GM’s ability to meet mandatory reporting deadlines, maintain data integrity, and uphold compliance standards.
**What You’ll Do (Responsibilities):**
* Design and implement responsive front\-end web applications using modern frameworks such as Angular or React.
* Develop and maintain RESTful APIs leveraging Java with Spring Boot or Quarkus.
* Produce clean, maintainable, and well\-documented code while mentoring team members on best practices.
* Conduct thorough code reviews and perform unit and integration testing to ensure quality.
* Diagnose, troubleshoot, and resolve issues in applications and data pipelines.
* Optimize systems for scalability, security, and high performance.
* Automate unit and end\-to\-end testing to enhance software quality and maintainability.
* Collaborate with business stakeholders to address data\-related technical challenges and define requirements for effective data management solutions.
**Your Skills \&amp; Abilities (Required Qualifications):**
* Bachelor's degree in Computer Science or related field; or equivalent professional experience in lieu of degree will be considered.
* 7\+ years of hands\-on software development experience with Java for back\-end development and proficiency with modern front\-end frameworks.
* 5\+ years practical experience with SQL and working with relational databases (e.g., PostgreSQL, Oracle).
* 3\+ years of experience building front\-end applications using Angular or React.
* 3\+ years of experience designing and implementing RESTful APIs with Java and frameworks such as Spring Boot or Quarkus.
* Deep understanding of REST architecture, microservices design principles, and API security best practices.
* Familiarity with version control systems (Git) and CI/CD pipeline implementation.
* Ability to identify opportunities for automation and implement effective solutions.
* Strong grasp of networking and distributed computing concepts.
* Responsible for defining, maintaining, and ensuring compliance with technical and operational metadata standards, data movement patterns, ETL standards, and best practices.
* Comprehensive knowledge of the Software Development Lifecycle (SDLC) and experience working in Agile environments using the Scrum framework.
**People Skills:**
* Proven ability to lead development initiatives, overseeing planning and execution of deliverables within collaborative team environments.
* Independent, self\-driven, and quick to learn, with strong problem\-solving skills to address challenges efficiently and thoroughly.
* Highly organized and adept at managing multiple priorities in fast\-paced, dynamic work settings.
* Exceptional verbal and written communication skills, with the ability to clearly convey ideas, translate feedback into actionable solutions, and engage effectively with diverse stakeholders.
**What Will Give You a Competitive Edge (Preferred Qualifications):**
* Proficient in Azure Cloud services and infrastructure management.
* Skilled in Infrastructure as Code (IaC) using Terraform for automated deployments.
* Hands\-on experience with Databricks and DBX job orchestration for data engineering workflows.
\#LI\-DH2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41">
      <c r="A141" t="inlineStr">
        <is>
          <t>in-998843af21b3c678</t>
        </is>
      </c>
      <c r="B141" t="inlineStr">
        <is>
          <t>Software Engineer</t>
        </is>
      </c>
      <c r="C141" t="inlineStr">
        <is>
          <t>General Motors (GM)</t>
        </is>
      </c>
      <c r="D141" t="inlineStr">
        <is>
          <t>indeed</t>
        </is>
      </c>
      <c r="E141">
        <f>HYPERLINK("https://www.indeed.com/viewjob?jk=998843af21b3c678", "https://www.indeed.com/viewjob?jk=998843af21b3c678")</f>
        <v/>
      </c>
      <c r="F141">
        <f>HYPERLINK("https://generalmotors.wd5.myworkdayjobs.com/en-US/Careers_GM/job/Austin-Texas-United-States-of-America/Software-Engineer_JR-202601524", "https://generalmotors.wd5.myworkdayjobs.com/en-US/Careers_GM/job/Austin-Texas-United-States-of-America/Software-Engineer_JR-202601524")</f>
        <v/>
      </c>
      <c r="G141" t="inlineStr">
        <is>
          <t>Austin, TX, US</t>
        </is>
      </c>
      <c r="H141" s="3" t="n">
        <v>46051</v>
      </c>
      <c r="I141" t="inlineStr">
        <is>
          <t>**Job Description**
Sponsorship: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Hybrid: This position allows flexibility utilizing our hybrid\-work appropriately model where team members can work at the GM Global Technical Center or Austin IT Innovation Center North or off\-site, requiring the team member be onsite to support project needs. At GM, we believe work\-life harmonization is essential to a team member’s success and job satisfaction
The Role:
The Full Stack Software Engineer for Product Development Business Solutions is responsible for developing software applications that support the Global Document Management Application. The ideal candidate for this role will be comfortable working with applications that involve complex data requirements and will provide solutions using proven, industry\-standard methodologies and have expertise in SOLR. You will be directly involved in writing software or solutions based on detailed requirements and system specifications. Additionally, you will oversee development activities to ensure delivery of world\-class capabilities aligned with GM’s corporate and business objectives for a greenfield application.
What You'll Do
* Developing enterprise\-grade applications using Kubernetes/Docker, Quarkus, SOLR, Java, Angular, and PostgreSQL, among other tools.
* Proactively engage in the identification / remediation of software issues such as code quality, pattern mismatch, and security issues related to the code or solution/configuration.
* Collaborate with cross\-functional teams to lead GM’s transition to cloud technologies.
* Ability to navigating complex corporate environments and processes to remove project roadblocks.
* Understands code quality analysis results and remediation mechanisms.
* Strong Knowledge of maintaining and debugging live software systems.
* Experience in implementing various branching strategies and sharing that expertise with your team.
* Advanced CI/CD knowledge including automated builds and deployments and developing pipelines with GitHub Actions.
* Stays abreast of new technology and competitive products and defines GM direction.
* Possess excellent verbal and written communication skills.
* Document software solutions and ensure that technical documentation meets GM standards.
Your Skills \&amp; Abilities (Required Qualifications)
* Bachelor’s degree in Computer Science, Engineering, or a related field, or equivalent professional experience
* 3\+ years of hands\-on experience building full\-stack applications using Java/JEE and Angular
* 3\+ years of experience working with containerized applications (Kubernetes, Docker), Quarkus, and cloud platforms such as AWS, Azure, or GCP
* Strong experience writing and optimizing complex SQL queries, functions, and stored procedures
* Experience working in an Agile/SCRUM development methodology
What Will Give You A Competitive Edge (Preferred Qualifications)
* Master’s Degree in Computer Science, Engineer or related field
* Proven experience in migrations to Azure cloud including complex data requirements
* Experience designing global, scalable enterprise level systems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42">
      <c r="A142" t="inlineStr">
        <is>
          <t>in-98a5c9b9ec1302b1</t>
        </is>
      </c>
      <c r="B142" t="inlineStr">
        <is>
          <t>Senior Software Engineer</t>
        </is>
      </c>
      <c r="C142" t="inlineStr">
        <is>
          <t>General Motors (GM)</t>
        </is>
      </c>
      <c r="D142" t="inlineStr">
        <is>
          <t>indeed</t>
        </is>
      </c>
      <c r="E142">
        <f>HYPERLINK("https://www.indeed.com/viewjob?jk=98a5c9b9ec1302b1", "https://www.indeed.com/viewjob?jk=98a5c9b9ec1302b1")</f>
        <v/>
      </c>
      <c r="F142">
        <f>HYPERLINK("https://generalmotors.wd5.myworkdayjobs.com/en-US/Careers_GM/job/Austin-Texas-United-States-of-America/Senior-Software-Engineer_JR-202601523", "https://generalmotors.wd5.myworkdayjobs.com/en-US/Careers_GM/job/Austin-Texas-United-States-of-America/Senior-Software-Engineer_JR-202601523")</f>
        <v/>
      </c>
      <c r="G142" t="inlineStr">
        <is>
          <t>Austin, TX, US</t>
        </is>
      </c>
      <c r="H142" s="3" t="n">
        <v>46051</v>
      </c>
      <c r="I142" t="inlineStr">
        <is>
          <t>**Job Description**
Sponsorship: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Hybrid: This position allows flexibility utilizing our hybrid\-work appropriately model where team members can work at the GM Global Technical Center or Austin IT Innovation Center North or off\-site, requiring the team member be onsite to support project needs. At GM, we believe work\-life harmonization is essential to a team member’s success and job satisfaction
**The Role**
The Staff Full Stack Software Engineer for Product Development Business Solutions is responsible for developing software applications that support the Global Document Management Application. The ideal candidate for this role will be comfortable working with applications that involve complex data requirements and will provide solutions using proven, industry\-standard methodologies and have expertise in SOLR. You will be directly involved in writing software or solutions based on detailed requirements and system specifications. Additionally, you will oversee development activities to ensure delivery of world\-class capabilities aligned with GM’s corporate and business objectives for a greenfield application.
This role offers the opportunity to advise, coach, and mentor software engineers, while making a significant impact on this new application and helping to develop junior software engineers.
**What You'll Do**
* Developing enterprise\-grade applications using Kubernetes/Docker, Quarkus, SOLR, Java, Angular, and PostgreSQL, among other tools.
* Proactively engage in the identification / remediation of software issues such as code quality, pattern mismatch, and security issues related to the code or solution/configuration.
* Leads comprehensive design analysis of design solution.
* Collaborate with cross\-functional teams to lead GM’s transition to cloud technologies.
* Providing guidance and mentoring of fellow software engineers and other team members.
* Ability to navigating complex corporate environments and processes to remove project roadblocks.
* Understands code quality analysis results and remediation mechanisms.
* Strong Knowledge of maintaining and debugging live software systems.
* Experience in implementing various branching strategies and sharing that expertise with your team.
* Advanced CI/CD knowledge including automated builds and deployments and developing pipelines with GitHub Actions.
* Document software solutions and ensure that technical documentation meets GM standards.
**Your Skills \&amp; Abilities (Required Qualifications)**
* Bachelor’s degree in Computer Science, Engineering, or a related field, or equivalent practical experience
* 5\+ years of experience delivering full\-stack application development using Java/JEE and Angular
* 3\+ years of experience working with containerized and cloud\-native technologies, including Kubernetes, Docker, Quarkus, and cloud platforms such as AWS, Azure, or GCP
* 3\+ years of experience developing and maintaining complex SQL queries, functions, and stored procedures
* 3\+ years of experience working in an Agile/SCRUM development environment
**What Will Give You a Competietive Edge (Preferred Qualifications)**
* Master’s Degree in Computer Science, Engineer or related field
* Proven experience in migrations to Azure cloud including complex data requirements
* Experience designing global, scalable enterprise level systems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43">
      <c r="A143" t="inlineStr">
        <is>
          <t>in-807b9a70c1ba24b3</t>
        </is>
      </c>
      <c r="B143" t="inlineStr">
        <is>
          <t>Staff Software Engineer</t>
        </is>
      </c>
      <c r="C143" t="inlineStr">
        <is>
          <t>General Motors (GM)</t>
        </is>
      </c>
      <c r="D143" t="inlineStr">
        <is>
          <t>indeed</t>
        </is>
      </c>
      <c r="E143">
        <f>HYPERLINK("https://www.indeed.com/viewjob?jk=807b9a70c1ba24b3", "https://www.indeed.com/viewjob?jk=807b9a70c1ba24b3")</f>
        <v/>
      </c>
      <c r="F143">
        <f>HYPERLINK("https://generalmotors.wd5.myworkdayjobs.com/en-US/Careers_GM/job/Warren-Michigan-United-States-of-America/Staff-Software-Engineer_JR-202600356", "https://generalmotors.wd5.myworkdayjobs.com/en-US/Careers_GM/job/Warren-Michigan-United-States-of-America/Staff-Software-Engineer_JR-202600356")</f>
        <v/>
      </c>
      <c r="G143" t="inlineStr">
        <is>
          <t>Warren, MI, US</t>
        </is>
      </c>
      <c r="H143" s="3" t="n">
        <v>46051</v>
      </c>
      <c r="I143" t="inlineStr">
        <is>
          <t>**Job Description**
**The Role**
As a member of the Infotainment and Connectivity Software Safety team, the Staff Software Safety Engineer leads and supports safety initiatives in all phases of system development (concept, requirements, design, implementation, verification and validation) for software that is core to our Infotainment and Connectivity systems. You will conduct safety analyses , help create safety requirements for components of the software platform (e.g., middleware, platform health diagnostics, Linux OS) , provide guidance to the software development team , ensure safety requirements are implemented properly, and verify safe platform software solutions for vehicles today and tomorrow.  
**What** **You’ll** **Do**
* Develop software safety concepts / Conduct software safety analyses and create safety requirements for Linux\-based infrastructure/platform software (e.g., middleware, platform health diagnostics, Linux OS), by collaborating with cross functional teams including system safety and software engineers as well as hardware and software suppliers.
* Ensure that software safety requirements are complete, consistent, and aligned/traceable to system\-level safety requirements.
* Support software teams in software design, implementation of safety mechanisms, and testing to confirm that safety requirements are met.
* Ensure adherence to GM’s safety standards and software development processes.
* Collaborate with GM system safety to align safety strategies .
* Escalate any unresolved safety\-related issues and confirm that the resolution process has been followed.
* Lead or contribute to initiatives towards the continuous improvement of the safety and security of the embedded software, and the development processes.
* Interface with corporate and industry experts to stay current in safety processes, methods, and tools.
* Participate in safety assessments, audits, and reviews .
**Your Skills \&amp; Abilities (Required Qualifications)**
* Bachelor’s degree in engineering (Software, Computer, Control, Mechatronics), Computer Science, or related fields .
* A minimum of 10 years embedded systems development experience in safety\-critical domains (automotive, aerospace, medical, nuclear) .
* Demonstrated performance in a position requiring excellent understanding of embedded software implementation details as well as the larger systems picture .
* Familiarity with ISO 26262 and other functional safety standards such as IEC 61508, IEC 62304, or DO\-178C .
* Embedded Linux development experience .
* Full software development lifecycle experience (software requirements, design, coding, verification) .
* Proficiency in embedded C/C\+\+ .
* Excellent oral and written communication skills .
* Ability to work independently and in a team environment, interfacing with GM engineers and suppliers globally .
* Strong organizational skills with attention to detail .
**What Will Give You a Competitive Edge (Preferred Qualifications)**
* Familiar with secure boot, SELinux polices, MMU, Linux hardening configurations, real\-time scheduling, CPU isolation, Yocto\-based BSP hardening
* Knowledge of software architecture and design patterns .
* Experience reviewing and/or developing software requirements from system\-level requirements .
* Multi\-core programming and real\-time operating system experience.
* Familiarity with automotive systems and active safety and automated driving systems in particular .
* Knowledge of in\-vehicle communication networks (CAN, Ethernet , LIN, I2C ) .
* Advanced Degree
\&amp;\#xa;\&amp;\#xa;\&amp;\#xa;\&amp;\#xa;This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44">
      <c r="A144" t="inlineStr">
        <is>
          <t>in-1f056d06904ce4e5</t>
        </is>
      </c>
      <c r="B144" t="inlineStr">
        <is>
          <t>CyberSecurity Software Engineer</t>
        </is>
      </c>
      <c r="C144" t="inlineStr">
        <is>
          <t>General Motors (GM)</t>
        </is>
      </c>
      <c r="D144" t="inlineStr">
        <is>
          <t>indeed</t>
        </is>
      </c>
      <c r="E144">
        <f>HYPERLINK("https://www.indeed.com/viewjob?jk=1f056d06904ce4e5", "https://www.indeed.com/viewjob?jk=1f056d06904ce4e5")</f>
        <v/>
      </c>
      <c r="F144">
        <f>HYPERLINK("https://generalmotors.wd5.myworkdayjobs.com/en-US/Careers_GM/job/Warren-Michigan-United-States-of-America/CyberSecurity-Software-Engineer_JR-202601728-1", "https://generalmotors.wd5.myworkdayjobs.com/en-US/Careers_GM/job/Warren-Michigan-United-States-of-America/CyberSecurity-Software-Engineer_JR-202601728-1")</f>
        <v/>
      </c>
      <c r="G144" t="inlineStr">
        <is>
          <t>Warren, MI, US</t>
        </is>
      </c>
      <c r="H144" s="3" t="n">
        <v>46051</v>
      </c>
      <c r="I144" t="inlineStr">
        <is>
          <t>**Job Description**
**The Role** :
We're looking for a seasoned Security Software Engineer to join our IAM team (Identity Access Management) to help develop, architect and advance our suite of applications and services. You will contribute primarily to developing novel IAM technology for GM while also advancing and optimizing our SaaS services. Serve as an internal subject matter expert on architecture, implementation, management, and industry best practices for identity strategy.
***What You'll Do*** *:*
* Design and develop security\-focused software solutions, tools, and automation frameworks
* Integrate security into CI/CD pipelines and cloud\-native environments
* Collaborate with infrastructure and application teams to embed security into system architecture
* Conduct code reviews and threat modeling to identify and remediate vulnerabilities
* Build and maintain systems for monitoring, logging, and alerting on security events
* Develop and maintain APIs and microservices that support security operations
* Participate in incident response and forensic investigations as needed
* Stay current with emerging threats, vulnerabilities, and security technologies
***Your Skills \&amp; Abilities (Required Qualifications):***
* Bachelor’s degree in Computer Science, Cybersecurity, or related field (or equivalent experience).
* 9\+ years of experience in the administration, configuration, and support of IAM products including: EntraID, SailPoint or other similar products.
* Advanced proficiency in one or more programming languages (e.g., Python, Go, Java, C\+\+).
* Experience with cloud platforms (AWS, Azure, GCP) and containerization (Docker, Kubernetes)
* Strong understanding of authentication, authorization, encryption, and secure coding practices.
* Experience working with security and audit teams
* Ability to self\-manage time and maintain an excellent work ethic in an Agile environment
* Able to convey identity requirements and concepts across different levels of users
* Strong verbal and written communication skills
***What Will Give You A Competitive Edge (Preferred Qualifications):***
* Exposure to contractor heavy and partner collaboration driving identity systems
* Project experience modeling and deploying external identity architectures
* Experience working with Databricks, Microsoft, or Google products
* Experience with CASB security integrations
* Experience with front\-end application development
***Compensation*** :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$160,000\-$230,000\.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based remotely, but if the selected candidate lives within a specific mile radius of a GM hub, they will be expected to report to the location three times a week {or other frequency dictated by your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45">
      <c r="A145" t="inlineStr">
        <is>
          <t>in-efc6a4de05125cb1</t>
        </is>
      </c>
      <c r="B145" t="inlineStr">
        <is>
          <t>Java Full Stack Engineer (contract)</t>
        </is>
      </c>
      <c r="C145" t="inlineStr">
        <is>
          <t>Wells Fargo</t>
        </is>
      </c>
      <c r="D145" t="inlineStr">
        <is>
          <t>indeed</t>
        </is>
      </c>
      <c r="E145">
        <f>HYPERLINK("https://www.indeed.com/viewjob?jk=efc6a4de05125cb1", "https://www.indeed.com/viewjob?jk=efc6a4de05125cb1")</f>
        <v/>
      </c>
      <c r="F145">
        <f>HYPERLINK("https://wellsfargo.talentnet.community/jobs/ada30c15-47cb-4a46-9b43-9d1ea7407bde", "https://wellsfargo.talentnet.community/jobs/ada30c15-47cb-4a46-9b43-9d1ea7407bde")</f>
        <v/>
      </c>
      <c r="G145" t="inlineStr">
        <is>
          <t>Charlotte, NC, US</t>
        </is>
      </c>
      <c r="H145" s="3" t="n">
        <v>46051</v>
      </c>
      <c r="I145" t="inlineStr">
        <is>
          <t>**Title****:** Java Full Stack Engineer
**Location****:** 300 S Brevard St Charlotte, NC  
**Duration****:** 18 months
**Work Engagement****:** W2
**Work Schedule**: 3 days in office/2 days remote
**Benefits on offer for this contract position**: Health Insurance, Life insurance, 401K and Voluntary Benefits
**Summary:**
In this contingent resource assignment, you may: Consult on or participate in moderately complex initiatives and deliverables within Software Engineering and contribute to large\-scale planning related to Software Engineering deliverables. Review and analyze moderately complex Software Engineering challenges that require an in\-depth evaluation of variable factors. Contribute to the resolution of moderately complex issues and consult with others to meet Software Engineering deliverables while leveraging solid understanding of the function, policies, procedures, and compliance requirements. Collaborate with client personnel in Software Engineering.
**Qualifications:**
* Applicants must be authorized to work for ANY employer in the U.S. This position is not eligible for visa sponsorship.
* Hands‑on experience with:
	+ Java for backend development
	+ JavaScript and one or more frameworks (React or Angular)
	+ Bootstrap, CSS, HTML
	+ Python for scripting or backend services
* Experience building full‑stack applications in an enterprise or complex technical environment.
* Strong understanding of software engineering best practices, including CI/CD, version control, and testing.
* Ability to work collaboratively in a cross‑functional team.
* Experience with Playwright or other UI automation tools. (preferred)
* Experience integrating with LLM APIs (OpenAI, Azure OpenAI, etc.). (preferred)
* Exposure to risk, audit, or compliance systems (not required). (preferred)</t>
        </is>
      </c>
    </row>
    <row r="146">
      <c r="A146" t="inlineStr">
        <is>
          <t>in-54a30a7fa36fc3d9</t>
        </is>
      </c>
      <c r="B146" t="inlineStr">
        <is>
          <t>OIPA Software Engineer - Policy Administration &amp; Modernization</t>
        </is>
      </c>
      <c r="C146" t="inlineStr">
        <is>
          <t>CGI</t>
        </is>
      </c>
      <c r="D146" t="inlineStr">
        <is>
          <t>indeed</t>
        </is>
      </c>
      <c r="E146">
        <f>HYPERLINK("https://www.indeed.com/viewjob?jk=54a30a7fa36fc3d9", "https://www.indeed.com/viewjob?jk=54a30a7fa36fc3d9")</f>
        <v/>
      </c>
      <c r="F146">
        <f>HYPERLINK("https://click.appcast.io/t/lRVHFIIy2pZb60tTCxBqufwh6ihwfF5NolTsqkpR9WI=", "https://click.appcast.io/t/lRVHFIIy2pZb60tTCxBqufwh6ihwfF5NolTsqkpR9WI=")</f>
        <v/>
      </c>
      <c r="G146" t="inlineStr">
        <is>
          <t>Westlake, TX, US</t>
        </is>
      </c>
      <c r="H146" s="3" t="n">
        <v>46051</v>
      </c>
      <c r="I146" t="inlineStr">
        <is>
          <t>**Position Description:**
-------------------------
We are seeking a highly skilled OIPA Software Engineer to lead the delivery and modernization of Oracle Insurance Policy Administration (OIPA) solutions supporting mission\-critical annuity platforms. This role offers a unique opportunity to combine functional leadership, technical depth, and architectural influence within a complex enterprise environment.  
As a key contributor, you will design and configure OIPA solutions, build integrations, support modernization initiatives, and collaborate with cross\-functional teams to deliver resilient, scalable systems. This position is well\-suited for professionals who enjoy driving technical excellence, mentoring teams, and making a measurable impactwhile remaining hands\-on throughout the delivery lifecycle.
This position must be performed from Westlake, TX.  
**Your future duties and responsibilities:**
--------------------------------------------
OIPA Configuration \&amp; Functional Delivery  
.Lead OIPA requirements gathering, functional design, and configuration activities  
.Implement OIPA configuration language, rules, calculations, validations, and AS files  
.Build and enhance OIPA screens (policy, role segment, allocation, valuation)  
.Configure palette components, security models, and application\-level permissions  
.Develop OIPA extensions, data intake patterns, and data extraction workflows  
.Troubleshoot and resolve OIPA configuration, integration, and data issues  
.Ensure alignment with enterprise architecture, data models, and implementation
standards  
Technical Engineering \&amp; Modernization  
.Build and modernize applications using Java, Spring MVC/Core/Boot, and REST/SOAP services  
.Integrate OIPA with upstream and downstream systems using APIs, services, and batch processes  
.Conduct code reviews, unit testing, and integration testing using open\-source frameworks  
.Define and maintain development standards using Git, Maven, Jenkins, Sonar, and related tools  
.Support production and non\-production environments to ensure stability and performance  
Leadership \&amp; Collaboration  
.Technical design discussions, proofs of concept, and architectural evaluations  
.Mentor junior engineers and configurators, promoting engineering excellence  
.Partner with business, architecture, QA, and DevOps teams to ensure end to end delivery quality  
.Contribute to planning, estimation, and delivery best practices  
**Required qualifications to be successful in this role:**
----------------------------------------------------------
. 6\+ Years of deep, hands\-on expertise in OIPA, including:  
.Configuration language, rules, calculations, AS files  
. Integrations, data intake, and data extraction patterns  
.Database architecture and OIPA extensions  
.Palette and application security implementations  
.Release management and deployment processes  
. 25 years of hands\-on development experience (nice to have) with:  
.Java, Spring MVC/Core/Boot  
.SOAP/REST services  
.Web container configuration  
.Front end experience with JSP, HTML, CSS/SASS, jQuery, Angular, or Node.js (preferred)  
.Strong SQL skills and experience debugging Oracle stored procedures  
.Experience with TDD and tools such as JUnit, Jasmine, Karma, Protractor  
.Proficiency with Git, Maven, Jenkins, uDeploy, JIRA, Artifactory, Dynatrace, Sonar  
.Familiarity with Docker and cloud platforms (AWS or Azure) is a plus  
.AWS certification is a plus  
.Strong analytical, problem solving, and communication skills  
.Demonstrated leadership, collaboration, and continuous learning mindset  
.Bachelor's degree in computer science, Engineering, Information Systems  
\#LI\-TSCH1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$87,600\.00 \- $172,400\.00\.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.Learning opportunities and tuition assistance  
. Wellness and Well\-being programs
**Skills:**
-----------
* Configuration Management
* Oracle
* SQL
* Angular
* GIT
* GIT
* Java
* Jenkins
* jQuery
* JUNIT Framework
* Node.Js
* Sonar
* Spring Boot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147">
      <c r="A147" t="inlineStr">
        <is>
          <t>in-eea41e45bf17502f</t>
        </is>
      </c>
      <c r="B147" t="inlineStr">
        <is>
          <t>Software Engineer in Test</t>
        </is>
      </c>
      <c r="C147" t="inlineStr">
        <is>
          <t>CGI</t>
        </is>
      </c>
      <c r="D147" t="inlineStr">
        <is>
          <t>indeed</t>
        </is>
      </c>
      <c r="E147">
        <f>HYPERLINK("https://www.indeed.com/viewjob?jk=eea41e45bf17502f", "https://www.indeed.com/viewjob?jk=eea41e45bf17502f")</f>
        <v/>
      </c>
      <c r="F147">
        <f>HYPERLINK("https://click.appcast.io/t/NC8JIejVFjbytm0R3sRfNe32y63hT7GD10h013scF58=", "https://click.appcast.io/t/NC8JIejVFjbytm0R3sRfNe32y63hT7GD10h013scF58=")</f>
        <v/>
      </c>
      <c r="G147" t="inlineStr">
        <is>
          <t>Westlake, TX, US</t>
        </is>
      </c>
      <c r="H147" s="3" t="n">
        <v>46051</v>
      </c>
      <c r="I147" t="inlineStr">
        <is>
          <t>**Position Description:**
-------------------------
We are looking for a Senior Software Engineer in Test to design and scale modern automation platforms that support high\-quality, high\-velocity software delivery. This role combines automation engineering, CI/CD pipeline design, and cloud\-aware testing practices, offering the opportunity to influence how enterprise systems are built, tested, and released.  
You will collaborate across engineering, DevOps, and platform teams to integrate testing deeply into development workflows, improve observability and reliability, and ensure quality at scale across distributed systems.  
This position is located in Westlake, TX.
**Your future duties and responsibilities:**
--------------------------------------------
.Develop and maintain comprehensive automation frameworks for API and Web applications  
.Implement automated tests across multiple layers, including unit, component, integration, functional, performance, and scenario testing  
.Architect and enhance automation test platforms to support long term scalability and maintainability  
.Design, implement, and optimize CI/CD pipelines, including branching strategies, merging processes, version control, and deployment automation  
.Support performance testing, chaos testing, and security testing activities  
.Contribute to cloud migration efforts and ongoing cloud environment management  
.Collaborate with engineering teams to improve test coverage, release efficiency, and production system health  
.Apply expertise in testing, testability, and secure engineering practices to influence software design and development  
.Develop SQL queries and implement data seeding strategies to support automated testing  
.Evaluate emerging technologies, tools, and frameworks and provide recommendations for adoption.
**Required qualifications to be successful in this role:**
----------------------------------------------------------
. Bachelor's degree with 10\+ years of relevant experience.  
.Proven experience designing and implementing QA strategies and automation frameworks  
.Hands on experience with automation tools such as Playwright, Cypress, Rest Assured, JUnit, TestNG, Maven, and ETL batch testing  
.Strong background in DevOps and CI/CD pipeline engineering (e.g., Jenkins Core, monorepo environments, LWC)  
.Proficiency with Git based source control systems (GitHub, Bitbucket/Stash, Sourcetree)  
.Programming skills in Java, JavaScript, and Node.js (nice to have)  
.Experience with observability and monitoring tools (Splunk, Datadog)  
.Experience with performance testing and chaos engineering practices  
.Solid understanding of accessibility standards and testing accessible web experiences  
.Cloud experience preferred, particularly with AWS  
.AWS certification is considered an advantage  
The successful candidate will demonstrate:  
.Strong analytical and problem solving skills  
.A disciplined approach to engineering, quality, and operational excellence  
.The ability to work effectively in a collaborative, cross functional environment  
.A commitment to continuous learning and improvement  
.The capability to influence technical direction and promote best practices across teams  
\#LI\-TSCH1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$69,200\.00 \- $153,300\.00\.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.Learning opportunities and tuition assistance  
. Wellness and Well\-being programs
**Skills:**
-----------
* Cypress
* DevOps
* Java
* JUNIT Framework
* SQL
* Swagger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148">
      <c r="A148" t="inlineStr">
        <is>
          <t>in-1d3ba69b600c122a</t>
        </is>
      </c>
      <c r="B148" t="inlineStr">
        <is>
          <t>Systems Engineer III – Simulation Software Engineer</t>
        </is>
      </c>
      <c r="C148" t="inlineStr">
        <is>
          <t>Voyager Technologies, Inc.</t>
        </is>
      </c>
      <c r="D148" t="inlineStr">
        <is>
          <t>indeed</t>
        </is>
      </c>
      <c r="E148">
        <f>HYPERLINK("https://www.indeed.com/viewjob?jk=1d3ba69b600c122a", "https://www.indeed.com/viewjob?jk=1d3ba69b600c122a")</f>
        <v/>
      </c>
      <c r="F148">
        <f>HYPERLINK("https://grnh.se/91ow1all9us", "https://grnh.se/91ow1all9us")</f>
        <v/>
      </c>
      <c r="G148" t="inlineStr">
        <is>
          <t>Reno, NV, US</t>
        </is>
      </c>
      <c r="H148" s="3" t="n">
        <v>46051</v>
      </c>
      <c r="I148" t="inlineStr">
        <is>
          <t>Voyager is an innovative defense, national security and space technology company committed to advancing and delivering transformative, mission\-critical solutions. We tackle the most complex challenges to unlock new frontiers for human progress, fortify national security, and protect critical assets to lead in the race for technological and operational superiority from ground to space.
**Forge the Future: Join Voyager Technologies**
The future belongs to those who build it. At Voyager Technologies, we're building technologies that protect lives, expand frontiers and prepare us for what's next. And we're doing that with people who are wired to solve, build, adapt and lead. These roles are not for the faint of heart.
You'll help lay the foundation for humanity's future. Join a culture where innovation thrives, curiosity is rewarded, and impact is real. We're a company of doers, thinkers and builders, united by purpose and grounded in reality.
If you want to put your skills to work where the stakes are real and the mission is bigger than any one person, **forge the future with Voyager.**
**\_\_\_\_\_\_\_\_\_\_\_\_\_\_\_\_\_\_\_\_\_\_\_\_\_\_\_\_\_\_\_\_\_\_\_\_\_\_\_\_\_\_\_\_\_\_\_\_\_\_\_\_\_\_\_\_\_\_\_\_\_\_\_\_\_\_\_\_\_\_\_\_\_\_\_\_\_\_**
**Job Summary:** The Level III Simulation Software Engineer is a key technical contributor responsible for developing and maintaining simulation environments, dev ops infrastructure, and automation tools in support of the Modeling, Simulation, and Algorithm Design (MSAD) and Test teams. This role requires a strong software engineering foundation, the ability to take ownership of well\-scoped technical tasks under general supervision, and a proactive approach to solving problems. The engineer is expected to design, implement, and verify simulation and analysis tools that directly impact system design, verification, and performance evaluation across engineering programs.
**Responsibilities:**
* Develop, test, and maintain simulation models, tools, and automation scripts for MSAD and Test teams.
* Contribute to dev ops infrastructure and scripting to support software test, integration, and validation workflows.
* Follow and help enforce coding standards and software best practices across simulation activities.
* Support software unit\-level verification efforts for simulation, performance, and test software products.
* Participate in configuration management, documentation, and deployment of simulation and test tools.
* Create basic data processing, visualization, and reporting scripts to support software analysis and test campaigns.
* Assist in the deployment and configuration of small computing clusters or simulation servers under supervision.
* Contribute to studies and prototyping of alternate computing architectures (e.g., real\-time simulators).
* Implement test cases and support automated testing based on program objectives and engineering needs.
* Assist in packaging and delivering simulation tools and components to internal and external stakeholders.
* Support alignment of simulation components with MBSE models and SysML/Cameo artifacts.
* Implement and test numerical methods and algorithms, including filtering, data fitting, and basic optimization routines, under guidance.
**Skills:**
* Proficient in C\+\+, Python, MATLAB/Simulink, and scripting languages.
* Familiar with dev ops practices including scripting, test automation, and version control (e.g., Git).
* Understanding of simulation frameworks, modeling principles, and numerical analysis.
* Experience with software debugging, system integration, and basic performance testing.
* Familiar with SysML and MBSE workflows (e.g., Cameo) or willing to learn.
* Strong analytical, problem\-solving, and communication skills.
* Ability to work independently on well\-defined tasks and collaborate effectively in a team setting.
**Required Qualifications:**
* 4 to 7 years of professional experience in software development, modeling, or simulation within aerospace, defense, or related engineering domains.
* Familiarity with software development processes, integration workflows, and test automation.
* Experience contributing to multi\-disciplinary engineering projects involving simulation or test tools.
* Exposure to real\-time or hardware\-in\-the\-loop simulation environments is a plus.
* Bachelor's degree in Computer Science, Electrical Engineering, Aerospace Engineering, or related STEM field from an accredited college/university
* S. Citizenship required due to security and program access requirements.
* Must be eligible to obtain and maintain a DoD security clearance.
* Demonstrated ability to contribute to technical development within a team environment.
* Excellent collaboration and communication skills.
**Preferred Qualifications:**
* Master's degree preferred, particularly with emphasis in control systems, applied mathematics, or software engineering or a related discipline from an accredited college/university is desirable and may substitute for 1 year of experience
* Familiarity with developing or integrating communication protocols for test equipment is a plus.
* Exposure to embedded systems or FPGA\-based platforms is beneficial.
* Able to support work across both classified and unclassified environments.
* Interest in improving software development workflows, tool automation, and code quality.
*Please click "Apply" to submit your application.*
*The salary range represents the base salary range for this position. Actual compensation will vary and may be above or below the range based on various factors. Those include but are not limited to location, experience, and performance.*
*Voyager offers a comprehensive, total compensation package, which includes competitive salary, a discretionary annual bonus plan, paid time off (PTO), a comprehensive health benefit package, retirement savings, wellness program, and various other benefits. When you join our team, you're not just an employee; you become part of a dynamic community dedicated to innovation and excellence.*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*Voyager is an Equal Opportunity Employer. Employment decisions are made without regard to race, color, religion, national or ethnic origin, sex, sexual orientation, gender identity or expression, age, disability, protected veteran status or other characteristics protected by law.*
*Minority/Female/Disabled/Veteran*
*The statements contained in this job description are intended to describe the general content and requirements for performance of this job. It is not intended to be an exhaustive list of all job duties, responsibilities, and requirements. This job description is not an employment agreement or contract. Management has the exclusive right to alter the scope of work within the framework of this job description at any time without prior notice.*</t>
        </is>
      </c>
    </row>
    <row r="149">
      <c r="A149" t="inlineStr">
        <is>
          <t>in-936bf87bf4829f64</t>
        </is>
      </c>
      <c r="B149" t="inlineStr">
        <is>
          <t>Senior Software Engineer</t>
        </is>
      </c>
      <c r="C149" t="inlineStr">
        <is>
          <t>NiCE</t>
        </is>
      </c>
      <c r="D149" t="inlineStr">
        <is>
          <t>indeed</t>
        </is>
      </c>
      <c r="E149">
        <f>HYPERLINK("https://www.indeed.com/viewjob?jk=936bf87bf4829f64", "https://www.indeed.com/viewjob?jk=936bf87bf4829f64")</f>
        <v/>
      </c>
      <c r="F149">
        <f>HYPERLINK("https://grnh.se/xawf7ss2teu", "https://grnh.se/xawf7ss2teu")</f>
        <v/>
      </c>
      <c r="G149" t="inlineStr">
        <is>
          <t>Sandy, UT, US</t>
        </is>
      </c>
      <c r="H149" s="3" t="n">
        <v>46051</v>
      </c>
      <c r="I149" t="inlineStr">
        <is>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Senior Software Engineer
**So, what's the role all about?**  
The Software Engineer will help maintain and drive enhancements to our Salesforce.com platform. This position will design and build visual force pages, complex triggers and custom objects. The position is responsible for the solution design and development within Salesforce.com CRM and third party applications. You will work closely with internal members of the sales, marketing, service and operations organizations.
**How will you make an impact?**
* Create applications to interface with Salesforce and Salesforce.com
* Evaluate existing processes and determine potential Salesforce\-enabled enhancements
* Identify opportunities for automation in Salesforce
* Manage daily support and maintenance of internal Salesforce instance, and conduct long\-term improvement operations to ensure compatibility with evolving requirements
* Communicate with project managers, clients and other developers to design cohesive project strategies and ensure effective collaboration throughout all phases of development, testing and deployment
* Maintain a flexible and proactive work environment to facilitate a quick response to changing project requirements and customer objectives, and innovate ways to meet corporate and department goals successfully
* Collaborate with various internal departments, including marketing, product development and operations, to ensure Salesforce environment supports internal needs relating to functionality and performance
* Follow the company Code of Ethics and inContact policies and procedures at all times.
* Communicate in an effective and professional way with customers in and outside of inContact.
**Have you got what it takes?**
**Required Skills \&amp; Qualifications:**
* Bachelor's degree in Computer Science, Engineering**, a related field, or equivalent experience**
* **6\+** years of experience in software development **is required**
* Proficient in **at least 1 of Apex, Java (Spring Boot, Hibernate), .NET frameworks (C\#, ASP.NET Core), or a similar modern language**
* **Experience with modern JavaScript front end development and frameworks is a strong plus**
* Solid understanding of scripting languages such as Python, Bash, or PowerShell **is a plus**
* Experience working with RESTful APIs, web services, and databases (SQL Server, MySQL, or Oracle)
* Familiarity with version control tools like Git
* Strong analytical and problem\-solving skills
* Excellent communication and teamwork abilities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is>
      </c>
    </row>
    <row r="150">
      <c r="A150" t="inlineStr">
        <is>
          <t>in-40dac5cc5f8cb74b</t>
        </is>
      </c>
      <c r="B150" t="inlineStr">
        <is>
          <t>Asset &amp; Wealth Management-Software Engineering- Margin-Analyst-Dallas</t>
        </is>
      </c>
      <c r="C150" t="inlineStr">
        <is>
          <t>Goldman Sachs</t>
        </is>
      </c>
      <c r="D150" t="inlineStr">
        <is>
          <t>indeed</t>
        </is>
      </c>
      <c r="E150">
        <f>HYPERLINK("https://www.indeed.com/viewjob?jk=40dac5cc5f8cb74b", "https://www.indeed.com/viewjob?jk=40dac5cc5f8cb74b")</f>
        <v/>
      </c>
      <c r="F150">
        <f>HYPERLINK("https://higher.gs.com/roles/160824", "https://higher.gs.com/roles/160824")</f>
        <v/>
      </c>
      <c r="G150" t="inlineStr">
        <is>
          <t>Dallas, TX, US</t>
        </is>
      </c>
      <c r="H150" s="3" t="n">
        <v>46051</v>
      </c>
      <c r="I150" t="inlineStr">
        <is>
          <t>**Software Engineer \- Margin\- Analyst**
JOB DESCRIPTION
**Your Impact**
* Work with a global team of highly motivated software engineers building integrated architectures for secure, scalable services serving a diverse set of use cases in the wealth management space.
* Partner with colleagues from across technology and risk to ensure an outstanding Margin platform for wealth management is delivered.
* Help to provide frictionless integration with the firm’s runtime, deployment and SDLC technologies.
* Quality coding \&amp; integration, testing, release, and demise of software products supporting Margin functions.
* Engage in quality assurance and production troubleshooting.
**Basic Qualifications**
* A strong grounding in software engineering concepts and implementation of architecture design patterns.
* A good understanding of multiple aspects of software development in microservices architecture and Java based back end development experience.
* Sound SDLC and practices and tooling experience \- version control, CI/CD and configuration management tools.
* Ability to understand and effectively debug both new and existing software.
* Experience with metrics and monitoring tooling, including the ability to use metrics to rationally derive system health and availability information.
* Experience in supporting software based on sound SRE principles.
**Preferred Qualifications**
* Experience using and/or supporting Java based frameworks \&amp; SQL / NOSQL data stores.
* Experience with deploying software to containerized environments \- Kubernetes/Docker.
* Scripting skills using Python, Shell or bash is a plus.
* Experience with Terraform or similar infrastructure\-as\-code platforms is a plus.
* Experience building services using public cloud providers specifically AWS is a plus.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Analyst
OFFICE LOCATION(S)
Dallas
JOB FUNCTION
Software Engineering
DIVISION
Asset \&amp; Wealth Management</t>
        </is>
      </c>
    </row>
    <row r="151">
      <c r="A151" t="inlineStr">
        <is>
          <t>in-91377dba8ebf1649</t>
        </is>
      </c>
      <c r="B151" t="inlineStr">
        <is>
          <t>Asset &amp; Wealth Management-Software Engineering- Margin- Associate-Dallas</t>
        </is>
      </c>
      <c r="C151" t="inlineStr">
        <is>
          <t>Goldman Sachs</t>
        </is>
      </c>
      <c r="D151" t="inlineStr">
        <is>
          <t>indeed</t>
        </is>
      </c>
      <c r="E151">
        <f>HYPERLINK("https://www.indeed.com/viewjob?jk=91377dba8ebf1649", "https://www.indeed.com/viewjob?jk=91377dba8ebf1649")</f>
        <v/>
      </c>
      <c r="F151">
        <f>HYPERLINK("https://higher.gs.com/roles/160534", "https://higher.gs.com/roles/160534")</f>
        <v/>
      </c>
      <c r="G151" t="inlineStr">
        <is>
          <t>Dallas, TX, US</t>
        </is>
      </c>
      <c r="H151" s="3" t="n">
        <v>46051</v>
      </c>
      <c r="I151" t="inlineStr">
        <is>
          <t>Software engineer\- Margin Associate
**Your Impact**
* Work with a global team of highly motivated software engineers building integrated architectures for secure, scalable services serving a diverse set of use cases in the wealth management space.
* Partner with colleagues from across technology and risk to ensure an outstanding Margin platform for wealth management is delivered.
* Help to provide frictionless integration with the firm’s runtime, deployment and SDLC technologies.
* Quality coding \&amp; integration, testing, release, and demise of software products supporting Margin functions.
* Engage in quality assurance and production troubleshooting.
**Basic Qualifications**
* A strong grounding in software engineering concepts and implementation of architecture design patterns.
* A good understanding of multiple aspects of software development in microservices architecture and Java based back end development experience.
* Sound SDLC and practices and tooling experience \- version control, CI/CD and configuration management tools.
* Ability to understand and effectively debug both new and existing software.
* Experience with metrics and monitoring tooling, including the ability to use metrics to rationally derive system health and availability information.
* Experience in supporting software based on sound SRE principles.
**Preferred Qualifications**
* Experience using and/or supporting Java based frameworks \&amp; SQL / NOSQL data stores.
* Experience with deploying software to containerized environments \- Kubernetes/Docker.
* Scripting skills using Python, Shell or bash is a plus.
* Experience with Terraform or similar infrastructure\-as\-code platforms is a plus.
* Experience building services using public cloud providers specifically AWS is a plus.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Associate
OFFICE LOCATION(S)
Dallas
JOB FUNCTION
Software Engineering
DIVISION
Asset \&amp; Wealth Management</t>
        </is>
      </c>
    </row>
    <row r="152">
      <c r="A152" t="inlineStr">
        <is>
          <t>in-543be454c82d3c1f</t>
        </is>
      </c>
      <c r="B152" t="inlineStr">
        <is>
          <t>Software Engineer</t>
        </is>
      </c>
      <c r="C152" t="inlineStr">
        <is>
          <t>FanDuel</t>
        </is>
      </c>
      <c r="D152" t="inlineStr">
        <is>
          <t>indeed</t>
        </is>
      </c>
      <c r="E152">
        <f>HYPERLINK("https://www.indeed.com/viewjob?jk=543be454c82d3c1f", "https://www.indeed.com/viewjob?jk=543be454c82d3c1f")</f>
        <v/>
      </c>
      <c r="F152">
        <f>HYPERLINK("https://grnh.se/1r5ryesh1us", "https://grnh.se/1r5ryesh1us")</f>
        <v/>
      </c>
      <c r="G152" t="inlineStr">
        <is>
          <t>Jersey City, NJ, US</t>
        </is>
      </c>
      <c r="H152" s="3" t="n">
        <v>46051</v>
      </c>
      <c r="I152" t="inlineStr">
        <is>
          <t>**THE POSITION**  
Our roster has an opening with your name on it
We're growing our Trader Automation Engineering team that works on some of the coolest software in the industry \- the systems that price betting markets for the major US sports! The team you will join works proactively with other teams across the organization to build best in class trader automation tooling, while proactively identifying opportunities for technical innovation within the Risk and Trading organization. Our stakeholders are the people who establish the odds and prices for the \#1 sports book in America!
As a Software Engineer within FanDuel's Trading Solutions team, you will be an essential part of a cross functional agile team that directly impacts our business. You will work collaboratively with a team to implement creative, high\-quality solutions, scope effort and timelines, and balance priorities of our stakeholders and engineering needs. This team will work closely to deliver exceptionally high\-quality software, while taking pride and ownership in testing, deploying, monitoring, and maintaining that software. **Our engineers own every part of the software delivery lifecycle**.
You will work directly with quantitative analysts and sports platform engineering teams at FanDuel to improve the user experience of our trading teams. You will go beyond the software developer role and will be called upon to identify opportunities yourself in the trader automation space to innovate through technology.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and deliver constant improvements to our systems. We want you to be excited about constantly learning and driving your professional development. You should have many of the following skills and be eager to build the skills you don't!:
* You work in project ideas with stakeholders, and peers
* You own parts of product and technology \&amp; become subject matter experts
* You write simple and extendable code following standards and best practices.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On\-call rotation where required. You provide excellent customer support
* You keep yourself up to date with market standards, open\-source frameworks
* Creative problem\-solving ability
* A passion for learning and always getting better
* Most importantly, you are; humble, pragmatic, self\-managed, thirsty for knowledge, never satisfied and always challenging the norm. Responsible for the state of the code you both inherit and produce
**THE STATS**  
What we're looking for in our next teammate
* Degree in Computer Science, Data Science, Engineering or related discipline.
* 3 or more years of industry experience in an Engineering field.
* Proficient in building services with a modern OOP language (C\# experience is required).
* A fundamental understanding of data structures and algorithms.
* Experience working with CI/CD pipeline tooling (BuildKite and GitHub Actions knowledge is beneficial).
* Experience working with cloud\-based infrastructure and technologies.
* Knowledge of infrastructure as code is nice to have, notably Terraform and Helm.
* Experience interacting and designing relational databases.
* Experience with streaming technologies, like Kafka, is preferable.
* Ability to document code, research, and designs clearly.
* Proficiency in translating requirements into design and developing applications.
* Understanding of containers (e.g. Docker), and orchestration (Kubernetes).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153">
      <c r="A153" t="inlineStr">
        <is>
          <t>in-f20e76b9e2a03bec</t>
        </is>
      </c>
      <c r="B153" t="inlineStr">
        <is>
          <t>Software Engineer</t>
        </is>
      </c>
      <c r="C153" t="inlineStr">
        <is>
          <t>FanDuel</t>
        </is>
      </c>
      <c r="D153" t="inlineStr">
        <is>
          <t>indeed</t>
        </is>
      </c>
      <c r="E153">
        <f>HYPERLINK("https://www.indeed.com/viewjob?jk=f20e76b9e2a03bec", "https://www.indeed.com/viewjob?jk=f20e76b9e2a03bec")</f>
        <v/>
      </c>
      <c r="F153">
        <f>HYPERLINK("https://grnh.se/b21j8s4d1us", "https://grnh.se/b21j8s4d1us")</f>
        <v/>
      </c>
      <c r="G153" t="inlineStr">
        <is>
          <t>Atlanta, GA, US</t>
        </is>
      </c>
      <c r="H153" s="3" t="n">
        <v>46051</v>
      </c>
      <c r="I153" t="inlineStr">
        <is>
          <t>**THE POSITION**  
Our roster has an opening with your name on it
We're growing our Trader Automation Engineering team that works on some of the coolest software in the industry \- the systems that price betting markets for the major US sports! The team you will join works proactively with other teams across the organization to build best in class trader automation tooling, while proactively identifying opportunities for technical innovation within the Risk and Trading organization. Our stakeholders are the people who establish the odds and prices for the \#1 sports book in America!
As a Software Engineer within FanDuel's Trading Solutions team, you will be an essential part of a cross functional agile team that directly impacts our business. You will work collaboratively with a team to implement creative, high\-quality solutions, scope effort and timelines, and balance priorities of our stakeholders and engineering needs. This team will work closely to deliver exceptionally high\-quality software, while taking pride and ownership in testing, deploying, monitoring, and maintaining that software. **Our engineers own every part of the software delivery lifecycle**.
You will work directly with quantitative analysts and sports platform engineering teams at FanDuel to improve the user experience of our trading teams. You will go beyond the software developer role and will be called upon to identify opportunities yourself in the trader automation space to innovate through technology.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and deliver constant improvements to our systems. We want you to be excited about constantly learning and driving your professional development. You should have many of the following skills and be eager to build the skills you don't!:
* You work in project ideas with stakeholders, and peers
* You own parts of product and technology \&amp; become subject matter experts
* You write simple and extendable code following standards and best practices.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On\-call rotation where required. You provide excellent customer support
* You keep yourself up to date with market standards, open\-source frameworks
* Creative problem\-solving ability
* A passion for learning and always getting better
* Most importantly, you are; humble, pragmatic, self\-managed, thirsty for knowledge, never satisfied and always challenging the norm. Responsible for the state of the code you both inherit and produce
**THE STATS**  
What we're looking for in our next teammate
* Degree in Computer Science, Data Science, Engineering or related discipline.
* 3 or more years of industry experience in an Engineering field.
* Proficient in building services with a modern OOP language (C\# experience is required).
* A fundamental understanding of data structures and algorithms.
* Experience working with CI/CD pipeline tooling (BuildKite and GitHub Actions knowledge is beneficial).
* Experience working with cloud\-based infrastructure and technologies.
* Knowledge of infrastructure as code is nice to have, notably Terraform and Helm.
* Experience interacting and designing relational databases.
* Experience with streaming technologies, like Kafka, is preferable.
* Ability to document code, research, and designs clearly.
* Proficiency in translating requirements into design and developing applications.
* Understanding of containers (e.g. Docker), and orchestration (Kubernetes).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154">
      <c r="A154" t="inlineStr">
        <is>
          <t>in-3d4287170684661e</t>
        </is>
      </c>
      <c r="B154" t="inlineStr">
        <is>
          <t>Software Engineer</t>
        </is>
      </c>
      <c r="C154" t="inlineStr">
        <is>
          <t>FanDuel</t>
        </is>
      </c>
      <c r="D154" t="inlineStr">
        <is>
          <t>indeed</t>
        </is>
      </c>
      <c r="E154">
        <f>HYPERLINK("https://www.indeed.com/viewjob?jk=3d4287170684661e", "https://www.indeed.com/viewjob?jk=3d4287170684661e")</f>
        <v/>
      </c>
      <c r="F154">
        <f>HYPERLINK("https://grnh.se/44z3jgjr1us", "https://grnh.se/44z3jgjr1us")</f>
        <v/>
      </c>
      <c r="G154" t="inlineStr">
        <is>
          <t>New York, NY, US</t>
        </is>
      </c>
      <c r="H154" s="3" t="n">
        <v>46051</v>
      </c>
      <c r="I154" t="inlineStr">
        <is>
          <t>**THE POSITION**  
Our roster has an opening with your name on it
We're growing our Trader Automation Engineering team that works on some of the coolest software in the industry \- the systems that price betting markets for the major US sports! The team you will join works proactively with other teams across the organization to build best in class trader automation tooling, while proactively identifying opportunities for technical innovation within the Risk and Trading organization. Our stakeholders are the people who establish the odds and prices for the \#1 sports book in America!
As a Software Engineer within FanDuel's Trading Solutions team, you will be an essential part of a cross functional agile team that directly impacts our business. You will work collaboratively with a team to implement creative, high\-quality solutions, scope effort and timelines, and balance priorities of our stakeholders and engineering needs. This team will work closely to deliver exceptionally high\-quality software, while taking pride and ownership in testing, deploying, monitoring, and maintaining that software. **Our engineers own every part of the software delivery lifecycle**.
You will work directly with quantitative analysts and sports platform engineering teams at FanDuel to improve the user experience of our trading teams. You will go beyond the software developer role and will be called upon to identify opportunities yourself in the trader automation space to innovate through technology.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and deliver constant improvements to our systems. We want you to be excited about constantly learning and driving your professional development. You should have many of the following skills and be eager to build the skills you don't!:
* You work in project ideas with stakeholders, and peers
* You own parts of product and technology \&amp; become subject matter experts
* You write simple and extendable code following standards and best practices.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On\-call rotation where required. You provide excellent customer support
* You keep yourself up to date with market standards, open\-source frameworks
* Creative problem\-solving ability
* A passion for learning and always getting better
* Most importantly, you are; humble, pragmatic, self\-managed, thirsty for knowledge, never satisfied and always challenging the norm. Responsible for the state of the code you both inherit and produce
**THE STATS**  
What we're looking for in our next teammate
* Degree in Computer Science, Data Science, Engineering or related discipline.
* 3 or more years of industry experience in an Engineering field.
* Proficient in building services with a modern OOP language (C\# experience is required).
* A fundamental understanding of data structures and algorithms.
* Experience working with CI/CD pipeline tooling (BuildKite and GitHub Actions knowledge is beneficial).
* Experience working with cloud\-based infrastructure and technologies.
* Knowledge of infrastructure as code is nice to have, notably Terraform and Helm.
* Experience interacting and designing relational databases.
* Experience with streaming technologies, like Kafka, is preferable.
* Ability to document code, research, and designs clearly.
* Proficiency in translating requirements into design and developing applications.
* Understanding of containers (e.g. Docker), and orchestration (Kubernetes).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155">
      <c r="A155" t="inlineStr">
        <is>
          <t>in-97e6bf367dd5c4bb</t>
        </is>
      </c>
      <c r="B155" t="inlineStr">
        <is>
          <t>Staff Backend Engineer ( Cassandra)</t>
        </is>
      </c>
      <c r="C155" t="inlineStr">
        <is>
          <t>Coupang</t>
        </is>
      </c>
      <c r="D155" t="inlineStr">
        <is>
          <t>indeed</t>
        </is>
      </c>
      <c r="E155">
        <f>HYPERLINK("https://www.indeed.com/viewjob?jk=97e6bf367dd5c4bb", "https://www.indeed.com/viewjob?jk=97e6bf367dd5c4bb")</f>
        <v/>
      </c>
      <c r="F155">
        <f>HYPERLINK("https://grnh.se/20u9sa0f1us", "https://grnh.se/20u9sa0f1us")</f>
        <v/>
      </c>
      <c r="G155" t="inlineStr">
        <is>
          <t>Mountain View, CA, US</t>
        </is>
      </c>
      <c r="H155" s="3" t="n">
        <v>46051</v>
      </c>
      <c r="I155" t="inlineStr">
        <is>
          <t>We exist to wow our customers. We know we're doing the right thing when we hear our customers say, "How did we ever live without Coupang?" Born out of an obsession to make shopping, eating, and living easier than ever, we're collectively disrupting the multi\-billion\-dollar e\-commerce industry from the ground up. We are one of the fastest\-growing e\-commerce companies that established an unparalleled reputation for being a dominant and reliable force in South Korean commerce.
 We are proud to have the best of both worlds — a startup culture with the resources of a large global public company. This fuels us to continue our growth and launch new services at the speed we have been since our inception. We are all entrepreneurs surrounded by opportunities to drive new initiatives and innovations. At our core, we are bold and ambitious people that like to get our hands dirty and make a hands\-on impact. At Coupang, you will see yourself, your colleagues, your team, and the company grow every day.
 Our mission to build the future of commerce is real. We push the boundaries of what's possible to solve problems and break traditional tradeoffs. Join Coupang now to create an epic experience in this always\-on, high\-tech, and hyper\-connected world.
**Role Overview**
The Coupang Corner Stone team in the application infrastructure organization, takes charge of company\-wide transaction data storage and common data service layer to materialize e\-commerce data for low latency reading. The Storage and Tools team owns the storage services like Cassandra, Elastic Search, MySQL, Vitess and Clickhouse, providing storage services through in\-house hosted open\-source technology.
 We are looking for software development engineers with Cassandra experience. As a Staff Engineer, you are the domain expert in Cassandra to handle the Cassandra usage problem, Cassandra performance optimization, Cassandra cluster setup, and Cassandra client SDK development. Besides that, you are the Go\-To person when the domain team needs to make the storage solution chosen, and provide Cassandra based storage solutions to meet business requirements.
**What You Will Do**
* Hand on to develop the features to enhance the system availability, disaster recovery and performance enhancement
* Dive deep into the system and fix complex technical problems.
* Participate in the daily system operation to address system issues and answer customers' questions.
* Identify the system's reliability and performance issues and propose solutions with the best industry practice.
* Work with the team manager to define the tech and project road map.
* Collaborate with other Coupang tech teams to make the service extensible to support business growth
* Drive communication up to Principal Engineer and Senior director level.
* Advocate engineer excellence and operation excellence with the team
* Hire and develop team members with knowledge sharing and high\-quality interviews.
**Minimum Qualifications**
* 4 years of relevant industry experience with distributed systems, system programming and backend development with Cassandra expertise.
* 4 years of solid work with fundamental algorithms, system design, and large distributed systems.
* Bachelor's degree in Computer Science or equivalent
**Preferred Qualifications**
* Bachelor's degree in computer science, Engineering, or related field
* Expert in Cassandra configuration, usage and operation
* Work as Platform or infrastructure engineer on database or storage services
* Familiar with AWS technology
* Solid system and code debugging skills
* Deep understanding in service availability, scalability, and latency.
* Excellent communication skills in English including verbal and written
* Have experience on TiDB management is a plus
* At least 6\+ years working experience on software design \&amp; development experience on distributed system and experience developing large scale enterprise
**Pay \&amp; Benefits**
Our compensation reflects the cost of living across several US geographic markets. At Coupang, your base pay is one part of your total compensation. The base pay for this position ranges from $138,000/year in our lowest geographic market to $297,000/year in our highest geographic market. Pay is based on several factors including market location and may vary depending on job\-related knowledge, skills, and experience.
**General Description of All Benefits**
* Medical/Dental/Vision/Life, AD\&amp;D insurance
* Flexible Spending Accounts (FSA) \&amp; Health Savings Account (HSA)
* Long\-term/Short\-term Disability
* Employee Assistance Program (EAP) program
* 401K Plan with Company Match
* 18\-21 days of the Paid Time Off (PTO) a year based on the tenure
* 12 Paid Holidays
* Paid Parental leave
* Pre\-tax commuter benefits
* MTV \- \[Free] Electric Car Charging Station
**General Description of Other Compensation**
"Other Compensation" includes, but is not limited to, bonuses, equity, or other forms of compensation that would be offered to the hired applicant in addition to their established salary range or wage scale.
*Coupang is an equal opportunity employer. All qualified applicants will receive consideration for employment without regard to race, color, religion, sex, or gender (including pregnancy, gender identity, gender expression, sexual orientation, transgender status), national origin, age, disability, medical condition, HIV/AIDS or Hepatitis C status, marital status, military or veteran status, use of a trained dog guide or service animal, political activities, or affiliations, citizenship, or any other characteristic or class protected by the laws or regulations in the locations where we operate.*
*If you need* *assistance* *and/or reasonable accommodation in the recruiting process due to a disability, please contact us at usrecruiting@coupang.com.*</t>
        </is>
      </c>
    </row>
    <row r="156">
      <c r="A156" t="inlineStr">
        <is>
          <t>in-9fadd1ae1dff34fc</t>
        </is>
      </c>
      <c r="B156" t="inlineStr">
        <is>
          <t>Senior Software Engineer, Data Quality</t>
        </is>
      </c>
      <c r="C156" t="inlineStr">
        <is>
          <t>Collibra</t>
        </is>
      </c>
      <c r="D156" t="inlineStr">
        <is>
          <t>indeed</t>
        </is>
      </c>
      <c r="E156">
        <f>HYPERLINK("https://www.indeed.com/viewjob?jk=9fadd1ae1dff34fc", "https://www.indeed.com/viewjob?jk=9fadd1ae1dff34fc")</f>
        <v/>
      </c>
      <c r="F156">
        <f>HYPERLINK("https://grnh.se/miwi18da1us", "https://grnh.se/miwi18da1us")</f>
        <v/>
      </c>
      <c r="G156" t="inlineStr">
        <is>
          <t>Raleigh, NC, US</t>
        </is>
      </c>
      <c r="H156" s="3" t="n">
        <v>46051</v>
      </c>
      <c r="I156" t="inlineStr">
        <is>
          <t>### **Joining Collibra's Data Quality Team**
* You'll have the chance to work with state\-of\-the\-art technologies alongside a team that excels in processing large\-scale data with clarity and intention.
* You will deal with scalability, code efficiency, and beautiful visuals that are at the core of our work, to ensure that our solutions perform optimally while presenting information in an intuitive and visually compelling way,
* You will be part of a collaborative engineering team committed to impactful results and continuous improvement.
This is a hybrid role based in our Raleigh office. Our hybrid model means you'll work from the office at least two days each week. This setup helps us stay connected, work more closely together, and keep making progress as a team.
### **As a Software Engineer at Collibra, you will be responsible for**
* Actively participating in team meetings and sharing ideas.
* Knowing your own code by preparing for code reviews and being able to justify design patterns used.
* Understand user persons impacted by code with well defined user stories and concrete inputs and outputs.
* Write clear measurable test cases to validate user stories and assert output on positive and negative results.
### **You have**
* 5\+ years of extensive experience building scalable Java\-based software applications and API development experience, or 3\+ years of experience and a Master's degree in Computer Science or related field.
* Building cloud\-native applications in Java \&amp; Spring with an eye towards operability, maintainability, and scaling.
* Experience with microservices architecture and multithreading.
* A bachelor's degree or equivalent related working experience is required.
### **You are**
* Familiar with DevOps practices, including CI/CD pipelines and tools such as Docker, Kubernetes, Jenkins or GitHub Actions, and willing to deepen knowledge in this area.
* Familiar with AI model landscape and deployment modes in software development.
* Passioned about quality, good design, and clean code.
* Willing to share knowledge, to continue expanding your knowledge around new technologies as well as software development best practices.
* You are agile\-minded and open to working in dynamic, iterative development environments.
### **Measures of success are**
* Within your first month, you will get familiar with the environment we use, the way we implement software as an organization, participate in virtual stand\-up's, simple business use cases and submit your first code to production.
* Within your third month, you will implement new user stories with quality and care, and understand what value they will bring to our customers. You will recognize areas for improvement and begin to propose ideas to the team during stand\-up's.
* Within your sixth month, you will be a key part of the Data Observability Team, regularly delivering quality code, participating in testing, and providing constructive input on the design and approaches taken to improve our software.
 ### **Compensation for this role**
The standard base salary range for this position is $140,000\.00 \- $175,000\.00 per year. This position is not eligible for additional commission\-based compensation. Salary offers are based on a combination of factors, including, but not limited to, experience, skills, and location.
In addition to base salary, we offer a competitive total rewards package, including bonus potential, equity for eligible roles, a Flex Fund monthly stipend, pension/401k plans, and more.
### **Benefits at Collibra**
Collibra recognizes and values that everyone has different needs, interests, and life goals. We built our benefits program with flexibility in mind to support you and your loved ones through a diverse range of circumstances and life events. These flexible offerings sit on a foundation of competitive compensation, health coverage, and time off. Learn more about Collibra's benefits.
We create inclusion and belonging through how we onboard, meet, connect, engage, and communicate. Learn more about diversity, equity, and inclusion at Collibra.
At Collibra, we're proud to be an equal opportunity employer. We realize the key to creating a company with a world\-class culture and employee experience comes from who we hire and creating a workplace that celebrates everyone.
With this, we proudly consider qualified applicants without regard to race, color, religion, creed, gender, national origin, age, disability, veteran status, sexual orientation, pregnancy, sex, gender identity, gender expression, genetic information, physical or mental disability, HIV status, registered domestic partner status, caregiver status, marital status, veteran or military status, citizenship status or any other legally protected category. If you have a need that requires accommodation, let us know by completing our Accommodations for Applicants form.</t>
        </is>
      </c>
    </row>
    <row r="157">
      <c r="A157" t="inlineStr">
        <is>
          <t>in-3bbbcc5a70748645</t>
        </is>
      </c>
      <c r="B157" t="inlineStr">
        <is>
          <t>Software Engineer II (Full Time) - United States</t>
        </is>
      </c>
      <c r="C157" t="inlineStr">
        <is>
          <t>Cisco</t>
        </is>
      </c>
      <c r="D157" t="inlineStr">
        <is>
          <t>indeed</t>
        </is>
      </c>
      <c r="E157">
        <f>HYPERLINK("https://www.indeed.com/viewjob?jk=3bbbcc5a70748645", "https://www.indeed.com/viewjob?jk=3bbbcc5a70748645")</f>
        <v/>
      </c>
      <c r="F157">
        <f>HYPERLINK("https://careers.cisco.com/global/en/job/2007168", "https://careers.cisco.com/global/en/job/2007168")</f>
        <v/>
      </c>
      <c r="G157" t="inlineStr">
        <is>
          <t>San Jose, CA, US</t>
        </is>
      </c>
      <c r="H157" s="3" t="n">
        <v>46051</v>
      </c>
      <c r="I157"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The mission of the Security\&amp; Trust Organization (S) is to secure products and services, protect Cisco and its employees, and cultivate trust with our customers, partners, and regulators. Thrive on our dynamic and collaborative team where you’ll work closely with a diverse network of internal and external stakeholders to drive essential security initiatives. The Security and Trust Organization (S) is dedicated to cultivating an innovative, growth\-focused culture. You’ll have the opportunity to collaborate with teams across Cisco—including IT, Product, Customer Experience (CX), and nearly every business unit, to deliver critical security solutions.
Your Impact
As a software engineer, you will help design, build, and maintain essential technology platforms, including operating systems, networks, and databases. Your primary focus will be on developing stable, user\-friendly software while adhering to established processes and considering the interplay between software and hardware. Your work may also influence product design and innovation.
We are looking for developers who communicate effectively, manage their time efficiently, and consistently follow established guidelines to complete their work. Success in this role comes from leveraging proven strategies, applying existing expertise, and reliably executing trusted methods to achieve team goals.
Minimum Qualifications
* Recent graduate or in your final year of studies toward a MBA or a related graduate\-level business program in Computer Science, Computer Engineering, or related major such as Cybersecurity.
* Proficiency in at least one of the following programming or scripting languages: C/C\+\+, Python, or Java, with evidence of recent (within the past 12 months) coursework, projects, or work experience.
* Experience in QA, testing, and/or debugging.
​
Preferred Qualifications
* Knowledge of Linux, Networking concepts, OS core concepts, Embedded Development, and/or ML
* Experience with Databases, Web Application Development, and Web Services
* Knowledge in Computer Networking and/or Cybersecurity
* Knowledge of Cloud Platforms: AWS, Microsoft Azure, or Google Cloud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$123,600\.00 \- $200,100\.00Non\-Metro New York state\&amp; Washington state:
$109,900\.00 \- $181,600\.00\*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58">
      <c r="A158" t="inlineStr">
        <is>
          <t>in-a05053dd74abeadb</t>
        </is>
      </c>
      <c r="B158" t="inlineStr">
        <is>
          <t>Sr. Full Stack Software Engineer (Starlink)</t>
        </is>
      </c>
      <c r="C158" t="inlineStr">
        <is>
          <t>SpaceX</t>
        </is>
      </c>
      <c r="D158" t="inlineStr">
        <is>
          <t>indeed</t>
        </is>
      </c>
      <c r="E158">
        <f>HYPERLINK("https://www.indeed.com/viewjob?jk=a05053dd74abeadb", "https://www.indeed.com/viewjob?jk=a05053dd74abeadb")</f>
        <v/>
      </c>
      <c r="F158">
        <f>HYPERLINK("https://grnh.se/kd536a6v2us", "https://grnh.se/kd536a6v2us")</f>
        <v/>
      </c>
      <c r="G158" t="inlineStr">
        <is>
          <t>Sunnyvale, CA, US</t>
        </is>
      </c>
      <c r="H158" s="3" t="n">
        <v>46051</v>
      </c>
      <c r="I158"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**SR. FULL STACK SOFTWARE ENGINEER (STARLINK)**
At SpaceX we're leveraging our experience in building rockets and spacecraft to deploy Starlink, the world's most advanced broadband internet system. Starlink is the world's largest satellite constellation and is providing fast, reliable internet to 9M\+ users worldwide. We design, build, test, and operate all parts of the system – thousands of satellites, consumer receivers that allow users to connect within minutes of unboxing, and the software that brings it all together. We've only begun to scratch the surface of Starlink's potential global impact and are looking for best\-in\-class engineers to help maximize Starlink's utility for communities and businesses around the globe.
As a Full Stack Engineer, you will work closely with a mix of both external customers and internal partners across all engineering disciplines here at SpaceX to bring observability to a rapidly expanding network of millions of assets. The tools and applications you build will empower Starlink customers to manage their deployed assets in aviation, maritime, and enterprise environments while also bringing enhanced development to key features across various internal and external platforms. On this team, we will rely on you to be a key figure in the successful development of mission critical, high performance web applications. Our full stack engineers can work on a variety of sub teams, a few of which are included below:
* Internal Tooling \&amp; Development
* Web Application Development
* Consumer Platform Development
**RESPONSIBILITIES:**
* Develop well\-architected, responsive, and performant web applications
* Develop highly reliable and available software systems for Starlink
* Design and implement highly available, fault\-tolerant networks that operates for long periods of time with minimal maintenance at scale
* Deliver expert level Typescript, HTML, and CSS code for modern browsers
* Full stack application development (our system is a .NET Core micro\-service architecture running in Kubernetes with a React and Angular frontend)
* Craft aesthetically and functionally flawless user experiences
* Collaborate with peers on architecture, design, and code reviews
* Deep dive into your users' problems to find and create efficient solutions
* Bring your voice to the table in team collaborations on architecture, design, and code reviews
**BASIC QUALIFICATIONS:**
* Bachelor's degree in computer science, engineering, or a STEM discipline and 5\+ years of professional experience in software development; OR 7\+ years of professional experience in software development in lieu of a degree
* 3\+ years of professional experience in full\-stack development
**PREFERRED SKILLS AND EXPERIENCE:**
* Programming experience in Python, C\#, .NET, Go, Scala, Python, Java, or similar object\-oriented language
* Production experience with Docker and Kubernetes
* Front\-end experience in React, Angular, or similar JavaScript framework
* Database experience with PostgreSQL, SQL Server, or similar database technologies
* Experience with version control, continuous integration, and continuous delivery concepts
* Expertise in profiling and improving application performance
* Experience with build systems (Make, Bazel/Pants/Buck, Gradle) and package management tools (pip, npm)
* Strong attention to detail
* Experience with UNIX\-like operating systems and CI/CD tools
**ADDITIONAL REQUIREMENTS:**
* Must be willing to work extended hours and weekends as needed
**COMPENSATION AND BENEFITS:**  
Pay range:
Software Engineer/Senior: $170,000\.00 \- $230,000\.00/per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t>
        </is>
      </c>
    </row>
    <row r="159">
      <c r="A159" t="inlineStr">
        <is>
          <t>in-f65649197f38aaf0</t>
        </is>
      </c>
      <c r="B159" t="inlineStr">
        <is>
          <t>Staff Software Engineer - Embedded Software</t>
        </is>
      </c>
      <c r="C159" t="inlineStr">
        <is>
          <t>ChargePoint</t>
        </is>
      </c>
      <c r="D159" t="inlineStr">
        <is>
          <t>indeed</t>
        </is>
      </c>
      <c r="E159">
        <f>HYPERLINK("https://www.indeed.com/viewjob?jk=f65649197f38aaf0", "https://www.indeed.com/viewjob?jk=f65649197f38aaf0")</f>
        <v/>
      </c>
      <c r="F159">
        <f>HYPERLINK("https://grnh.se/mnaw0c1p2us", "https://grnh.se/mnaw0c1p2us")</f>
        <v/>
      </c>
      <c r="G159" t="inlineStr">
        <is>
          <t>Campbell, CA, US</t>
        </is>
      </c>
      <c r="H159" s="3" t="n">
        <v>46051</v>
      </c>
      <c r="I159" t="inlineStr">
        <is>
          <t>### **About Us**
With electric vehicles expected to be nearly 30% of new vehicle sales by 2025 and more than 50% by 2040, electric mobility is becoming a reality. ChargePoint (NYSE: CHPT) is at the center of this revolution, powering one of the world's leading EV charging networks and a comprehensive set of hardware, software and mobile solutions for every charging need across North America and Europe. We bring together drivers, businesses, automakers, policymakers, utilities and other stakeholders to make e\-mobility a global reality.
Since our founding in 2007, ChargePoint has focused solely on making the transition to electric easy for businesses, fleets and drivers. ChargePoint offers a once\-in\-a\-lifetime opportunity to create an all\-electric future and a trillion\-dollar market.
At ChargePoint, we foster a positive and productive work environment by committing to live our values of Be Courageous, Charge Together, Love our Customers, Operate with Openness, and Relentlessly Pursue Awesome. These values guide how we show up every day, align, and work together to build a brighter future for all of us.
Join the team that is building the EV charging industry and make your mark on how people and goods will get everywhere they need to go, in any context, for generations to come.
### **Reports To**
Vice President, Embedded Software
### **What You Will Be Doing**
ChargePoint is seeking an outstanding senior engineer with a **creative** approach and a broad skill set to build cutting\-edge firmware for a next\-generation vehicle charging platform. You will work on the design, implementation, and testing of embedded firmware for **ARM\-based microprocessors** that control **high\-power electronics**. You will develop and support embedded firmware for the control of high\-power electronics, and collaborate cross\-functionally across geographies with hardware, system, and cloud engineering teams to define and implement specifications, features, and APIs.
### **What You Will Bring to ChargePoint**
* Experience and knowledge of embedded software
* Ability to develop for **RTOS** and **Linux\-based environments**
* Strong motivation to work through engineering challenges
* Enthusiasm for working with distributed teams
* Ability to understand system\-wide implications of electronic design and software integration
### **Requirements**
* **B.S. or higher** in Computer Science, Computer Engineering, Electrical Engineering, or a related technical field
* **5\+ years** of experience in **developing embedded firmware using C/C\+\+**
* Hands\-on experience developing for **Linux**, **RTOS**, and **bare\-metal** systems. **FreeRTOS** experience is a plus
* Good understanding and working knowledge of one or more of: **CAN, SPI, I2C** protocols, **MODBUS**, **CANOPEN**
* Experience with software build tools, source control systems, and data management tools, namely **GCC, GIT, Confluence**, and **JIRA**
* Confident ability to **understand circuit schematics** and apply working knowledge of electronics in the **bring\-up and debug of PCBs**
* Comfortable and familiar with **oscilloscopes**, **logic analyzers**, **protocol debuggers**, **DVMs,** **soldering irons**, and **home\-built dev\-kits**
* Pro\-active, communicative self\-starter, comfortable working in a geographically diverse team environment
* Ability to work effectively in an **Agile** development model and complete tasks/projects with minimal supervision
### **Location**
Campbell, CA
ChargePoint is committed to fair and equitable compensation practices. The targeted US salary range for roles at this operating level is $180,000 to $220,000\. This range represents base salary and does not reflect equity, benefits or variable pay where applicable. Actual base salaries are based on several factors unique to each candidate, including but not limited to skill set, experience, certifications, and specific work location.
We are committed to an inclusive and diverse team. ChargePoint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If there is a match between your experiences/skills and the Company needs, we will contact you directly.
ChargePoint is an equal opportunity employer.  
Applicants only \- Recruiting agencies do not contact.</t>
        </is>
      </c>
    </row>
    <row r="160">
      <c r="A160" t="inlineStr">
        <is>
          <t>in-de768c188bb8fe9e</t>
        </is>
      </c>
      <c r="B160" t="inlineStr">
        <is>
          <t>Full-Stack Software Developer II</t>
        </is>
      </c>
      <c r="C160" t="inlineStr">
        <is>
          <t>PacificSource Health Plans</t>
        </is>
      </c>
      <c r="D160" t="inlineStr">
        <is>
          <t>indeed</t>
        </is>
      </c>
      <c r="E160">
        <f>HYPERLINK("https://www.indeed.com/viewjob?jk=de768c188bb8fe9e", "https://www.indeed.com/viewjob?jk=de768c188bb8fe9e")</f>
        <v/>
      </c>
      <c r="F160">
        <f>HYPERLINK("https://pacificsource.wd5.myworkdayjobs.com/en-US/PacificSource/job/Springfield-OR/Full-Stack-Software-Developer-II_2026-137-1", "https://pacificsource.wd5.myworkdayjobs.com/en-US/PacificSource/job/Springfield-OR/Full-Stack-Software-Developer-II_2026-137-1")</f>
        <v/>
      </c>
      <c r="G160" t="inlineStr">
        <is>
          <t>Springfield, OR, US</t>
        </is>
      </c>
      <c r="H160" s="3" t="n">
        <v>46051</v>
      </c>
      <c r="I160" t="inlineStr">
        <is>
          <t>Looking for a way to make an impact and help people?*Join PacificSource and help our members access quality, affordable care!*
PacificSource is an equal opportunity employer. All qualified applicants will receive consideration for employment without regard to status as a protected veteran or a qualified individual with a disability, or other protected status, such as race, religion, color, sex, sexual orientation, gender identity, national origin, genetic information or age. PacificSource values the diversity of our community, including those we hire and serve. We are committed to creating and fostering a work environment in which individual differences and diversity are appreciated, respected and responded to in ways that fully develop and utilize each person’s talents and strengths.
Work within a team to develop all aspects of software solutions for internal and external customers and partners. Responsibilities include analyzing requirements, understanding business processes and needs, and designing/building solutions to achieve business goals. Solutions usually involve data derived from production platforms, business partner sources, and government sources. Projects are completed with cross\-functional teams of IT peers and business partners. Manage time and expectations to ensure a high degree of stakeholder and user satisfaction.
Essential Responsibilities:* Evaluate and prioritize stakeholder requests. Communicate promptly, consistently, and effectively with stakeholders.
* Analyze and evaluate data sources, requirements, and business processes. Develop, optimize, and support code solutions within a structured coding environment. Assess user requirements and provide input to departments. Liaise with other IT staff to improve system efficiency, security, and functionality.
* Prepare systems specifications, project plans, and other internal documents. Ensure users and partners understand nature of work being performed, as well as timeframes and milestones. Provide regular status updates to supervisors and stakeholders.
* Design and apply new methods and procedures. Develop and test systems, programs, and database structure for efficiency and effectiveness.
* Identify, diagnose, and resolve potential and evident system problems. Provide troubleshooting support to other staff.
* Balance high\-priority work with lower priority maintenance work to ensure both success of projects and smooth operation of existing functions.
* Train users in technical aspects of systems.
* Participate in selection and recommendation of suppliers and vendors.
* Proactively identify opportunities for system and process improvement. Work with management and stakeholders to prioritize and implement solutions accordingly
* Maintain familiarity with current software development patterns, tools, and technologies.
Supporting Responsibilities:* Meet department and company performance and attendance expectations.
* Follow the PacificSource privacy policy and HIPAA laws and regulations concerning confidentiality and security of protected health information.
* Perform other duties as assigned.
SUCCESS PROFILE
Work Experience: Minimum of two years of real\-world systems development and analysis in a business environment required. Health insurance industry and claims or billing systems experience preferred. Experience with UI, service layer, and data layer development required.
Education, Certificates, Licenses: Bachelor degree or equivalent in Computer Science or closely related field
Knowledge: Visual Studio.NET languages (principally C\#) and Microsoft Transact\-SQL, HTML/CSS, JavaScript, XML, SSIS, REST/SOAP, normalized database design. Strong knowledge of software design and Object Oriented Programming principles. Structured code management best practices using Git, Team Foundation Server, or Azure DevOps. Working familiarity with .NET MVC, Bootstrap, EF, WCF, WebAPI, .NET Core, Sass, Xamarin Forms, Azure DevOps, SAML, WCAG, Section 508, Web Security highly recommended. Self\-management skills for coordinating numerous, simultaneous projects. Responsible for accurate, reliable design, development, maintenance, and testing of applications. Participate in broad information systems assignments requiring originality and ingenuity. Work independently and in teams. Proficient keyboarding required. Use of change control and production control for deployments.
Competencies:
Building Customer Loyalty
Building Strategic Work Relationships
Contributing to Team Success
Planning and Organizing
Continuous Improvement
Adaptability
Building Trust
Work Standards
Environment: Work inside in a general office setting with ergonomically configured equipment. Travel is required approximately 5% of the time.
Skills:
Accountability, Collaboration, Communication (written/verbal), Flexibility, Listening (active), Organizational skills/Planning and Organization, Problem Solving, Teamwork
Compensation Disclaimer
The wage range provided reflects the full range for this position. The maximum amount listed represents the highest possible salary for the role and should not be interpreted as a typical starting wage. Actual compensation will be determined based on factors such as qualifications, experience, education, and internal equity. Please note that the stated range is for informational purposes only and does not constitute a guarantee of any specific salary within that range.
Base Range:
$64,871\.24 \- $110,281\.11
Our Values
We live and breathe our values. In fact, our culture is driven by these seven core values which guide us in how we do business:* We are committed to doing the right thing.
* We are one team working toward a common goal.
* We are each responsible for customer service.
* We practice open communication at all levels of the company to foster individual, team and company growth.
* We actively participate in efforts to improve our many communities\-internally and externally.
* We actively work to advance social justice, equity, diversity and inclusion in our workplace, the healthcare system and community.
* We encourage creativity, innovation, and the pursuit of excellence.
Physical Requirements: Stoop and bend. Sit and/or stand for extended periods of time while performing core job functions. Repetitive motions to include typing, sorting and filing. Light lifting and carrying of files and business materials. Ability to read and comprehend both written and spoken English. Communicate clearly and effectively.
Disclaimer: This job description indicates the general nature and level of work performed by employees within this position and is subject to change. It is not designed to contain or be interpreted as a comprehensive list of all duties, responsibilities, and qualifications required of employees assigned to this position. Employment remains AT\-WILL at all times.</t>
        </is>
      </c>
    </row>
    <row r="161">
      <c r="A161" t="inlineStr">
        <is>
          <t>in-4340bb9dd9aa0d46</t>
        </is>
      </c>
      <c r="B161" t="inlineStr">
        <is>
          <t>Full-Stack Software Developer II</t>
        </is>
      </c>
      <c r="C161" t="inlineStr">
        <is>
          <t>PacificSource Health Plans</t>
        </is>
      </c>
      <c r="D161" t="inlineStr">
        <is>
          <t>indeed</t>
        </is>
      </c>
      <c r="E161">
        <f>HYPERLINK("https://www.indeed.com/viewjob?jk=4340bb9dd9aa0d46", "https://www.indeed.com/viewjob?jk=4340bb9dd9aa0d46")</f>
        <v/>
      </c>
      <c r="F161">
        <f>HYPERLINK("https://pacificsource.wd5.myworkdayjobs.com/en-US/PacificSource/job/Bend-OR/Full-Stack-Software-Developer-II_2026-138-1", "https://pacificsource.wd5.myworkdayjobs.com/en-US/PacificSource/job/Bend-OR/Full-Stack-Software-Developer-II_2026-138-1")</f>
        <v/>
      </c>
      <c r="G161" t="inlineStr">
        <is>
          <t>Bend, OR, US</t>
        </is>
      </c>
      <c r="H161" s="3" t="n">
        <v>46051</v>
      </c>
      <c r="I161" t="inlineStr">
        <is>
          <t>Looking for a way to make an impact and help people?*Join PacificSource and help our members access quality, affordable care!*
PacificSource is an equal opportunity employer. All qualified applicants will receive consideration for employment without regard to status as a protected veteran or a qualified individual with a disability, or other protected status, such as race, religion, color, sex, sexual orientation, gender identity, national origin, genetic information or age. PacificSource values the diversity of our community, including those we hire and serve. We are committed to creating and fostering a work environment in which individual differences and diversity are appreciated, respected and responded to in ways that fully develop and utilize each person’s talents and strengths.
Work within a team to develop all aspects of software solutions for internal and external customers and partners. Responsibilities include analyzing requirements, understanding business processes and needs, and designing/building solutions to achieve business goals. Solutions usually involve data derived from production platforms, business partner sources, and government sources. Projects are completed with cross\-functional teams of IT peers and business partners. Manage time and expectations to ensure a high degree of stakeholder and user satisfaction.
Essential Responsibilities:* Evaluate and prioritize stakeholder requests. Communicate promptly, consistently, and effectively with stakeholders.
* Analyze and evaluate data sources, requirements, and business processes. Develop, optimize, and support code solutions within a structured coding environment. Assess user requirements and provide input to departments. Liaise with other IT staff to improve system efficiency, security, and functionality.
* Prepare systems specifications, project plans, and other internal documents. Ensure users and partners understand nature of work being performed, as well as timeframes and milestones. Provide regular status updates to supervisors and stakeholders.
* Design and apply new methods and procedures. Develop and test systems, programs, and database structure for efficiency and effectiveness.
* Identify, diagnose, and resolve potential and evident system problems. Provide troubleshooting support to other staff.
* Balance high\-priority work with lower priority maintenance work to ensure both success of projects and smooth operation of existing functions.
* Train users in technical aspects of systems.
* Participate in selection and recommendation of suppliers and vendors.
* Proactively identify opportunities for system and process improvement. Work with management and stakeholders to prioritize and implement solutions accordingly
* Maintain familiarity with current software development patterns, tools, and technologies.
Supporting Responsibilities:* Meet department and company performance and attendance expectations.
* Follow the PacificSource privacy policy and HIPAA laws and regulations concerning confidentiality and security of protected health information.
* Perform other duties as assigned.
SUCCESS PROFILE
Work Experience: Minimum of two years of real\-world systems development and analysis in a business environment required. Health insurance industry and claims or billing systems experience preferred. Experience with UI, service layer, and data layer development required.
Education, Certificates, Licenses: Bachelor degree or equivalent in Computer Science or closely related field
Knowledge: Visual Studio.NET languages (principally C\#) and Microsoft Transact\-SQL, HTML/CSS, JavaScript, XML, SSIS, REST/SOAP, normalized database design. Strong knowledge of software design and Object Oriented Programming principles. Structured code management best practices using Git, Team Foundation Server, or Azure DevOps. Working familiarity with .NET MVC, Bootstrap, EF, WCF, WebAPI, .NET Core, Sass, Xamarin Forms, Azure DevOps, SAML, WCAG, Section 508, Web Security highly recommended. Self\-management skills for coordinating numerous, simultaneous projects. Responsible for accurate, reliable design, development, maintenance, and testing of applications. Participate in broad information systems assignments requiring originality and ingenuity. Work independently and in teams. Proficient keyboarding required. Use of change control and production control for deployments.
Competencies:
Building Customer Loyalty
Building Strategic Work Relationships
Contributing to Team Success
Planning and Organizing
Continuous Improvement
Adaptability
Building Trust
Work Standards
Environment: Work inside in a general office setting with ergonomically configured equipment. Travel is required approximately 5% of the time.
Skills:
Accountability, Collaboration, Communication (written/verbal), Flexibility, Listening (active), Organizational skills/Planning and Organization, Problem Solving, Teamwork
Compensation Disclaimer
The wage range provided reflects the full range for this position. The maximum amount listed represents the highest possible salary for the role and should not be interpreted as a typical starting wage. Actual compensation will be determined based on factors such as qualifications, experience, education, and internal equity. Please note that the stated range is for informational purposes only and does not constitute a guarantee of any specific salary within that range.
Base Range:
$64,871\.24 \- $110,281\.11
Our Values
We live and breathe our values. In fact, our culture is driven by these seven core values which guide us in how we do business:* We are committed to doing the right thing.
* We are one team working toward a common goal.
* We are each responsible for customer service.
* We practice open communication at all levels of the company to foster individual, team and company growth.
* We actively participate in efforts to improve our many communities\-internally and externally.
* We actively work to advance social justice, equity, diversity and inclusion in our workplace, the healthcare system and community.
* We encourage creativity, innovation, and the pursuit of excellence.
Physical Requirements: Stoop and bend. Sit and/or stand for extended periods of time while performing core job functions. Repetitive motions to include typing, sorting and filing. Light lifting and carrying of files and business materials. Ability to read and comprehend both written and spoken English. Communicate clearly and effectively.
Disclaimer: This job description indicates the general nature and level of work performed by employees within this position and is subject to change. It is not designed to contain or be interpreted as a comprehensive list of all duties, responsibilities, and qualifications required of employees assigned to this position. Employment remains AT\-WILL at all times.</t>
        </is>
      </c>
    </row>
    <row r="162">
      <c r="A162" t="inlineStr">
        <is>
          <t>in-387c0e626a40790a</t>
        </is>
      </c>
      <c r="B162" t="inlineStr">
        <is>
          <t>Full-Stack Software Developer II</t>
        </is>
      </c>
      <c r="C162" t="inlineStr">
        <is>
          <t>PacificSource Health Plans</t>
        </is>
      </c>
      <c r="D162" t="inlineStr">
        <is>
          <t>indeed</t>
        </is>
      </c>
      <c r="E162">
        <f>HYPERLINK("https://www.indeed.com/viewjob?jk=387c0e626a40790a", "https://www.indeed.com/viewjob?jk=387c0e626a40790a")</f>
        <v/>
      </c>
      <c r="F162">
        <f>HYPERLINK("https://pacificsource.wd5.myworkdayjobs.com/en-US/PacificSource/job/Portland-OR/Full-Stack-Software-Developer-II_2026-139-1", "https://pacificsource.wd5.myworkdayjobs.com/en-US/PacificSource/job/Portland-OR/Full-Stack-Software-Developer-II_2026-139-1")</f>
        <v/>
      </c>
      <c r="G162" t="inlineStr">
        <is>
          <t>Portland, OR, US</t>
        </is>
      </c>
      <c r="H162" s="3" t="n">
        <v>46051</v>
      </c>
      <c r="I162" t="inlineStr">
        <is>
          <t>Looking for a way to make an impact and help people?*Join PacificSource and help our members access quality, affordable care!*
PacificSource is an equal opportunity employer. All qualified applicants will receive consideration for employment without regard to status as a protected veteran or a qualified individual with a disability, or other protected status, such as race, religion, color, sex, sexual orientation, gender identity, national origin, genetic information or age. PacificSource values the diversity of our community, including those we hire and serve. We are committed to creating and fostering a work environment in which individual differences and diversity are appreciated, respected and responded to in ways that fully develop and utilize each person’s talents and strengths.
Work within a team to develop all aspects of software solutions for internal and external customers and partners. Responsibilities include analyzing requirements, understanding business processes and needs, and designing/building solutions to achieve business goals. Solutions usually involve data derived from production platforms, business partner sources, and government sources. Projects are completed with cross\-functional teams of IT peers and business partners. Manage time and expectations to ensure a high degree of stakeholder and user satisfaction.
Essential Responsibilities:* Evaluate and prioritize stakeholder requests. Communicate promptly, consistently, and effectively with stakeholders.
* Analyze and evaluate data sources, requirements, and business processes. Develop, optimize, and support code solutions within a structured coding environment. Assess user requirements and provide input to departments. Liaise with other IT staff to improve system efficiency, security, and functionality.
* Prepare systems specifications, project plans, and other internal documents. Ensure users and partners understand nature of work being performed, as well as timeframes and milestones. Provide regular status updates to supervisors and stakeholders.
* Design and apply new methods and procedures. Develop and test systems, programs, and database structure for efficiency and effectiveness.
* Identify, diagnose, and resolve potential and evident system problems. Provide troubleshooting support to other staff.
* Balance high\-priority work with lower priority maintenance work to ensure both success of projects and smooth operation of existing functions.
* Train users in technical aspects of systems.
* Participate in selection and recommendation of suppliers and vendors.
* Proactively identify opportunities for system and process improvement. Work with management and stakeholders to prioritize and implement solutions accordingly
* Maintain familiarity with current software development patterns, tools, and technologies.
Supporting Responsibilities:* Meet department and company performance and attendance expectations.
* Follow the PacificSource privacy policy and HIPAA laws and regulations concerning confidentiality and security of protected health information.
* Perform other duties as assigned.
SUCCESS PROFILE
Work Experience: Minimum of two years of real\-world systems development and analysis in a business environment required. Health insurance industry and claims or billing systems experience preferred. Experience with UI, service layer, and data layer development required.
Education, Certificates, Licenses: Bachelor degree or equivalent in Computer Science or closely related field
Knowledge: Visual Studio.NET languages (principally C\#) and Microsoft Transact\-SQL, HTML/CSS, JavaScript, XML, SSIS, REST/SOAP, normalized database design. Strong knowledge of software design and Object Oriented Programming principles. Structured code management best practices using Git, Team Foundation Server, or Azure DevOps. Working familiarity with .NET MVC, Bootstrap, EF, WCF, WebAPI, .NET Core, Sass, Xamarin Forms, Azure DevOps, SAML, WCAG, Section 508, Web Security highly recommended. Self\-management skills for coordinating numerous, simultaneous projects. Responsible for accurate, reliable design, development, maintenance, and testing of applications. Participate in broad information systems assignments requiring originality and ingenuity. Work independently and in teams. Proficient keyboarding required. Use of change control and production control for deployments.
Competencies:
Building Customer Loyalty
Building Strategic Work Relationships
Contributing to Team Success
Planning and Organizing
Continuous Improvement
Adaptability
Building Trust
Work Standards
Environment: Work inside in a general office setting with ergonomically configured equipment. Travel is required approximately 5% of the time.
Skills:
Accountability, Collaboration, Communication (written/verbal), Flexibility, Listening (active), Organizational skills/Planning and Organization, Problem Solving, Teamwork
Compensation Disclaimer
The wage range provided reflects the full range for this position. The maximum amount listed represents the highest possible salary for the role and should not be interpreted as a typical starting wage. Actual compensation will be determined based on factors such as qualifications, experience, education, and internal equity. Please note that the stated range is for informational purposes only and does not constitute a guarantee of any specific salary within that range.
Base Range:
$64,871\.24 \- $110,281\.11
Our Values
We live and breathe our values. In fact, our culture is driven by these seven core values which guide us in how we do business:* We are committed to doing the right thing.
* We are one team working toward a common goal.
* We are each responsible for customer service.
* We practice open communication at all levels of the company to foster individual, team and company growth.
* We actively participate in efforts to improve our many communities\-internally and externally.
* We actively work to advance social justice, equity, diversity and inclusion in our workplace, the healthcare system and community.
* We encourage creativity, innovation, and the pursuit of excellence.
Physical Requirements: Stoop and bend. Sit and/or stand for extended periods of time while performing core job functions. Repetitive motions to include typing, sorting and filing. Light lifting and carrying of files and business materials. Ability to read and comprehend both written and spoken English. Communicate clearly and effectively.
Disclaimer: This job description indicates the general nature and level of work performed by employees within this position and is subject to change. It is not designed to contain or be interpreted as a comprehensive list of all duties, responsibilities, and qualifications required of employees assigned to this position. Employment remains AT\-WILL at all times.</t>
        </is>
      </c>
    </row>
    <row r="163">
      <c r="A163" t="inlineStr">
        <is>
          <t>in-e6b3ac2d1c51f397</t>
        </is>
      </c>
      <c r="B163" t="inlineStr">
        <is>
          <t>Senior Software Engineer</t>
        </is>
      </c>
      <c r="C163" t="inlineStr">
        <is>
          <t>Core &amp; Main</t>
        </is>
      </c>
      <c r="D163" t="inlineStr">
        <is>
          <t>indeed</t>
        </is>
      </c>
      <c r="E163">
        <f>HYPERLINK("https://www.indeed.com/viewjob?jk=e6b3ac2d1c51f397", "https://www.indeed.com/viewjob?jk=e6b3ac2d1c51f397")</f>
        <v/>
      </c>
      <c r="F163">
        <f>HYPERLINK("https://jobs.coreandmain.com/job/CoreMain/Senior-Software-Engineer-42967?utm_source=Indeed", "https://jobs.coreandmain.com/job/CoreMain/Senior-Software-Engineer-42967?utm_source=Indeed")</f>
        <v/>
      </c>
      <c r="G163" t="inlineStr">
        <is>
          <t>MO, US</t>
        </is>
      </c>
      <c r="H163" s="3" t="n">
        <v>46051</v>
      </c>
      <c r="I163" t="inlineStr">
        <is>
          <t>Based in St. Louis, Core \&amp; Main is a leader in advancing reliable infrastructure™ with local service, nationwide®. As a specialty distributor with a focus on water, wastewater, storm drainage and fire protection products and related services, Core \&amp; Main provides solutions to municipalities, private water companies and professional contractors across municipal, non\-residential and residential end markets, nationwide. With over 370 locations across the U.S., the company provides its customers local expertise backed by a national supply chain. Core \&amp; Main’s 5,700 associates are committed to helping their communities thrive with safe and reliable infrastructure. Visit **coreandmain.com** to learn more.
**Job Summary**
Design, develop (code), test, and debug applications. Provide experienced Ready\-to\-Serve and development subject matter expertise. Maintain, enhance, and provide solutions for software applications. Provide development leadership in a functional area, module, or project.
**Major Tasks, Responsibilities and Key Accountabilities**
* Works with stakeholders to perform application functionality gap analysis and feasibility studies.
* Leads development activities for a functional area, module, or project. Provides and documents technical design and specifications meeting business and functional requirements.
* Develops (code), implements, and maintains tools/applications. Ensures applications and systems possess sufficient controls.
* Performs unit testing prior to moving code/configuration to the QA process. Evaluates and researches upgrades, patches, and new functionality. Research defects and solve for root cause in applications.
* Assists in the development and definition of test plans and scripts for performance, regression, and user acceptance test plans; support QA activities as required.
* Builds and maintains templates, rules, style sheets, workflows, data extractions and imports, interfaces, and object models.
* Implement and manage monitoring solutions to ensure system health and performance.
* Deploy and maintain certificates for HTTPS to ensure secure communication across services.
* Proactively identify and resolve potential reliability issues through monitoring and alerting mechanisms.
* Analyzes applications for compliance with security protocols.
* Train team members on areas of expertise and participate in and lead peer reviews.
**Required Qualifications**
* Proven expertise in developing robust, scalable applications using .NET frameworks, with a deep understanding of C\# programming principles and best practices.
* Extensive experience in writing clean, maintainable, and type\-safe code using TypeScript for front\-end or back\-end development.
* Demonstrated ability to design and implement well\-structured, modular, and maintainable application architectures that align with business requirements and industry standards.
* Broad proactive monitoring experience with, AppDynamics for application performance, SolarWinds for infrastructure and network, and Azure Application Insights for real\-time telemetry and diagnostics.
**Career Level Dimensions**
Typical Training/Experience
* Typically requires BS/BA in a related discipline. Generally, 5\-8 years of experience in a related field; certification is required in some areas OR MS/MA and generally 3\-5 years of experience in a related field.
Problem Complexity
* Identifies key barriers/core problems and applies problem solving skills to deal creatively with complex situations. Troubleshoots and resolves complex problems. Makes decisions under conditions of uncertainty, sometimes with incomplete information, that produce effective end results.
Autonomy
* Independently performs assignments with instruction limited to the results expected.
* Determines and develops an approach to solutions.
* Receives technical guidance only on unusual or complex problems or issues.
Leadership
* May oversee the completion of projects and assignments, including planning, assigning, monitoring, and reviewing progress and accuracy of work, evaluating results, etc. Contributes to employees' professional development but does not have hiring or firing authority.
**Environmental Job Requirements**
* Located in a comfortable indoor area. Any unpleasant conditions would be infrequent and not objectionable.
* Typically requires overnight travel less than 10% of the time.
* Most of the time is spent sitting in a comfortable position and there is frequent opportunity to move about.
* On rare occasions there may be a need to move or lift light articles.
**Preferred Qualifications**
* Experience configuring and managing CI/CD pipelines in Azure DevOps to streamline development, testing, and deployment processes.
* Azure Cloud Experience: Hands\-on experience with Azure services, including:
	+ App Service: Deploying and managing web applications.
	+ Function Apps: Developing serverless solutions.
	+ Key Vault: Implementing secure storage and management of sensitive data.
	+ Service Bus: Utilizing messaging services for distributed systems.
Core \&amp; Main is an Equal Employment Opportunity employer. Employment at Core \&amp; Main is based solely on a person’s merit and qualifications directly related to professional competence. Core \&amp; Main does not discriminate against any employee or applicant on the basis of race, creed, color, religion, national origin, nationality, ancestry, age, disability, veteran status, pregnancy or related condition (including breastfeeding), affectional or sexual orientation, gender identity or expression, marital status, status with regard to public assistance, citizenship, or any other basis protected by law.
None of the questions in this application are intended to elicit information regarding any protected characteristics, nor imply any limitation, illegal preferences or discrimination based upon non\-job\-related information or protected characteristics.
For more information, visit https://www.eeoc.gov</t>
        </is>
      </c>
    </row>
    <row r="164">
      <c r="A164" t="inlineStr">
        <is>
          <t>in-a9eab9edff323e2e</t>
        </is>
      </c>
      <c r="B164" t="inlineStr">
        <is>
          <t>Software Engineer I (Full Time) - United States</t>
        </is>
      </c>
      <c r="C164" t="inlineStr">
        <is>
          <t>Cisco</t>
        </is>
      </c>
      <c r="D164" t="inlineStr">
        <is>
          <t>indeed</t>
        </is>
      </c>
      <c r="E164">
        <f>HYPERLINK("https://www.indeed.com/viewjob?jk=a9eab9edff323e2e", "https://www.indeed.com/viewjob?jk=a9eab9edff323e2e")</f>
        <v/>
      </c>
      <c r="F164">
        <f>HYPERLINK("https://careers.cisco.com/global/en/job/2007003", "https://careers.cisco.com/global/en/job/2007003")</f>
        <v/>
      </c>
      <c r="G164" t="inlineStr">
        <is>
          <t>San Jose, CA, US</t>
        </is>
      </c>
      <c r="H164" s="3" t="n">
        <v>46051</v>
      </c>
      <c r="I164"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Join a vibrant community of passionate professionals from around the world, working together in Engineering, IT, Supply Chain, Customer Experience, Security\&amp; Trust, and more. Our team brings diverse perspectives, skills, and backgrounds—united by a shared commitment to innovation and making technology accessible for everyone.
Here, you’ll collaborate with dedicated colleagues on exciting projects in cloud, mobile, desktop, and security. No matter your role, you’ll have the chance to learn, grow, and make an impact—building solutions that help people connect, learn, and thrive in new ways.
Together, we’re shaping the future—one idea at a time.
Your Impact
At the heart of our technology, our software engineers shape the digital experiences that power our business and delight our users. In this role, you will create, test, and improve software and tools that support a wide range of impactful platforms—from operating systems and networks to databases and beyond. Your thoughtful approach will help ensure our solutions are intuitive, reliable, and accessible for everyone.
You’ll collaborate with a diverse, global team, sharing ideas, learning from others, and building relationships across functions. Your strong communication skills and collaborative spirit will enable you to contribute meaningfully, fostering an environment where all voices are heard and respected.
With a passion for problem\-solving and continuous improvement, you’ll find opportunities to streamline processes and influence technology decisions, including design and hardware compatibility. Your organizational talents and effective time management will help you prioritize, adapt, and deliver high\-quality work that drives our mission forward.
Join us and bring your unique perspective to build innovative, inclusive software that makes a meaningful difference—both for our company and for communities around the world.
Minimum Qualifications
* Completion within the past 3 years, or current enrollment with expected completion within 12 months, of a Bachelor’s degree program. Relevant fields include Computer Science, Computer Engineering, Cybersecurity, or a related program.
* Proficiency in at least one of the following programming or scripting languages: C/C\+\+, Python, or Java, with evidence of recent (within the 12 months) coursework, projects, or work experience.
* Experience in quality assurance (QA), testing, and/or debugging in an academic, project\-based, or work related setting.
* Ability to legally reside and work in the country of application, without the need for visa support or employer sponsorship.
Preferred Qualifications
* Knowledge of Linux, Networking concepts, OS fundamentals, Embedded Development, and/or ML
* Experience with Databases, Web Application Development, and Web Services
* Knowledge in Computer Networking and/or Cybersecurity
* Knowledge of Cloud Platforms: AWS, Microsoft Azure, or Google Cloud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$153,000\.00Non\-Metro New York state\&amp; Washington state:
$92,100\.00 \- $136,000\.00\*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65">
      <c r="A165" t="inlineStr">
        <is>
          <t>in-5f92e1cff58e83af</t>
        </is>
      </c>
      <c r="B165" t="inlineStr">
        <is>
          <t>Software Engineer II - Integrations Team</t>
        </is>
      </c>
      <c r="C165" t="inlineStr">
        <is>
          <t>JustPark</t>
        </is>
      </c>
      <c r="D165" t="inlineStr">
        <is>
          <t>indeed</t>
        </is>
      </c>
      <c r="E165">
        <f>HYPERLINK("https://www.indeed.com/viewjob?jk=5f92e1cff58e83af", "https://www.indeed.com/viewjob?jk=5f92e1cff58e83af")</f>
        <v/>
      </c>
      <c r="F165">
        <f>HYPERLINK("https://apply.workable.com/j/C6D60FC70B", "https://apply.workable.com/j/C6D60FC70B")</f>
        <v/>
      </c>
      <c r="G165" t="inlineStr">
        <is>
          <t>Dallas, TX, US</t>
        </is>
      </c>
      <c r="H165" s="3" t="n">
        <v>46051</v>
      </c>
      <c r="I165" t="inlineStr">
        <is>
          <t>### **About JustPark**
JustPark is the premier partner offering both B2B solutions for destinations and B2C services for drivers, giving us the best of both worlds. We simplify the entire parking experience. From venues and councils to private driveways, our platform makes it simple for drivers to find, book, and pay for parking—while empowering our operating partners to deliver exceptional parking experiences.
We’ve always believed parking should be easier—from end to end. That’s why we, two trailblazing companies—ParkHub and JustPark—have come together to make that vision a reality.
ParkHub revolutionized event parking in the US., optimizing venue operations for a smoother, stress\-free experience. JustPark transformed parking in the UK, turning the hunt for a spot into a simple, seamless task.
Now, as one unified company, we’re combining expertise to offer a full\-service, frictionless parking solution for both businesses and consumers.
### **About the Role**
Join us as a Software Engineer II on the Integrations Team, where you’ll play a critical role in designing, building, and maintaining the systems that connect JustPark to its partners, internal platforms, and external services.
The Integrations Team owns the APIs, services, and data flows that power key business capabilities across the company, ensuring reliable, secure, and scalable integrations that support our products and partners.
This is an opportunity to work on technically challenging problems at the heart of JustPark’s platform and help shape the direction of our integration architecture as the business continues to grow.
### **What You’ll Do**
* Design, build, deploy, and iterate on backend services and APIs that support internal and external integrations
* Own and improve the reliability, scalability, and security of integration systems
* Collaborate closely with Product Managers, QA, and other engineering teams to deliver well\-defined, dependable integrations
* Contribute to platform\-level concerns such as observability, incident response, and operational excellence
* Improve development workflows, documentation, and CI/CD pipelines
* Help define best practices and technical standards for integration development across the organization
* Provide technical leadership through design reviews, code reviews, and mentoring other engineers
### **Growth Opportunities**
* Play a key role in shaping the technical direction of JustPark’s integration platform
* Broaden your impact by working across multiple product and business domains
* Influence engineering standards and best practices across teams
* Grow into deeper technical leadership as the Integrations Team evolves
**Requirements**
* Golang Expertise: 3\+ years of professional experience with Golang
* Backend \&amp; API Design: Strong experience designing and maintaining RESTful APIs and backend services
* Database Skills: Solid experience with SQL and data layer design
* Cloud Savvy: Extensive hands\-on experience with AWS (EKS, EC2, S3, IAM, Cognito, Lambda, RDS) and/or Google Cloud (GKE)
* CI/CD Champion: Proficiency with modern CI/CD workflows and tools like GitHub Actions, Codefresh, or ArgoCD
* Testing Pro: Proficiency with modern testing patterns and tools
* Collaboration Tools: Familiarity with JIRA, GitHub, and Confluence
* AI First Development: Thoughtfully collaborate with AI tools to increase efficiency and decrease time from idea to production
* Dallas\-based, ideally within commuting distance of our Dallas office to work in a hybrid model
### **Bonus Experience**
* Experience building or maintaining integration platforms or partner\-facing APIs.
* Experience working with distributed systems.
* Experience with event\-driven architectures, messaging systems, or asynchronous workflows.
### **Education and Certifications**
* Bachelor’s degree in Computer Science or Software Engineering or equivalent education preferred.
**Benefits**
**Recharge your batteries**
* Unlimited PTO policy
* Complimentary in\-office barista
* Catered breakfast \&amp; lunch between Tuesdays \- Wednesday
* Regular social events at the office
**Investment in you and your wellbeing**
* Comprehensive medical \&amp; dental coverage through Cigna
* Multiple healthcare plan options including low\-deductible and HSA along with broad supplemental benefits
* Employee Assistance program
**Simplifying journeys so you can breathe easier**
* Subscriptions to mental health assistance platforms
* Travel stipend for local employees
**We look out for your family**
* Generous parental leave policy
* Fertility support via ARC Fertility
* Pet insurance and discount plans
**Look after the pennies**
* 401(k) retirement and savings plan
**Success is best when it's shared**
* Regular social activities such as annual Hackathons and ad hoc celebrations
**Our Hiring Process**
* First Stage Interview (30 mins) \- Virtual interview with the People Team to tell you more about JustPark and discuss your background, career goals, and role fit
* Hiring Manager Interview (45 mins) \- Virtual interview with the Hiring Manager to dive deeper into your experience and your interest for the role
* Third\-stage \- A take home tech task. We always make sure that the task is relevant for the role and efficient for the process. Our tasks vary in length based on the role and seniority but the task would never take longer than a max. of 3\-4 hours to complete
* Panel Interview (1 hour) \- Virtual interview with a panel of the Engineering team to discuss your tech test in more detail, your approach taken and final questions from you around the role and JustPark</t>
        </is>
      </c>
    </row>
    <row r="166">
      <c r="A166" t="inlineStr">
        <is>
          <t>in-4ac88f82cbc83dc4</t>
        </is>
      </c>
      <c r="B166" t="inlineStr">
        <is>
          <t>Embedded Software Engineer</t>
        </is>
      </c>
      <c r="C166" t="inlineStr">
        <is>
          <t>Pacific Defense</t>
        </is>
      </c>
      <c r="D166" t="inlineStr">
        <is>
          <t>indeed</t>
        </is>
      </c>
      <c r="E166">
        <f>HYPERLINK("https://www.indeed.com/viewjob?jk=4ac88f82cbc83dc4", "https://www.indeed.com/viewjob?jk=4ac88f82cbc83dc4")</f>
        <v/>
      </c>
      <c r="F166">
        <f>HYPERLINK("https://apply.workable.com/j/48E355B33E", "https://apply.workable.com/j/48E355B33E")</f>
        <v/>
      </c>
      <c r="G166" t="inlineStr">
        <is>
          <t>Mukilteo, WA, US</t>
        </is>
      </c>
      <c r="H166" s="3" t="n">
        <v>46051</v>
      </c>
      <c r="I166" t="inlineStr">
        <is>
          <t>**\*\* Due to the classified nature of our work, U.S. citizenship is required. Candidates must be willing to obtain and maintain a DoD Security Clearance.**
**Location: Cedar Rapids IA, preferred, but open to Mukilteo**
**About Us**
Pacific Defense develops advanced electronics systems for the U.S. Department of Defense and commercial customers. Specializing in Open Systems Architecture solutions for electromagnetic spectrum warfare, we deliver modular, rapidly reconfigurable systems in less than half the time of traditional contractors. Our expertise spans Radar, EW, SIGINT, and Communications, combined with a go\-fast execution model leveraging Open Standards like SOSA, CMOSS, and MORA. With facilities across the country and a diverse team, we drive innovation in signal processing, algorithm development, cognitive systems, and systems integration. Join us to advance your career and tackle national defense challenges.
The Pacific Defense family includes Perceptronics Solutions with expertise spanning signal processing, novel algorithm development, cognitive systems, high performance computing, hardware design and development, and systems integration and test. We embrace the diversity of people, ideas, and a great employee experience to drive the innovation that runs through everything we do. Pacific Defense has established an excellent reputation in our professional community and is growing our team to seize new opportunities to solve tough challenges for national defense. Come join us and accelerate your career!
We are looking to hire an **Embedded Software Engineer** who wants to get involved with a small, fast\-paced, and dynamic company. Responsible for managing, maintaining, and advancing the state of the art in embedded software components on SDR systems.
**Requirements**
**What You’ll Get to Do:**
* Be responsible for the development of new features on our embedded platforms.
* Investigate, prototype, and deliver new and innovative system solutions.
* Design, develop and verify firmware and drivers for embedded systems.
* Participate in design reviews, API development, and documentation.
* Work with new technologies that are vital to product development.
* Perform tasks including debug, bring\-up, Beta and production software development.
* Successfully collaborate with both software and hardware product teams.
**You’ll Bring These Qualifications:**
* Appropriate level of experience as an embedded software engineer writing C and C\+\+ user space applications.
* Experience in design, development, and debugging applications on ARM/ARM 64 architecture.
* Experience developing application software that interfaces with FPGAs, sensors, and other embedded hardware.
* Experience in writing well\-documented code in a collaborative, team\-centric environment.
* Experience applying Computer Science fundamentals such as data structures, algorithm design, problem\-solving, and complexity analysis.
* Highly motivated and self\-starting
**These Qualifications Would be Nice to Have:**
* Experience with assured PNT systems, including Kalman filters, precision timing, sensor fusion, anti\-jam antennas, or PNT client integration.
* Experience with RF or SDR technology.
* Experience with Electronic Warfare (EW) systems and/or technology.
* Active security clearance.
**Education**
* BS EE/CS or related field
**Benefits**
Pacific Defense provides competitive salaries and immediately vested 401K match. We provide 100% coverage options for the employee, and 75% coverage for dependents’ medical, dental, vision, and life insurance premiums, as well as a flexible spending account for incidental health care expenses. We offer paid time off and federal holidays to spend time with family, pursue outside interests, or just get some extra rest.
Pacific Defense is an Equal Opportunity Employer and considers qualified applicants for employment without regard to race, color, creed, religion, national origin, sex, sexual orientation, gender identity or expression, age, disability, veteran status, or any other protected factor.</t>
        </is>
      </c>
    </row>
    <row r="167">
      <c r="A167" t="inlineStr">
        <is>
          <t>in-99dcfff2e57674c3</t>
        </is>
      </c>
      <c r="B167" t="inlineStr">
        <is>
          <t>Embedded Software Engineer</t>
        </is>
      </c>
      <c r="C167" t="inlineStr">
        <is>
          <t>Pacific Defense</t>
        </is>
      </c>
      <c r="D167" t="inlineStr">
        <is>
          <t>indeed</t>
        </is>
      </c>
      <c r="E167">
        <f>HYPERLINK("https://www.indeed.com/viewjob?jk=99dcfff2e57674c3", "https://www.indeed.com/viewjob?jk=99dcfff2e57674c3")</f>
        <v/>
      </c>
      <c r="F167">
        <f>HYPERLINK("https://apply.workable.com/j/E97D1E5857", "https://apply.workable.com/j/E97D1E5857")</f>
        <v/>
      </c>
      <c r="G167" t="inlineStr">
        <is>
          <t>Cedar Rapids, IA, US</t>
        </is>
      </c>
      <c r="H167" s="3" t="n">
        <v>46051</v>
      </c>
      <c r="I167" t="inlineStr">
        <is>
          <t>**\*\* Due to the classified nature of our work, U.S. citizenship is required. Candidates must be willing to obtain and maintain a DoD Security Clearance.**
**Location: Cedar Rapids IA, preferred, but open to Mukilteo**
**About Us**
Pacific Defense develops advanced electronics systems for the U.S. Department of Defense and commercial customers. Specializing in Open Systems Architecture solutions for electromagnetic spectrum warfare, we deliver modular, rapidly reconfigurable systems in less than half the time of traditional contractors. Our expertise spans Radar, EW, SIGINT, and Communications, combined with a go\-fast execution model leveraging Open Standards like SOSA, CMOSS, and MORA. With facilities across the country and a diverse team, we drive innovation in signal processing, algorithm development, cognitive systems, and systems integration. Join us to advance your career and tackle national defense challenges.
The Pacific Defense family includes Perceptronics Solutions with expertise spanning signal processing, novel algorithm development, cognitive systems, high performance computing, hardware design and development, and systems integration and test. We embrace the diversity of people, ideas, and a great employee experience to drive the innovation that runs through everything we do. Pacific Defense has established an excellent reputation in our professional community and is growing our team to seize new opportunities to solve tough challenges for national defense. Come join us and accelerate your career!
We are looking to hire an **Embedded Software Engineer** who wants to get involved with a small, fast\-paced, and dynamic company. Responsible for managing, maintaining, and advancing the state of the art in embedded software components on SDR systems.
**Requirements**
**What You’ll Get to Do:**
* Be responsible for the development of new features on our embedded platforms.
* Investigate, prototype, and deliver new and innovative system solutions.
* Design, develop and verify firmware and drivers for embedded systems.
* Participate in design reviews, API development, and documentation.
* Work with new technologies that are vital to product development.
* Perform tasks including debug, bring\-up, Beta and production software development.
* Successfully collaborate with both software and hardware product teams.
**You’ll Bring These Qualifications:**
* Appropriate level of experience as an embedded software engineer writing C and C\+\+ user space applications.
* Experience in design, development, and debugging applications on ARM/ARM 64 architecture.
* Experience developing application software that interfaces with FPGAs, sensors, and other embedded hardware.
* Experience in writing well\-documented code in a collaborative, team\-centric environment.
* Experience applying Computer Science fundamentals such as data structures, algorithm design, problem\-solving, and complexity analysis.
* Highly motivated and self\-starting
**These Qualifications Would be Nice to Have:**
* Experience with assured PNT systems, including Kalman filters, precision timing, sensor fusion, anti\-jam antennas, or PNT client integration.
* Experience with RF or SDR technology.
* Experience with Electronic Warfare (EW) systems and/or technology.
* Active security clearance.
**Education**
* BS EE/CS or related field
**Benefits**
Pacific Defense provides competitive salaries and immediately vested 401K match. We provide 100% coverage options for the employee, and 75% coverage for dependents’ medical, dental, vision, and life insurance premiums, as well as a flexible spending account for incidental health care expenses. We offer paid time off and federal holidays to spend time with family, pursue outside interests, or just get some extra rest.
Pacific Defense is an Equal Opportunity Employer and considers qualified applicants for employment without regard to race, color, creed, religion, national origin, sex, sexual orientation, gender identity or expression, age, disability, veteran status, or any other protected factor.</t>
        </is>
      </c>
    </row>
    <row r="168">
      <c r="A168" t="inlineStr">
        <is>
          <t>in-c2e9cacb782235cb</t>
        </is>
      </c>
      <c r="B168" t="inlineStr">
        <is>
          <t>Embedded Software Engineer</t>
        </is>
      </c>
      <c r="C168" t="inlineStr">
        <is>
          <t>Pacific Defense</t>
        </is>
      </c>
      <c r="D168" t="inlineStr">
        <is>
          <t>indeed</t>
        </is>
      </c>
      <c r="E168">
        <f>HYPERLINK("https://www.indeed.com/viewjob?jk=c2e9cacb782235cb", "https://www.indeed.com/viewjob?jk=c2e9cacb782235cb")</f>
        <v/>
      </c>
      <c r="F168">
        <f>HYPERLINK("https://apply.workable.com/j/4FB93E39EA", "https://apply.workable.com/j/4FB93E39EA")</f>
        <v/>
      </c>
      <c r="G168" t="inlineStr">
        <is>
          <t>Cedar Rapids, IA, US</t>
        </is>
      </c>
      <c r="H168" s="3" t="n">
        <v>46051</v>
      </c>
      <c r="I168" t="inlineStr">
        <is>
          <t>**\*\* Due to the classified nature of our work, U.S. citizenship is required. Candidates must be willing to obtain and maintain a DoD Security Clearance.**
**Location: Cedar Rapids IA, preferred, but open to Mukilteo**
**About Us**
Pacific Defense develops advanced electronics systems for the U.S. Department of Defense and commercial customers. Specializing in Open Systems Architecture solutions for electromagnetic spectrum warfare, we deliver modular, rapidly reconfigurable systems in less than half the time of traditional contractors. Our expertise spans Radar, EW, SIGINT, and Communications, combined with a go\-fast execution model leveraging Open Standards like SOSA, CMOSS, and MORA. With facilities across the country and a diverse team, we drive innovation in signal processing, algorithm development, cognitive systems, and systems integration. Join us to advance your career and tackle national defense challenges.
The Pacific Defense family includes Perceptronics Solutions with expertise spanning signal processing, novel algorithm development, cognitive systems, high performance computing, hardware design and development, and systems integration and test. We embrace the diversity of people, ideas, and a great employee experience to drive the innovation that runs through everything we do. Pacific Defense has established an excellent reputation in our professional community and is growing our team to seize new opportunities to solve tough challenges for national defense. Come join us and accelerate your career!
We are looking to hire an **Embedded Software Engineer** who wants to get involved with a small, fast\-paced, and dynamic company. Responsible for managing, maintaining, and advancing the state of the art in embedded software components on SDR systems.
**Requirements**
**What You’ll Get to Do:**
* Be responsible for the development of new features on our embedded platforms.
* Investigate, prototype, and deliver new and innovative system solutions.
* Design, develop and verify firmware and drivers for embedded systems.
* Participate in design reviews, API development, and documentation.
* Work with new technologies that are vital to product development.
* Perform tasks including debug, bring\-up, Beta and production software development.
* Successfully collaborate with both software and hardware product teams.
**You’ll Bring These Qualifications:**
* Appropriate level of experience as an embedded software engineer writing C and C\+\+ user space applications.
* Experience in design, development, and debugging applications on ARM/ARM 64 architecture.
* Experience developing application software that interfaces with FPGAs, sensors, and other embedded hardware.
* Experience in writing well\-documented code in a collaborative, team\-centric environment.
* Experience applying Computer Science fundamentals such as data structures, algorithm design, problem\-solving, and complexity analysis.
* Highly motivated and self\-starting
**These Qualifications Would be Nice to Have:**
* Experience with assured PNT systems, including Kalman filters, precision timing, sensor fusion, anti\-jam antennas, or PNT client integration.
* Experience with RF or SDR technology.
* Experience with Electronic Warfare (EW) systems and/or technology.
* Active security clearance.
**Education**
* BS EE/CS or related field
**Benefits**
Pacific Defense provides competitive salaries and immediately vested 401K match. We provide 100% coverage options for the employee, and 75% coverage for dependents’ medical, dental, vision, and life insurance premiums, as well as a flexible spending account for incidental health care expenses. We offer paid time off and federal holidays to spend time with family, pursue outside interests, or just get some extra rest.
Pacific Defense is an Equal Opportunity Employer and considers qualified applicants for employment without regard to race, color, creed, religion, national origin, sex, sexual orientation, gender identity or expression, age, disability, veteran status, or any other protected factor.</t>
        </is>
      </c>
    </row>
    <row r="169">
      <c r="A169" t="inlineStr">
        <is>
          <t>in-0a46477ef91d649e</t>
        </is>
      </c>
      <c r="B169" t="inlineStr">
        <is>
          <t>Embedded Software Engineer</t>
        </is>
      </c>
      <c r="C169" t="inlineStr">
        <is>
          <t>Pacific Defense</t>
        </is>
      </c>
      <c r="D169" t="inlineStr">
        <is>
          <t>indeed</t>
        </is>
      </c>
      <c r="E169">
        <f>HYPERLINK("https://www.indeed.com/viewjob?jk=0a46477ef91d649e", "https://www.indeed.com/viewjob?jk=0a46477ef91d649e")</f>
        <v/>
      </c>
      <c r="F169">
        <f>HYPERLINK("https://apply.workable.com/j/DEB352FFA2", "https://apply.workable.com/j/DEB352FFA2")</f>
        <v/>
      </c>
      <c r="G169" t="inlineStr">
        <is>
          <t>Mukilteo, WA, US</t>
        </is>
      </c>
      <c r="H169" s="3" t="n">
        <v>46051</v>
      </c>
      <c r="I169" t="inlineStr">
        <is>
          <t>**\*\* Due to the classified nature of our work, U.S. citizenship is required. Candidates must be willing to obtain and maintain a DoD Security Clearance.**
**Location: Cedar Rapids IA, preferred, but open to Mukilteo**
**About Us**
Pacific Defense develops advanced electronics systems for the U.S. Department of Defense and commercial customers. Specializing in Open Systems Architecture solutions for electromagnetic spectrum warfare, we deliver modular, rapidly reconfigurable systems in less than half the time of traditional contractors. Our expertise spans Radar, EW, SIGINT, and Communications, combined with a go\-fast execution model leveraging Open Standards like SOSA, CMOSS, and MORA. With facilities across the country and a diverse team, we drive innovation in signal processing, algorithm development, cognitive systems, and systems integration. Join us to advance your career and tackle national defense challenges.
The Pacific Defense family includes Perceptronics Solutions with expertise spanning signal processing, novel algorithm development, cognitive systems, high performance computing, hardware design and development, and systems integration and test. We embrace the diversity of people, ideas, and a great employee experience to drive the innovation that runs through everything we do. Pacific Defense has established an excellent reputation in our professional community and is growing our team to seize new opportunities to solve tough challenges for national defense. Come join us and accelerate your career!
We are looking to hire an **Embedded Software Engineer** who wants to get involved with a small, fast\-paced, and dynamic company. Responsible for managing, maintaining, and advancing the state of the art in embedded software components on SDR systems.
**Requirements**
**What You’ll Get to Do:**
* Be responsible for the development of new features on our embedded platforms.
* Investigate, prototype, and deliver new and innovative system solutions.
* Design, develop and verify firmware and drivers for embedded systems.
* Participate in design reviews, API development, and documentation.
* Work with new technologies that are vital to product development.
* Perform tasks including debug, bring\-up, Beta and production software development.
* Successfully collaborate with both software and hardware product teams.
**You’ll Bring These Qualifications:**
* Appropriate level of experience as an embedded software engineer writing C and C\+\+ user space applications.
* Experience in design, development, and debugging applications on ARM/ARM 64 architecture.
* Experience developing application software that interfaces with FPGAs, sensors, and other embedded hardware.
* Experience in writing well\-documented code in a collaborative, team\-centric environment.
* Experience applying Computer Science fundamentals such as data structures, algorithm design, problem\-solving, and complexity analysis.
* Highly motivated and self\-starting
**These Qualifications Would be Nice to Have:**
* Experience with assured PNT systems, including Kalman filters, precision timing, sensor fusion, anti\-jam antennas, or PNT client integration.
* Experience with RF or SDR technology.
* Experience with Electronic Warfare (EW) systems and/or technology.
* Active security clearance.
**Education**
* BS EE/CS or related field
**Benefits**
Pacific Defense provides competitive salaries and immediately vested 401K match. We provide 100% coverage options for the employee, and 75% coverage for dependents’ medical, dental, vision, and life insurance premiums, as well as a flexible spending account for incidental health care expenses. We offer paid time off and federal holidays to spend time with family, pursue outside interests, or just get some extra rest.
Pacific Defense is an Equal Opportunity Employer and considers qualified applicants for employment without regard to race, color, creed, religion, national origin, sex, sexual orientation, gender identity or expression, age, disability, veteran status, or any other protected factor.</t>
        </is>
      </c>
    </row>
    <row r="170">
      <c r="A170" t="inlineStr">
        <is>
          <t>in-1dfefb7f8def4fca</t>
        </is>
      </c>
      <c r="B170" t="inlineStr">
        <is>
          <t>Principal Software Engineer - Test</t>
        </is>
      </c>
      <c r="C170" t="inlineStr">
        <is>
          <t>GE Aerospace</t>
        </is>
      </c>
      <c r="D170" t="inlineStr">
        <is>
          <t>indeed</t>
        </is>
      </c>
      <c r="E170">
        <f>HYPERLINK("https://www.indeed.com/viewjob?jk=1dfefb7f8def4fca", "https://www.indeed.com/viewjob?jk=1dfefb7f8def4fca")</f>
        <v/>
      </c>
      <c r="F170">
        <f>HYPERLINK("https://careers.geaerospace.com/global/en/job/R5027533/Principal-Software-Engineer-Test?utm_source=indeed&amp;utm_medium=phenom-feeds", "https://careers.geaerospace.com/global/en/job/R5027533/Principal-Software-Engineer-Test?utm_source=indeed&amp;utm_medium=phenom-feeds")</f>
        <v/>
      </c>
      <c r="G170" t="inlineStr">
        <is>
          <t>Evendale, OH, US</t>
        </is>
      </c>
      <c r="H170" s="3" t="n">
        <v>46051</v>
      </c>
      <c r="I170" t="inlineStr">
        <is>
          <t>**Job Description Summary**
===========================
Activities contributing to the design and development of products, solutions and systems. Includes activities linked to technical improvement of existing products and components Impacts the team’s ability to achieve service, quality and timeliness of objectives. The role is subject to operating policy objectives. There is moderate autonomy within the role. High levels of operational judgment are required to achieve outcomes required.**Job Description**
===================
**Roles and Responsibilities**
* Responsible for execution of laboratory and field validation testing, inspection and data acquisition for use in the design and validation of products and services. Responsible for design and construction of test facilities, instrumentation systems and the development of test software
* Requires specialized knowledge within the function. Influence the development of strategy for the area of responsibility, including control of resources and influences policy formulation.
* Interprets simple internal and external business challenges and recommends best practices to improve products, processes or services. Stays informed of industry trends that may inform work.
* Uses high level of judgment to make decisions and handle complex tasks or problems in areas of operational, product management, manufacturing, technology or engineering. Has ability to assess quality of information given and ask pertinent questions to stakeholders. Able to offer new solutions to problems outside of set parameters and is able to construct and provide recommendations. Uses multiple internal and some external sources outside of own function to help arrive at a decision.
* May lead functional teams or projects with minimal resource requirements, risk, and/or complexity. Communicates difficult concepts and may influence others' options on particular topics. May guide others to consider a different point of view.
**Required Qualifications**
* For roles outside of the USA\- This role requires significant experience in the Engineering/Technology \&amp; Testing. Knowledge level is comparable to a Master's degree from an accredited university or college ( or a high school diploma with relevant experience).
* For roles in USA \- Master's degree from an accredited university or college (or a high school diploma / GED with at least 6 years of experience in Job Family Group(s)/Function(s)).
**Desired Characteristics**
* Strong oral and written communication skills. Strong interpersonal and leadership skills. Demonstrated ability to analyze and resolve problems. Demonstrated ability to lead programs / projects. Ability to document, plan, market, and execute programs. Established project management skills.  
Note:
 **To comply with US immigration and other legal requirements, it is necessary to specify the minimum number of years’ experience required for any role based within the USA.** **For roles outside of the USA, to ensure compliance with applicable legislation, the JDs should focus on the substantive level of experience required for the role and a minimum number of years should NOT be used.**
*This role requires access to U.S. export\-controlled information. Therefore, employment will be contingent upon the ability to prove that you meet the status of a U.S. Person as one of the following: U.S. lawful permanent resident, U.S. Citizen, have been granted asylee or refugee status (i.e., a protected individual under the Immigration and Naturalization Act, 8 U.S.C. 1324b(a)(3\)).*
**Additional Information**
==========================
GE Aerospace offers a great work environment, professional development, challenging careers, and competitive compensation. GE Aerospace is an Equal Opportunity Employer. Employment decisions are made without regard to race, color, religion, national or ethnic origin, sex, sexual orientation, gender identity or expression, age, disability, protected veteran status or other characteristics protected by law.
GE Aerospace will only employ those who are legally authorized to work in the United States for this opening. Any offer of employment is conditioned upon the successful completion of a drug screen (as applicable).
**Relocation Assistance Provided:** Yes</t>
        </is>
      </c>
    </row>
    <row r="171">
      <c r="A171" t="inlineStr">
        <is>
          <t>in-dcb47ce54a220677</t>
        </is>
      </c>
      <c r="B171" t="inlineStr">
        <is>
          <t>Technical Architect / Senior Software Engineer</t>
        </is>
      </c>
      <c r="C171" t="inlineStr">
        <is>
          <t>Technatomy Corporation</t>
        </is>
      </c>
      <c r="D171" t="inlineStr">
        <is>
          <t>indeed</t>
        </is>
      </c>
      <c r="E171">
        <f>HYPERLINK("https://www.indeed.com/viewjob?jk=dcb47ce54a220677", "https://www.indeed.com/viewjob?jk=dcb47ce54a220677")</f>
        <v/>
      </c>
      <c r="F171">
        <f>HYPERLINK("https://phe.tbe.taleo.net/phe02/ats/careers/v2/viewRequisition?org=TECHNATOMY&amp;cws=44&amp;rid=2604", "https://phe.tbe.taleo.net/phe02/ats/careers/v2/viewRequisition?org=TECHNATOMY&amp;cws=44&amp;rid=2604")</f>
        <v/>
      </c>
      <c r="G171" t="inlineStr">
        <is>
          <t>Remote, US</t>
        </is>
      </c>
      <c r="H171" s="3" t="n">
        <v>46051</v>
      </c>
      <c r="I171" t="inlineStr">
        <is>
          <t>At Technatomy, we deliver innovative solutions through the efforts of our diverse and talented people who are dedicated to our customer’s success. We provide solutions to agencies and entities including the Department of Veterans Affairs, Department of Defense, Defense Logistics Agency, National Institute of Health, and more. Everything we do is built on a commitment to do the right thing for our customers, our people, and our community. Our Mission, Vision, and Values guide the way we do business.
**If this sounds like an environment where you can thrive, keep reading**!
Technatomy is seeking a Technical Architect / Senior Software Engineer to provide senior\-level technical leadership for the Digital Transformation Center (DTC) Integration Platform (DIP) \- a secure, cloud\-native API ecosystem that enables real\-time data exchange between Salesforce and multiple enterprise systems. This role combines hands\-on software engineering with architecture ownership and technical direction. You will design, build, and evolve Java\-based APIs while guiding implementation standards, architectural patterns, and quality practices across the integration platform. The role is ideal for a senior engineer who enjoys remaining deeply technical while shaping platform direction, scalability, and long\-term sustainability.
**DUTIES AND RESPONSIBILITIES:**
* Serve as the senior technical authority for the design, evolution, and sustainment of a cloud\-native, API\-driven integration platform, ensuring scalability, reliability, security, and alignment with enterprise architecture standards.
* Lead the architectural design and implementation of REST\-based and event\-driven APIs, microservices, and integration patterns supporting Salesforce and multiple downstream systems.
* Provide hands\-on technical leadership across the full software lifecycle, including solution design, development, code reviews, testing strategies, deployment, and operational support.
* Define and maintain solution architecture artifacts, including system diagrams, interface contracts, data flows, and deployment models.
* Establish and enforce API standards, versioning strategies, documentation practices, and publication processes to ensure consistency and reuse across the platform.
* Collaborate with DevOps and cloud engineering teams to design and support CI/CD pipelines, infrastructure\-as\-code, automated testing, monitoring, and operational resilience.
* Ensure platform performance, availability, and integration SLAs are met through proactive monitoring, troubleshooting, and continuous optimization.
* Partner with cybersecurity, compliance, and governance stakeholders to ensure solutions align with VA, NIST, and ATO requirements, including participation in audits and evidence development.
* Guide technical decision\-making across cross\-functional teams, balancing business needs, architectural integrity, security posture, and delivery timelines.
* Contribute to backlog refinement, technical estimation, and PI planning activities within an Agile delivery model.
* Mentor engineers and developers through design guidance, architectural reviews, and technical best practices.
* Communicate complex technical concepts clearly to technical teams, product owners, and government stakeholders, representing engineering perspectives in meetings and reviews.
**KNOWLEDGE AND SKILLS REQUIRED:**
* 7\+ years of professional experience in Java software engineering, with a strong focus on API and backend service development.
* Deep expertise with Java, Spring Boot, Maven, JUnit, and Git\-based workflows.
* Strong understanding of RESTful API design principles, integration patterns, and distributed systems.
* Experience designing and supporting microservices\-based architectures.
* Demonstrated ability to serve as a technical lead or architecture owner on complex systems.
* Experience collaborating with DevOps, QA, security, and product stakeholders in Agile environments.
* Proven ability to balance new development with sustainment of existing production systems.
* Strong communication skills with the ability to translate technical concepts to both technical and non\-technical audiences.
**KNOWLEDGE AND SKILLS DESIRED:**
* Experience working with Federal agencies, particularly the Department of Veterans Affairs, is a plus.
* Experience working with cloud\-based platforms, particularly AWS\-hosted systems.
* Familiarity with CI/CD pipelines, containerization, and deployment automation.
* Experience supporting integration platforms or middleware ecosystems with multiple downstream consumers.
* Prior exposure to regulated or enterprise environments with compliance or authorization requirements.
* Experience contributing to or reviewing API governance, publication standards, or lifecycle management processes.
**EDUCATION:**
* Bachelor’s degree in Computer Science, Engineering, or a related discipline, or equivalent experience.
**CLEARANCE:**
* Must be able to obtain and maintain a Public Trust clearance.
**WORK LOCATION:**
* Remote
**As part of the application process, you are expected to be on camera during interviews and assessments. We reserve the right to take your picture to verify your identity and prevent fraud.**
**This position requires U.S. citizenship or Greencard.**
**Technatomy Corporation is an Equal Opportunity Employer. It is the policy of Technatomy Corporation to afford equal employment opportunity regardless of race, color, religion, national origin, sex, age, marital status, disability or veteran status, or any other status protected by applicable law.**</t>
        </is>
      </c>
    </row>
    <row r="172">
      <c r="A172" t="inlineStr">
        <is>
          <t>in-8c28e87dff0fa8e1</t>
        </is>
      </c>
      <c r="B172" t="inlineStr">
        <is>
          <t>Associate Software Engineer</t>
        </is>
      </c>
      <c r="C172" t="inlineStr">
        <is>
          <t>Jerry</t>
        </is>
      </c>
      <c r="D172" t="inlineStr">
        <is>
          <t>indeed</t>
        </is>
      </c>
      <c r="E172">
        <f>HYPERLINK("https://www.indeed.com/viewjob?jk=8c28e87dff0fa8e1", "https://www.indeed.com/viewjob?jk=8c28e87dff0fa8e1")</f>
        <v/>
      </c>
      <c r="F172">
        <f>HYPERLINK("https://jobs.ashbyhq.com/Jerry.ai/a2a8beba-78e7-45dd-9b34-f2780966590c", "https://jobs.ashbyhq.com/Jerry.ai/a2a8beba-78e7-45dd-9b34-f2780966590c")</f>
        <v/>
      </c>
      <c r="G172" t="inlineStr">
        <is>
          <t>Palo Alto, CA, US</t>
        </is>
      </c>
      <c r="H172" s="3" t="n">
        <v>46051</v>
      </c>
      <c r="I172" t="inlineStr">
        <is>
          <t>Hi there! If you're looking to make a real\-world impact fast while leveling up your skills in a high\-growth startup, we might be the right place for you!**Why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**Our stack:**
* Frontend: React, React Native
* Backend: NodeJS \+ TypeScript
* Infra: AWS, Go, Python, Docker, CI/CD
* Data: Redis, Postgres, DynamoDB, Clickhouse
* AI/ML: Python pipelines, LLM integrations, internal models
You don’t need to know it all, but if some of that excites you, let’s talk!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73">
      <c r="A173" t="inlineStr">
        <is>
          <t>in-b356d669b1e18ef7</t>
        </is>
      </c>
      <c r="B173" t="inlineStr">
        <is>
          <t>Software Engineer (entry)</t>
        </is>
      </c>
      <c r="C173" t="inlineStr">
        <is>
          <t>Jerry</t>
        </is>
      </c>
      <c r="D173" t="inlineStr">
        <is>
          <t>indeed</t>
        </is>
      </c>
      <c r="E173">
        <f>HYPERLINK("https://www.indeed.com/viewjob?jk=b356d669b1e18ef7", "https://www.indeed.com/viewjob?jk=b356d669b1e18ef7")</f>
        <v/>
      </c>
      <c r="F173">
        <f>HYPERLINK("https://jobs.ashbyhq.com/Jerry.ai/0ba1b81f-d11f-48b5-8621-83b7a38ccda0", "https://jobs.ashbyhq.com/Jerry.ai/0ba1b81f-d11f-48b5-8621-83b7a38ccda0")</f>
        <v/>
      </c>
      <c r="G173" t="inlineStr">
        <is>
          <t>Palo Alto, CA, US</t>
        </is>
      </c>
      <c r="H173" s="3" t="n">
        <v>46051</v>
      </c>
      <c r="I173" t="inlineStr">
        <is>
          <t>Hi there! If you're looking to make a real\-world impact fast while leveling up your skills in a high\-growth startup, we might be the right place for you!**Why join Jerry?**
We’re Jerry, and we’re building the first AI\-powered AllCar™ app to completely rethink what it means to own a car. Car insurance, maintenance, repairs, financing—we’re simplifying it all into one seamless mobile experience. Our users already save over $1,000/year with us, and we’ve grown revenue 60x in the last 5 years.
Now we’re scaling from 5M to 50M users, and we need sharp, curious engineers located in the SF area to help us get there.
**Here’s what you’ll get:**
✅ Impact from Day One — you’ll be writing production code within your first few weeks.
✅ Backed and booming — we’ve raised $240M\+ and are cash\-flow positive.
✅ Modern tech stack — React, Node, Python, AWS, TypeScript, and more.
✅ Mentorship \+ learning — work with top engineers from companies like Nvidia, TikTok, and Cepton.
✅ Merit\-based growth — no seniority theater here. You grow fast if you deliver and learn fast.
**What you’ll be working on**
You’ll join one of our engineering pods (core app, retention, automation) depending on your interests and skills. Every team ships regularly, works closely with product, and contributes to a mission that matters.
We don’t expect you to know everything on day one, but we do expect:
* A love for learning
* Comfort with ambiguity
* Hustle and curiosity
* Pride in building high\-quality, user\-first software
**Our stack:**
* Frontend: React, React Native
* Backend: NodeJS \+ TypeScript
* Infra: AWS, Go, Python, Docker, CI/CD
* Data: Redis, Postgres, DynamoDB, Clickhouse
* AI/ML: Python pipelines, LLM integrations, internal models
You don’t need to know it all, but if some of that excites you, let’s talk!
**What we’re looking for:**
* Bachelor’s degree in Computer Science, Engineering, or a related field
* Internship, co\-op, or side project experience is a plus—but not required
* Eagerness to learn, build, and grow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74">
      <c r="A174" t="inlineStr">
        <is>
          <t>in-88df588572de4413</t>
        </is>
      </c>
      <c r="B174" t="inlineStr">
        <is>
          <t>Senior Software Engineer (Java/ Cloud)</t>
        </is>
      </c>
      <c r="C174" t="inlineStr">
        <is>
          <t>Riva Solutions Inc</t>
        </is>
      </c>
      <c r="D174" t="inlineStr">
        <is>
          <t>indeed</t>
        </is>
      </c>
      <c r="E174">
        <f>HYPERLINK("https://www.indeed.com/viewjob?jk=88df588572de4413", "https://www.indeed.com/viewjob?jk=88df588572de4413")</f>
        <v/>
      </c>
      <c r="F174">
        <f>HYPERLINK("https://app.jobvite.com/CompanyJobs/Job.aspx?j=oo7wzfwk&amp;s=Indeed", "https://app.jobvite.com/CompanyJobs/Job.aspx?j=oo7wzfwk&amp;s=Indeed")</f>
        <v/>
      </c>
      <c r="G174" t="inlineStr">
        <is>
          <t>Reston, VA, US</t>
        </is>
      </c>
      <c r="H174" s="3" t="n">
        <v>46051</v>
      </c>
      <c r="I174" t="inlineStr">
        <is>
          <t>**Title:** Senior Software Engineer (Java/ Cloud)  
**Location:** Remote (U.S. Based)  
**Terms:** Full\-time  
**Clearance:** U.S. Citizenship required and ability to obtain and maintain a High\-Level Public Trust clearance supporting USPTO  
**Travel:** 0–10%
**RESULTS. INNOVATION. VALUES. ACCOUNTABILITY.**
That’s RIVA. Our employee\-first approach has manifested a culture that attracts the best and brightest. By investing in people first and providing a flexible work environment, our employees have higher morale, higher productivity rates, and lower turnover. At RIVA, people are our \#1 priority.
**Program Overview**
RIVA Solutions supports the U.S. Patent and Trademark Office (USPTO) by delivering modern, secure, and scalable enterprise software systems that support mission\-critical business operations across the patent and trademark lifecycle.
RIVA partners closely with USPTO stakeholders to design, build, deploy, and operate complex systems using modern Java/Spring technologies, cloud\-native architectures, and DevSecOps practices. Our work emphasizes long\-term maintainability, system reliability, security, and operational excellence in highly visible federal environments.
**Position Overview**
RIVA Solutions is seeking a Senior Software Engineer (Java/Cloud) who is a hands\-on senior engineer, not a purely feature\-focused developer. This role requires deep technical expertise, strong system design instincts, and direct ownership of production systems.
The ideal candidate has experience building, deploying, and supporting complex applications in live environments and is comfortable being accountable for system behavior after release. This role is well\-suited for an engineer who enjoys owning systems end\-to\-end, including deployment support, troubleshooting production issues, addressing technical debt, and improving operational reliability.
This is not a greenfield\-only or heads\-down coding role. The Senior Full Stack Developer will collaborate closely with product managers, architects, and DevOps teams to bridge legacy systems and modern cloud\-based solutions while ensuring code quality, scalability, and system stability.
**Core Responsibilities**
* Design, develop, and maintain high\-quality Java\-based applications with a strong focus on scalability, reliability, and performance
* Take hands\-on ownership of production systems, including supporting deployments, troubleshooting production issues, and resolving incidents
* Lead full\-stack development efforts across backend services and front\-end integrations, with a backend\-leaning focus
* Architect and implement services using Java 20\+, Spring Boot/Core/Cloud and Hibernate/JPA to build maintainable, testable, high\-performing services
* Design and optimize data access layers using Hibernate (JPA) and advanced SQL; support Oracle today while contributing to future migration efforts to PostgreSQL (schema/query tuning, compatibility considerations)
* Troubleshoot and remediate production performance issues across the stack (API, ORM, database), including Hibernate query tuning, indexing, and SQL optimization
* Design and implement secure, scalable RESTful APIs
* Participate directly in CI/CD pipeline troubleshooting, deployment support, and release validation using GitLab and SonarQube
* Manage build automation and dependency management using Maven
* Implement and enforce testing strategies using TDD and BDD, leveraging JUnit, Mockito, Cucumber, and Spock
* Build accessibility considerations into application design and implementation, ensuring compliance with Section 508 standards
* Support containerized and serverless workloads in AWS, including ECS, Fargate, and Kubernetes
* Collaborate with DevOps teams to understand, maintain, and troubleshoot Infrastructure as Code (Terraform or similar tools)
* Make informed architectural trade\-offs related to performance, scalability, maintainability, and operational risk
* Conduct code reviews, mentor other developers, and uphold engineering best practices
* Ensure system uptime, performance, and stability across development, test, and production environments
**Minimum Qualifications**
* Bachelor’s degree (BA/BS) and 10\+ years of experience, or Master’s degree (MA/MS) and 8\+ years of experience in software development
* Extensive hands\-on experience with Java 20\+ and object\-oriented design principles
* Strong expertise with Oracle databases and advanced SQL, with hands\-on PostgreSQL experience (or demonstrated ability supporting Oracle\-to\-PostgreSQL migration initiatives)
* Deep knowledge of the Spring ecosystem (Spring Boot, Spring Core, Spring Cloud) and Hibernate/JPA for ORM\-based enterprise applications
* Proven experience designing and maintaining enterprise persistence layers (ORM mappings, transactions, performance optimization) using Hibernate/JPA
* Proven experience designing and supporting distributed systems and service\-based architecture
* Demonstrated ownership of production systems, including post\-deployment support
* Experience troubleshooting CI/CD pipelines and deployment issues
* Proficiency with Git and modern branching and release strategies
* Experience working in Agile development environments
* Strong communication skills and ability to collaborate across technical and non\-technical teams
* Ability to obtain and maintain a High\-Level Public Trust clearance
**Preferred Qualifications**
* Experience with Angular or similar front\-end frameworks (integration\-focused, not UI\-specialist)
* Experience supporting database modernization efforts, including Oracle\-to\-PostgreSQL migrations (schema conversion, SQL refactoring, performance tuning)
* Strong experience with AWS cloud services, particularly containerized and serverless workloads
* Hands\-on experience with Terraform or similar infrastructure\-as\-code tools
* Prior experience supporting USPTO or other federal systems
* Experience serving as a senior engineer on complex, long\-lived, product\-centric platforms
* Exposure to performance tuning, production monitoring, and system observability
**Preferred Certifications**
* AWS Certified Cloud Practitioner
* AWS Certified Solutions Architect
* AWS Certified Developer
**Salary**
Up to $145,000 per year, based on experience
**RIVA Benefits**
* Paid Time Off / Sick Leave
* Health, Dental, and Vision Coverage
* Life Insurance
* Retirement Benefits / 401K with company matching
* HSA/FSA Spending Accounts
* Long\- and Short\-term Disability
* Pet Insurance
* Wellness Program Initiatives
* RIVA Flex
* Additional Workplace Benefits
**Equal Opportunity Statement**
RIVA Solutions is an Equal Opportunity/Affirmative Action employer. All qualified applicants will receive consideration for employment without regard to race, color, religion, sex, sexual orientation, gender identity, national origin, disability, veteran status, or any protected class. If you need a reasonable accommodation to search for a job opening or to submit an online application, please email accommodations@rivasolutionsinc.com. Only messages left for this purpose will be returned.</t>
        </is>
      </c>
    </row>
    <row r="175">
      <c r="A175" t="inlineStr">
        <is>
          <t>in-82f228dcec1634e6</t>
        </is>
      </c>
      <c r="B175" t="inlineStr">
        <is>
          <t>Software Developer in Test - SDET</t>
        </is>
      </c>
      <c r="C175" t="inlineStr">
        <is>
          <t>McAfee</t>
        </is>
      </c>
      <c r="D175" t="inlineStr">
        <is>
          <t>indeed</t>
        </is>
      </c>
      <c r="E175">
        <f>HYPERLINK("https://www.indeed.com/viewjob?jk=82f228dcec1634e6", "https://www.indeed.com/viewjob?jk=82f228dcec1634e6")</f>
        <v/>
      </c>
      <c r="F175">
        <f>HYPERLINK("https://careers.mcafee.com/global/en/job/JR0032299/Software-Developer-in-Test-SDET", "https://careers.mcafee.com/global/en/job/JR0032299/Software-Developer-in-Test-SDET")</f>
        <v/>
      </c>
      <c r="G175" t="inlineStr">
        <is>
          <t>US</t>
        </is>
      </c>
      <c r="H175" s="3" t="n">
        <v>46051</v>
      </c>
      <c r="I175" t="inlineStr">
        <is>
          <t>***Job Title:***
Software Developer in Test \- SDET***Role Overview:***
We are seeking a talented Software Developer in Test to join our growing Consumer Protection Analytics engineering team. In this role, you will be instrumental in ensuring the quality, reliability, and performance of our security products across multiple platforms. You'll work at the intersection of software development and quality assurance, building sophisticated test automation frameworks and validating complex agent\-based solutions, APIs, and backend services.  
In this role you will achieve and maintain test coverage for assigned components via test automation with integration in CI/CD pipeline, exploratory testing and other test methodologies to release high quality products with agility and speed. Leverage AI tools to optimize the monitoring, efficiency and efficacy of test plans.  
This is an exciting opportunity to work with cutting\-edge technologies, collaborate with global teams, with an expectation to leverage AI\-powered tools to enhance both product quality and development efficiency.  
This is a Hybrid position located in either San Jose or Newport Beach CA. You will be required to be on\-site on an as\-needed basis; when you are not working on\-site, you will work from your home office. You must be within commutable distance either the San Jose or Newport Beach CA to Frisco, TX offices. We are not offering relocation assistance at this time.**About the Role**
* Design and execute comprehensive test strategies for APIs, web applications, backend services, agent\-based solutions, and mobile applications across Windows, Linux, and macOS platforms
* Perform functional, regression, performance, security, and integration testing to ensure product excellence
* Conduct low\-level system testing including process monitoring, system calls, file system interactions, and network activity validation
* Work closely with security teams to perform agent\-level vulnerability assessments and security testing
* Generate detailed test reports, defect tracking, and bug analysis to drive continuous improvement
* Architect, develop, and maintain robust test automation frameworks using Python (PyTest, Robot Framework), Java, or Selenium
* Automate API and agent testing workflows to improve testing efficiency and coverage
* Implement and maintain test automation within CI/CD pipelines using GitHub Actions
* Build tools and scripts to validate agent telemetry and event logging using Elasticsearch, MySQL, and file\-based logs
* Perform API testing using Postman, Newman, or REST Assured, validating seamless agent\-to\-backend communication
* Conduct load and performance testing for agent\-based solutions using JMeter, Locust, or similar tools
* Validate data integrity and communication protocols between agents and backend services
* Optimize test execution for high\-performance, scalable, and responsive product delivery
**About You**
* Experience: 5\+ years of hands\-on experience in software quality assurance and test automation
* Programming Languages: Proficiency in Python, Java, or similar languages for test automation
* Testing Expertise: Experience with mobile application testing for iOS and Android platforms. Strong background in manual and automated testing methodologies for APIs, web applications, backend services, and agent\-based software
* Platform Knowledge: Experience testing software on multiple operating systems including Windows, Android and iOS, and macOS
* Test Automation Frameworks: Expertise with PyTest, Robot Framework, Selenium, or similar frameworks
* API Testing Tools: Hands\-on experience with Postman, Newman, REST Assured, or equivalent tools
* Test Framework Development: Ability to architect and build scalable test automation solutions
* CI/CD Integration: Experience implementing test automation in CI/CD pipelines (GitHub Actions, Jenkins, or similar)
* Version Control: Proficient with Git and collaborative development workflows
* Performance Testing: Familiarity with JMeter, Locust, or comparable performance testing tools
* Data Validation: Experience with Elasticsearch, MySQL, or other data validation and logging systems
* System\-Level Testing: Knowledge of process monitoring, system calls, file system interactions, and network activity validation
* Defect Tracking: Experience with JIRA or similar project management and bug tracking tools
* Cloud Platforms: Experience with AWS (EC2, S3, Lambda, CloudWatch) or other cloud providers
* Microservices: Knowledge of microservices architecture and RESTful API design
* AI/ML Testing: Experience with AI/ML feature testing and validation
* AI\-Powered Tools: Familiarity with AI developer tools like GitHub Copilot, Claude Code, or similar
* Performance Engineering: Deep knowledge of performance optimization and scalability testing
* Innovation Mindset: Enthusiasm for exploring and adopting new technologies and methodologies
* We prefer a Bachelor's degree in Computer Science, Software Engineering, or a related technical field.
\#LI\-Hybrid
 ***Company Overview***
McAfee is a leader in personal security for consumers. Focused on protecting people, not just devices, McAfee consumer solutions adapt to users’ needs in an always online world, empowering them to live securely through integrated, intuitive solutions that protects their families and communities with the right security at the right moment.
***Company Benefits and Perks:***
We work hard to embrace diversity and inclusion and encourage everyone at McAfee to bring their authentic selves to work every day. We offer a variety of social programs, flexible work hours and family\-friendly benefits to all of our employees.
* Bonus Program
* 401k Retirement Plan
* Medical, Dental, Vision, Basic Life, Short Term Disability and Long\-Term Disability Coverage
* Paid Parental Leave
* Support for Community Involvement
* 14 Paid Company Holidays
* Unlimited Paid Time Off for Exempt Employees
* 96 Hours of Sick Time and 120 Hours of Vacation for Non\-Exempt Employees Accrued Each Year
We're serious about our commitment to diversity which is why McAfee prohibits discrimination based on race, color, religion, gender, national origin, age, disability, veteran status, marital status, pregnancy, gender expression or identity, sexual orientation or any other legally protected status.
The starting pay range for this position is $93,370\.00\-$153,400\.00\. McAfee takes into consideration an individual’s skillset, experience and location in making final salary determinations. For further details, please discuss with the Talent Acquisition Partner.</t>
        </is>
      </c>
    </row>
    <row r="176">
      <c r="A176" t="inlineStr">
        <is>
          <t>in-4720da725add2bef</t>
        </is>
      </c>
      <c r="B176" t="inlineStr">
        <is>
          <t>Senior Software Engineer</t>
        </is>
      </c>
      <c r="C176" t="inlineStr">
        <is>
          <t>Chatham Financial</t>
        </is>
      </c>
      <c r="D176" t="inlineStr">
        <is>
          <t>indeed</t>
        </is>
      </c>
      <c r="E176">
        <f>HYPERLINK("https://www.indeed.com/viewjob?jk=4720da725add2bef", "https://www.indeed.com/viewjob?jk=4720da725add2bef")</f>
        <v/>
      </c>
      <c r="F176">
        <f>HYPERLINK("https://www.chathamfinancial.com/careers/jobs/senior-software-engineer-r-100148", "https://www.chathamfinancial.com/careers/jobs/senior-software-engineer-r-100148")</f>
        <v/>
      </c>
      <c r="G176" t="inlineStr">
        <is>
          <t>Kennett, MO, US</t>
        </is>
      </c>
      <c r="H176" s="3" t="n">
        <v>46051</v>
      </c>
      <c r="I176" t="inlineStr">
        <is>
          <t>Department:
Technology Product
Type:
Full time
**Overview:**
We don’t simply hire employees. We invest in them. When you work at Chatham, we empower you — offering professional development opportunities to help you grow in your career, no matter if you've been here for five months or 15 years. Chatham has worked hard to create a distinct work environment that values people, teamwork, integrity, and client service. You will have immediate opportunities to partner with talented subject matter experts, work on complex projects, and contribute to the value Chatham delivers every day.
**In this role you will:**
* Lead the design and development of cutting\-edge financial applications; develop innovative, high\-quality, and cloud\-native SaaS web applications and microservices as part of our growing application development team.
* Own technical decisions for features and services, ensuring scalability, security, and performance.
* Collaborate with product managers, UX designers, and quantitative teams to translate business requirements into technical solutions.
* Mentor and guide junior engineers, fostering technical excellence and best practices.
* Contribute to architectural discussions and help evolve our technology stack.
* Develop software using our tech stack: .NET, React, TypeScript, PostgreSQL, NServiceBus, RabbitMQ, Redis, and Azure services.
* Implement automated testing strategies (unit, integration, end\-to\-end) and CI/CD pipelines using Docker, Terraform, GitHub Actions, and Azure DevOps.
* Leverage AI\-assisted development tools to accelerate delivery and improve quality.
* Align technical work with business strategy and roadmap goals.
* Translate strategic objectives into actionable technical plans, ensuring team efforts contribute to business priorities aligned with the product roadmap.
* Drive cross\-functional collaboration and maintain alignment with product roadmaps.
* Promote principles of modular design, observability, and test\-driven development.
* Foster a collaborative, delivery\-oriented culture grounded in modern engineering practices and continuous improvement.
**Your impact:**
You will directly influence the success of our products, enabling clients to manage financial risk effectively and helping Chatham grow revenue streams. Your leadership will shape technical direction and elevate team capabilities.
**Contributors to your success:**
* 5\+ years of software development experience
* Experience working in an agile scrum environment.
* Bachelor’s Degree in Computer Science, Mathematics, Physics, Engineering, or equivalent practical experience.
* Strong proficiency in object\-oriented programming (C\#, Java) and modern front\-end frameworks (React, Angular, or Vue).
* Deep understanding of RESTful APIs, microservices, and event\-driven architecture.
* Understanding of Unit testing, Test\-Driven Development, and mocking frameworks
* Expertise in relational databases (PostgreSQL, SQL Server) and caching strategies.
* Proclivity towards refactoring and continuously improving OO code through agile development methods.
* Hands\-on experience with CI/CD pipelines, containerization (Docker), and cloud platforms (Azure preferred).
* Excellent communication, collaboration and problem\-solving skills, with the ability to mentor and influence technical decisions across engineering, product management, and client\-facing teams.
* Understanding of continuous delivery principles and processes
* Contributions to open\-source projects or developer communities.
* Experience with financial systems or quantitative modeling.
**\#LI\-Hybrid**
**\#LI\-AG1**
**About Chatham Financial:**
Chatham Financial is the largest independent financial risk management advisory and technology firm. A leader in debt and derivative solutions, Chatham provides clients with access to in\-depth knowledge, innovative tools, and an incomparable team of over 700 employees to help mitigate risks associated with interest rate, foreign currency, and commodity exposures. Founded in 1991, Chatham serves more than 3,500 companies across a wide range of industries — handling over $1 trillion in transaction volume annually and helping businesses maximize their value in the capital markets, every day. To learn more, visit chathamfinancial.com.
Chatham Financial is an equal opportunity employer.</t>
        </is>
      </c>
    </row>
    <row r="177">
      <c r="A177" t="inlineStr">
        <is>
          <t>in-05682a0d39818e82</t>
        </is>
      </c>
      <c r="B177" t="inlineStr">
        <is>
          <t>Software Engineering Manager</t>
        </is>
      </c>
      <c r="C177" t="inlineStr">
        <is>
          <t>Chatham Financial</t>
        </is>
      </c>
      <c r="D177" t="inlineStr">
        <is>
          <t>indeed</t>
        </is>
      </c>
      <c r="E177">
        <f>HYPERLINK("https://www.indeed.com/viewjob?jk=05682a0d39818e82", "https://www.indeed.com/viewjob?jk=05682a0d39818e82")</f>
        <v/>
      </c>
      <c r="F177">
        <f>HYPERLINK("https://www.chathamfinancial.com/careers/jobs/software-engineering-manager-r-100150", "https://www.chathamfinancial.com/careers/jobs/software-engineering-manager-r-100150")</f>
        <v/>
      </c>
      <c r="G177" t="inlineStr">
        <is>
          <t>Kennett, MO, US</t>
        </is>
      </c>
      <c r="H177" s="3" t="n">
        <v>46051</v>
      </c>
      <c r="I177" t="inlineStr">
        <is>
          <t>Department:
Technology Product
Type:
Full time
**Overview:**
We don’t simply hire employees. We invest in them. When you work at Chatham, we empower you — offering professional development opportunities to help you grow in your career, no matter if you've been here for five months or 15 years. Chatham has worked hard to create a distinct work environment that values people, teamwork, integrity, and client service. You will have immediate opportunities to partner with talented subject matter experts, work on complex projects, and contribute to the value Chatham delivers every day.
**In this role you will:**
* Lead and mentor a team of software engineers developing cutting\-edge financial applications; develop innovative, high\-quality, and cloud\-native SaaS web applications and microservices.
* Translate strategic objectives into actionable plans and ensure alignment with product and organizational goals.
* Partner with product managers, UX designers, and quantitative teams to deliver high\-quality solutions.
* Oversee software development lifecycle, ensuring best practices in architecture, coding standards, testing, and CI/CD
* Drive adoption of modern technologies and practices, including cloud\-native architectures and AI\-assisted development.
* Manage resource planning, performance reviews, and career development for team members
* Foster an inclusive, collaborative culture that values innovation and continuous improvement.
* Communicate vision and priorities clearly, ensure team efforts contribute to business outcomes, and maintain focus on delivering value.
* Promote technical excellence, professional growth, accountability, and ownership within the team.
* Influence cross\-functional stakeholders and advocate for engineering needs.
**Your impact:**
You will shape technical direction, improve delivery efficiency, and elevate team performance, directly impacting Chatham’s ability to serve clients and grow revenue.
**Contributors to your success:**
* 7\+ years of software development experience, with 2\+ years in leadership or management role.
* Experience working in an agile scrum environment.
* Bachelor’s Degree in Computer Science, Mathematics, Physics, Engineering, or equivalent practical experience.
* Strong background in full\-stack development (.NET, React, TypeScript, PostgreSQL).
* Deep understanding of software architecture, RESTful APIs, microservices, and cloud platforms (Azure preferred).
* Familiarity with CI/CD, containerization (Docker), and infrastructure\-as\-code (Terraform).
* Proven ability to lead and develop high\-performing teams.
* Excellent communication and stakeholder management skills.
* Strategic thinking and ability to align technical work with business objectives.
* Exposure to AI\-assisted development workflows.
* Experience in financial technology or risk management systems.
**About Chatham Financial:**
Chatham Financial delivers financial risk management advisory and technology solutions to organizations across industries and around the world by helping companies maximize value in the capital markets. At Chatham, we help businesses improve their bottom lines. But that’s not the only place we’re committed to making an impact. We look beyond our clients, too — enhancing the markets where we work, supporting the clients we partner with, helping our employees thrive, and giving back to the world at large. And when you join Chatham, you’re an integral part of this equation, enabling us to live this purpose\-driven philosophy every day.
**\#LI\-Hybrid**
**\#LI\-AG1**
**About Chatham Financial:**
Chatham Financial is the largest independent financial risk management advisory and technology firm. A leader in debt and derivative solutions, Chatham provides clients with access to in\-depth knowledge, innovative tools, and an incomparable team of over 700 employees to help mitigate risks associated with interest rate, foreign currency, and commodity exposures. Founded in 1991, Chatham serves more than 3,500 companies across a wide range of industries — handling over $1 trillion in transaction volume annually and helping businesses maximize their value in the capital markets, every day. To learn more, visit chathamfinancial.com.
Chatham Financial is an equal opportunity employer.</t>
        </is>
      </c>
    </row>
    <row r="178">
      <c r="A178" t="inlineStr">
        <is>
          <t>in-784cebfde6a2d40f</t>
        </is>
      </c>
      <c r="B178" t="inlineStr">
        <is>
          <t>Senior Software Engineer</t>
        </is>
      </c>
      <c r="C178" t="inlineStr">
        <is>
          <t>Groundworks</t>
        </is>
      </c>
      <c r="D178" t="inlineStr">
        <is>
          <t>indeed</t>
        </is>
      </c>
      <c r="E178">
        <f>HYPERLINK("https://www.indeed.com/viewjob?jk=784cebfde6a2d40f", "https://www.indeed.com/viewjob?jk=784cebfde6a2d40f")</f>
        <v/>
      </c>
      <c r="F178">
        <f>HYPERLINK("https://groundworks.wd1.myworkdayjobs.com/Groundworks/job/Dallas-TX/Senior-Software-Engineer_JR110346-1", "https://groundworks.wd1.myworkdayjobs.com/Groundworks/job/Dallas-TX/Senior-Software-Engineer_JR110346-1")</f>
        <v/>
      </c>
      <c r="G178" t="inlineStr">
        <is>
          <t>Dallas, TX, US</t>
        </is>
      </c>
      <c r="H178" s="3" t="n">
        <v>46051</v>
      </c>
      <c r="I178" t="inlineStr">
        <is>
          <t>**Ready to build your future?** We're Groundworks, North America's leading foundation repair and water management specialist. We're more than a company \- we're a team driven by purpose. As a **Top Workplace,** we're looking for top talent to fuel our **mission: to protect, repair, and improve our customers’ greatest asset – their home.**
**But what makes us a great place to work?** Here, you'll find real career growth, comprehensive and affordable benefits, a culture that values hard work and innovation, and **company ownership equity.** Whether you’re starting your career or looking for your next big move, we offer hands\-on training, advancement opportunities, and the chance to make a real impact every day.
Join us and lay the foundation for your success. **Apply today!**
Groundworks is seeking a talented **Senior Software Engineer** to join our tribe in **Dallas, TX****!**
The Senior Software Engineer at Groundworks will play a key role in designing, developing, and maintaining high\-quality software solutions that support the company’s business goals. This position requires leading the full software development lifecycle, collaborating with cross\-functional teams to translate business requirements into scalable, efficient, and reliable software products. The Senior Software Engineer will also mentor junior engineers and contribute to continuous improvement initiatives to advance Groundworks’ technology capabilities.
**Duties and Responsibilities**
* Design, develop, test, and maintain software applications that meet user needs and integrate with existing infrastructure.
* Lead and contribute to software architecture and system design, ensuring scalability, security, and performance.
* Collaborate closely with product managers, designers, QA, and other engineers to define requirements and deliver solutions on schedule.
* Write clean, efficient, and well\-documented code; perform thorough code reviews and participate in design reviews.
* Identify, troubleshoot, and resolve software defects and performance issues promptly.
* Develop and execute unit tests, integration tests, and automated testing frameworks.
* Provide technical leadership and mentorship to junior and mid\-level software engineers.
* Stay up\-to\-date with industry trends, emerging technologies, and software development best practices to ensure solutions remain current and competitive.
* Assist with setting project priorities, defining acceptance criteria, and reporting progress to management.
* Support deployment, integration, and infrastructure initiatives necessary for product success.
* Contribute to process improvements that enhance software development efficiency and quality.
* It is an essential function of this job that the employee regularly and reliably reports to work on time each working day.
* Perform other duties as necessary or assigned.
**Qualifications**
* Bachelor’s degree in Computer Science, Software Engineering, or related field; Master’s degree preferred.
* Minimum 5\-8 years of professional software development experience with a strong track record of delivering complex software projects.
* Proficiency in multiple programming languages such as Java, C\#, C\+\+, Python, or JavaScript, and experience with relevant frameworks and tools.
* + Proficient in .NET Core technology using C\#. and experience with modern web UI frameworks such as Angular, React, or V
* Strong understanding of software design principles, data structures, algorithms, and object\-oriented programming.
* Experience working with databases (SQL and NoSQL), cloud platforms (AWS, Azure, or Google Cloud), and version control systems.
* Solid experience with software testing methodologies and continuous integration/continuous deployment (CI/CD) pipelines.
* Excellent problem\-solving, analytical, and critical\-thinking skills.
* Strong communication and collaboration skills with the ability to work effectively in cross\-functional teams.
* Experience mentoring and guiding junior developers is highly desirable.
* Familiarity with Agile and Scrum development methodologies.
**Working Conditions**
* Full\-time position based at Groundworks’ corporate headquarters, with possible remote/hybrid options as business needs dictate.
* Collaborative, fast\-paced work environment requiring adaptability and effective time management.
* Occasional travel may be required for team meetings, training, or industry conferences.
**Requirements \&amp; Perk****s**
* Full\-time
* Onsite: 1945 W Walnut Hill Ln Irving, TX 75038
* Base salary with annual bonus potential
* Employee Ownership/Equity
 **What we Provide:**
* Competitive Pay
* Employee Company Ownership Opportunities
* Industry Leading Training Programs
* Leadership Development and Career Growth Tracks
* Comprehensive and Affordable Benefits Package
* Top Workplace with Award Winning Culture</t>
        </is>
      </c>
    </row>
    <row r="179">
      <c r="A179" t="inlineStr">
        <is>
          <t>in-a0531990ec1d0513</t>
        </is>
      </c>
      <c r="B179" t="inlineStr">
        <is>
          <t>Software Engineer - Embedded Controls</t>
        </is>
      </c>
      <c r="C179" t="inlineStr">
        <is>
          <t>AVIATION GROUND EQUIPMENT</t>
        </is>
      </c>
      <c r="D179" t="inlineStr">
        <is>
          <t>indeed</t>
        </is>
      </c>
      <c r="E179">
        <f>HYPERLINK("https://www.indeed.com/viewjob?jk=a0531990ec1d0513", "https://www.indeed.com/viewjob?jk=a0531990ec1d0513")</f>
        <v/>
      </c>
      <c r="F179">
        <f>HYPERLINK("https://aviationgroundequip.hrmdirect.com/employment/view.php?req=3627462&amp;jbsrc=1014&amp;location=41f31d11-097c-dbba-0b81-42c252cb9b22", "https://aviationgroundequip.hrmdirect.com/employment/view.php?req=3627462&amp;jbsrc=1014&amp;location=41f31d11-097c-dbba-0b81-42c252cb9b22")</f>
        <v/>
      </c>
      <c r="G179" t="inlineStr">
        <is>
          <t>Franklin, OH, US</t>
        </is>
      </c>
      <c r="H179" s="3" t="n">
        <v>46051</v>
      </c>
      <c r="I179" t="inlineStr">
        <is>
          <t>**Software Engineer – Embedded Controls**
Aviation ground Equipment Corp. (AGEC) is seeking a hands\-on **Software Engineer** forour power generation products. This is an embedded controls position with the responsibility to design, develop, test and troubleshoot the embedded controls and HMI interfaces of the various system and subsystems within our power generation and power conversion products.
AGEC is a rapidly growing developer and manufacturer of commercial and military power generation and control equipment supporting airline and military ground support equipment (GSE). Men and women in the military rely on AGEC to deliver critical assets that protect this nation and our allies. We are seeking colleagues that enjoy a small business team atmosphere and a desire to make a difference.
**What you will do:**
* Develop embedded control software including control architectures, algorithms, and code to fulfill internal and customer requirements for power generation and power conversion systems. (10kW – 300kW systems)
* Design and implement real\-time control solutions primarily using C for embedded systems.
* Apply advanced power electronics control techniques such as Space Vector PWM and Programmed Harmonic Elimination (PHE).
* Implement Graphical User Interfaces (GUIs).
* Develop communication protocols such as I2C and CAN to communicate between and control various modules in the power conversion systems.
* Perform hands\-on testing and validation of hardware performance with embedded software/firmware, utilizing JTAG interface, logic analyzers, and oscilloscopes.
	+ Troubleshoot firmware and hardware anomalies, identifying root causes and implementing corrective actions.
	+ Work extensively in lab and production environments involving high\-power electrical systems.
* Collaborate with cross\-functional engineering teams to meet performance, cost, and scheduled objectives.
* Diagnose and resolve system malfunctions to minimize downtime and improve system reliability.
* Collaborate with other Electrical Engineers to create quality solutions per customer and internal requirements.
* Experience with real\-time system debugging, control loop turning, and signal processing.
* Support the full product development lifecycle from concept to design through testing, production release, and post\-launch support.
* Successfully transition new designs into production, ensuring manufacturability and quality.
* Work independently while maintaining strong communication and coordination with internal teams and stakeholders.
**What you will need:**
* Bachelor’s degree in engineering with an emphasis on Software Engineering.
* Must have five (5\) years of hands\-on experience in embedded software design programming microcontrollers and/or DSPs for control of power converters.
* Skilled in Electrical Engineering supporting the application of proper software controls
* Experience with code generation and C programming language for application within HMI interfaces as well as system interface PCB’s.
* Experience with hands on testing of hardware for assessing performance of embedded software/firmware, utilizing JTAG interface, logic analyzers, oscilloscopes or similar equipment.
* Experience implementing closed loop control with microprocessors and/or DSPs.
* Advanced power system control techniques such as Space Vector PWM, programmed harmonic elimination.
* Knowledge of interfacing microcontrollers and DSPs to analog, digital circuits and electro\-mechanical systems. This includes working knowledge of troubleshooting analog circuit design for signal measurements.
* Experience with embedded microprocessor and DSP architectures and hardware including peripherals such as A/D, D/A, logic and memory interfaces.
* Interface embedded controls to drive power devices such as MOSFETs and IGBTs.
* Experience using closed loop stability analysis tools such as Venable instruments.
* Power systems up to 480 VAC, 750 VDC and 100\+ KW is a plus.
* Ability to take ownership \&amp; develop a sense of urgency with projects and work assignments.
* Strong understanding of computer architecture, operating systems, data structures, and computer networking.
* Ability to multi\-task in a fast\-paced dynamic environment.
* Effective written and verbal communication skills.
* Travel 5\-10%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180">
      <c r="A180" t="inlineStr">
        <is>
          <t>in-2a4ab5e7e4510578</t>
        </is>
      </c>
      <c r="B180" t="inlineStr">
        <is>
          <t>Machine Learning Software Engineering Advisor - Remote</t>
        </is>
      </c>
      <c r="C180" t="inlineStr">
        <is>
          <t>The Cigna Group</t>
        </is>
      </c>
      <c r="D180" t="inlineStr">
        <is>
          <t>indeed</t>
        </is>
      </c>
      <c r="E180">
        <f>HYPERLINK("https://www.indeed.com/viewjob?jk=2a4ab5e7e4510578", "https://www.indeed.com/viewjob?jk=2a4ab5e7e4510578")</f>
        <v/>
      </c>
      <c r="F180">
        <f>HYPERLINK("https://jobs.thecignagroup.com/us/en/job/CIGNUS26000865EXTERNALENUS/Machine-Learning-Software-Engineering-Advisor-Remote?utm_source=indeed&amp;utm_medium=phenom-feeds", "https://jobs.thecignagroup.com/us/en/job/CIGNUS26000865EXTERNALENUS/Machine-Learning-Software-Engineering-Advisor-Remote?utm_source=indeed&amp;utm_medium=phenom-feeds")</f>
        <v/>
      </c>
      <c r="G180" t="inlineStr">
        <is>
          <t>Bloomfield, CT, US</t>
        </is>
      </c>
      <c r="H180" s="3" t="n">
        <v>46051</v>
      </c>
      <c r="I180" t="inlineStr">
        <is>
          <t>**Summary**
We are looking for exceptional Full Stack Engineers in our Data \&amp; Analytics Engineering organization to help deliver meaningful value within the Healthcare space. The Full Stack Engineer is responsible for the delivering business needs end\-to\-end, starting from understanding the requirements to deploying the software into production. This role requires being fluent in some technologies while being proficient in others, while learning on the job to deliver value to both customers and to the business. Necessary attributes of being a Full Stack Software Engineers are ownership, accountability, and resilience.
In addition to delivery, the Full Stack Engineers should have an automation first and continuous improvement mindset, driving the adoption of CI/CD tools while supporting the improvement of the tool sets/processes.
This agile team partners with the Data \&amp; Analytics Engineering organization to help solve integration needs by supplying and consuming information needed for analytics and operations. We use technology to integrate and present meaningful analytical insights into the data to both Healthcare Providers and Internal Cigna business groups and develop applications to optimize affordability for all of Cigna's customers. Our tools analyze historical data to identify insights, forecast trends, and recommend actionable items to improve total medical costs.
You will have the unique opportunity to design, develop, and deploy new applications and features that will directly impact Cigna's bottom line, to ultimately provide better and more affordable healthcare for our customers. Our team uses a variety of technologies, from GenAI and big data to the latest cloud services and web frameworks. You will get to build state\-of\-the\-art technology that is scalable and robust, utilizing cloud infrastructure, and full automation.
**Responsibilities**
* Write loosely coupled, readable, reusable and modular code
* Ensure ongoing data quality by monitoring data to identify problems before they impact the business
* Design and architect alternative solutions independently
* when to automate and when not to
* Drive to simplify and reduce dependencies
* Champion innovative ideas
* Deliver enterprise or customer\-facing applications in a variety of scenarios
* Implement and deploy differing application solutions
* Innovate outside of traditional architecture/software patterns when needed
* Collaborate in a high\-performing team environment, and an ability to influence and be influenced by others
* Help distill complex ideas into an architectural and implementation plan, and then proving it out
* Critically evaluate the trade\-offs and implementation impacts of emerging vs. more established technologies
**Qualifications**
* 3\+ years’ documented experience in a business intelligence or analytic development role on a variety of large\-scale projects
* Expertise in BigData and related technologies
* Excellent Data analysis skills
* Cloud certifications, and/or cloud development experience with developing applications or infrastructure on AWS
* Knowledge of Apache Spark, distributed application development on spark using PySpark or Scala
* Experience in development using scripting languages such as Python.
* DevOps, CICD development experience is a plus
* Comfortable in configuring and using multiple operating systems (Mac/Windows/\*nix)
* Design and architecture expertise with AWS, Teradata, BI, and related ecosystem tools.
* Experience with disciplined software development lifecycle
* Ability to communicate at various levels within large organizations
* Knowledge of Big Data tool performance/tuning/measurement and usage criteria to drive appropriate tool selections and use
* Experience with Health care information domains a plus
* Experience working on advanced Big Data solutions is a plus
* Expertise in designing business intelligence systems, dashboard reporting, and analytical reporting is a plus
* Excellent communication skills and team collaboration skills
* Experience with Healthcare domains is a plus
* Advanced Degree (Master of Science or equivalent) in an engineering or quantitative discipline highly desirable
If you will be working at home occasionally or permanently, the internet connection must be obtained through a cable broadband or fiber optic internet service provider with speeds of at least 10Mbps download/5Mbps upload.
For this position, we anticipate offering an annual salary of 111,700 \- 186,100 USD / yearly, depending on relevant factors, including experience and geographic location.
This role is also anticipated to be eligible to participate in an annual bonus plan.
At The Cigna Group, you’ll enjoy a comprehensive range of benefits, with a focus on supporting your whole health. Starting on day one of your employment, you’ll be offered several health\-related benefits including medical, vision, dental, and well\-being and behavioral health programs. We also offer 401(k), company paid life insurance, tuition reimbursement, a minimum of 18 days of paid time off per year and paid holidays. For more details on our employee benefits programs, click here.
**About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
*Qualified applicants with criminal histories will be considered for employment in a manner* *consistent with all federal, state and local ordinances.*</t>
        </is>
      </c>
    </row>
    <row r="181">
      <c r="A181" t="inlineStr">
        <is>
          <t>in-29fd348d5190c47f</t>
        </is>
      </c>
      <c r="B181" t="inlineStr">
        <is>
          <t>Machine Learning Software Engineering Advisor - Remote</t>
        </is>
      </c>
      <c r="C181" t="inlineStr">
        <is>
          <t>The Cigna Group</t>
        </is>
      </c>
      <c r="D181" t="inlineStr">
        <is>
          <t>indeed</t>
        </is>
      </c>
      <c r="E181">
        <f>HYPERLINK("https://www.indeed.com/viewjob?jk=29fd348d5190c47f", "https://www.indeed.com/viewjob?jk=29fd348d5190c47f")</f>
        <v/>
      </c>
      <c r="F181">
        <f>HYPERLINK("https://jobs.thecignagroup.com/us/en/job/CIGNUS26000865EXTERNALENUS/Machine-Learning-Software-Engineering-Advisor-Remote?utm_source=indeed&amp;utm_medium=phenom-feeds", "https://jobs.thecignagroup.com/us/en/job/CIGNUS26000865EXTERNALENUS/Machine-Learning-Software-Engineering-Advisor-Remote?utm_source=indeed&amp;utm_medium=phenom-feeds")</f>
        <v/>
      </c>
      <c r="G181" t="inlineStr">
        <is>
          <t>Remote, US</t>
        </is>
      </c>
      <c r="H181" s="3" t="n">
        <v>46051</v>
      </c>
      <c r="I181" t="inlineStr">
        <is>
          <t>**Summary**
We are looking for exceptional Full Stack Engineers in our Data \&amp; Analytics Engineering organization to help deliver meaningful value within the Healthcare space. The Full Stack Engineer is responsible for the delivering business needs end\-to\-end, starting from understanding the requirements to deploying the software into production. This role requires being fluent in some technologies while being proficient in others, while learning on the job to deliver value to both customers and to the business. Necessary attributes of being a Full Stack Software Engineers are ownership, accountability, and resilience.
In addition to delivery, the Full Stack Engineers should have an automation first and continuous improvement mindset, driving the adoption of CI/CD tools while supporting the improvement of the tool sets/processes.
This agile team partners with the Data \&amp; Analytics Engineering organization to help solve integration needs by supplying and consuming information needed for analytics and operations. We use technology to integrate and present meaningful analytical insights into the data to both Healthcare Providers and Internal Cigna business groups and develop applications to optimize affordability for all of Cigna's customers. Our tools analyze historical data to identify insights, forecast trends, and recommend actionable items to improve total medical costs.
You will have the unique opportunity to design, develop, and deploy new applications and features that will directly impact Cigna's bottom line, to ultimately provide better and more affordable healthcare for our customers. Our team uses a variety of technologies, from GenAI and big data to the latest cloud services and web frameworks. You will get to build state\-of\-the\-art technology that is scalable and robust, utilizing cloud infrastructure, and full automation.
**Responsibilities**
* Write loosely coupled, readable, reusable and modular code
* Ensure ongoing data quality by monitoring data to identify problems before they impact the business
* Design and architect alternative solutions independently
* when to automate and when not to
* Drive to simplify and reduce dependencies
* Champion innovative ideas
* Deliver enterprise or customer\-facing applications in a variety of scenarios
* Implement and deploy differing application solutions
* Innovate outside of traditional architecture/software patterns when needed
* Collaborate in a high\-performing team environment, and an ability to influence and be influenced by others
* Help distill complex ideas into an architectural and implementation plan, and then proving it out
* Critically evaluate the trade\-offs and implementation impacts of emerging vs. more established technologies
**Qualifications**
* 3\+ years’ documented experience in a business intelligence or analytic development role on a variety of large\-scale projects
* Expertise in BigData and related technologies
* Excellent Data analysis skills
* Cloud certifications, and/or cloud development experience with developing applications or infrastructure on AWS
* Knowledge of Apache Spark, distributed application development on spark using PySpark or Scala
* Experience in development using scripting languages such as Python.
* DevOps, CICD development experience is a plus
* Comfortable in configuring and using multiple operating systems (Mac/Windows/\*nix)
* Design and architecture expertise with AWS, Teradata, BI, and related ecosystem tools.
* Experience with disciplined software development lifecycle
* Ability to communicate at various levels within large organizations
* Knowledge of Big Data tool performance/tuning/measurement and usage criteria to drive appropriate tool selections and use
* Experience with Health care information domains a plus
* Experience working on advanced Big Data solutions is a plus
* Expertise in designing business intelligence systems, dashboard reporting, and analytical reporting is a plus
* Excellent communication skills and team collaboration skills
* Experience with Healthcare domains is a plus
* Advanced Degree (Master of Science or equivalent) in an engineering or quantitative discipline highly desirable
If you will be working at home occasionally or permanently, the internet connection must be obtained through a cable broadband or fiber optic internet service provider with speeds of at least 10Mbps download/5Mbps upload.
For this position, we anticipate offering an annual salary of 111,700 \- 186,100 USD / yearly, depending on relevant factors, including experience and geographic location.
This role is also anticipated to be eligible to participate in an annual bonus plan.
At The Cigna Group, you’ll enjoy a comprehensive range of benefits, with a focus on supporting your whole health. Starting on day one of your employment, you’ll be offered several health\-related benefits including medical, vision, dental, and well\-being and behavioral health programs. We also offer 401(k), company paid life insurance, tuition reimbursement, a minimum of 18 days of paid time off per year and paid holidays. For more details on our employee benefits programs, click here.
**About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
*Qualified applicants with criminal histories will be considered for employment in a manner* *consistent with all federal, state and local ordinances.*</t>
        </is>
      </c>
    </row>
    <row r="182">
      <c r="A182" t="inlineStr">
        <is>
          <t>in-3b538c5e61100815</t>
        </is>
      </c>
      <c r="B182" t="inlineStr">
        <is>
          <t>Machine Learning Software Engineering Senior Advisor - Remote</t>
        </is>
      </c>
      <c r="C182" t="inlineStr">
        <is>
          <t>The Cigna Group</t>
        </is>
      </c>
      <c r="D182" t="inlineStr">
        <is>
          <t>indeed</t>
        </is>
      </c>
      <c r="E182">
        <f>HYPERLINK("https://www.indeed.com/viewjob?jk=3b538c5e61100815", "https://www.indeed.com/viewjob?jk=3b538c5e61100815")</f>
        <v/>
      </c>
      <c r="F182">
        <f>HYPERLINK("https://jobs.thecignagroup.com/us/en/job/CIGNUS26000856EXTERNALENUS/Machine-Learning-Software-Engineering-Senior-Advisor-Remote?utm_source=indeed&amp;utm_medium=phenom-feeds", "https://jobs.thecignagroup.com/us/en/job/CIGNUS26000856EXTERNALENUS/Machine-Learning-Software-Engineering-Senior-Advisor-Remote?utm_source=indeed&amp;utm_medium=phenom-feeds")</f>
        <v/>
      </c>
      <c r="G182" t="inlineStr">
        <is>
          <t>Remote, US</t>
        </is>
      </c>
      <c r="H182" s="3" t="n">
        <v>46051</v>
      </c>
      <c r="I182" t="inlineStr">
        <is>
          <t>**Summary**
We are looking for exceptional Full Stack Engineers in our Data \&amp; Analytics Engineering organization to help deliver meaningful value within the Healthcare space. The Full Stack Engineer is responsible for the delivering business needs end\-to\-end, starting from understanding the requirements to deploying the software into production. This role requires being fluent in some technologies while being proficient in others, while learning on the job to deliver value to both customers and to the business. Necessary attributes of being a Full Stack Software Engineers are ownership, accountability, and resilience.
In addition to delivery, the Full Stack Engineers should have an automation first and continuous improvement mindset, driving the adoption of CI/CD tools while supporting the improvement of the tool sets/processes.
This agile team partners with the Data \&amp; Analytics Engineering organization to help solve integration needs by supplying and consuming information needed for analytics and operations. We use technology to integrate and present meaningful analytical insights into the data to both Healthcare Providers and Internal Cigna business groups and develop applications to optimize affordability for all of Cigna's customers. Our tools analyze historical data to identify insights, forecast trends, and recommend actionable items to improve total medical costs.
You will have the unique opportunity to design, develop, and deploy new applications and features that will directly impact Cigna's bottom line, to ultimately provide better and more affordable healthcare for our customers. Our team uses a variety of technologies, from GenAI and big data to the latest cloud services and web frameworks. You will get to build state\-of\-the\-art technology that is scalable and robust, utilizing cloud infrastructure, and full automation.
**Responsibilities**
* Write loosely coupled, readable, reusable and modular code
* Ensure ongoing data quality by monitoring data to identify problems before they impact the business
* Design and architect alternative solutions independently
* when to automate and when not to
* Drive to simplify and reduce dependencies
* Champion innovative ideas
* Deliver enterprise or customer\-facing applications in a variety of scenarios
* Implement and deploy differing application solutions
* Innovate outside of traditional architecture/software patterns when needed
* Collaborate in a high\-performing team environment, and an ability to influence and be influenced by others
* Help distill complex ideas into an architectural and implementation plan, and then proving it out
* Critically evaluate the trade\-offs and implementation impacts of emerging vs. more established technologies
**Qualifications**
* 5\+ years’ documented experience in a business intelligence or analytic development role on a variety of large\-scale projects
* Expertise in BigData and related technologies
* Excellent Data analysis skills
* Cloud certifications, and/or cloud development experience with developing applications or infrastructure on AWS
* Knowledge of Apache Spark, distributed application development on spark using PySpark or Scala
* Experience in development using scripting languages such as Python.
* DevOps, CICD development experience is a plus
* Comfortable in configuring and using multiple operating systems (Mac/Windows/\*nix)
* Design and architecture expertise with AWS, Teradata, BI, and related ecosystem tools.
* Experience with disciplined software development lifecycle
* Ability to communicate at various levels within large organizations
* Knowledge of Big Data tool performance/tuning/measurement and usage criteria to drive appropriate tool selections and use
* Experience with Health care information domains a plus
* Experience working on advanced Big Data solutions is a plus
* Expertise in designing business intelligence systems, dashboard reporting, and analytical reporting is a plus
* Excellent communication skills and team collaboration skills
* Experience with Healthcare domains is a plus
* Advanced Degree (Master of Science or equivalent) in an engineering or quantitative discipline highly desirable
If you will be working at home occasionally or permanently, the internet connection must be obtained through a cable broadband or fiber optic internet service provider with speeds of at least 10Mbps download/5Mbps upload.
For this position, we anticipate offering an annual salary of 130,200 \- 217,000 USD / yearly, depending on relevant factors, including experience and geographic location.
This role is also anticipated to be eligible to participate in an annual bonus plan.
At The Cigna Group, you’ll enjoy a comprehensive range of benefits, with a focus on supporting your whole health. Starting on day one of your employment, you’ll be offered several health\-related benefits including medical, vision, dental, and well\-being and behavioral health programs. We also offer 401(k), company paid life insurance, tuition reimbursement, a minimum of 18 days of paid time off per year and paid holidays. For more details on our employee benefits programs, click here.
**About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
*Qualified applicants with criminal histories will be considered for employment in a manner* *consistent with all federal, state and local ordinances.*</t>
        </is>
      </c>
    </row>
    <row r="183">
      <c r="A183" t="inlineStr">
        <is>
          <t>in-496b3421d5a5259b</t>
        </is>
      </c>
      <c r="B183" t="inlineStr">
        <is>
          <t>Machine Learning Software Engineering Senior Advisor - Remote</t>
        </is>
      </c>
      <c r="C183" t="inlineStr">
        <is>
          <t>The Cigna Group</t>
        </is>
      </c>
      <c r="D183" t="inlineStr">
        <is>
          <t>indeed</t>
        </is>
      </c>
      <c r="E183">
        <f>HYPERLINK("https://www.indeed.com/viewjob?jk=496b3421d5a5259b", "https://www.indeed.com/viewjob?jk=496b3421d5a5259b")</f>
        <v/>
      </c>
      <c r="F183">
        <f>HYPERLINK("https://jobs.thecignagroup.com/us/en/job/CIGNUS26000856EXTERNALENUS/Machine-Learning-Software-Engineering-Senior-Advisor-Remote?utm_source=indeed&amp;utm_medium=phenom-feeds", "https://jobs.thecignagroup.com/us/en/job/CIGNUS26000856EXTERNALENUS/Machine-Learning-Software-Engineering-Senior-Advisor-Remote?utm_source=indeed&amp;utm_medium=phenom-feeds")</f>
        <v/>
      </c>
      <c r="G183" t="inlineStr">
        <is>
          <t>Bloomfield, CT, US</t>
        </is>
      </c>
      <c r="H183" s="3" t="n">
        <v>46051</v>
      </c>
      <c r="I183" t="inlineStr">
        <is>
          <t>**Summary**
We are looking for exceptional Full Stack Engineers in our Data \&amp; Analytics Engineering organization to help deliver meaningful value within the Healthcare space. The Full Stack Engineer is responsible for the delivering business needs end\-to\-end, starting from understanding the requirements to deploying the software into production. This role requires being fluent in some technologies while being proficient in others, while learning on the job to deliver value to both customers and to the business. Necessary attributes of being a Full Stack Software Engineers are ownership, accountability, and resilience.
In addition to delivery, the Full Stack Engineers should have an automation first and continuous improvement mindset, driving the adoption of CI/CD tools while supporting the improvement of the tool sets/processes.
This agile team partners with the Data \&amp; Analytics Engineering organization to help solve integration needs by supplying and consuming information needed for analytics and operations. We use technology to integrate and present meaningful analytical insights into the data to both Healthcare Providers and Internal Cigna business groups and develop applications to optimize affordability for all of Cigna's customers. Our tools analyze historical data to identify insights, forecast trends, and recommend actionable items to improve total medical costs.
You will have the unique opportunity to design, develop, and deploy new applications and features that will directly impact Cigna's bottom line, to ultimately provide better and more affordable healthcare for our customers. Our team uses a variety of technologies, from GenAI and big data to the latest cloud services and web frameworks. You will get to build state\-of\-the\-art technology that is scalable and robust, utilizing cloud infrastructure, and full automation.
**Responsibilities**
* Write loosely coupled, readable, reusable and modular code
* Ensure ongoing data quality by monitoring data to identify problems before they impact the business
* Design and architect alternative solutions independently
* when to automate and when not to
* Drive to simplify and reduce dependencies
* Champion innovative ideas
* Deliver enterprise or customer\-facing applications in a variety of scenarios
* Implement and deploy differing application solutions
* Innovate outside of traditional architecture/software patterns when needed
* Collaborate in a high\-performing team environment, and an ability to influence and be influenced by others
* Help distill complex ideas into an architectural and implementation plan, and then proving it out
* Critically evaluate the trade\-offs and implementation impacts of emerging vs. more established technologies
**Qualifications**
* 5\+ years’ documented experience in a business intelligence or analytic development role on a variety of large\-scale projects
* Expertise in BigData and related technologies
* Excellent Data analysis skills
* Cloud certifications, and/or cloud development experience with developing applications or infrastructure on AWS
* Knowledge of Apache Spark, distributed application development on spark using PySpark or Scala
* Experience in development using scripting languages such as Python.
* DevOps, CICD development experience is a plus
* Comfortable in configuring and using multiple operating systems (Mac/Windows/\*nix)
* Design and architecture expertise with AWS, Teradata, BI, and related ecosystem tools.
* Experience with disciplined software development lifecycle
* Ability to communicate at various levels within large organizations
* Knowledge of Big Data tool performance/tuning/measurement and usage criteria to drive appropriate tool selections and use
* Experience with Health care information domains a plus
* Experience working on advanced Big Data solutions is a plus
* Expertise in designing business intelligence systems, dashboard reporting, and analytical reporting is a plus
* Excellent communication skills and team collaboration skills
* Experience with Healthcare domains is a plus
* Advanced Degree (Master of Science or equivalent) in an engineering or quantitative discipline highly desirable
If you will be working at home occasionally or permanently, the internet connection must be obtained through a cable broadband or fiber optic internet service provider with speeds of at least 10Mbps download/5Mbps upload.
For this position, we anticipate offering an annual salary of 130,200 \- 217,000 USD / yearly, depending on relevant factors, including experience and geographic location.
This role is also anticipated to be eligible to participate in an annual bonus plan.
At The Cigna Group, you’ll enjoy a comprehensive range of benefits, with a focus on supporting your whole health. Starting on day one of your employment, you’ll be offered several health\-related benefits including medical, vision, dental, and well\-being and behavioral health programs. We also offer 401(k), company paid life insurance, tuition reimbursement, a minimum of 18 days of paid time off per year and paid holidays. For more details on our employee benefits programs, click here.
**About The Cigna Group**
Doing something meaningful starts with a simple decision, a commitment to changing lives. At The Cigna Group, we’re dedicated to improving the health and vitality of those we serve. Through our divisions Cigna Healthcare and Evernorth Health Services, we are committed to enhancing the lives of our clients, customers and patients. Join us in driving growth and improving lives.*Qualified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*SeeYourself@cigna.com* *for support. Do not email* *SeeYourself@cigna.com* *for an update on your application or to provide your resume as you will not receive a response.*
*The Cigna Group has a tobacco\-free policy and reserves the right not to hire tobacco/nicotine users in states where that is legally permissible. Candidates in such states who use tobacco/nicotine will not be considered for employment unless they enter a qualifying smoking cessation program prior to the start of their employment. These states include: Alabama, Alaska, Arizona, Arkansas, Delaware, Florida, Georgia, Hawaii, Idaho, Iowa, Kansas, Maryland, Massachusetts, Michigan, Nebraska, Ohio, Pennsylvania, Texas, Utah, Vermont, and Washington State.*
*Qualified applicants with criminal histories will be considered for employment in a manner* *consistent with all federal, state and local ordinances.*</t>
        </is>
      </c>
    </row>
    <row r="184">
      <c r="A184" t="inlineStr">
        <is>
          <t>in-54524816413bdbef</t>
        </is>
      </c>
      <c r="B184" t="inlineStr">
        <is>
          <t>Senior Software Engineer</t>
        </is>
      </c>
      <c r="C184" t="inlineStr">
        <is>
          <t>Anduril</t>
        </is>
      </c>
      <c r="D184" t="inlineStr">
        <is>
          <t>indeed</t>
        </is>
      </c>
      <c r="E184">
        <f>HYPERLINK("https://www.indeed.com/viewjob?jk=54524816413bdbef", "https://www.indeed.com/viewjob?jk=54524816413bdbef")</f>
        <v/>
      </c>
      <c r="F184">
        <f>HYPERLINK("https://grnh.se/bfmmqt7b7us", "https://grnh.se/bfmmqt7b7us")</f>
        <v/>
      </c>
      <c r="G184" t="inlineStr">
        <is>
          <t>Seattle, WA, US</t>
        </is>
      </c>
      <c r="H184" s="3" t="n">
        <v>46051</v>
      </c>
      <c r="I184"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Anduril's Tactical Recon \&amp; Strike (TRS) is a division with two missions: 1\) build highly capable autonomous drones, and 2\) build solid rocket motors at scale. We transform products like Ghost, Anvil, Bolt, and Altius from early concepts into fully operational capabilities by partnering closely with specialist engineering, operations, and production teams. Through our Anduril Rocket Motor Systems (RMS) team, we design and manufacture solid rocket motors using advanced materials, proprietary formulations, and high\-volume production methods—delivering safe, reliable propulsion systems that support a wide range of mission requirements. TRS hires software engineers \&amp; hardware engineers, who are excited to build across a diverse and powerful portfolio—from autonomous aerial systems to high\-performance solid rocket motors. Our teams contribute to highly capable autonomous robotics systems and propulsion products that operate reliably in the most demanding mission environment.
### **ABOUT THE JOB**
As a Robotics Software Engineer on our TRS team, you'll be at the forefront of cutting\-edge autonomous systems development. You'll tackle diverse challenges in autonomy, systems integration, robotics, and networking, making critical engineering decisions that directly impact mission success. Your role will be pivotal in ensuring Anduril's products work seamlessly together to achieve a variety of crucial outcomes. You'll develop innovative solutions for complex robotics problems, balance pragmatic engineering trade\-offs with mission\-critical requirements, and collaborate across teams to integrate software with hardware systems. Contributing to the entire product lifecycle, from concept to deployment, you'll rapidly prototype and iterate on software solutions. We're looking for someone who thrives in a fast\-paced environment and isn't afraid to tackle ambiguous problems. Your "Whatever It Takes" mindset will be key in executing tasks efficiently, scalably, and pragmatically, always keeping the mission at the forefront of your work. This role offers the opportunity to make a significant impact on next\-generation defense technology, working with state\-of\-the\-art robotics and autonomous systems. You'll be part of a team that values innovation, quick iteration, and delivering high\-quality solutions that meet real\-world needs.
*Must be eligible to obtain and maintain an active U.S. Secret security clearance.*
#### **WHAT YOU'LL DO**
* Develop and maintain core robotics libraries, including frame transformations, targeting, and guidance systems, that will be utilized across all Anduril robotics platforms
* Lead the development and implementation of major features for our products, such as designing and building Software\-in\-the\-Loop simulators for advanced systems like Altius
* Optimize performance of existing products, primarily focused on our Altius Drone product line
* Collaborate closely with hardware and manufacturing teams throughout the product development lifecycle, providing timely feedback to influence and enhance final hardware designs
* Troubleshoot and resolve complex issues in deployed systems, ensuring optimal performance in the field
* Contribute to the design and implementation of multi\-agent coordination systems for UAVs
* Participate in the full software development lifecycle, from concept and design through testing and deployment
* Stay current with emerging technologies and industry trends, recommending and implementing innovations to improve our products and processes
#### **REQUIRED QUALIFICATIONS**
* Bachelor's degree in Robotics, Computer Science, or related field
* **3\+ years** of professional software development experience
* Strong proficiency in C\+\+ or Rust, with experience in Linux development environments
* Demonstrated expertise in data structures, algorithms, concurrency, and code optimization
* Proven experience troubleshooting and analyzing remotely deployed software systems
* Hands\-on experience working with and testing electrical and mechanical systems
* Ability to collaborate effectively with cross\-functional teams, including hardware and manufacturing
* Strong problem\-solving skills and a "Whatever It Takes" mindset
* Excellent communication skills, both written and verbal
* Eligible to obtain and maintain an active U.S. Secret security clearance
* **Willingness to relocate to Seattle, WA**
#### **PREFERRED QUALIFICATIONS**
* Master's or Ph.D. in a relevant field (e.g., Robotics, Computer Science, Electrical Engineering)
* Expertise in one or more advanced robotics areas: motion planning, perception, localization, mapping, or controls
* Experience with performance optimization and metrics for complex robotic systems
* Proficiency in Python, Rust, and/or Go, in addition to C\+\+
* Hands\-on experience programming for embedded systems and physical devices
* Background in multi\-agent coordination, particularly with UAVs
* Demonstrated ability to solve complex frame transformation problems (e.g., target localization, multi\-degree\-of\-freedom robotic arms)
* Experience with real\-time operating systems and distributed computing
* Familiarity with machine learning and AI applications in robotics
* Knowledge of sensor fusion techniques and implementation
* Understanding of aerodynamics and flight dynamics as applied to UAV systems
* Experience with simulation environments for robotics testing and development
* Track record of contributions to open\-source robotics projects or relevant publications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85">
      <c r="A185" t="inlineStr">
        <is>
          <t>in-9823c8dae5b797b4</t>
        </is>
      </c>
      <c r="B185" t="inlineStr">
        <is>
          <t>Staff Backend Engineer, Payments, Consumer Apps - Klover</t>
        </is>
      </c>
      <c r="C185" t="inlineStr">
        <is>
          <t>Attain</t>
        </is>
      </c>
      <c r="D185" t="inlineStr">
        <is>
          <t>indeed</t>
        </is>
      </c>
      <c r="E185">
        <f>HYPERLINK("https://www.indeed.com/viewjob?jk=9823c8dae5b797b4", "https://www.indeed.com/viewjob?jk=9823c8dae5b797b4")</f>
        <v/>
      </c>
      <c r="F185">
        <f>HYPERLINK("https://grnh.se/0m315zj04us", "https://grnh.se/0m315zj04us")</f>
        <v/>
      </c>
      <c r="G185" t="inlineStr">
        <is>
          <t>Chicago, IL, US</t>
        </is>
      </c>
      <c r="H185" s="3" t="n">
        <v>46051</v>
      </c>
      <c r="I185" t="inlineStr">
        <is>
          <t>**About Attain**
The Klover Backend Engineering team powers one of the fastest\-growing consumer fintech apps in the U.S., with over one million active users every month. Our systems process and move more than $1\.5 billion annually \- enabling real\-time access to earned wages, rewards, and financial tools that help consumers improve their day\-to\-day lives.
As part of this team, you'll design and scale the backend services that drive Klover's payments and data infrastructure. You'll work on high\-availability systems that connect with financial institutions and payment processors, ensuring secure, compliant, and lightning\-fast transactions. The work you do will directly impact our users' ability to access their money instantly, earn meaningful rewards, and experience transparent, fee\-free financial services.
Klover engineers collaborate closely across product, data, and mobile teams to deliver reliable, high\-performance features that meet the demands of a large, growing user base. You'll have the opportunity to work with modern technologies (including Rust microservices and event\-driven systems) while shaping the next generation of inclusive, data\-powered financial products. You'll design APIs and microservices that connect financial institutions, payment processors, and data platforms, all while ensuring reliability and privacy at scale.
***Attain Office Hybrid Schedule (where applicable):***
* *Redwood City, CA: Mondays (in\-office for stand\-ups, all\-hands) and choice of three days between Tues\-Friday*
* *Chicago, IL \&amp; New York, NY:* *4 days in\-office; 1 day remote*
#### **You'll be a great fit for the role if**
* You are excited to build and scale backend systems that support financial products and real\-time payments
* You thrive in environments where data integrity, security, and performance are critical
* You are excited to build microservices using Rust and Go
* You have a willingness to learn and teach in a collaborative environment
* You're eager to leverage and develop using AI tools
* You've been complimented on how well you participate in an open feedback environment
**What your day to day will look like**
* Build and evolve microservices that handle high\-volume financial and transactional data
* Design and implement APIs that securely connect to third\-party payment processors, banks, and fintech partners
* Write thoughtful \&amp; quality code that is readable, testable, and easily maintainable
* Develop data\-driven services that power account management, transaction history, and financial insights
* Strive for excellent development practices and careful code architecture that is built around rapid releases
* Work cross\-functionally with backend, mobile, and product teams to consistently release high\-quality, customer\-focused financial features
* Adhere to, and improve upon, our agile process through requirement documents, sprint retrospectives, and other regular cadence meetings
**Preferred Qualifications**
* 5\+ years of experience building backend services in production environments
* Experience in the financial technology, payments, or banking systems industry
* Familiarity with compliance, security, and data privacy standards (e.g., SOC 2, PCI DSS, GDPR)
* Experience designing transactional and event\-driven systems for payments, reconciliation systems, or ledger\-like applications
* Familiarity with microservice or Service\-oriented Architecture
* Experience using gRPC, protobuf, or GraphQL
* Expert knowledge of SQL and experience designing data models for financial data integrity
* Experience with message queues or event streams (e.g., Kafka, RabbitMQ)
* Experience with cloud environments such as AWS, GCP, or Azure
**We're excited to hear from you.**
At Attain, we are passionate about finding people to continuously help us grow our organization. We encourage you to apply, even if your experience doesn't match every detail of the job description. If we don't see something that immediately fits, we will keep your resume on file for future opportunities.</t>
        </is>
      </c>
    </row>
    <row r="186">
      <c r="A186" t="inlineStr">
        <is>
          <t>in-bba99682a68896aa</t>
        </is>
      </c>
      <c r="B186" t="inlineStr">
        <is>
          <t>Staff Backend Engineer, Platform, Consumer Apps - Klover</t>
        </is>
      </c>
      <c r="C186" t="inlineStr">
        <is>
          <t>Attain</t>
        </is>
      </c>
      <c r="D186" t="inlineStr">
        <is>
          <t>indeed</t>
        </is>
      </c>
      <c r="E186">
        <f>HYPERLINK("https://www.indeed.com/viewjob?jk=bba99682a68896aa", "https://www.indeed.com/viewjob?jk=bba99682a68896aa")</f>
        <v/>
      </c>
      <c r="F186">
        <f>HYPERLINK("https://grnh.se/t6s7f5v64us", "https://grnh.se/t6s7f5v64us")</f>
        <v/>
      </c>
      <c r="G186" t="inlineStr">
        <is>
          <t>Chicago, IL, US</t>
        </is>
      </c>
      <c r="H186" s="3" t="n">
        <v>46051</v>
      </c>
      <c r="I186" t="inlineStr">
        <is>
          <t>**About Attain**
Klover's engineering team powers one of the fastest\-growing fintech platforms in the U.S., supporting over one million active users each month. Our systems process and move more than $1\.5 billion annually, enabling real\-time access to financial tools, rewards, and services that help people improve their day\-to\-day lives.
As part of this team, you'll help design, build, and scale the systems that underpin Klover's core products and platform. You'll work on high\-impact, production\-grade systems that prioritize reliability, security, and performance, and that integrate with a broad ecosystem of internal and external services. The work you do will directly shape how users interact with Klover's products, access their money, and experience transparent, low\-fee financial services.
Klover engineers collaborate closely with colleagues across backend, frontend, data science, and product teams to deliver scalable, high\-quality solutions for a rapidly growing user base. You'll have the opportunity to work with modern technologies and architectures while helping define and evolve the next generation of inclusive, data\-powered financial products—building systems and interfaces that emphasize reliability, privacy, and performance at scale.
**Attain Office Hybrid Schedule (where applicable):**
* **Redwood City, CA:** Mondays (in\-office for stand\-ups, all\-hands) and choice of three days between Tues\-Friday
* **Chicago, IL \&amp; New York, NY:** 4 days in\-office; 1 day remote
#### **You'll be a great fit for the role if**
* You are excited to build and scale backend systems that support financial products and real\-time payments
* You thrive in environments where data integrity, security, and performance are critical
* You are excited to build microservices using Rust and Go
* You have a willingness to learn and teach in a collaborative environment
* You're eager to leverage and develop using AI tools
* You've been complimented on how well you participate in an open feedback environment
**What your day to day will look like**
* Build and evolve microservices that handle high\-volume financial and transactional data
* Design and implement APIs that securely connect to third\-party payment processors, banks, and fintech partners
* Write thoughtful \&amp; quality code that is readable, testable, and easily maintainable
* Develop data\-driven services that power account management, transaction history, and financial insights
* Strive for excellent development practices and careful code architecture that is built around rapid releases
* Work cross\-functionally with backend, mobile, and product teams to consistently release high\-quality, customer\-focused financial features
* Adhere to, and improve upon, our agile process through requirement documents, sprint retrospectives, and other regular cadence meetings
**Preferred Qualifications**
* 5\+ years of experience building backend services in production environments
* Experience in the financial technology, payments, or banking systems industry
* Familiarity with compliance, security, and data privacy standards (e.g., SOC 2, PCI DSS, GDPR)
* Experience designing transactional and event\-driven systems for payments, reconciliation systems, or ledger\-like applications
* Familiarity with microservice or Service\-oriented Architecture
* Experience using gRPC, protobuf, or GraphQL
* Expert knowledge of SQL and experience designing data models for financial data integrity
* Experience with message queues or event streams (e.g., Kafka, RabbitMQ)
* Experience with cloud environments such as AWS, GCP, or Azure
*We're excited to hear from you.*
*At Attain, we are passionate about finding people to continuously help us grow our organization. We encourage you to apply, even if your experience doesn't match every detail of the job description. If we don't see something that immediately fits, we will keep your resume on file for future opportunities.*</t>
        </is>
      </c>
    </row>
    <row r="187">
      <c r="A187" t="inlineStr">
        <is>
          <t>in-0ed43d0b3ebe6a30</t>
        </is>
      </c>
      <c r="B187" t="inlineStr">
        <is>
          <t>Sr. Software Developer II (6369)</t>
        </is>
      </c>
      <c r="C187" t="inlineStr">
        <is>
          <t>Metrostar Systems</t>
        </is>
      </c>
      <c r="D187" t="inlineStr">
        <is>
          <t>indeed</t>
        </is>
      </c>
      <c r="E187">
        <f>HYPERLINK("https://www.indeed.com/viewjob?jk=0ed43d0b3ebe6a30", "https://www.indeed.com/viewjob?jk=0ed43d0b3ebe6a30")</f>
        <v/>
      </c>
      <c r="F187">
        <f>HYPERLINK("https://grnh.se/k2a7gvc83us", "https://grnh.se/k2a7gvc83us")</f>
        <v/>
      </c>
      <c r="G187" t="inlineStr">
        <is>
          <t>Washington, DC, US</t>
        </is>
      </c>
      <c r="H187" s="3" t="n">
        <v>46051</v>
      </c>
      <c r="I187" t="inlineStr">
        <is>
          <t>As **Sr. Software Developer II**, you'll deliver secure and reliable software capabilities for a highly visible and mission\-critical customer supporting national\-level operations. The program's mission is to rapidly deliver high\-quality software while maintaining strict security and operational standards.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Troubleshoot and resolve production issues in a timely and effective manner
* Work as part of a collaborative, high\-performing team delivering technical solutions for mission\-critical federal government systems
* Support O\&amp;M and design, develop, and modernize custom enterprise applications
* Apply secure coding practices across all phases of development
* Participate in code reviews and Agile ceremonies (planning, stand\-ups, retros, etc.)
* Support and contribute to CI/CD pipelines and automated deployments
* Troubleshoot and resolve production issues in a timely and effective manner
* Communicate technical decisions and solutions clearly to both technical and non\-technical stakeholders
* Establish and maintain a high level of customer trust and confidence through technical expertise and professionalism
* Use creativity and innovation to deliver solutions that meet customer and mission needs
**What you'll need to succeed:**
* An active Top Secret with SCI eligibility security clearance.
* Bachelor's degree in Computer Science or Software Engineering is preferred; Relevant experience may be substituted for education.
* 7\+ years of professional software development experience.
* Demonstrated proficiency in C\#, .NET, and modern application frameworks.
* Hands\-on experience modernizing legacy .NET applications and containerizing workloads.
* Experience with Windows Server IIS, .NET Core 8\+, .NET Framework 4\+, Entity Framework, Quartz, Angular, React, Azure DevOps, GitLab CI/CD, PostgreSQL, SQL Server, and Docker.
* Possess a DoD 8140 DCWF Role of 451 – System Administrator with certifications such as Cloud\+, GICSP, GSEC, Security\+, or SSCP. Ability to contribute immediately.
SALARY RANGE: $170,000 \- $184,000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188">
      <c r="A188" t="inlineStr">
        <is>
          <t>in-4f06cf12049ccf99</t>
        </is>
      </c>
      <c r="B188" t="inlineStr">
        <is>
          <t>Senior Principal Software Engineer</t>
        </is>
      </c>
      <c r="C188" t="inlineStr">
        <is>
          <t>O'Reilly Auto Parts</t>
        </is>
      </c>
      <c r="D188" t="inlineStr">
        <is>
          <t>indeed</t>
        </is>
      </c>
      <c r="E188">
        <f>HYPERLINK("https://www.indeed.com/viewjob?jk=4f06cf12049ccf99", "https://www.indeed.com/viewjob?jk=4f06cf12049ccf99")</f>
        <v/>
      </c>
      <c r="F188">
        <f>HYPERLINK("https://click.appcast.io/t/UhHlIbr0iY9q6PUiqP43I2RzPNXl2OltDjtYJxL6uz4=", "https://click.appcast.io/t/UhHlIbr0iY9q6PUiqP43I2RzPNXl2OltDjtYJxL6uz4=")</f>
        <v/>
      </c>
      <c r="G188" t="inlineStr">
        <is>
          <t>Springfield, MO, US</t>
        </is>
      </c>
      <c r="H188" s="3" t="n">
        <v>46051</v>
      </c>
      <c r="I188" t="inlineStr">
        <is>
          <t>**The Senior Principal Software Engineer** is a top\-level individual contributor and hands\-on technical leader responsible for designing, building, and scaling complex enterprise applications within the Java ecosystem. This role operates with a high degree of independence, sets technical direction across multiple teams, and provides mentorship to senior engineers. The position supports high\-scale platforms, including Marketing Technology (MarTech) and customer\-facing digital systems.
Responsibilities and Duties:
* Define and evolve system architecture for large\-scale, distributed, and microservices\-based applications, including MarTech platforms.
* Lead the design and development of complex applications using Java, Spring Boot, and modern frontend frameworks such as Angular or React.
* Support MarTech capabilities such as campaign execution, personalization, content delivery, analytics, and customer data integration.
* Document “as\-is” and “to\-be” architectures and processes to support modernization and platform scalability.
* Drive engineering best practices around performance, reliability, security, and maintainability.
* Conduct and lead code reviews; mentor senior and staff engineers.
* Collaborate with product, marketing, and business partners to define technical roadmaps and manage technical debt.
* Design and support CI/CD pipelines and cloud\-native deployments across AWS, Azure, or GCP.
* Develop and guide monitoring, alerting, and troubleshooting strategies for complex, high\-traffic systems.
* Lead technical estimation, work breakdown, and prioritization efforts to support reliable delivery.
* Evaluate emerging technologies and conduct proofs of concept to inform long\-term platform strategy.
* Act as a subject matter expert in Java\-based enterprise systems
Skills:
Required:
* Expert understanding of the Software Development Life Cycle and enterprise application development.
* Strong architectural and problem\-solving skills with the ability to influence technical direction across teams.
* Advanced experience with Java (8\+), Spring Boot, REST APIs, and microservices.
* Experience with frontend technologies such as Angular or React.
* Experience with SQL and NoSQL databases, distributed systems, and messaging platforms.
* Hands\-on experience with containerization and orchestration using Docker and Kubernetes/OpenShift.
* Proficiency with CI/CD tools and version control systems.
* Deep knowledge of cloud platforms and cloud\-native application design.
* Strong communication skills and the ability to mentor and guide senior engineers
Education:
Bachelor’s degree in Computer Science or a related field, or equivalent experience.
Experience:
10–15\+ years of software engineering experience, including 3\+ years in a senior, staff, or principal\-level role.
O’Reilly Auto Parts has a proven track record of growth and stability. O’Reilly is full of successful career stories and believes in a strong promote\-from\-within philosophy, encouraging you to grow your career along with the organization.
**Total Compensation Package:**
* Competitive Wages \&amp; Paid Time Off
* Stock Purchase Plan \&amp; 401k with Employer Contributions Starting Day One
* Medical, Dental, \&amp; Vision Insurance with Optional Flexible Spending Account (FSA)
* Team Member Health/Wellbeing Programs
* Tuition Educational Assistance Programs
* Opportunities for Career Growth
*O’Reilly Auto Parts is an equal opportunity employer.* *The Company does not discriminate on the basis of race, religion, color, national origin or ancestry (including immigration status or citizenship), sex, sexual orientation, gender identity, pregnancy (including childbirth, lactation, and related medical conditions,) age (40 and over), veteran status, uniformed service member status, physical or mental disability, genetic information (including testing or characteristics) or another protected status as defined by local, state, or federal law, as applicable.*
*Qualified individuals with a disability may be entitled to reasonable accommodation under the Americans with Disabilities Act. If you require a reasonable accommodation during the application or employment process, please send an email to:* *rar@oreillyauto.com* *or call (800\) 471\-7431 option , and provide your requested accommodation, and position details.*</t>
        </is>
      </c>
    </row>
    <row r="189">
      <c r="A189" t="inlineStr">
        <is>
          <t>in-c84a66fda122f824</t>
        </is>
      </c>
      <c r="B189" t="inlineStr">
        <is>
          <t>(USA) Staff, Software Engineer</t>
        </is>
      </c>
      <c r="C189" t="inlineStr">
        <is>
          <t>Walmart</t>
        </is>
      </c>
      <c r="D189" t="inlineStr">
        <is>
          <t>indeed</t>
        </is>
      </c>
      <c r="E189">
        <f>HYPERLINK("https://www.indeed.com/viewjob?jk=c84a66fda122f824", "https://www.indeed.com/viewjob?jk=c84a66fda122f824")</f>
        <v/>
      </c>
      <c r="F189">
        <f>HYPERLINK("https://click.appcast.io/t/xJ5E4qViO1aE6-9kW3IAxSY90CVx38GVYdZuI3Gd1ZE=", "https://click.appcast.io/t/xJ5E4qViO1aE6-9kW3IAxSY90CVx38GVYdZuI3Gd1ZE=")</f>
        <v/>
      </c>
      <c r="G189" t="inlineStr">
        <is>
          <t>Bentonville, AR, US</t>
        </is>
      </c>
      <c r="H189" s="3" t="n">
        <v>46051</v>
      </c>
      <c r="I189" t="inlineStr">
        <is>
          <t>**Position Summary...**
-----------------------
**What you'll do...**
---------------------
**Role summary:**
Walmart is seeking a Staff Software Engineer to lead the development and delivery of scalable platform capabilities, including infrastructure, tooling, and AI/ML frameworks. This role involves driving the full software lifecycle, applying cloud\-native architecture principles, and ensuring high\-quality system design. The successful candidate will provide technical leadership, mentor engineering teams, and collaborate across functions to translate complex business needs into effective technical solutions. A strong focus on innovation, continuous improvement, and engineering excellence is essential to support Walmart’s strategic goals and enhance developer productivity.
**About the team:**
The Oracle FCCS Engineering team develops and operates the Financial Consolidation and Close Cloud, delivering secure, high\-performance cloud services that automate consolidation, eliminations, translations, and close processes at scale. The team prioritizes accuracy, scalability, and reliability to enable finance teams to close efficiently and confidently. Leveraging deep ERP/EPM integrations and cloud\-native architecture, the team drives innovation through design reviews, API design, and software prototyping. Members collaborate across disciplines to build robust solutions, continuously improve processes, and maintain engineering excellence in a dynamic, technology\-driven environment.
**What you'll do:**
* Deliver platform capabilities including infrastructure, tooling, and machine learning frameworks aligned with roadmap priorities.
* Lead full software development lifecycle activities such as coding, testing, deployment, monitoring, and maintenance.
* Apply cloud\-native architecture principles to ensure scalable, resilient, and agile systems.
* Conduct system design reviews to validate quality and alignment with architectural standards.
* Build AI\-driven applications and integrate machine learning components using multiple programming languages.
* Mentor engineers, influence technical decisions, and promote engineering best practices.
* Collaborate with stakeholders to translate complex problems into actionable technical requirements.
* Drive continuous improvement through data\-driven decision making and innovation.
**What you'll bring:**
* Proven expertise in cloud\-native architecture, including microservices, containers, and automation to ensure scalable and resilient systems.
* Strong experience in software development lifecycle management, encompassing coding, testing, CI/CD deployment, and maintenance.
* Proficiency in API design, software prototyping, and application of software design patterns for secure, modular, and maintainable solutions.
* Demonstrated ability to lead technical design reviews and mentor engineering teams to foster continuous learning and technical excellence.
* Skilled in data\-driven decision making to define success metrics and optimize engineering processes.
* Experience integrating AI/ML components and intelligent automation using modern programming languages and tools.
* Effective collaboration and communication skills to engage stakeholders and drive cross\-team alignment.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$110,000\.00 \- $220,000\.00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2501 Se J St, Ste A,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90">
      <c r="A190" t="inlineStr">
        <is>
          <t>in-e1fecff2e0d911f3</t>
        </is>
      </c>
      <c r="B190" t="inlineStr">
        <is>
          <t>Senior Software Engineer</t>
        </is>
      </c>
      <c r="C190" t="inlineStr"/>
      <c r="D190" t="inlineStr">
        <is>
          <t>indeed</t>
        </is>
      </c>
      <c r="E190">
        <f>HYPERLINK("https://www.indeed.com/viewjob?jk=e1fecff2e0d911f3", "https://www.indeed.com/viewjob?jk=e1fecff2e0d911f3")</f>
        <v/>
      </c>
      <c r="F190">
        <f>HYPERLINK("https://careers.rocket.com/careers/r-081386/senior-software-engineer/", "https://careers.rocket.com/careers/r-081386/senior-software-engineer/")</f>
        <v/>
      </c>
      <c r="G190" t="inlineStr">
        <is>
          <t>Detroit, MI, US</t>
        </is>
      </c>
      <c r="H190" s="3" t="n">
        <v>46051</v>
      </c>
      <c r="I190" t="inlineStr">
        <is>
          <t>As a Senior Software Engineer, you will support and guide the team's consistent delivery of iterative value to your clients. You will mentor your team, helping develop their overall capabilities.
**About the role**
* Develop and test very complex software solutions with minimal direction
* Release and validate software, developing new deployment patterns as necessary
* Lead software support, incident resolution and blameless reviews
* Develop code modules and patterns useful within the team
* Conduct exploratory or experimental work to develop prototypes
* Guide code and design reviews for the team
* Provide software documentation and demonstration for technical and non\-technical audiences
* Mentor team members on any of the above
**About you**
* Experience solving problems by developing software solutions that require innovation
* Expertise with the programming languages, frameworks and platforms used by the team, such as C\#, .NET Core, Python, and AWS
* Experience in database design and SQL
* Working experience on CICD process, App development and RAML
* Experience developing software modules or patterns used within the team
* Experience designing integration tests, leading software releases and providing ongoing support
* Experience helping facilitate and create Agile software development practices and artifacts, such as user stories, backlog refinement and sprint planning
* Experience mentoring and developing others
* Experience providing thought leadership to influence software development practices
* Bachelor’s degree in computer science or a related discipline
* 5 years of experience in a professional software engineering or similar role
* Experience developing for a cloud environment or cloud provider certification
* Experience designing or refining continuous integration and continuous delivery (CI/CD)
* Agile certification
**What you’ll get**
Our team members fuel our strategy, innovation and growth, so we ensure the health and well\-being of not just you, but your family, too! We go above and beyond to give you the support you need on an individual level and offer all sorts of ways to help you live your best life. We are proud to offer eligible team members perks and health benefits that will help you have peace of mind. Simply put: We’ve got your back. Check out our full list of Benefits and Perks.
**About us**
**Rocket Close** is a leading national provider of title insurance, property valuations and settlement services. Here, you’ll be given all the resources and support needed to deliver innovative solutions and in turn, your hard work will be rewarded with a competitive compensation package and an array of other amazing benefits. *Apply today to join a team that offers career growth, amazing benefits and the chance to work with leading industry professionals.*
*This job description is an outline of the primary responsibilities of this position and may be modified at the discretion of the company at any time. Decisions related to employment are not based on race, color, religion, national origin, sex, physical or mental disability, sexual orientation, gender identity or expression, age, military or veteran status or any other characteristic protected by state or federal law. The company provides reasonable accommodations to qualified individuals with disabilities in accordance with applicable state and federal laws. Applicants requiring reasonable accommodations in completing the application and/or participating in the application process should contact a member of the Human Resources team, at* Careers@Rocket.com*.*
*Illinois, Maryland, Minnesota, Massachusetts, Colorado, Cleveland, New York City, New Jersey, Jersey City, California, D.C and Washington Candidates only: the compensation for this position is $107,000\.00\-$241,500\.00\.* *The position may also be eligible for an annual bonus, incentives, and other employment\-related benefits including, but not limited to, medical, dental, and vision benefits, 401K retirement plan, and paid\-time off. More information regarding these benefits and others can be found* here*.*
*The information regarding compensation and other benefits included in this paragraph is the company’s current, good faith estimate at the time of posting. \[Compensation and benefits are subject to modification from time to time as the Company, in its sole and exclusive discretion, deems appropriate.] The Company may determine during its future reviews of the proposed compensation and benefits provided for this position, that the compensation and benefits for such position should be reduced. In no event will the Company reduce the compensation for the position to a level below the applicable jurisdictional minimum wage rate for the position.*
*Los Angeles County and San Francisco Candidates only: qualified applicants with arrest or conviction records will be considered for employment per the Fair Chance Ordinance and the Fair Chance Initiative for Hiring.*</t>
        </is>
      </c>
    </row>
    <row r="191">
      <c r="A191" t="inlineStr">
        <is>
          <t>in-dd8f18586d062ede</t>
        </is>
      </c>
      <c r="B191" t="inlineStr">
        <is>
          <t>Staff Software Engineer, New Verticals</t>
        </is>
      </c>
      <c r="C191" t="inlineStr">
        <is>
          <t>Lime</t>
        </is>
      </c>
      <c r="D191" t="inlineStr">
        <is>
          <t>indeed</t>
        </is>
      </c>
      <c r="E191">
        <f>HYPERLINK("https://www.indeed.com/viewjob?jk=dd8f18586d062ede", "https://www.indeed.com/viewjob?jk=dd8f18586d062ede")</f>
        <v/>
      </c>
      <c r="F191">
        <f>HYPERLINK("https://jobs.ashbyhq.com/Lime/bc31dcee-c0eb-4a31-8de2-09ff5a489c36?utm_source=4E9xjxE5la", "https://jobs.ashbyhq.com/Lime/bc31dcee-c0eb-4a31-8de2-09ff5a489c36?utm_source=4E9xjxE5la")</f>
        <v/>
      </c>
      <c r="G191" t="inlineStr">
        <is>
          <t>US</t>
        </is>
      </c>
      <c r="H191" s="3" t="n">
        <v>46051</v>
      </c>
      <c r="I191" t="inlineStr">
        <is>
          <t>Lime is the largest global shared micromobility business, operating in close to 30 countries across five continents. We’re on a mission to build a future where transportation is shared, affordable and carbon\-free. Our electric bikes and scooters have powered more than one billion rides in cities around the world. Named a 2025 Time 100 Most Influential Company, Lime continues to set the pace for shared micromobility globally, spurring a new generation of clean alternatives to car ownership.
Are you an experienced Backend or Web fullstack software engineer who has delighted customers with software at scale? Can you balance shipping what's needed to learn from customers with laying the foundations for growth when we find success?
We have established the New Verticals team to bring our fleet of electric vehicles to more people. We are exploring new solutions and will be learning through iteration with real customers. You'll ship zero\-to\-one products and help shape the future of Lime.
As a Staff Backend Engineer you'll be driving the core commerce operations that power our new experiences. You'll work with another Staff Backend Engineer, mobile engineers, as well as Product Management, Design, and Data representatives to deliver new products and the infrastructure needed to manage them. New Verticals is a peer to teams owning our primary riding product and you'll work with them to ship solutions that lean into Lime's capabilities.
This is a remote position with a requirement for candidates residing in the United States to maintain effective collaboration across teams.
**What You'll Do:**
* Deliver software to enable new customer initiatives and own the balance between time to launch, ability to pivot, and ability to scale. Seek and utilize knowledge of the Lime engineering ecosystem to find the right solution, or design what's needed.
* Learn from our customers by shipping software and understanding the market environment.
* Collaborate with coworkers in Product, Design, Data, and Operations. Ensure solutions interoperate well with Lime's full stack of services. The team’s work will span cloud\-based backend services, web\-based tools, mobile clients, and third\-party applications.
* Mentor individuals at Lime and participate in learning, growth, and improvement activities.
* Participate in the shaping of Lime's Engineering culture.
**About You:**
* 7\+ years of industry professional software development experience, and a track record of building impactful products or systems.
* Team focus: you recognize your team is the source of your success and invest in them. That includes cross\-functional collaborators in Product, Design, Data, and Operations.
* Owner's mindset: you're focused on outcomes and can solve problems to get there.
* Data driven: You instrument your work for decision making, you can reason through data to learn from our customers.
* Excellent communication skills and effective management of competing priorities.
Preferred Experience:
* Experience shipping Ruby on Rails backend and/or React\-based web frontend applications.
* Brings a learning mindset to the use of software development tools including AI.
* You’re enthusiastic about Lime's mission and micromobility; you want to see cities transform to becoming people\-centric and less polluted
**U.S. Based Position \- What We Offer:**
* **Comprehensive Health \&amp; Wellness**: A choice of medical, dental, and vision plans, with Lime covering 100% of the employee\-only premium for many plans. We also provide company\-paid life and disability insurance and company\-funded mental health benefits.
* **Financial \&amp; Retirement Planning**: 401(k) plan with both pre\-tax and Roth options, and access to a Health Savings Account (HSA) with a monthly company contribution.
* **Family \&amp; Fertility Support**: Paid parental leave for birthing and non\-birthing parents, plus fertility and family\-forming benefits.
* **Time Off \&amp; Flexibility**: Flexible vacation policy for exempt employees, paid sick time, and a calendar of paid company holidays.
* **Unique Lime Perks**: Complimentary use of Lime vehicles in participating cities, a monthly phone allowance, dedicated learning and development days, and access to perks including One Medical, Wellhub, and Headspace.
*The salary range listed reflects what Lime reasonably expects to offer for this role, with the final base salary determined by factors such as the candidate’s location and relevant skills and experience. Depending on the position, the total compensation package may also include discretionary annual performance bonus opportunities and equity, subject to applicable plan terms and eligibility requirements.*
Lime considers all qualified applicants for employment, including those with arrest or conviction records, in accordance with the San Francisco Fair Chance Ordinance, the Los Angeles Fair Chance Initiative for Hiring, the Los Angeles County Fair Chance Ordinance, the California Fair Chance Act, and all other applicable federal, state, and local laws.
\#LI\-SE1
\#LI\-Remote
If you want to make an impact, Lime is the place for you. Not sure if you meet all the qualifications? If this role excites you we encourage you to apply. Explore all opportunities on our career page.
Lime is proud to be an Equal Opportunity Employer. We believe different perspectives help us grow and achieve more. That’s why we’re dedicated to building and developing a team that reflects a wider range of backgrounds, abilities, identities, and experiences. If you require a reasonable accommodation during the application or hiring process, please email recruiting\-operations@li.me for assistance.
Compensation Range: $190K \- $261K</t>
        </is>
      </c>
    </row>
    <row r="192">
      <c r="A192" t="inlineStr">
        <is>
          <t>in-e975b497b5d8609c</t>
        </is>
      </c>
      <c r="B192" t="inlineStr">
        <is>
          <t>Principal Software Engineer (US)</t>
        </is>
      </c>
      <c r="C192" t="inlineStr"/>
      <c r="D192" t="inlineStr">
        <is>
          <t>indeed</t>
        </is>
      </c>
      <c r="E192">
        <f>HYPERLINK("https://www.indeed.com/viewjob?jk=e975b497b5d8609c", "https://www.indeed.com/viewjob?jk=e975b497b5d8609c")</f>
        <v/>
      </c>
      <c r="F192">
        <f>HYPERLINK("https://jobs.ashbyhq.com/opsmill/ad10ead9-0dc5-4549-b9b5-f5b053bbebbf?utm_source=zrQpddpxgg", "https://jobs.ashbyhq.com/opsmill/ad10ead9-0dc5-4549-b9b5-f5b053bbebbf?utm_source=zrQpddpxgg")</f>
        <v/>
      </c>
      <c r="G192" t="inlineStr">
        <is>
          <t>US</t>
        </is>
      </c>
      <c r="H192" s="3" t="n">
        <v>46051</v>
      </c>
      <c r="I192" t="inlineStr">
        <is>
          <t>**The best platforms aren't just built to work today—they're designed to scale gracefully tomorrow.**
-----------------------------------------------------------------------------------------------------
Infrastructure automation is having its moment. Customers are adopting faster, deployments are growing, and the opportunity ahead is massive. But capitalizing on that opportunity requires something many companies struggle with: maintaining software architectural excellence and agility while scaling rapidly. Clean, extensible systems don't happen by accident—they require intentional design, deep technical leadership, and a vision that spans the entire platform.
At OpsMill, we're building the next generation of infrastructure data management with Infrahub, our open\-source platform that helps automation teams unify data and scale automation reliably. We've achieved product\-market fit, and now we're expanding—new products, growing customer deployments, and increasing demand from the market. This is the exciting phase where the right software architectural decisions compound into sustainable competitive advantage.
**Why This Role Exists Now**
----------------------------
Opportunity is knocking, and we need to answer with world\-class engineering. We're building not just one product, but a platform ecosystem—Infrahub, Infrahub Sync, and future innovations that will redefine how automation teams work. We need a technical leader who can architect across this entire platform to ensure systems are extensible and robust, and drive our evolution toward an AI\-first engineering culture. This isn't about fixing problems—it's about ensuring our software architecture keeps pace with our ambition. We need someone who has scaled complex systems before, who thinks in terms of platforms not just products, and who can guide multiple engineering teams toward technical excellence.
If you're energized by building elegant, scalable software architectures and driving transformational change in how teams leverage AI, this is your opportunity.
**What You'll Be Doing**
------------------------
* **Own the technical software architecture across our platform ecosystem**—Infrahub, and future products— to ensure clean, extensible design that scales gracefully with customer growth
* **Lead strategic initiatives hands\-on**, implementing high\-impact architectural improvements to our graph database engine, backend services, and core platform components
* **Drive systematic reduction of technical debt by establishing architectural standards**, identifying areas that will create problems at scale, and guiding the team through thoughtful evolution of the codebase
* **Champion and implement AI\-first engineering practices across the team**—establishing how we leverage AI in day\-to\-day development, ensuring our codebase and platform work seamlessly with AI tooling, and designing product capabilities that make it easier for customers to build AI\-powered automation on Infrahub
* **Provide technical leadership through architecture reviews**, code reviews, RFC/design doc creation, and mentorship— elevating the entire engineering team's capabilities and decision\-making
* **Collaborate with Product, Head of Engineering, and CTO to anticipate scaling challenges before they arrive**, translating business roadmap into technical strategy and ensuring our software architecture enables rather than constrains product innovation
* **Work closely with engineers** through implementation phases, ensuring architectural decisions are properly understood and executed while maintaining high velocity and code quality
**What You Bring**
------------------
* **8\+ years of backend and platform engineering experience**, with a track record of building and scaling complex systems that handle real production load
* Expert\-level Python proficiency and deep understanding of writing performant, maintainable code in large codebases
* **Experience building developer platforms or tools** that other engineers build on top of
* **Proven experience designing and scaling distributed systems,** including API design, data consistency patterns, and architectural trade\-offs at scale
* **Track record of leading significant initiatives** or platform architecture design, with examples of improving system scalability, reliability, or developer velocity
* **Hands\-on software architect mindset**—you're equally comfortable writing code, reviewing designs, and mentoring engineers to elevate the entire team's technical capabilities
* **Strong conviction about AI\-first engineering** and eagerness to drive its adoption across the team, transforming how we build software and enabling our customers to leverage AI effectively
* **Excellent written and verbal communication skills**—you can write clear design docs, present technical strategy to leadership, and collaborate effectively across product, engineering, and customer\-facing teams
* **Self\-directed and effective in remote environments** with at least 4 hours of overlap with CET timezone (Europe, UK, or US East Coast locations work well)
**Nice\-to\-Haves**
-------------------
* Experience with Rust or Go for performance\-critical components
* Hands\-on experience with graph databases (Neo4j or similar)
* Background in infrastructure automation, NetDevOps, or network engineering domains
* Contributions to open\-source projects or technical communities
**Why OpsMill?**
----------------
* **The people:** Work alongside world\-class engineers who've built and scaled automation platforms in production. Daily technical challenges with smart colleagues who push you to grow.
* **The product:** Shape Infrahub based on real customer needs. Your input directly influences features, integrations, and roadmap priorities.
* **The mission:** We're making enterprise\-grade infrastructure automation accessible to any organization. Open\-source at the core, production\-ready out of the box. This is a multi\-year journey, not a quarterly sprint.
* **The impact:** You'll work with teams managing some of the world's most complex infrastructure deployments, solving problems that ripple across entire organizations.
**Our Commitment to Diversity and Inclusion**
---------------------------------------------
OpsMill is committed to building a diverse and inclusive team. We believe different perspectives make us stronger and more innovative. We encourage applications from candidates of all backgrounds and experiences, and we're committed to providing an inclusive environment where everyone can do their best work.</t>
        </is>
      </c>
    </row>
    <row r="193">
      <c r="A193" t="inlineStr">
        <is>
          <t>in-d52c6b3de770f7f6</t>
        </is>
      </c>
      <c r="B193" t="inlineStr">
        <is>
          <t>Senior Software Engineer</t>
        </is>
      </c>
      <c r="C193" t="inlineStr">
        <is>
          <t>Confluent</t>
        </is>
      </c>
      <c r="D193" t="inlineStr">
        <is>
          <t>indeed</t>
        </is>
      </c>
      <c r="E193">
        <f>HYPERLINK("https://www.indeed.com/viewjob?jk=d52c6b3de770f7f6", "https://www.indeed.com/viewjob?jk=d52c6b3de770f7f6")</f>
        <v/>
      </c>
      <c r="F193">
        <f>HYPERLINK("https://jobs.ashbyhq.com/confluent/905efbaa-d814-4b16-a377-d417c7d3d772?utm_source=04jLNO7LD5", "https://jobs.ashbyhq.com/confluent/905efbaa-d814-4b16-a377-d417c7d3d772?utm_source=04jLNO7LD5")</f>
        <v/>
      </c>
      <c r="G193" t="inlineStr">
        <is>
          <t>US</t>
        </is>
      </c>
      <c r="H193" s="3" t="n">
        <v>46051</v>
      </c>
      <c r="I193"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
We are a team of passionate engineers who love solving complex distributed storage systems and infrastructure problems. Through the Tableflow project, we are building the next generation of storage solutions for Kora, transforming it into a true multi\-modal storage engine. Our goal is to enable streaming data to be consumed both as a table and as a stream seamlessly. If you're interested in learning more about the challenges we are tackling, check out our blog post: Tableflow: The Stream/Table, Kafka/Iceberg Duality.
As a Senior Software Engineer on the team, you will focus on advancing key layers of the Tableflow project, including its multi\-tenant, highly available compute infrastructure, and the core components responsible for table materialization and background maintenance. You will tackle challenges such as developing strategies for efficient table materialization and maintenance at massive scale across all of Confluent Cloud, ensuring high availability and scalability for background storage tasks.
**What You Will Do:**
---------------------
* **Storage Engine Development:** Design and implement innovative strategies for table schematization, materialization, and compaction at massive scale.
* **Platform Engineering:** Build and maintain multi\-tenant, highly available infrastructure that powers background computational tasks for Kora’s long\-term storage. Ensure that the platform is optimized for scalability, reliability, and resilience, in alignment with organizational objectives.
* **Cross\-Functional Collaboration:** Collaborate with product management, design, and other engineering teams to ensure seamless integration of storage features and infrastructure with the broader organization.
**What You Will Bring:**
------------------------
* BS, MS, or PhD in computer science or a related field, or equivalent work experience
* Excellent communication and collaboration skills, with the ability to influence and guide stakeholders at all levels.
**What Gives You an Edge:**
---------------------------
* Familiarity with or has experience contributing to the following open\-source technologies: Apache Kafka, Apache Iceberg, Apache Flink
* Experience/knowledge with public clouds (AWS, Azure or GCP)
**Ready to build what's next? Let’s get in motion.**
----------------------------------------------------
**Come As You Are**
===================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$182\.1K \- $245\.8K</t>
        </is>
      </c>
    </row>
    <row r="194">
      <c r="A194" t="inlineStr">
        <is>
          <t>in-fa1b96c50c39c16d</t>
        </is>
      </c>
      <c r="B194" t="inlineStr">
        <is>
          <t>Sr Engineer, Salesforce Software Engineer (2 - 5 years experience)</t>
        </is>
      </c>
      <c r="C194" t="inlineStr">
        <is>
          <t>Nationwide Mutual Insurance Company</t>
        </is>
      </c>
      <c r="D194" t="inlineStr">
        <is>
          <t>indeed</t>
        </is>
      </c>
      <c r="E194">
        <f>HYPERLINK("https://www.indeed.com/viewjob?jk=fa1b96c50c39c16d", "https://www.indeed.com/viewjob?jk=fa1b96c50c39c16d")</f>
        <v/>
      </c>
      <c r="F194">
        <f>HYPERLINK("https://careers.nationwide.com/sr-engineer-salesforce-software-engineer-2-5-years-experience/job/920244903A69A53BE1BEC2DAD5D829A5", "https://careers.nationwide.com/sr-engineer-salesforce-software-engineer-2-5-years-experience/job/920244903A69A53BE1BEC2DAD5D829A5")</f>
        <v/>
      </c>
      <c r="G194" t="inlineStr">
        <is>
          <t>Columbus, OH, US</t>
        </is>
      </c>
      <c r="H194" s="3" t="n">
        <v>46051</v>
      </c>
      <c r="I194"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care.**Join Nationwide Technology and help us deliver secure, innovative solutions that make a difference. Our technology team thrives in an agile, collaborative environment where creativity and excellence drive results. If you’re passionate about quality engineering and want to shape the future of testing on the Salesforce platform, we’d love to hear from you!**
**As a Senior Developer for the Salesforce Platform Team, you will:**
* **Demonstrated mastery of Object\-Oriented Programming (OOP) principles across languages such as Java and/or Salesforce Apex.**
* **Experience using GitHub and contributing to CI/CD pipelines (e.g., GitHub Actions, Harness).**
* **Ability to deliver, operate, and support enterprise‑scale software solutions.**
* **Strong problem‑solving, debugging, and collaboration skills.**
**Preferred Skills:**
* **Salesforce platform development and integrations.**
* **Java services development; Spring Boot a plus.**
* **Python experience for automation or integration support.**
* **Experience aligning with DevOps and “build it, run it” delivery models.**
**\#LI\-AZ1**
**This role will be filled in a hybrid capacity, with collaboration taking place in our Columbus, OH office**
**This role does not qualify for employer\-sponsored work authorization. Nationwide does not participate in the Stem OPT Extension program.**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Senior Software Engineer, you will focus primarily on providing high quality, efficient technology solutions to business partners by crafting new software applications or modifying and/or supporting existing packaged or custom\-built applications. In this capacity, you’ll analyze, code, configure, test, debug, document and maintain applications.**Job Description**
**Key Responsibilities:**
* Analyzes, solutions, develops, tests, debugs, documents and deploys software according to standards and best practices.
* Applies secure software and systems engineering practices throughout the delivery lifecycle to ensure our data and technology solutions are protected from threats and vulnerabilities.
* Uses DevSecOps practices, tooling and techniques.
* Drives continuous improvement and learning through ongoing training, practice and innovation.
* Manages project priorities, deadlines and deliverables proactively.
May perform other responsibilities as assigned.
**Reporting Relationships:** Reports to a Technology Manager/Director.
**Typical Skills and Experiences:**
**Education:** Undergraduate studies in computer science, management information systems, or other related degree. Technology experience or non\-traditional technology certificates can be substituted for an undergraduate degree.
**Experience:** Two or more years of analysis and technology experience.
**Knowledge, Abilities and Skills:** Proficiency in one or more programming language such as Java, C\+\+, Python, JavaScript. Knowledge of software development lifecycle. Proven ability to tackle moderately sophisticated business and development problems. Ability to thrive in a team environment. Insurance/financial services industry knowledge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Office environment may vary based on team and/or location.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Sr Engineer, Software Engineer : $76,000\.00\-$143,000\.00
The expected starting salary range for Sr Engineer, Software Engineer : $76,000\.00 \- $115,000\.00</t>
        </is>
      </c>
    </row>
    <row r="195">
      <c r="A195" t="inlineStr">
        <is>
          <t>in-d36dfef9081c543d</t>
        </is>
      </c>
      <c r="B195" t="inlineStr">
        <is>
          <t>Senior Manager, Software Engineering - Core Pricing</t>
        </is>
      </c>
      <c r="C195" t="inlineStr">
        <is>
          <t>Upstart</t>
        </is>
      </c>
      <c r="D195" t="inlineStr">
        <is>
          <t>indeed</t>
        </is>
      </c>
      <c r="E195">
        <f>HYPERLINK("https://www.indeed.com/viewjob?jk=d36dfef9081c543d", "https://www.indeed.com/viewjob?jk=d36dfef9081c543d")</f>
        <v/>
      </c>
      <c r="F195">
        <f>HYPERLINK("https://careers.upstart.com/jobs/senior-manager-software-engineering-core-pricing", "https://careers.upstart.com/jobs/senior-manager-software-engineering-core-pricing")</f>
        <v/>
      </c>
      <c r="G195" t="inlineStr">
        <is>
          <t>Remote, US</t>
        </is>
      </c>
      <c r="H195" s="3" t="n">
        <v>46051</v>
      </c>
      <c r="I195" t="inlineStr">
        <is>
          <t>**About Upstart**
At Upstart, we’re united by a mission that matters: to radically reduce the cost and complexity of borrowing for all Americans. Every day, we bring creativity, experimentation, and advanced AI to reshape access to credit, helping millions move forward financially with clarity and confidence.
As the leading AI lending marketplace, we partner with banks and credit unions to expand access to affordable credit through technology that’s both radically intelligent and deeply human. Our platform runs over one million predictions per borrower using more than 1,800 signals, powering smarter, fairer decisions for millions of customers. But the numbers only hint at the impact. Every idea, every voice, and every contribution moves us closer to a world where credit never stands between people and their financial progress.
We’re proudly digital\-first, giving most Upstarters the flexibility to do their best work from wherever they thrive, alongside teammates across 80\+ cities in the US and Canada. Digital\-first doesn’t mean distant. We’re intentional about in\-person connection through team onsites, planning sessions, and moments that spark creativity and trust. And whether you choose to work primarily from home or collaborate in\-person from one of our offices in Columbus, Austin, the Bay Area, or New York City (opening Summer 2026\), you’ll have the support to work in the way that works best for you.
If you’re energized by tackling meaningful problems, excited to innovate with purpose, and motivated by work that truly matters, we’d love to hear from you.
* **The Team**
The Core Pricing team is at the heart of Upstart’s financial infrastructure. Nearly every borrower experience, product workflow, and partner integration relies on the systems this team builds and maintains. Core Pricing owns critical backend services that price loans across products and partners, integrate with underwriting models and downstream platforms, and operate under strict requirements for latency, correctness, and reliability. These services sit directly on the revenue path and function within a regulated environment, serving both internal and external stakeholders. The team supports a mix of legacy infrastructure and greenfield development as we continue evolving our pricing architecture.
**How You’ll Make an Impact**
	+ Lead, coach, and grow a team of backend engineers and an engineering manager, fostering a culture of accountability and ownership.
	+ Own team execution and delivery across multiple quarters, ensuring Core Pricing systems meet high standards for uptime, accuracy, and responsiveness.
	+ Guide technical strategy across legacy and next\-generation pricing systems, balancing short\-term execution with long\-term architectural goals.
	+ Ensure changes to pricing systems are production\-safe, observable, and rigorously validated, maintaining SLAs and leading incident response when needed.
	+ Collaborate cross\-functionally with Product, Risk, Servicing, Analytics, and external partners to deliver complex, multi\-team initiatives.
	Use key metrics—including reliability, latency, and partner escalations—to align engineering priorities with borrower impact and business objectives.  
	+**Minimum Qualifications**
	+ 10–15 years of software engineering experience, including 4–7 years managing high\-performing engineering teams.
	+ Demonstrated ownership of systems with strict reliability, latency, and **correctness constraints.**
	+ Domain experience in pricing, fintech, lending, payments, marketplaces, or real\-time decisioning systems.
	+ Strong system design and architectural skills, with the ability to dive deep into technical issues as needed.
	+ Deep experience leading backend and distributed systems in production environments.
	+ Proven success leading cross\-functional, multi\-quarter initiatives in complex, fast\-paced environments.
	+ Excellent communication skills and the ability to effectively collaborate with both technical and non\-technical stakeholders.
	+ Strong product intuition and business judgment, with the ability to assess tradeoffs, risk, and long\-term impact.**Preferred Qualifications**
	+ Familiarity with operating in regulated environments and working with external partners.
	+ Experience specifically in fintech or finance, working with pricing, risk, or other Machine Learning adjacent teams where correctness and regulatory compliance is critical.
**Position location** This role is available in the following locations: Remote, USA
**Time zone requirements** The team operates on the East and West coast time zones.
**Travel requirements** As a digital first company, the majority of your work can be accomplished remotely. The majority of our employees can live and work anywhere in the U.S but are encouraged to to still spend high quality time in\-person collaborating via regular onsites. The in\-person sessions’ cadence varies depending on the team and role; most teams meet once or twice per quarter for 2\-4 consecutive days at a time.
At Upstart, your base pay is one part of your total compensation package. The anticipated base salary for this position is expected to be within the below range. Your actual base pay will depend on your geographic location–with our “digital first” philosophy, Upstart uses compensation regions that vary depending on location. Individual pay is also determined by job\-related skills, experience, and relevant education or training. Your recruiter can share more about the specific salary range for your preferred location during the hiring process.
In addition, Upstart provides employees with target bonuses, equity compensation, and generous benefits packages (including medical, dental, vision, and 401k).
United States \| Remote \- Anticipated Base Salary Range
$195,000—$270,000 USD
**What you'll love**
At Upstart, our benefits are designed to support your health, financial well\-being, family, and personal growth. Here’s what you can expect:
* Competitive compensation, including base pay, bonus opportunities, and annual equity grants that vest quarterly
* Generous 401(k) plan with Upstart matching $2 for every $1 contributed, up to $15,000 per year
* Employee Stock Purchase Plan (ESPP) with discounted stock purchase options for eligible employees
* Affordable medical, dental, and vision coverage, with multiple plan options \- Upstart covers 90% to 100% of the cost depending on the plans you choose
* Health Savings Account contributions from Upstart for eligible plans
* Income protection benefits, including company\-paid Basic Life, AD\&amp;D, and Short\- and Long\-Term Disability coverage, with options to purchase supplemental coverage
* Paid time off, sick and safe time, and company holidays
* Paid family and parental leave to support caregiving and major life moments
* Family\-centered benefits through Carrot and Cleo, supporting fertility, parenthood, and caregiving
* Employee Assistance Program (EAP) offering mental health support and life\-centered resources
* Financial wellness resources, including access to financial planning tools and a financial concierge service
* Annual wellness allowance to support your physical and emotional well\-being and personal development, based on what matters most to you
* Annual productivity allowance to invest in relevant tools and resources you need to do your best work, no matter where you work from
* Connection and community through team events and onsites, all\-company updates, and employee resource groups (ERGs)
* Onsite perks, including catered lunches and fully stocked micro\-kitchens when working from one of our four offices, located in the Bay Area, Austin, Columbus, and New York City (opening Summer 2026!).
Upstart is a proud Equal Opportunity Employer. Just as we are dedicated to improving access to affordable credit for all, we are committed to inclusive and fair hiring practices.
*If you require reasonable accommodation in completing an application, interviewing, completing any pre\-employment testing, or otherwise participating in the employee selection process, please email* ***candidate\_accommodations@upstart.com***
**https://www.upstart.com/candidate\_privacy\_policy**</t>
        </is>
      </c>
    </row>
    <row r="196">
      <c r="A196" t="inlineStr">
        <is>
          <t>in-09fb6f304b1de905</t>
        </is>
      </c>
      <c r="B196" t="inlineStr">
        <is>
          <t>Member of Technical Staff - Backend Engineer, Copilot Memory and Personalization</t>
        </is>
      </c>
      <c r="C196" t="inlineStr">
        <is>
          <t>Microsoft</t>
        </is>
      </c>
      <c r="D196" t="inlineStr">
        <is>
          <t>indeed</t>
        </is>
      </c>
      <c r="E196">
        <f>HYPERLINK("https://www.indeed.com/viewjob?jk=09fb6f304b1de905", "https://www.indeed.com/viewjob?jk=09fb6f304b1de905")</f>
        <v/>
      </c>
      <c r="F196">
        <f>HYPERLINK("https://apply.careers.microsoft.com/careers/job/1970393556749075?utm_source=indeed&amp;domain=microsoft.com", "https://apply.careers.microsoft.com/careers/job/1970393556749075?utm_source=indeed&amp;domain=microsoft.com")</f>
        <v/>
      </c>
      <c r="G196" t="inlineStr">
        <is>
          <t>CA, US</t>
        </is>
      </c>
      <c r="H196" s="3" t="n">
        <v>46049</v>
      </c>
      <c r="I196" t="inlineStr">
        <is>
          <t>**Overview**  
As Microsoft continues to push the boundaries of AI, we are on the lookout for passionate individuals to work with us on the most interesting and challenging AI questions of our time. Our vision is bold and broad — to build systems that have true artificial intelligence across agents, applications, services, and infrastructure. It’s also inclusive: we aim to make AI accessible to all — consumers, businesses, developers — so that everyone can realize its benefits.
Microsoft AI (MAI) is seeking an experienced Backend Engineer to help build Copilot memory and personalization — AI that remembers, evolves, and grows with each user. You’ll work in a highly collaborative, fast\-paced environment to develop systems that deepen memory with every interaction, personalize experiences to reflect each user’s unique style and goals, and make interactions feel more like working with a trusted partner than using a tool.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MAI employees are expected to work from a designated Microsoft office at least four days a week if they live within 50 miles (U.S.) or 25 miles (non\-U.S., country\-specific) of that location. This expectation is subject to local law and may vary by jurisdiction.  
**Responsibilities**  
* Design and build large\-scale Copilot memory and personalization systems leveraging search, embeddings, retrieval, ranking, and Retrieval\-Augmented Generation (RAG).
* Apply subject\-matter expertise in cross\-product features, collaborating with appropriate stakeholders to drive project plans, release plans, and deliverables across multiple groups.
* Hold accountability as a Designated Responsible Individual (DRI), mentoring engineers across products/solutions, working on\-call to monitor system/product/service for degradation, downtime, or interruptions.
* Proactively seek out new knowledge and adapt to new trends, technical solutions, and patterns that improve the availability, reliability, efficiency, observability, and performance of products while also driving consistency in monitoring and operations at scale and share knowledge with other engineers.
* Enjoy working in a fast\-paced, design\-driven, product development cycle.
* Navigate ambiguity and clear roadblocks to deliver solutions quickly and iteratively, ensuring they reach users effectively.
* Embody our culture and values
**Qualifications**  
Required Qualification* Bachelor's Degree in Computer Science or related technical field AND 6\+ years technical engineering experience with coding in languages including, but not limited to, C, C\+\+, C\#, Java, JavaScript, or Python OR equivalent experience.
Preferred Qualifications* Bachelor's Degree in Computer Science OR related technical field AND 12\+ years technical engineering experience with coding in languages including, but not limited to, C, C\+\+, C\#, Java, JavaScript, OR Python OR Master's Degree in Computer Science or related technical field AND 15\+ years technical engineering experience with coding in languages including, but not limited to, C, C\+\+, C\#, Java, JavaScript, or Python OR equivalent experience.
* Thrive in a fast\-paced, collaborative environment and are comfortable making progress in ambiguity.
* Experience building and deploying machine learning or large language model (LLM) applications at scale.
* Experience designing and implementing large\-scale embedding, retrieval, and ranking systems.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97">
      <c r="A197" t="inlineStr">
        <is>
          <t>in-80eb5e5dd37ead54</t>
        </is>
      </c>
      <c r="B197" t="inlineStr">
        <is>
          <t>Senior Software Engineer</t>
        </is>
      </c>
      <c r="C197" t="inlineStr">
        <is>
          <t>Microsoft</t>
        </is>
      </c>
      <c r="D197" t="inlineStr">
        <is>
          <t>indeed</t>
        </is>
      </c>
      <c r="E197">
        <f>HYPERLINK("https://www.indeed.com/viewjob?jk=80eb5e5dd37ead54", "https://www.indeed.com/viewjob?jk=80eb5e5dd37ead54")</f>
        <v/>
      </c>
      <c r="F197">
        <f>HYPERLINK("https://apply.careers.microsoft.com/careers/job/1970393556748736?utm_source=indeed&amp;domain=microsoft.com", "https://apply.careers.microsoft.com/careers/job/1970393556748736?utm_source=indeed&amp;domain=microsoft.com")</f>
        <v/>
      </c>
      <c r="G197" t="inlineStr">
        <is>
          <t>Redmond, WA, US</t>
        </is>
      </c>
      <c r="H197" s="3" t="n">
        <v>46048</v>
      </c>
      <c r="I197"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The Security and Compliance team within Azure Databases is on a mission to offer the most secure database services on the planet – from on\-premises data centers to the cloud. Security, compliance, and data privacy are top concerns for our customers and the Security \&amp; Compliance team plays a pivotal role in drawing new businesses to our platform by being “built on trust”.  
We are hiring a Senior Software Engineer who is proficient in all layers of the technology stack (from infrastructure to front\-end) to help drive security and compliance improvements across our fleet of products. As a Senior Software Engineer on the Azure Databases Infrastructure Security Team, you will work at the intersection between engineering and security to identify and apply shift\-left mitigations to improve our infrastructure and application security posture. In this role, you will help to improve security outcomes through coding, architectural changes, and evangelization of security best practices.
We do not just value differences or different perspectives. We seek them out and invite them in so we can tap into the collective power of everyone in the company. As a result, our customers are better served.
 **Responsibilities**  
* Software engineering for scale – The Azure Databases Infrastructure Security Team is an engineering team and will be building at\-scale solutions for Azure Databases. Engineers need a deep understanding of the broader system to provide solutions that improve the security posture in a standardized way. This involves creating libraries for standardized security functions, proof\-of\-concept code, and foundational changes to enable the Azure Database platform to operate securely.
* Cross\-organization collaboration – The Azure Databases Infrastructure Security Team is a partner team to other Microsoft/Azure security teams that are tasked with other aspects of security like compliance, network monitoring, SDL, and Azure’s own internal red\-teams. Understanding what these teams are doing, the problems they face, and working on complementary efforts is key.
* Security Design and Architecture \- The Azure Databases Infrastructure Security Team is a security team. It operates on the forefront of emerging threats which affect cloud services and infrastructure. This includes understanding the attack vectors, behaviors, and tools that are being used in the wild as well as the most modern defenses. Using this knowledge, we provide durable solutions which help all teams in Azure Databases to provide secure and trusted platforms.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Prior experience building services which run on Microsoft Azure, Amazon Web Services, Google Cloud or Oracle Cloud Infrastructure.
* Experience with containerization/microservice technologies (Service Fabric, Kubernetes)
* Familiarity with cloud infrastructure and authentication/authorization protocols.
* Proficiency in scripting and analysis tools (e.g., Kusto, Splunk, Python, PowerShell).
* Demonstrated site reliability engineering experience.
* Experience with Continuous Integration and Continuous Deployment system paradigms.
* Previous experience in identity or security domain areas.
\#azdat \#azuredata \#security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98">
      <c r="A198" t="inlineStr">
        <is>
          <t>in-77047d53b18d191c</t>
        </is>
      </c>
      <c r="B198" t="inlineStr">
        <is>
          <t>Software Engineer II- Front-End / Full-Stack</t>
        </is>
      </c>
      <c r="C198" t="inlineStr">
        <is>
          <t>Microsoft</t>
        </is>
      </c>
      <c r="D198" t="inlineStr">
        <is>
          <t>indeed</t>
        </is>
      </c>
      <c r="E198">
        <f>HYPERLINK("https://www.indeed.com/viewjob?jk=77047d53b18d191c", "https://www.indeed.com/viewjob?jk=77047d53b18d191c")</f>
        <v/>
      </c>
      <c r="F198">
        <f>HYPERLINK("https://apply.careers.microsoft.com/careers/job/1970393556748607?utm_source=indeed&amp;domain=microsoft.com", "https://apply.careers.microsoft.com/careers/job/1970393556748607?utm_source=indeed&amp;domain=microsoft.com")</f>
        <v/>
      </c>
      <c r="G198" t="inlineStr">
        <is>
          <t>Redmond, WA, US</t>
        </is>
      </c>
      <c r="H198" s="3" t="n">
        <v>46048</v>
      </c>
      <c r="I198" t="inlineStr">
        <is>
          <t>**Overview**  
Are you a front\-end engineer eager to shape the future of web applications? Join us at Microsoft Teams—our flagship product driving intelligent communications through chats, meetings, documents, Office apps, and third\-party services.
As part of the Framework group, you'll build universal software components and establish common development and design practices that power the Teams environment. We value engineers who craft responsive UIs and robust frameworks with performance and reliability in mind. Our inclusive, casual, high\-energy culture is rooted in customer needs and embraces innovation, including AI\-powered development.
 **Responsibilities** **Responsibilities**
As a member of the team, your responsibilities will include:
* Develop and maintain front\-end web framework features using JavaScript/TypeScript.
* Contribute to UX performance and front\-end maintainability improvements by profiling, debugging, and implementing scoped fixes in collaboration with partners across engineering, design, and product.
* Approach problems with an AI\-first (agent/skills\-first) development mindset using tools such as Claude Code and GitHub Copilot to accelerate investigation, implementation planning, and iteration toward clean, reviewable pull requests, while maintaining engineering rigor through testing, telemetry/monitoring, and code review.
* Invest in the growth of an inclusive and capable environment by collaborating respectfully and constructively with teammates.
**Qualifications** **Successful candidates should have:**
* Strong proficiency in JavaScript and/or TypeScript, with experience in front\-end development and testing using frameworks like React, GraphQL, and FluentUI.
* Familiarity with accessibility\-focused software development patterns and a commitment to inclusive design using web technologies.
* Experience leveraging AI tools such as Claude Code and GitHub Copilot for coding, code review, automated testing, and continuous integration.
* Ability to quickly ramp up on new technologies and adopt solutions from Microsoft or the open\-source community.
* Exceptional problem\-solving, debugging, communication, continuous learning, and critical thinking skills, with a strong sense of customer empathy.
* Experience with agile project management methodologies and a passion for using AI to improve team collaboration, code reliability, and customer outcomes.
 **Qualifications**
3\+ years of software development experience.
BS Degree in CS, related engineering field, or equivalent experience.
2\+ years of experience on front\-end development will be a bonus.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99">
      <c r="A199" t="inlineStr">
        <is>
          <t>in-173235579cc687f5</t>
        </is>
      </c>
      <c r="B199" t="inlineStr">
        <is>
          <t>Principal Security Software Engineer</t>
        </is>
      </c>
      <c r="C199" t="inlineStr">
        <is>
          <t>HP</t>
        </is>
      </c>
      <c r="D199" t="inlineStr">
        <is>
          <t>indeed</t>
        </is>
      </c>
      <c r="E199">
        <f>HYPERLINK("https://www.indeed.com/viewjob?jk=173235579cc687f5", "https://www.indeed.com/viewjob?jk=173235579cc687f5")</f>
        <v/>
      </c>
      <c r="F199">
        <f>HYPERLINK("https://hp.wd5.myworkdayjobs.com/en-US/ExternalCareerSite/job/Spring-Texas-United-States-of-America/Principal-Security-Software-Engineer_3157754-1", "https://hp.wd5.myworkdayjobs.com/en-US/ExternalCareerSite/job/Spring-Texas-United-States-of-America/Principal-Security-Software-Engineer_3157754-1")</f>
        <v/>
      </c>
      <c r="G199" t="inlineStr">
        <is>
          <t>Spring, TX, US</t>
        </is>
      </c>
      <c r="H199" s="3" t="n">
        <v>46048</v>
      </c>
      <c r="I199" t="inlineStr">
        <is>
          <t>**Description \-**
This role is responsible for leading the effort to ensure the security of software products by designing and implementing comprehensive security strategies, guidelines, and practices. The role is at the forefront of ensuring the security of software products. The role collaborates with development teams to implement security measures, conduct assessments, and design safeguards that protect applications from potential threats and vulnerabilities. The role showcases expertise and contributes to the creation of secure software solutions that instill confidence in users and stakeholders.
**Responsibilities**  
* Oversees the organization of on\-going security testing and code review to improve software security; updates security testing plans to ensure known vulnerabilities will not resurface.
* Uses a vast understanding of product security principles to design complex, new software solutions to help mitigate security vulnerabilities.
* Reviews and evaluates designs and project activities for compliance with security standards and guidelines; provides tangible feedback to improve product quality and mitigate risk.
* Leads internal teams in the adoption of SDL, specifically source code analysis, threat modeling, risk analysis, and writing product security requirements.
* Anticipates bottlenecks, provides escalation management, makes tradeoffs, and balances the business needs versus technical constraints.
* Defines and enforces security requirements and guidelines throughout the software development lifecycle to ensure that security is integrated from the beginning.
* Ensures software products adhere to relevant security regulations, industry standards, and compliance requirements.
* Utilizes a master level understanding of product security best practices to inform and drive secure coding practices across the organization.
* Communicates and coordinates with multiple teams on security and operational incidents.
* Serves as an expert level resource with regard to secure coding practices.
**Education \&amp; Experience** Recommended
* Four\-year or Graduate Degree in Computer Science, Software Engineering, or any other related discipline or commensurate work experience or demonstrated competence.
* Typically has 10\+ years of work experience, preferably in software security and automation, or a related field.
**Preferred Certifications**  
* Certified Information Systems Security Professional
* Systems Security Certified Practitioner
**Knowledge \&amp; Skills**  
* Agile Methodology
* Automation
* CI/CD
* Code Review
* Computer Science
* Continuous Integration
* Cyber Security
* DevOps
* Github
* Java (Programming Language)
* Object\-Oriented Programming (OOP)
* Product Design
* Python (Programming Language)
* Secure Coding
* Security Software
* Software Development
* Software Engineering
* Systems Development Life Cycle
* Threat Modeling
* Vulnerability
**Cross\-Org Skills**  
* Effective Communication
* Results Orientation
* Learning Agility
* Digital Fluency
* Customer Centricity
**Impact \&amp; Scope**  
* Impacts large functions and leads large, cross\-division functional teams or projects.
**Complexity**  
* Provides highly innovative solutions to complex problems within established policy.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 US benefits overview )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200">
      <c r="A200" t="inlineStr">
        <is>
          <t>in-2b3cdf7098314eab</t>
        </is>
      </c>
      <c r="B200" t="inlineStr">
        <is>
          <t>Principal Security Software Engineer</t>
        </is>
      </c>
      <c r="C200" t="inlineStr">
        <is>
          <t>HP</t>
        </is>
      </c>
      <c r="D200" t="inlineStr">
        <is>
          <t>indeed</t>
        </is>
      </c>
      <c r="E200">
        <f>HYPERLINK("https://www.indeed.com/viewjob?jk=2b3cdf7098314eab", "https://www.indeed.com/viewjob?jk=2b3cdf7098314eab")</f>
        <v/>
      </c>
      <c r="F200">
        <f>HYPERLINK("https://hp.wd5.myworkdayjobs.com/en-US/ExternalCareerSite/job/Spring-Texas-United-States-of-America/Principal--Security-Software-Engineer_3156918-1", "https://hp.wd5.myworkdayjobs.com/en-US/ExternalCareerSite/job/Spring-Texas-United-States-of-America/Principal--Security-Software-Engineer_3156918-1")</f>
        <v/>
      </c>
      <c r="G200" t="inlineStr">
        <is>
          <t>Spring, TX, US</t>
        </is>
      </c>
      <c r="H200" s="3" t="n">
        <v>46048</v>
      </c>
      <c r="I200" t="inlineStr">
        <is>
          <t>**Description \-**
We are looking for a Principal Security Software Engineer that a 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junior level employees.
***Responsibilities:***
* Architects and leads project(s) team(s) of other software systems engineers and internal and/or outsourced development partners responsible for all stages of design and development for complex products and platforms, including solution design, analysis, coding, testing, and integration.
* Manages and expands relationships with internal and/or outsourced development partners on software systems design and development.
* Reviews and evaluates designs and project activities for compliance with systems design and development guidelines and standards; provides tangible feedback to improve product quality and mitigate failure risk.
* Provides domain\-specific expertise and overall software systems leadership and perspective to cross\-organization projects, programs, and activities.
* Drives innovation and integration of new technologies into projects and activities in the software systems design organization.
* Provides guidance and mentoring to less\- experienced staff members.
***Education and Experience Required:***
* Bachelor's or master's degree in computer science, Information Systems, or equivalent.
* 10\-15 years of experience.
***Knowledge and Skills:***
* Extensive experience with multiple software systems design tools and languages in the area of Cloud.
* Extensive experience in System design, scalability, reliability, performance and software products / solutions development
* Hands\-on cloud development experience
* Understands the Security landscape and big picture
* Excellent analytical and problem solving skills.
* Experience in overall architecture of software systems for products and solutions.
* Designing and integrating software systems running on multiple platform types into overall architecture.
* Evaluating forms and processes for software systems testing and methodology, including writing and execution of test plans, debugging, and testing scripts and tools.
* Excellent written and verbal communication skills; mastery in English and local language. Ability to effectively communicate product architectures, design proposals and negotiate options at senior management levels.
**Required Skills**
* Expert level experience in AWS Cloud, Kubernetes (EKS / AKS), Docker / Containers, API design \&amp; implementation
* Must have proficiency in Python, Django , C\#, design patterns, .Net technologies, Java, Javascript, UI technologies
* Experience in developing solution Cloud and/or server applications technologies
* Prior experience in successful delivery of multiple products to the market
* Ability to build software solutions from ground up
* Good knowledge of the Certificates, Security, AWS services, local/domain user security and general operating system
* Hands on knowledge on programming (multi\-threading, sockets, etc.), and application development
* Skilled in Troubleshooting and resolving complex Application issues
* Self\-starter with desire to work across a variety of requirements
* Ability to execute the plan in timely manner and with good quality is highly preferred.
* Comfortable with DBA Knowledge with MS Sql Server and other relational databases.
* Knowledge and experience in Infrastructure as Code (IaC) will be preferred
The pay range for this role is **$147,050** to **$230,850**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 US benefits overview )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201">
      <c r="A201" t="inlineStr">
        <is>
          <t>in-2c2a1660db2de9a6</t>
        </is>
      </c>
      <c r="B201" t="inlineStr">
        <is>
          <t>Software Engineer II - Finance Data &amp; Experiences</t>
        </is>
      </c>
      <c r="C201" t="inlineStr">
        <is>
          <t>Microsoft</t>
        </is>
      </c>
      <c r="D201" t="inlineStr">
        <is>
          <t>indeed</t>
        </is>
      </c>
      <c r="E201">
        <f>HYPERLINK("https://www.indeed.com/viewjob?jk=2c2a1660db2de9a6", "https://www.indeed.com/viewjob?jk=2c2a1660db2de9a6")</f>
        <v/>
      </c>
      <c r="F201">
        <f>HYPERLINK("https://apply.careers.microsoft.com/careers/job/1970393556747921?utm_source=indeed&amp;domain=microsoft.com", "https://apply.careers.microsoft.com/careers/job/1970393556747921?utm_source=indeed&amp;domain=microsoft.com")</f>
        <v/>
      </c>
      <c r="G201" t="inlineStr">
        <is>
          <t>Redmond, WA, US</t>
        </is>
      </c>
      <c r="H201" s="3" t="n">
        <v>46047</v>
      </c>
      <c r="I201" t="inlineStr">
        <is>
          <t>**Overview**  
Ready to shape the future of how Microsoft operates its \~$250B\+ business portfolio?
Are you passionate about AI, data, and transformative user experiences? Do you bring energy, curiosity, and a strong sense of ownership to your work?
The Finance Data \&amp; Experiences (FD\&amp;E) organization is on a mission to redefine how Microsoft measures, monitors, and optimizes its global business — and we’re looking for top talent to join us. This is a unique opportunity to lead with bold ideas, apply cutting\-edge technology, and work across Finance, Sales, Marketing, Business Operations, and Product Engineering to deliver high\-impact business solutions. The right candidate will thrive in fast\-paced, cross\-functional environments, bring fresh thinking to complex problems, and be eager to learn to take ownership of end\-to\-end processes and outcomes. Join us and be part of a team that’s pushing the boundaries of innovation, taking risks, and implementing AI to drive business excellence.
At FD\&amp;E, we foster a culture of customer centricity, innovation, agility, and transparency — and we’re building a team that’s ready to help Microsoft chart its next chapter in AI\-driven business excellence.
 **Responsibilities**  
As a Software Engineer II at Microsoft, you’ll be part of a team of world\-class engineers leveraging cutting\-edge Microsoft Cloud and AI technologies to deliver modern, scalable, and intelligent systems that drive the Microsoft business forward.
This is a unique opportunity to kickstart and grow your career with deep hands\-on exposure to Microsoft technologies, while developing your software engineering skills in an inclusive, growth\-oriented environment.
* Design, develop, deploy, and operate scalable cloud\-based data, analytics, automation and tooling solutions using modern data platforms and Cloud services.
* Integrate AI capabilities such as Azure OpenAI, Cognitive Services, and ML models to enhance system intelligence and user productivity.
* Apply engineering best practices as you design and deliver high\-quality, scalable solutions. Own your solution end\-to\-end through design, implementation, and operations.
* Implement robust monitoring, logging and alerting for proactive issue detection. Leverage telemetry and usage analytics to understand customer behavior and inform product decisions.
* Collaborate cross\-functionally across stakeholders, product managers, and other engineers to deliver integrated, customer\-focused experiences.
* Contribute to the evolution of Microsoft’s data platforms through technical feedback and innovation.
* Champion a culture of diversity, inclusion, customer obsession, and continuous learning.
 **Qualifications**  
**Required Qualifications*** Bachelor's Degree in Computer Science or related technical field AND 2\+ years technical engineering experience with coding in languages including, but not limited to, C, C\+\+, C\#, Java, JavaScript, or Python
	+ OR equivalent experience.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4\+ years of software development experience with big data processing and online services, including hands‑on work with Microsoft Fabric (Lakehouse, Dataflows Gen2, Notebooks) and Azure data services (Data Factory, Synapse, ADLS).
* 4\+ years of experience with any of the following: DAX, Excel, Power BI, Power Query, Tableau, SQL.
* Experience building cloud services on Azure; exposure to Microsoft Azure or other cloud platforms (GCP, AWS).
* Experience with or exposure to Agile and iterative development processes.
* Exposure to Microsoft Azure or other cloud platforms (GCP, AWS).
* Familiarity with AI/ML fundamentals, tools (like Azure ML, OpenAI), or data analytics workflows.
* Understanding of version control systems (Git) and DevOps practices.
* Strong analytical and problem\-solving skills with a structured approach to design.
* Collaborative, curious, and passionate about solving real\-world customer challenges.
* Understanding finance data and business rhythms is a plus.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2">
      <c r="A202" t="inlineStr">
        <is>
          <t>in-cc5213191989d289</t>
        </is>
      </c>
      <c r="B202" t="inlineStr">
        <is>
          <t>Senior Software Engineer</t>
        </is>
      </c>
      <c r="C202" t="inlineStr">
        <is>
          <t>Microsoft</t>
        </is>
      </c>
      <c r="D202" t="inlineStr">
        <is>
          <t>indeed</t>
        </is>
      </c>
      <c r="E202">
        <f>HYPERLINK("https://www.indeed.com/viewjob?jk=cc5213191989d289", "https://www.indeed.com/viewjob?jk=cc5213191989d289")</f>
        <v/>
      </c>
      <c r="F202">
        <f>HYPERLINK("https://apply.careers.microsoft.com/careers/job/1970393556748169?utm_source=indeed&amp;domain=microsoft.com", "https://apply.careers.microsoft.com/careers/job/1970393556748169?utm_source=indeed&amp;domain=microsoft.com")</f>
        <v/>
      </c>
      <c r="G202" t="inlineStr">
        <is>
          <t>Redmond, WA, US</t>
        </is>
      </c>
      <c r="H202" s="3" t="n">
        <v>46047</v>
      </c>
      <c r="I202" t="inlineStr">
        <is>
          <t>**Overview**  
Microsoft 365(M365\) Intelligent Conversation and Communications Cloud is the platform that powers billions of real\-time customer conversations across Teams, Skype, Dynamics, and third\-party solutions (through Azure Communication Services). The platform enables reliable and high\-quality messaging, meeting, and audio/video calling services that work every time, from anywhere, seamlessly across all customer touchpoints. Conversations on our platforms are made more intelligent in real\-time, empowering best\-in\-class productivity tools for the modern workplace where every call, meeting, or chat will make the next one better. IC3 Policies and settings are critical to drive adoption and revenue of Teams. We grew our global Teams MAU from 50M to 330M since 2020 through addition of over 600 controls spread across 50 policies and 25 settings. Our policy platform is a hyperscale platform serving 75 unique policies resulting in 3 billion runtime resolutions per day.
Join the IC3 policy team, where we are at the forefront of modernizing tenant policy administration for Microsoft Teams. As a **Senior Software Engineer**, you will lead the design and development of scalable microservices that support secure, intelligent, and compliant policy enforcement across global and sovereign cloud environments. You will play a pivotal role in integrating **AI and Copilot capabilities** into policy workflows, enabling proactive insights, automated governance, and enhanced user experiences. This role demands technical depth, architectural leadership, and cross\-functional collaboration to deliver resilient and enterprise\-grade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Architect and implement distributed systems that power tenant policy enforcement, configuration, and monitoring in Microsoft Teams.
* Lead modernization efforts by deprecating hyperscale legacy systems and transitioning to microservices aligned with platform standards.
* Drive AI/Copilot integration into policy services to automate policy management, surface intelligent recommendations, and improve administrator productivity.
* Collaborate with partner teams to deliver cohesive, scalable, and compliant solutions.
* Mentor engineers, conduct design reviews, and uphold engineering standards through code quality, reliability, and performance optimization.
* Own service health through on\-call rotations, incident response, and proactive monitoring strategies.
**Qualifications** **Required Qualifications:**
* Bachelor's Degree in Computer Science, or related technical discipline AND 4\+ years technical engineering experience with coding in languages including, but not limited to, C, C\+\+, C\#, Java, JavaScript, or Python
	+ OR equivalent experience.
**Preferred Qualifications:**
* Demonstrated experience designing and delivering production\-grade services at scale.
* Reliable understanding of distributed systems, data consistency models, and service reliability.
* Experience with secure development practices and privacy\-by\-design principles.
* Proficient communication skills and a track record of cross\-team collaboration and mentorship.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3">
      <c r="A203" t="inlineStr">
        <is>
          <t>in-5c161440effb9203</t>
        </is>
      </c>
      <c r="B203" t="inlineStr">
        <is>
          <t>Software Engineer</t>
        </is>
      </c>
      <c r="C203" t="inlineStr">
        <is>
          <t>Microsoft</t>
        </is>
      </c>
      <c r="D203" t="inlineStr">
        <is>
          <t>indeed</t>
        </is>
      </c>
      <c r="E203">
        <f>HYPERLINK("https://www.indeed.com/viewjob?jk=5c161440effb9203", "https://www.indeed.com/viewjob?jk=5c161440effb9203")</f>
        <v/>
      </c>
      <c r="F203">
        <f>HYPERLINK("https://apply.careers.microsoft.com/careers/job/1970393556746587?utm_source=indeed&amp;domain=microsoft.com", "https://apply.careers.microsoft.com/careers/job/1970393556746587?utm_source=indeed&amp;domain=microsoft.com")</f>
        <v/>
      </c>
      <c r="G203" t="inlineStr">
        <is>
          <t>US</t>
        </is>
      </c>
      <c r="H203" s="3" t="n">
        <v>46044</v>
      </c>
      <c r="I203" t="inlineStr">
        <is>
          <t>**Overview**  
Have you ever imagined the world with an infinite amount of storage available and accessible to everyone? A place where everyone in the world can easily access their books/music/photos/video/any data from anywhere at any time via any means (e.g. mobile phones, tablets, PCs, smart devices, etc). Did you ever desire a universally accessible storage system to record all the knowledge known to mankind, to keep all the books/music/videos ever created, or to store all the data collected from all the scientists in the world for them to collaborate with? Do you want to be part of a team that strives to bring these to reality?
If so, the Microsoft Azure Storage team is what you are looking for. We are building Microsoft’s cloud storage solution \- Microsoft Azure Storage, which is a massively scalable, highly distributed, ubiquitously accessible storage system, designed to scale out and serve the entire world. We continue to have tremendous hockey stick growth, with many Exabyte’s of data stored, and are designing and building systems for Zettabyte scale to support demand growth for the coming years.  
We are looking for engineers who are passionate about distributed storage, more specifically on building the Platform that will power all of Azure Storage and for distributed systems. We want talented engineers that are comfortable working on a fast\-paced team and thrive in a startup like environment. The Azure Storage Armada Platform team is a platform that will power Azure Storage services and provide elasticity and scalability to the services. The Platform is going to support the exponential growth in the coming years and presents many interesting technical problems. Our mantra is to innovate, grow and learn.  
To be successful in these areas, you must have a growth mindset and be curious. You will be solving challenges related to scale and reliability for a distributed system. You will have an opportunity to make high impact changes on a daily basis as you build a hyper scale storage system that may indirectly or directly be used daily by your friends and family.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\#azurecorejobs\#EiP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4">
      <c r="A204" t="inlineStr">
        <is>
          <t>in-0d5c455504881014</t>
        </is>
      </c>
      <c r="B204" t="inlineStr">
        <is>
          <t>Software Engineer</t>
        </is>
      </c>
      <c r="C204" t="inlineStr">
        <is>
          <t>Microsoft</t>
        </is>
      </c>
      <c r="D204" t="inlineStr">
        <is>
          <t>indeed</t>
        </is>
      </c>
      <c r="E204">
        <f>HYPERLINK("https://www.indeed.com/viewjob?jk=0d5c455504881014", "https://www.indeed.com/viewjob?jk=0d5c455504881014")</f>
        <v/>
      </c>
      <c r="F204">
        <f>HYPERLINK("https://apply.careers.microsoft.com/careers/job/1970393556746621?utm_source=indeed&amp;domain=microsoft.com", "https://apply.careers.microsoft.com/careers/job/1970393556746621?utm_source=indeed&amp;domain=microsoft.com")</f>
        <v/>
      </c>
      <c r="G204" t="inlineStr">
        <is>
          <t>US</t>
        </is>
      </c>
      <c r="H204" s="3" t="n">
        <v>46044</v>
      </c>
      <c r="I204" t="inlineStr">
        <is>
          <t>**Overview**  
Azure Batch is seeking Software Engineers of all levels to join our growing Dublin team. Azure Batch powers some of the world’s most robust large\-scale compute workloads, enabling organizations to run millions of jobs in parallel, supporting HPC workloads in industries including AI, genomics and climate modelling. With increasing demand for large\-scale HPC and AI services, we’re building the next generation of solutions to deliver seamless access to cutting\-edge compute, networking, and storage resources.
Azure Batch processes billions of tasks every month, supporting global enterprises and research institutions as they tackle their most intensive data and computation challenges. Our service is trusted by customers around the world in workloads that accelerate drug discovery to the next AI/LLM breakthrough.  
In addition to traditional HPC scenarios, Azure Batch also powers Artificial Intelligence workloads, serving as the backbone for many of Microsoft’s most advanced AI products and services. By enabling vast parallelization and dynamic resource allocation, Azure Batch accelerates machine learning training, model inference, and large\-scale data analysis, helping teams unlock new possibilities in AI research and deployment.  
You’ll collaborate with a talented team of experts in distributed systems and cloud computing to create secure, innovative, and scalable products that empower customers to orchestrate and manage HPC and AI workloads on Azure. Together, we’ll redefine what’s possible for compute in the cloud.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Contributes to design, implementation, test, deployment, maintenance, and support of various product features in one or more service components.
* Consistently produces extensible, maintainable, reusable, and testable code.
* Contributes to technical reviews to assure the product meets Microsoft's quality and security standards.
* Participates in on\-call rotations and postmortem reviews to improve service resilience.
* Contributes to efforts to reduce incident volume and improve time to detection and time to mitigation.
* Promotes automation in production and deployment processes.
**Qualifications**  
Required Qualifications:
* Bachelor's Degree in Computer Science, or related technical discipline with proven experience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 year(s) technical engineering experience with coding in languages including, but not limited to, C, C\+\+, C\#, Java, JavaScript, OR Python,
	+ OR Master's Degree in Computer Science or related technical field with proven experience coding in languages including, but not limited to, C, C\+\+, C\#, Java, JavaScript, or Python,
	+ OR equivalent experience.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5">
      <c r="A205" t="inlineStr">
        <is>
          <t>in-d99ad1e3ebf7bc46</t>
        </is>
      </c>
      <c r="B205" t="inlineStr">
        <is>
          <t>Senior Software Engineer - Microsoft Planner</t>
        </is>
      </c>
      <c r="C205" t="inlineStr">
        <is>
          <t>Microsoft</t>
        </is>
      </c>
      <c r="D205" t="inlineStr">
        <is>
          <t>indeed</t>
        </is>
      </c>
      <c r="E205">
        <f>HYPERLINK("https://www.indeed.com/viewjob?jk=d99ad1e3ebf7bc46", "https://www.indeed.com/viewjob?jk=d99ad1e3ebf7bc46")</f>
        <v/>
      </c>
      <c r="F205">
        <f>HYPERLINK("https://apply.careers.microsoft.com/careers/job/1970393556746658?utm_source=indeed&amp;domain=microsoft.com", "https://apply.careers.microsoft.com/careers/job/1970393556746658?utm_source=indeed&amp;domain=microsoft.com")</f>
        <v/>
      </c>
      <c r="G205" t="inlineStr">
        <is>
          <t>Redmond, WA, US</t>
        </is>
      </c>
      <c r="H205" s="3" t="n">
        <v>46044</v>
      </c>
      <c r="I205" t="inlineStr">
        <is>
          <t>**Overview**  
The **Microsoft Path** team empowers customers to move seamlessly from Idea Plan Done, delivering collaborative work management solutions across Microsoft Project, Planner, To Do, Whiteboard, and Visio. We are building the Future of Work by leveraging Large Language Models (LLMs) and Agentic AI to create intelligent, connected experiences that drive productivity across Microsoft 365\. As part of this vision, we are transforming Microsoft Planner into a high\-scale, unified work management platform. Path is hiring a **Senior Software Engineer** to work on this foundational effort which will eliminate complexity, streamline user experiences, and enable AI\-driven productivity for millions of users worldwide.
As a **Senior Software Engineer** on the Path team, you’ll partner with stakeholders to translate business goals into engineering plans and execute them with a relentless focus on security, reliability, and customer satisfaction.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Solve complex challenges in distributed systems: geo\-replication, disaster recovery, data migration, and work distribution.
* Collaborate in an agile environment, interacting with major Office 365 teams to build cross\-service integrations and leverage expertise in product features; partner with stakeholders and managers to drive workgroup project plans, release plans, and work items.
* Partner with Program Management to design, implement, test, and iterate features for 10x growth in usage.
* Ensure secure, high\-quality product delivery, overseeing system architecture and code quality.
* Champion Live Site culture, ensuring reliability and customer delight and mentor engineers, shaping the vision for agentic AI\-powered work management.
* Seek new knowledge, adapt to trends, and apply technical solutions and patterns to improve availability, reliability, efficiency, observability, and performance across products, driving consistency in monitoring and operations at scale.
* Embody Microsoft’s culture and values in all aspects of work.
**Qualifications** **Required Qualifications:**
* Bachelor's Degree in Computer Science or related technical field AND 4\+ years full\-stack experience developing distributed web service applications with highly concurrent server\-side code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NOSQL databases and high volume / throughput web applications and their design
* Experience creating, releasing, and evolving large commercial software components or products at scale.
* Experience collaborating across teams to deliver complete features and end\-to\-end customer experiences.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6">
      <c r="A206" t="inlineStr">
        <is>
          <t>in-ab91042b8657f3c2</t>
        </is>
      </c>
      <c r="B206" t="inlineStr">
        <is>
          <t>Senior Software Engineer</t>
        </is>
      </c>
      <c r="C206" t="inlineStr">
        <is>
          <t>Microsoft</t>
        </is>
      </c>
      <c r="D206" t="inlineStr">
        <is>
          <t>indeed</t>
        </is>
      </c>
      <c r="E206">
        <f>HYPERLINK("https://www.indeed.com/viewjob?jk=ab91042b8657f3c2", "https://www.indeed.com/viewjob?jk=ab91042b8657f3c2")</f>
        <v/>
      </c>
      <c r="F206">
        <f>HYPERLINK("https://apply.careers.microsoft.com/careers/job/1970393556746566?utm_source=indeed&amp;domain=microsoft.com", "https://apply.careers.microsoft.com/careers/job/1970393556746566?utm_source=indeed&amp;domain=microsoft.com")</f>
        <v/>
      </c>
      <c r="G206" t="inlineStr">
        <is>
          <t>Washington, DC, US</t>
        </is>
      </c>
      <c r="H206" s="3" t="n">
        <v>46044</v>
      </c>
      <c r="I206"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Microsoft Purview team’s mission is to build cloud solutions that support premium features such as security, compliance, data governance, data loss prevention, and more, seamlessly integrating these services for Microsoft 365 and Windows clients. We are dedicated to transforming how businesses leverage artificial intelligence by creating global\-scale services that transport, store, secure, and manage the most sensitive data on the planet. Our services are built on Azure and other cloud platforms. As we continue to grow rapidly, we are seeking a Software Engineer to help us deliver best\-in\-class data protection for Microsoft customers. Our team operates in an agile development environment, continuously gathering and analyzing data to counter evolving threats. Our mission is to protect customers with truly innovative proactive measures, advise them on emerging trends, and engage in valuable partnerships. You will work closely with other engineering teams to ensure our services and systems are highly stable, performant, and meet the expectations of both internal and external customers. We are looking for passionate people with experience working with all service aspects of high throughput and multi\-tenant services, ability to design components carefully, properly handle errors, write clean and well\-factored code with good tests and good maintainability.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**Other**
* Embody our culture and values.
**Qualifications** **Required Minimum Qualifications:**
* Bachelor's Degree in Computer Science, or related technical discipline AND 4\+ years technical engineering experience with coding in languages including, but not limited to, C, C\+\+, C\#, Java, JavaScript, or Python OR equivalent experience.
**Qualifications \-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**Qualifications \- Preferred:**
* Bachelor's Degree in Computer Science or related technical field AND 6\+ years technical engineering experience with coding in languages including, but not limited to, C, C\+\+, C\#, Java, JavaScript, or Python OR Master's Degree in Computer Science or related technical field AND 4\+ years technical engineering experience with coding in languages including, but not limited to, C, C\+\+, C\#, Java, JavaScript, or Python OR equivalent experience.
* Experience working in large\-scale cloud services.
* Self\-motivation and a drive to get things to “done”
* Deep understanding of cloud technologies, distributed compute systems, and distributed systems and microservices architecture
* System design, algorithmic skills, and knowledge of data structures
* Ability to identify, analyze, and resolve complex technical issues, ensuring optimal performance, scalability, and user experience
* Passion for learning new technologies and staying up to date with industry trends, best practices, and emerging technologies in web development and AI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7">
      <c r="A207" t="inlineStr">
        <is>
          <t>in-4d543c2298077a77</t>
        </is>
      </c>
      <c r="B207" t="inlineStr">
        <is>
          <t>Principal Software Engineer</t>
        </is>
      </c>
      <c r="C207" t="inlineStr">
        <is>
          <t>Microsoft</t>
        </is>
      </c>
      <c r="D207" t="inlineStr">
        <is>
          <t>indeed</t>
        </is>
      </c>
      <c r="E207">
        <f>HYPERLINK("https://www.indeed.com/viewjob?jk=4d543c2298077a77", "https://www.indeed.com/viewjob?jk=4d543c2298077a77")</f>
        <v/>
      </c>
      <c r="F207">
        <f>HYPERLINK("https://apply.careers.microsoft.com/careers/job/1970393556745855?utm_source=indeed&amp;domain=microsoft.com", "https://apply.careers.microsoft.com/careers/job/1970393556745855?utm_source=indeed&amp;domain=microsoft.com")</f>
        <v/>
      </c>
      <c r="G207" t="inlineStr">
        <is>
          <t>Redmond, WA, US</t>
        </is>
      </c>
      <c r="H207" s="3" t="n">
        <v>46043</v>
      </c>
      <c r="I207" t="inlineStr">
        <is>
          <t>**Overview**  
You’ll be part of the Canvas Designer Client team, building the core authoring experience that empowers makers to design and customize apps on an intuitive, flexible canvas. You’ll deliver a modern, high\-performance UI and advanced features like coauthoring, responsive layouts, and seamless integration with data sources and connectors. Your work will enable creators to build rich, enterprise\-grade applications without code, driving productivity and innovation across the Power Platform.
We are looking to hire a **Principal Software Engineer**.
As a Software Engineer, you’ll write and maintain high\-quality code for the Canvas Designer client, building UI components and features that make app creation seamless. You’ll debug complex issues, optimize performance for large\-scale apps, and collaborate with designers and PMs to ship responsive layouts and coauthoring capabilities. Every day, you’ll work with modern frameworks, review pull requests, and ensure integrations with connectors and data sources are secure and reliable. This opportunity will allow you to accelerate your technical growth by building complex, high\-performance UI components and solving scalability challenges. You will deepen your expertise in modern frameworks and copilot integrations as you work hands\-on with cutting\-edge technologies in the Power Platform ecosystem. You will also sharpen your collaboration and design skills by partnering closely with PMs and UX designers to deliver intuitive, maker\-friendly experiences.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6\+ years technical engineering experience with coding in languages including, but not limited to, C, C\+\+, C\#, Java, JavaScript, or Python
* + OR equivalent experience.
* 4\+ years of experience in coding, debugging, algorithm design, and problem\-solving skills.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C\+\+, C\#, Java, JavaScript, or Python
* + OR Master's Degree in Computer Science or related technical field AND 6\+ years technical engineering experience with coding in languages including, but not limited to, C, C\+\+, C\#, Java, JavaScript, or Python
	+ OR equivalent experience.
* Experience in developing full stack web applications – from front end to back end.
* Experience with React.
* Experience with LLMs, AI agent frameworks, prompt engineering, and Copilot Studio is a plus.
* Excellent collaboration and communication skills, with a passion for customer impact and product quality.
\#BICjobs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8">
      <c r="A208" t="inlineStr">
        <is>
          <t>in-3d40c571c0381740</t>
        </is>
      </c>
      <c r="B208" t="inlineStr">
        <is>
          <t>Software Engineer</t>
        </is>
      </c>
      <c r="C208" t="inlineStr">
        <is>
          <t>Microsoft</t>
        </is>
      </c>
      <c r="D208" t="inlineStr">
        <is>
          <t>indeed</t>
        </is>
      </c>
      <c r="E208">
        <f>HYPERLINK("https://www.indeed.com/viewjob?jk=3d40c571c0381740", "https://www.indeed.com/viewjob?jk=3d40c571c0381740")</f>
        <v/>
      </c>
      <c r="F208">
        <f>HYPERLINK("https://apply.careers.microsoft.com/careers/job/1970393556744985?utm_source=indeed&amp;domain=microsoft.com", "https://apply.careers.microsoft.com/careers/job/1970393556744985?utm_source=indeed&amp;domain=microsoft.com")</f>
        <v/>
      </c>
      <c r="G208" t="inlineStr">
        <is>
          <t>US</t>
        </is>
      </c>
      <c r="H208" s="3" t="n">
        <v>46042</v>
      </c>
      <c r="I208"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Security is a top priority for customers operating in an increasingly complex environment shaped by digital threats, regulatory requirements, and diverse technology estates. Microsoft Security is committed to making the world safer by delivering simplified, end‑to‑end security solutions that help protect users, organizations, and developers at scale.
The Microsoft Security organization plays a critical role in advancing Microsoft’s mission by ensuring the security of customers’ heterogeneous platforms, devices, and cloud environments, while also protecting Microsoft’s internal estate. Our teams foster a growth mindset and a culture of continuous improvement, where engineers are encouraged to learn, collaborate, and deliver meaningful impact through high‑quality, reliable solutions.
We are seeking a self‑driven and motivated engineer to contribute to several critical initiatives in the ledger space. This role requires strong technical depth, solid engineering judgment, and the ability to collaborate effectively with cross‑functional stakeholders to drive solutions forward.
As a member of the core engineering team, you will own and execute on key initiatives that expand service capabilities and improve performance, scalability, and reliability. You will work closely with partner teams across Azure to integrate with related offerings and help deliver value across the confidential computing ecosystem.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Work with appropriate stakeholders to determine user requirements for a feature.
* Support identification of dependencies and the development of design documents for a product feature.
* Learn to create and implement code for a product, service, or feature, reusing code as applicable.
* Assist and learn about breaking down work items into tasks and provide estimation.
* Act as a Designated Responsible Individual (DRI) in monitoring system/product feature/service for degradation, downtime, or interruptions and recommend actions to restore system/product/service.
* Review current developments and proactively seek new knowledge that will improve the availability, reliability, efficiency, observability, and performance of products while also driving consistency in monitoring and operations at scale.
**Qualifications**  
Required Qualifications:
* Bachelor's Degree in Computer Science, or related technical discipline with proven experience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 year(s) technical experience coding in languages including, but not limited to, C, C\+\+, C\#, Java, JavaScript, or Python
	+ OR Master's Degree in Computer Science or related technical field with technical experience coding in languages including, but not limited to, C, C\+\+, C\#, Java, JavaScript, or Python
	+ OR equivalent experience.
* Experience with Container Orchestration concept, tools and platforms.
* Experience making data\-driven decisions to deliver quality software.
\#confidentialcompute \#confidentialledger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9">
      <c r="A209" t="inlineStr">
        <is>
          <t>in-183c2b7b4112089b</t>
        </is>
      </c>
      <c r="B209" t="inlineStr">
        <is>
          <t>Principal Software Engineer</t>
        </is>
      </c>
      <c r="C209" t="inlineStr">
        <is>
          <t>Insight</t>
        </is>
      </c>
      <c r="D209" t="inlineStr">
        <is>
          <t>indeed</t>
        </is>
      </c>
      <c r="E209">
        <f>HYPERLINK("https://www.indeed.com/viewjob?jk=183c2b7b4112089b", "https://www.indeed.com/viewjob?jk=183c2b7b4112089b")</f>
        <v/>
      </c>
      <c r="F209">
        <f>HYPERLINK("https://insight.eightfold.ai/careers/job/171838381320?utm_source=indeed&amp;domain=insight.com", "https://insight.eightfold.ai/careers/job/171838381320?utm_source=indeed&amp;domain=insight.com")</f>
        <v/>
      </c>
      <c r="G209" t="inlineStr">
        <is>
          <t>Chandler, AZ, US</t>
        </is>
      </c>
      <c r="H209" s="3" t="n">
        <v>46041</v>
      </c>
      <c r="I209" t="inlineStr">
        <is>
          <t>**Requisition Number: 103594**
**Principal Software Engineer**
**Location:** The role will be a remote position located in the United States.  
**Insight at a Glance**
* 14,000\+ engaged teammates globally
* \#20 on Fortune’s World's Best Workplaces™ list
* $9\.2 billion in revenue
* Received 35\+ industry and partner awards in the past year
* $1\.4M\+ total charitable contributions in 2023 by Insight globally
Now is the time to bring your expertise to Insight. We are not just a tech company; we are a people\-first company. We believe that by unlocking the power of people and technology, we can accelerate transformation and achieve extraordinary results. As a **Fortune 500 Solutions Integrator** with deep expertise in cloud, data, AI, cybersecurity, and intelligent edge, we guide organisations through complex digital decisions.
**About the role**
Insight’s packaged services team is hiring a full\-time Principal Software Engineer to collaborate with our clients in solving business challenges through modern technology. The role involves engaging directly with clients, developing software, building cloud solutions, conducting technical training sessions on GitHub Copilot and platform, conducting technical assessments, and hands\-on work in application modernization, migration, AI solutions, DevOps, and cloud practices. As a principal software engineer, you will help clients with future capabilities, develop modern applications, integrate AI solutions, and mentor junior Insight developers
As a Principal Software Engineer you will:
* Develop enterprise grade cloud native software solutions aligned to industry best\-practices
* Develop enterprise grade CI/CD and SDLC solutions using the GitHub platform.
* Conduct enablement sessions on GitHub Copilot, GitHub platform, and SDLC best practices.
* Develop enterprise grade cloud native solutions aligned to industry best\-practices
* Lead and mentor junior and offshore developers on a hybrid development team consisting of both onshore and off\-shore developers while delivering client projects.
* Deliver technical recommendations, presentations and workshops to groups of peers and/or clients
* Hands on development of cloud native software solutions, integration platforms, and intelligent applications.
* Develop low code solutions and integration platforms using power platform, power automate, and logic apps
**What we’re looking for**
* 7\+ total years industry experience
* 7\+ years of practical, hands\-on development experience in modern technologies including
* Object\-oriented design, implementation, and best practices, with preferred experience in the .NET platform (.NET Core, ASP.NET, C\#, VB.NET)
* Some experience in additional languages such as Java, Python, React, Angular, Vue, Node
* Building cloud native solutions on Microsoft Azure
* Automated unit testing and test\-driven development
* 4\+ years of professional hands\-on experience with a public cloud provider. Microsoft Azure is required; additional knowledge of AWS, and/or GCP is also highly valuable
* Experience with a consulting firm is preferred
* GitHub and Cloud certifications preferred
**What you can expect**  
We’re legendary for taking care of you, your family and to help you engage with your local community. We want you to enjoy a full, meaningful life and own your career at Insight.
But what really sets us apart are our core values of Hunger, Heart, and Harmony, which guide everything we do, from building relationships with teammates, partners, and clients to making a positive impact in our communities.
**Join us today, your ambITious journey starts here.**
*Insight is an equal opportunity employer, and all qualified applicants will receive consideration for employment without regard to race, color, religion, sex, national origin, disability status, protected veteran status, sexual orientation or any other characteristic protected by law.*
 *When you apply, please tell us the pronouns you use and any reasonable adjustments you may need during the interview process.*  
*At Insight, we celebrate diversity of skills and experience so even if you don’t feel like your skills are a perfect match \- we still want to hear from you!*
 *Insight does not accept unsolicited resumes from recruiters or employment agencies. Unsolicited resumes will be treated as direct applications from the candidate, and recruiters or agencies who submit candidates for this position without a prior, written vendor agreement will not be eligible for any form of compensation, even if the candidate is hired.*
The position described above provides a summary of some the job duties required and what it would be like to work at Insight. For a comprehensive list of physical demands and work environment for this position, click here.
Insight is an equal opportunity employer, and all qualified applicants will receive consideration for employment without regard to race, color, religion, sex, national origin, disability status, protected veteran status, sexual orientation or any other characteristic protected by law.
Posting Notes: Chandler \|\| Arizona (US\-AZ) \|\| United States (US) \|\| IT Infrastructure \&amp; Support \|\| None \|\| US \- Chandler,AZ \|\|</t>
        </is>
      </c>
    </row>
    <row r="210">
      <c r="A210" t="inlineStr">
        <is>
          <t>in-4e7817e4c23c5237</t>
        </is>
      </c>
      <c r="B210" t="inlineStr">
        <is>
          <t>Software Engineer Sr</t>
        </is>
      </c>
      <c r="C210" t="inlineStr">
        <is>
          <t>Insight</t>
        </is>
      </c>
      <c r="D210" t="inlineStr">
        <is>
          <t>indeed</t>
        </is>
      </c>
      <c r="E210">
        <f>HYPERLINK("https://www.indeed.com/viewjob?jk=4e7817e4c23c5237", "https://www.indeed.com/viewjob?jk=4e7817e4c23c5237")</f>
        <v/>
      </c>
      <c r="F210">
        <f>HYPERLINK("https://insight.eightfold.ai/careers/job/171838382663?utm_source=indeed&amp;domain=insight.com", "https://insight.eightfold.ai/careers/job/171838382663?utm_source=indeed&amp;domain=insight.com")</f>
        <v/>
      </c>
      <c r="G210" t="inlineStr">
        <is>
          <t>Chandler, AZ, US</t>
        </is>
      </c>
      <c r="H210" s="3" t="n">
        <v>46041</v>
      </c>
      <c r="I210" t="inlineStr">
        <is>
          <t>**Requisition Number: 103598**
Senior Software Engineer
Insight at a Glance
* 14,000\+ engaged teammates globally
* \#20 on Fortune’s World's Best Workplaces™ list
* $9\.2 billion in revenue
* Received 35\+ industry and partner awards in the past year
* $1\.4M\+ total charitable contributions in 2023 by Insight globally
Now is the time to bring your expertise to Insight. We are not just a tech company; we are a people\-first company. We believe that by unlocking the power of people and technology, we can accelerate transformation and achieve extraordinary results. As a Fortune 500 Solutions Integrator with deep expertise in cloud, data, AI, cybersecurity, and intelligent edge, we guide organizations through complex digital decisions.
About the role
Insight’s packaged services team is hiring a full\-time Senior Software Engineer to collaborate with our clients in solving business challenges through modern technology. The role involves engaging directly with clients, developing software, building cloud solutions, assisting with technical training sessions on GitHub Copilot and platform, assisting with technical assessments, and hands\-on work in application modernization, migration, AI solutions, DevOps, and cloud practices. As a senior software engineer, you will help clients with future capabilities, develop modern applications, integrate AI solutions, and mentor junior Insight developers.
Our Packaged Services team works in an agile methodology focusing on repeatable best\-practice technology solutions for the SMC market. We provide services around GitHub Enterprise, agentic SDLC, AI enabled software development, application modernization, custom development, AI enabled applications, DevOps, Integration Platforms, low\-code solutions, and assessments.
What our Senior Software Engineers Do:
* Develop enterprise grade cloud native software solutions aligned to industry best\-practices
* Develop enterprise grade CI/CD and SDLC solutions using the GitHub platform.
* Conduct enablement sessions on GitHub Copilot, GitHub platform, and SDLC best practices.
* Develop enterprise grade cloud native solutions aligned to industry best\-practices
* Lead and mentor junior and offshore developers on a hybrid development team consisting of both onshore and offshore developers while delivering client projects.
* Deliver technical recommendations, presentations and workshops to groups of peers and/or clients
* Hands on development of cloud native software solutions, integration platforms, and intelligent applications.
* Develop low code solutions and integration platforms using power platform, power automate, and logic apps.
What We Look For
* Passion for technology and learning
* Desire to work collaboratively with strong technical teams to build complex client solutions
* Excellent verbal and written communication skills for client\-facing scenarios
* Demonstrable experience and expertise in several of the following areas:
* Develop best practice solutions on Azure that leverage cloud\-native services, ensure security and scalability, and align with client requirements
* Migration and modernization of on\-premises applications to cloud platforms
* Design and create AI enabled applications and integrating azure AI Services.
* Agentic software development patterns, emphasizing client education regarding the advantages of agentic development, as well as seeking opportunities to enhance the efficiency of internal processes.
* Design and develop secure, cloud\-native distributed applications using microservices, web services, REST APIs, API gateways, relational and NoSQL databases, and messaging systems
* DevOps practices including automations and capabilities for CI/CD, monitoring and alerting, observability, infrastructure as code, and configuration management
* Experience and capability to conceive and present solutions to client tailored to their unique business problems and opportunities, then follow through to SOW preparation and engagement delivery
* Design and implementation of responsive web and mobile applications
Experience Profile
* 5\+ total years industry experience
* 5\+ years of practical, hands\-on development experience in modern technologies including
* Object\-oriented design, implementation, and best practices, with preferred experience in the .NET platform (.NET Core, ASP.NET, C\#, VB.NET)
* Some experience in additional languages such as Java, Python, React, Angular, Vue, Node
* Building cloud native solutions on Microsoft Azure
* Automated unit testing and test\-driven development
* 4\+ years of professional hands\-on experience with a public cloud provider. Microsoft Azure is required; additional knowledge of AWS, and/or GCP is also highly valuable
* Experience with a consulting firm is preferred
* GitHub and Cloud certifications preferre
The position described above provides a summary of some the job duties required and what it would be like to work at Insight. For a comprehensive list of physical demands and work environment for this position, click here.
Insight is an equal opportunity employer, and all qualified applicants will receive consideration for employment without regard to race, color, religion, sex, national origin, disability status, protected veteran status, sexual orientation or any other characteristic protected by law.
Posting Notes: Chandler \|\| Arizona (US\-AZ) \|\| United States (US) \|\| IT Infrastructure \&amp; Support \|\| None \|\| US \- Chandler,AZ \|\|</t>
        </is>
      </c>
    </row>
    <row r="211">
      <c r="A211" t="inlineStr">
        <is>
          <t>in-1e4fef6bc423281a</t>
        </is>
      </c>
      <c r="B211" t="inlineStr">
        <is>
          <t>Software Engineer II</t>
        </is>
      </c>
      <c r="C211" t="inlineStr">
        <is>
          <t>Microsoft</t>
        </is>
      </c>
      <c r="D211" t="inlineStr">
        <is>
          <t>indeed</t>
        </is>
      </c>
      <c r="E211">
        <f>HYPERLINK("https://www.indeed.com/viewjob?jk=1e4fef6bc423281a", "https://www.indeed.com/viewjob?jk=1e4fef6bc423281a")</f>
        <v/>
      </c>
      <c r="F211">
        <f>HYPERLINK("https://apply.careers.microsoft.com/careers/job/1970393556734987?utm_source=indeed&amp;domain=microsoft.com", "https://apply.careers.microsoft.com/careers/job/1970393556734987?utm_source=indeed&amp;domain=microsoft.com")</f>
        <v/>
      </c>
      <c r="G211" t="inlineStr">
        <is>
          <t>US</t>
        </is>
      </c>
      <c r="H211" s="3" t="n">
        <v>46036</v>
      </c>
      <c r="I211" t="inlineStr">
        <is>
          <t>**Overview**  
Microsoft Azure Artificial Intelligence/High Performance Computing (AI/HPC) team is seeking a passionate Software Engineer 2 to help build, operate, and support hyperscale cloud infrastructure for some of the world’s largest supercomputing deployments. You’ll work alongside experienced engineers to develop, monitor, and troubleshoot cloud\-native supercomputing systems, contributing to the reliability and performance of Azure’s AI infrastructure offerings.
At the supercomputing scale, we need specialized tools and techniques to maintain the availability, reliability, runtime performance and health of the system to meet the Service Level Agreements (SLAs) of customers. Your job would be to build and use state\-of\-the\-art cloud applications and services to monitor the health of the supercomputers, find operational gaps and instrument features to achieve the smooth management of cloud\-native supercomputers. As a Supercomputing Software Engineer, you would also bring to the table best practices driving architectural changes and influence roadmap of relevant software and hardware components. Your work will directly impact the business goals of a wide range of users and facilitate the next wave of growth and innovation in AI in the cloud.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Be proactive and innovative about adding new metrics for monitoring the health of the supercomputers.
* Collaborate with team members and stakeholders to understand requirements and produce detailed, data\-driven, collaborative design for assigned features.
* Independently uses appropriate artificial intelligence tools and practices across the software development lifecycle to develop, test, debug, and maintain code for Supercomputer health monitoring systems.
* Remain current in skills by investing time and effort into staying abreast of current developments that will improve the availability, reliability, efficiency, observability, and performance of products while also driving consistency in monitoring and operations at scale.
* Act as a Designated Responsible Individual (DRI) working on\-call to monitor system/product feature/service for degradation, downtime, or interruptions and gain approval to restore system/product/service for simple problems.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OR Master’s degree in Computer Science or related technical field AND 3\+ years technical engineering experience.
* Experience with monitoring, profiling, or debugging distributed systems or cloud applications.
* Familiarity with AI/HPC workloads, GPU\-based systems, AI assisted software development and secure software design practices.Familiarity with IaaS operating model and SLA commitments.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12">
      <c r="A212" t="inlineStr">
        <is>
          <t>in-b85c09ed57b0348b</t>
        </is>
      </c>
      <c r="B212" t="inlineStr">
        <is>
          <t>Software Engineer</t>
        </is>
      </c>
      <c r="C212" t="inlineStr">
        <is>
          <t>Microsoft</t>
        </is>
      </c>
      <c r="D212" t="inlineStr">
        <is>
          <t>indeed</t>
        </is>
      </c>
      <c r="E212">
        <f>HYPERLINK("https://www.indeed.com/viewjob?jk=b85c09ed57b0348b", "https://www.indeed.com/viewjob?jk=b85c09ed57b0348b")</f>
        <v/>
      </c>
      <c r="F212">
        <f>HYPERLINK("https://apply.careers.microsoft.com/careers/job/1970393556668335?utm_source=indeed&amp;domain=microsoft.com", "https://apply.careers.microsoft.com/careers/job/1970393556668335?utm_source=indeed&amp;domain=microsoft.com")</f>
        <v/>
      </c>
      <c r="G212" t="inlineStr">
        <is>
          <t>US</t>
        </is>
      </c>
      <c r="H212" s="3" t="n">
        <v>46034</v>
      </c>
      <c r="I212" t="inlineStr">
        <is>
          <t>**Overview**  
Do you want to help define how the Microsoft cloud operates at planetary scale? You will join the Azure Control Plane team, home of Azure Resource Manager (ARM), the foundational control plane service that powers every resource lifecycle operation in Microsoft Azure. You work at the very core of the platform, partnering across Azure engineering teams and with Microsoft Research (MSR) to design, build, and operate next\-generation control plane capabilities. Your work directly enables Azure’s evolution toward a federated future, including federated data and federated compute initiatives that unlock unprecedented scale, reliability, and agility.  
As a Software Engineer, you will lead and contribute to the design and development of highly distributed, high\-throughput cloud services that form the backbone of Azure’s control plane. You will drive architectural decisions, influence cross\-team technical direction, and deliver production systems that support exponentially growing traffic and complex multi\-tenant workloads. This opportunity will allow you to accelerate your career growth, develop deep expertise in large\-scale distributed systems and federated architectures, and build strong business and operational acumen by delivering technology that directly powers Azure’s global platform.  
At Microsoft, we are a company where growth mindset drives everything we do. You will be empowered to bring your best ideas, collaborate inclusively, and learn continuously while making a meaningful impact. We value diversity, foster a culture of respect, and are committed to creating an environment where everyone can thrive and do their best work.
 **Responsibilities**  
* Learn and apply artificial intelligence (AI)\-native development practices across the software development lifecycle (SDLC), taking responsibility for reviewing, validating, and improving AI\-generated artifacts while seeking guidance from experienced engineers as needed.
* Design, implement, review, and maintain high\-quality, extensible, and secure code for large\-scale distributed services, applying modern coding patterns, debugging techniques, automated analysis tools, logging, telemetry, and best practices to meet reliability, performance, and scalability expectations.
* Contribute to the design and evolution of product and service architectures, including participation in design reviews, evaluation of design tradeoffs, and development of prototypes, while considering performance, scalability, resiliency, cost of goods sold (COGS), security, privacy, and compliance requirements.
* Collaborate with partner teams to build and integrate features that support Azure Resource Manager (ARM) federated data and federated compute initiatives, identifying dependencies, ensuring interoperability, and contributing to end\-to\-end testing and validation of cross\-system interactions.
* Support engineering excellence by applying security\-first principles, following Microsoft security and privacy standards, contributing to threat modeling, compliance evidence, deployment gates, and automation, and ensuring solutions are designed with diagnosability, maintainability, and operational readiness.
* Implement, deploy, and operate features using safe change management practices, including feature flighting, rollback planning, capacity considerations, and disaster recovery mechanisms, while supporting deployment pipelines and production readiness reviews.
* Participate in live site operations and on\-call rotations as a designated responsible individual (DRI), monitoring service health, responding to incidents within service level agreements (SLAs), leveraging telemetry to diagnose issues, and contributing to continuous improvement of reliability, observability, and supportability.
**Qualifications** **Required Qualifications:**
* Bachelor's Degree in Computer Science, or related technical discipline with proven experience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\#azurecorejobs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13">
      <c r="A213" t="inlineStr">
        <is>
          <t>in-4bb0e50e3841cbe5</t>
        </is>
      </c>
      <c r="B213" t="inlineStr">
        <is>
          <t>Software Engineer II</t>
        </is>
      </c>
      <c r="C213" t="inlineStr">
        <is>
          <t>Microsoft</t>
        </is>
      </c>
      <c r="D213" t="inlineStr">
        <is>
          <t>indeed</t>
        </is>
      </c>
      <c r="E213">
        <f>HYPERLINK("https://www.indeed.com/viewjob?jk=4bb0e50e3841cbe5", "https://www.indeed.com/viewjob?jk=4bb0e50e3841cbe5")</f>
        <v/>
      </c>
      <c r="F213">
        <f>HYPERLINK("https://apply.careers.microsoft.com/careers/job/1970393556658331?utm_source=indeed&amp;domain=microsoft.com", "https://apply.careers.microsoft.com/careers/job/1970393556658331?utm_source=indeed&amp;domain=microsoft.com")</f>
        <v/>
      </c>
      <c r="G213" t="inlineStr">
        <is>
          <t>Redmond, WA, US</t>
        </is>
      </c>
      <c r="H213" s="3" t="n">
        <v>46031</v>
      </c>
      <c r="I213" t="inlineStr">
        <is>
          <t>**Overview**  
We are looking for a Software Engineer II – to design, build and operate scalable data pipelines that power Developer Division growing data needs. In this role, you will work across the full development lifecycle\- design, implementation, testing, deployment and live site support – while honing your technical depth and engineering craftmanship.
You will build tools and systems that ingest, process, curate large\-scale developer\-focuse datasets. You will partner closely with product teams to create, enhance and operate data pipelines that are efficient, reliable, compliant and secure. You will join a world class, collaborative engineering team of engineers using agile methodologies and DevOps practices deliver and run production services.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build, and optimize large\-scale, robust data pipelines and architectures that support analytics initiatives.
* Develop and extend scalable ETL/ELT workflows, ensuring reliable ingestion, transformation, and storage of high\-volume, high\-velocity data from diverse sources.
* Continuously improving systems for availability, reliability, efficiency, observability, and performance while applying and sharing modern engineering practices.
* Staying current with new technologies, patterns, and tooling that strengthen our engineering and operational excellence.
* Acting as a Designated Responsible Individual (DRI) as part of oncall rotations to monitor, troubleshoot, and restore services.
 **Qualifications** **Required Qualifications:**
* Bachelor's Degree in Computer Science or related technical field AND 2\+ years technical engineering experience with coding in languages including, but not limited to C\#, or Python
	+ OR equivalent experience.
*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to,C\#, Python, Java
	+ OR Master's Degree in Computer Science or related technical field AND 2\+ years technical engineering experience with coding in languages including, but not limited to, C\#, Python or Java
* + OR equivalent experience.
* 4\+ years of professional software development experience in data processing systems
* 1\+ year(s) of development of data ETL services and cloud services
* 1\+ year(s) of software engineering practices, coding and solid foundation in data structures, algorithms with proficient testing, debugging and analytical skills
* Relevant experience running a 24/7 Azure\-based services
* Experience working with experimentation systems, telemetry systems and data to drive engineering and product decision making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14">
      <c r="A214" t="inlineStr">
        <is>
          <t>in-efda648c8cce0d9f</t>
        </is>
      </c>
      <c r="B214" t="inlineStr">
        <is>
          <t>Full-Stack Software Engineer – Backend, Observability, UI</t>
        </is>
      </c>
      <c r="C214" t="inlineStr">
        <is>
          <t>HP</t>
        </is>
      </c>
      <c r="D214" t="inlineStr">
        <is>
          <t>indeed</t>
        </is>
      </c>
      <c r="E214">
        <f>HYPERLINK("https://www.indeed.com/viewjob?jk=efda648c8cce0d9f", "https://www.indeed.com/viewjob?jk=efda648c8cce0d9f")</f>
        <v/>
      </c>
      <c r="F214">
        <f>HYPERLINK("https://hp.wd5.myworkdayjobs.com/en-US/ExternalCareerSite/job/Spring-Texas-United-States-of-America/Full-Stack-Software-Engineer---Backend--Observability--UI_3155682-1", "https://hp.wd5.myworkdayjobs.com/en-US/ExternalCareerSite/job/Spring-Texas-United-States-of-America/Full-Stack-Software-Engineer---Backend--Observability--UI_3155682-1")</f>
        <v/>
      </c>
      <c r="G214" t="inlineStr">
        <is>
          <t>Spring, TX, US</t>
        </is>
      </c>
      <c r="H214" s="3" t="n">
        <v>46030</v>
      </c>
      <c r="I214" t="inlineStr">
        <is>
          <t>**Description \-**
**Description**  
* Our ideal candidate is a versatile Full\-Stack Software Engineer who thrives in a fast\-paced, start\-up culture where innovation, ownership, and agility are key. This role spans backend development in Python and Go, building intuitive UIs, and enhancing system observability with Prometheus and telemetry tools. You’ll work with MongoDB for data management and have the opportunity to explore AI integration as a bonus area of growth.
**Key responsibilities are focused on delivering value for our customers:*** Design, develop and maintain backend services using Python and Go.
* Build responsive, user\-friendly UI components and dashboards.
* Design and implement telemetry and observability solutions using Prometheus.
* Work with MongoDB to manage data models and optimize queries.
* Collaborate with cross\-functional teams including product, design, and DevOps.
* Participate in code reviews, architecture planning, and agile development.
* Troubleshoot and resolve issues across the stack, from UI to backend services.
* Optionally contribute to AI\-powered features or data\-driven enhancements.
* Provides guidance and mentoring to less\- experienced staff members.
**Education \&amp; Experience** Recommended
* Four\-year or Graduate Degree in Computer Science, Information Systems, or any other related discipline or commensurate work experience or demonstrated competence.
* Typically has 7\-10 years of work experience, preferably in applications engineering, programming, or a related field.
**Required Qualifications:*** Proficiency in Python and Go for backend development.
* Experience with front\-end technologies (e.g., React).
* Strong understanding of telemetry systems and observability practices.
* Hands\-on experience with Prometheus and monitoring tools.
* Solid knowledge of MongoDB and data modeling.
* Familiarity with RESTful APIs and microservices architecture.
* Excellent problem\-solving and communication skills.
* Customer\-centricity and a focus on results.
**Preferred Qualifications:**
* Familiarity with containerization (Docker) and orchestration (Kubernetes).
* Exposure to CI/CD pipelines and infrastructure as code.
* Interest or experience in integrating AI/ML features into applications.
**Complexity**  
* Works on complex problems where analysis of situations or data requires an in\-depth evaluation of multiple factors.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**Salary:**
The pay range for this role is $116,150 to $165,000 USD annually with additional
opportunities for pay in the form of bonus and/or equity (applies to United
States of America candidates only). Pay varies by work location, job\-related
knowledge, skills, and experience..
**Benefits** :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\[https://hpbenefits.ce.alight.com/])  
The compensation and benefits information is accurate as of the date of this
posting. The Company reserves the right to modify this information at any time,
with or without notice, subject to applicable law.
Job Posting End Date: Feb 13th, 2026
**Job \-**
Software
**Schedule \-**
Full time
**Shift \-**
No shift premium (United States of America)
**Travel \-**
No
**Relocation \-**
Yes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215">
      <c r="A215" t="inlineStr">
        <is>
          <t>in-35d6df278f089092</t>
        </is>
      </c>
      <c r="B215" t="inlineStr">
        <is>
          <t>Software Engineer Security and Identity</t>
        </is>
      </c>
      <c r="C215" t="inlineStr">
        <is>
          <t>Microsoft</t>
        </is>
      </c>
      <c r="D215" t="inlineStr">
        <is>
          <t>indeed</t>
        </is>
      </c>
      <c r="E215">
        <f>HYPERLINK("https://www.indeed.com/viewjob?jk=35d6df278f089092", "https://www.indeed.com/viewjob?jk=35d6df278f089092")</f>
        <v/>
      </c>
      <c r="F215">
        <f>HYPERLINK("https://apply.careers.microsoft.com/careers/job/1970393556657400?utm_source=indeed&amp;domain=microsoft.com", "https://apply.careers.microsoft.com/careers/job/1970393556657400?utm_source=indeed&amp;domain=microsoft.com")</f>
        <v/>
      </c>
      <c r="G215" t="inlineStr">
        <is>
          <t>Redmond, WA, US</t>
        </is>
      </c>
      <c r="H215" s="3" t="n">
        <v>46028</v>
      </c>
      <c r="I215"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operate at the heart of Microsoft’s Security and Identity ecosystem, engineering the foundational platform that runs seamlessly across all Microsoft clouds and regions. Our focus is runtime efficiency, infrastructure resilience, and service scalability—enabling rapid innovation while maintaining the highest standards of availability, compliance, and security. From orchestrating global deployments to optimizing the execution layer of identity workloads, the team builds a secure, agile, and intelligent platform that keeps Microsoft’s identity promise running 24/7 at planetary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targeting an immediate start date.**  
**Responsibilities**  
* With guidance, learns how and creates and implements code for a large scale distributed services runtime
* Writes and learns to create code that is extensible and maintainable.
* Learns about and applies diagnosability, reliability, and maintainability, and understands when the code is ready to be shared and delivered.
* Applies coding patterns and best practices to write code (e.g., leveraging state\-of\-the\-art generative artificial intelligence \[GenAI], approaches to source code organization, naming conventions).
* With guidance from more experienced colleagues, identifies and escalates blockers or unknowns during the development process, and communicates how they will impact timelines.
* Learns about and helps to ensure the correct processes are followed to achieve a high degree of security, privacy, safety, and accessibility. Contributes to efforts to check for visible evidence (e.g., audit trail) to demonstrate compliance for product features.
* Develops understanding of the implications of onboarding new technologies following expectations of compliance at Microsoft.
* Develops an understanding of global and local regulations for technologies and system applications.
* Develops and applies knowledge of debugging tools, tests, logs, telemetry, and other methods to begin supporting efforts to proactively flag issues before they occur for product features in production.
* Learns to conduct incident retrospectives to identify root causes of problems, and begins to implement repair actions with direct supervision.
* Grows understanding of and begins to apply least\-access principles and uses logging, telemetry, and other appropriate mechanisms with direct supervision to investigate issues while retaining privacy and security.
* Understands proposals and develops an understanding of how to apply them under the technical leadership of others.
* With managerial guidance, tests and explores various design options for a product/solution feature, outlining strengths and weaknesses of each option.
* Produces code to test hypotheses for technical solutions and assists with technical validation efforts.
* Helps with and participates in the development of design documents that support simple user stories with oversight.
* Develops an awareness of the current technology landscape. Escalates findings from investigations to team members for design decisions.
* Learns about the implications of performance, scalability, resiliency, cost of goods sold (COGS), and other requirements and expectations in systems architecture.
* Begins to uphold Microsoft standards of security, privacy, and other compliance requirements in systems architecture.
* Develops an understanding of the importance of building solutions that expand upon the work of others.
* Contributes to the refinement and integration of feedback in product features by escalating findings from analyses to inform decisions regarding the engineering of products.
**Qualifications** **Required Qualifications:**
* Bachelor's Degree in Computer Science, or related technical discipline with proven experience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 Bachelor's Degree in Computer Science, or related technical field AND 1\+ year(s) technical engineering experience with coding in languages including, but not limited to, C, C\+\+, C\#, Java, JavaScript, Rust, or Python.
	+ OR Master's Degree in Computer Science or related technical field with proven experience coding in languages including, but not limited to, C, C\+\+, C\#, Java, JavaScript, Rust, or Python.
	+ OR equivalent experience.
* Proven experience with Fullstack development.
* Experience with cloud technologies and services.
\#MSFTSecurity \#Identity \#EIP \#SWEIC2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16">
      <c r="A216" t="inlineStr">
        <is>
          <t>in-d345e98769fdcf0b</t>
        </is>
      </c>
      <c r="B216" t="inlineStr">
        <is>
          <t>Software Engineering</t>
        </is>
      </c>
      <c r="C216" t="inlineStr">
        <is>
          <t>Microsoft</t>
        </is>
      </c>
      <c r="D216" t="inlineStr">
        <is>
          <t>indeed</t>
        </is>
      </c>
      <c r="E216">
        <f>HYPERLINK("https://www.indeed.com/viewjob?jk=d345e98769fdcf0b", "https://www.indeed.com/viewjob?jk=d345e98769fdcf0b")</f>
        <v/>
      </c>
      <c r="F216">
        <f>HYPERLINK("https://apply.careers.microsoft.com/careers/job/1970393556653722?utm_source=indeed&amp;domain=microsoft.com", "https://apply.careers.microsoft.com/careers/job/1970393556653722?utm_source=indeed&amp;domain=microsoft.com")</f>
        <v/>
      </c>
      <c r="G216" t="inlineStr">
        <is>
          <t>Redmond, WA, US</t>
        </is>
      </c>
      <c r="H216" s="3" t="n">
        <v>46013</v>
      </c>
      <c r="I216"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looking for a Software Engineer to join our Endpoint Security Team to develop and maintain security services to ensure that our endpoints are protected in the right way. Our solutions are focused on enabling and detecting software vulnerabilities using telemetry from multiple sources and identifying opportunities to minimize or prevent security risks. The candidate will be building solutions to enhance our Device Health policies at enterprise scale. Successful candidates will have in\-depth technical experience with Software Vulnerabilities and vulnerability scanning solutions. They should be able to combine their technical skills with enthusiasm, ingenuity, results\-orientation, and ability in working with the rest of the team. A proficient candidate will have experience in a team environment, experience running enterprise scale services and platforms, technical depth in cloud platforms, agile development practices, and experience in designing \&amp; tuning telemetry.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Lead technical design and architecture discussions for core Endpoint Security services
* Collaborate with Microsoft Product Groups to define and prioritize project backlogs
* Responsible for all stages of the Software Development Lifecycle.
* Software Development: Design, develop, deploy, and maintain distributed systems software components, ensuring high availability, scalability, and performance Write high\-quality, maintainable code, and review contributions from engineers
* Adhere to modern engineering practices, enacting change to services through software engineering, unit testing, debugging, refactoring, code reviews and maintaining build/deployment pipelines.
* Identify opportunities and drive the implementation of automation to improve service health, manageability, reliability, and telemetry.
* Own, triage, investigate and resolve service issues with an emphasis on broad communication, learning \&amp; teaching throughout the process.
* Author functional and technical documentation. Communicate on a deep technical level with product engineering, project management and operations teams to improve. and optimize products, improve infrastructure, and evolve services.
* Translate business requirements into technical specifications and help manage priorities, deliverables, and timelines.
* Embody our culture and values
**Qualifications** **Required Qualifications**
Bachelor's Degree in Computer Science or related technical field AND 2\+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**Preferred Qualifications:**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17">
      <c r="A217" t="inlineStr">
        <is>
          <t>in-bdfeb70e8e851be1</t>
        </is>
      </c>
      <c r="B217" t="inlineStr">
        <is>
          <t>Embedded Firmware and Software Engineer (BIOS/UEFI Systems)</t>
        </is>
      </c>
      <c r="C217" t="inlineStr">
        <is>
          <t>HP</t>
        </is>
      </c>
      <c r="D217" t="inlineStr">
        <is>
          <t>indeed</t>
        </is>
      </c>
      <c r="E217">
        <f>HYPERLINK("https://www.indeed.com/viewjob?jk=bdfeb70e8e851be1", "https://www.indeed.com/viewjob?jk=bdfeb70e8e851be1")</f>
        <v/>
      </c>
      <c r="F217">
        <f>HYPERLINK("https://hp.wd5.myworkdayjobs.com/en-US/ExternalCareerSite/job/Spring-Texas-United-States-of-America/Embedded-Firmware-and-Software-Engineer_3153661-1", "https://hp.wd5.myworkdayjobs.com/en-US/ExternalCareerSite/job/Spring-Texas-United-States-of-America/Embedded-Firmware-and-Software-Engineer_3153661-1")</f>
        <v/>
      </c>
      <c r="G217" t="inlineStr">
        <is>
          <t>Spring, TX, US</t>
        </is>
      </c>
      <c r="H217" s="3" t="n">
        <v>46005</v>
      </c>
      <c r="I217" t="inlineStr">
        <is>
          <t>**Description \-**
We are seeking a highly skilled **BIOS/UEFI** , **Embedded Firmware \&amp; Software Engineer** to lead the design, development, and debugging of embedded software and firmware for hardware systems. This role is pivotal in ensuring seamless integration between software and hardware components, delivering reliable and efficient system performance. You will collaborate closely with cross\-functional teams including hardware engineers, software developers, QA, and product managers to bring high\-quality products to market.
**\*Must be onsite 4 days a week\***
------------------------------------
**Key Responsibilities**
* Lead the design, development, and debugging of embedded firmware and software for hardware platforms.
* Author and maintain technical documentation and instructional materials for firmware operation.
* Allocate and manage resources for firmware development projects, ensuring timely and high\-quality delivery.
* Design and implement enhancements, updates, and programming changes across firmware subsystems (e.g., DSP, EFI drivers, BIOS/UEFI).
* Analyze system architecture to determine coding, integration, and testing requirements.
* Develop and execute comprehensive test plans and protocols; troubleshoot and resolve firmware issues.
* Lead project teams, including internal and external development partners, to deliver robust and cost\-effective solutions.
* Serve as the primary representative for firmware engineering in complex development projects from architecture to deployment.
* Collaborate with architects, hardware engineers, and product managers to define and refine firmware requirements.
* Stay current with industry trends and emerging technologies in embedded systems and firmware development.
**Qualifications**
**Education \&amp; Experience:**
* Bachelor’s or Master’s degree in Computer Science, Electrical Engineering, or a related field—or equivalent practical experience.
* 5 \- 7\+ years of experience in firmware development.
* **BIOS/UEFI** experience with real\-time operating systems (RTOS), and EFI applications.
**Preferred Skills \&amp; Technologies:**
* Proficiency in embedded C and Python, and systems programming.
* Strong debugging and problem\-solving skills.
* Familiarity with Git, Linux, and Agile development methodologies.
* Knowledge of hardware\-software integration and low\-level system design.
**Core Competencies:**
* Effective communication and collaboration across teams.
* Results\-oriented with strong learning agility.
* Customer\-centric mindset and digital fluency.
**Impact \&amp; Scope**
* Influences multiple teams and may lead project initiatives.
* Facilitates decision\-making and ensures alignment across engineering and product teams.
**Complexity**
* Tackles moderately complex technical challenges within established frameworks and guidelines.
The pay range for this role is **$115,850** to **$178,400**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 US benefits overview )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218">
      <c r="A218" t="inlineStr">
        <is>
          <t>in-4301f23b3d836871</t>
        </is>
      </c>
      <c r="B218" t="inlineStr">
        <is>
          <t>Embedded Firmware and Software Engineer- BIOS/UEFI</t>
        </is>
      </c>
      <c r="C218" t="inlineStr">
        <is>
          <t>HP</t>
        </is>
      </c>
      <c r="D218" t="inlineStr">
        <is>
          <t>indeed</t>
        </is>
      </c>
      <c r="E218">
        <f>HYPERLINK("https://www.indeed.com/viewjob?jk=4301f23b3d836871", "https://www.indeed.com/viewjob?jk=4301f23b3d836871")</f>
        <v/>
      </c>
      <c r="F218">
        <f>HYPERLINK("https://hp.wd5.myworkdayjobs.com/en-US/ExternalCareerSite/job/Spring-Texas-United-States-of-America/Embedded-Firmware-and-Software-Engineer--BIOS-UEFI_3153636-1", "https://hp.wd5.myworkdayjobs.com/en-US/ExternalCareerSite/job/Spring-Texas-United-States-of-America/Embedded-Firmware-and-Software-Engineer--BIOS-UEFI_3153636-1")</f>
        <v/>
      </c>
      <c r="G218" t="inlineStr">
        <is>
          <t>Spring, TX, US</t>
        </is>
      </c>
      <c r="H218" s="3" t="n">
        <v>45998</v>
      </c>
      <c r="I218" t="inlineStr">
        <is>
          <t>**Description \-**
We are seeking a highly skilled **BIOS/UEFI** , **Embedded Firmware \&amp; Software Engineer** to lead the design, development, and debugging of embedded software and firmware for hardware systems. This role is pivotal in ensuring seamless integration between software and hardware components, delivering reliable and efficient system performance. You will collaborate closely with cross\-functional teams including hardware engineers, software developers, QA, and product managers to bring high\-quality products to market.
**\*Must be onsite 3 days a week\***
------------------------------------
**Key Responsibilities**
* Lead the design, development, and debugging of embedded firmware and software for hardware platforms.
* Author and maintain technical documentation and instructional materials for firmware operation.
* Allocate and manage resources for firmware development projects, ensuring timely and high\-quality delivery.
* Design and implement enhancements, updates, and programming changes across firmware subsystems (e.g., DSP, EFI drivers, BIOS/UEFI).
* Analyze system architecture to determine coding, integration, and testing requirements.
* Develop and execute comprehensive test plans and protocols; troubleshoot and resolve firmware issues.
* Lead project teams, including internal and external development partners, to deliver robust and cost\-effective solutions.
* Serve as the primary representative for firmware engineering in complex development projects from architecture to deployment.
* Collaborate with architects, hardware engineers, and product managers to define and refine firmware requirements.
* Stay current with industry trends and emerging technologies in embedded systems and firmware development.
**Qualifications**
**Education \&amp; Experience:**
* Bachelor’s or Master’s degree in Computer Science, Electrical Engineering, or a related field—or equivalent practical experience.
* 5 \- 7\+ years of experience in firmware development.
* **BIOS/UEFI** experience with real\-time operating systems (RTOS), and EFI applications.
**Preferred Skills \&amp; Technologies:**
* Proficiency in embedded C and Python, and systems programming.
* Strong debugging and problem\-solving skills.
* Familiarity with Git, Linux, and Agile development methodologies.
* Knowledge of hardware\-software integration and low\-level system design.
The pay range for this role is **$115,850** to **$178,400**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 US benefits overview )
The compensation and benefits information is accurate as of the date of this posting. The Company reserves the right to modify this information at any time, with or without notice, subject to applicable law.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219">
      <c r="A219" t="inlineStr">
        <is>
          <t>in-403fe0c51ed17c79</t>
        </is>
      </c>
      <c r="B219" t="inlineStr">
        <is>
          <t>Senior Software Engineer</t>
        </is>
      </c>
      <c r="C219" t="inlineStr">
        <is>
          <t>Microsoft</t>
        </is>
      </c>
      <c r="D219" t="inlineStr">
        <is>
          <t>indeed</t>
        </is>
      </c>
      <c r="E219">
        <f>HYPERLINK("https://www.indeed.com/viewjob?jk=403fe0c51ed17c79", "https://www.indeed.com/viewjob?jk=403fe0c51ed17c79")</f>
        <v/>
      </c>
      <c r="F219">
        <f>HYPERLINK("https://apply.careers.microsoft.com/careers/job/1970393556636767?utm_source=indeed&amp;domain=microsoft.com", "https://apply.careers.microsoft.com/careers/job/1970393556636767?utm_source=indeed&amp;domain=microsoft.com")</f>
        <v/>
      </c>
      <c r="G219" t="inlineStr">
        <is>
          <t>US</t>
        </is>
      </c>
      <c r="H219" s="3" t="n">
        <v>45991</v>
      </c>
      <c r="I219" t="inlineStr">
        <is>
          <t>**Overview**  
Azure Capacity Infrastructure Service (CIS) is an internal service driving capacity build\-out and decommissioning through automation. Azure is growing at a fast past and all capacity additions go through us. We're a software engineering team partnering with service teams in Azure to automate and drive scenarios such as building Azure clusters, availability zones or regions.
As a Senior Software Engineer on the Azure Capacity Infrastructure Service team, you learn how both Azure backend services and business come together to make the cloud a reality. You’ll design, build, deploy, and run a distributed system to safely orchestrate the refresh process and ensure new product designs are ready to support a full lifecycle.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Java, JavaScript, or Python
	+ OR equivalent experience.
* 4\+ years of experience working on large distributed systems.
* 3\+ years of experience working on Cloud applications (Azure/AWS/GCP).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20">
      <c r="A220" t="inlineStr">
        <is>
          <t>in-4e4260790c3bace1</t>
        </is>
      </c>
      <c r="B220" t="inlineStr">
        <is>
          <t>Lead Software Engineering Program Manager - HP IQ</t>
        </is>
      </c>
      <c r="C220" t="inlineStr">
        <is>
          <t>HP</t>
        </is>
      </c>
      <c r="D220" t="inlineStr">
        <is>
          <t>indeed</t>
        </is>
      </c>
      <c r="E220">
        <f>HYPERLINK("https://www.indeed.com/viewjob?jk=4e4260790c3bace1", "https://www.indeed.com/viewjob?jk=4e4260790c3bace1")</f>
        <v/>
      </c>
      <c r="F220">
        <f>HYPERLINK("https://hp.wd5.myworkdayjobs.com/en-US/ExternalCareerSite/job/San-Francisco-California-United-States-of-America/Lead-Software-Engineering-Program-Manager---HP-IQ_3157144-1", "https://hp.wd5.myworkdayjobs.com/en-US/ExternalCareerSite/job/San-Francisco-California-United-States-of-America/Lead-Software-Engineering-Program-Manager---HP-IQ_3157144-1")</f>
        <v/>
      </c>
      <c r="G220" t="inlineStr">
        <is>
          <t>San Francisco, CA, US</t>
        </is>
      </c>
      <c r="H220" s="3" t="n">
        <v>45991</v>
      </c>
      <c r="I220" t="inlineStr">
        <is>
          <t>**Description \-**
**Who We Are**
HP IQ is HP’s new AI innovation lab. Combining startup agility with HP’s global scale, we’re building intelligent technologies that redefine how the world works, creates, and collaborates.
We’re assembling a diverse, world\-class team—engineers, designers, researchers, and product minds—focused on creating an intelligent ecosystem across HP’s portfolio. Together, we’re developing intuitive, adaptive solutions that spark creativity, boost productivity, and make collaboration seamless.
We create breakthrough solutions that make complex tasks feel effortless, teamwork more natural, and ideas more impactful—always with a human\-centric mindset.
By embedding AI advancements into every HP product and service, we’re expanding what’s possible for individuals, organisations, and the future of work.
Join us as we reinvent work, so people everywhere can do their best work.
**About the Role**
HP IQ is a recently acquired business unit combining the agility of a startup with the scale of an enterprise. We’re seeking a highly motivated Lead Software EPM to drive cross\-functional programs at the intersection of software, hardware, and AI. This role will play a critical part in shaping future\-connected experiences across a diverse portfolio of devices and platforms.This technical leader will be comfortable navigating ambiguity and can help define and drive high\-impact initiatives with minimal upfront guidance.
You may come from a software or systems engineering background and be transitioning into program management, or you may already be a seasoned EPM with deep technical fluency in complex SW\-HW systems development. Either way, curiosity, adaptability, and a desire to learn are essential.
**What You Might Do**
* Own the full lifecycle of software initiatives with strong hardware dependencies—scoping, planning, execution, and delivery—ensuring alignment with strategic goals and engineering excellence.
* Partner closely with software developers, hardware engineering, and product managers to define technical requirements and drive cross\-functional execution.
* Navigate shifting priorities by balancing long\-term platform investments with rapid delivery of impactful user\-facing features.
* Build strong relationships with partner teams across engineering, product, research, and design to align goals and deliver against key milestones.
* Foster a culture of trust, clarity, and shared ownership. Communicate effectively across technical and non\-technical audiences.
**Essential Qualifications**
* Experienced in leading zero\-to\-one product or platform development, ideally in fast\-paced or emerging environments.
* Experience delivering software solutions with closely tied dependencies to embedded hardware and sensor solutions.
* Strong foundation in software product development, with full\-stack systems understanding from cloud services to on\-device components.
* Strong foundation in hardware product development, with an understanding of hardware development life cycles and embedded software development.
* Experience in managing cross functional teams across multiple time zones, including contract firms.
* Bachelor’s Degree in Computer Science, Engineering, or a related technical field—or equivalent practical experience.
* 10\+ years in technical program management, software engineering, or program roles supporting complex hardware\-software development.
* Solid grasp of Agile methodologies and project tracking tools, with a proven track record of driving cross\-functional programs.
* Excellent written and verbal communication skills—able to simplify complex concepts and drive alignment across diverse teams.
* Strong analytical skills, a bias for action, and a proactive, ownership\-driven mindset.
**Preferred Skills**
* Experience within both startup environments and large\-scale enterprise organizations.
* Proven experience in launching software products with hardware dependencies for consumer markets.
* Able to tailor processes to fit team structure, ensuring efficient planning and streamlined status updates.
* Understands how to increase development velocity while maintaining high technical standards and aligning with product and design goals.
* Skilled in using bug and task tracking tools, particularly Jira.
Salary: $190,000\- $240,000
**Compensation \&amp; Benefits (Full\-Time Employees)**
The salary range for this role is listed above. Final salary offered is based upon multiple factors including individual job\-related qualifications, education, experience, knowledge and skills.
At HP IQ, we offer a competitive and comprehensive benefits package,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 US benefits overview )
**Job \-**
Software
**Schedule \-**
Full time
**Shift \-**
No shift premium (United States of America)
**Travel \-**
**Relocation \-**
**Equal Opportunity Employer (EEO)** **\-**
HP, Inc. provides equal employment opportunity to all employees and prospective employees, without regard to race, color, religion, sex, national origin, ancestry, citizenship, sexual orientation, age, disability, or status as a protected veteran, marital status, familial status, physical or mental disability, medical condition, pregnancy, genetic predisposition or carrier status, uniformed service status, political affiliation or any other characteristic protected by applicable national, federal, state, and local law(s).
Please be assured that you will not be subject to any adverse treatment if you choose to disclose the information requested. This information is provided voluntarily. The information obtained will be kept in strict confidence.
For more information, review HP’s EEO Policy or read about your rights as an applicant under the law here: “ Know Your Rights: Workplace Discrimination is Illegal "</t>
        </is>
      </c>
    </row>
    <row r="221">
      <c r="A221" t="inlineStr">
        <is>
          <t>in-84b76a4464c3dee1</t>
        </is>
      </c>
      <c r="B221" t="inlineStr">
        <is>
          <t>Software Engineer II</t>
        </is>
      </c>
      <c r="C221" t="inlineStr">
        <is>
          <t>Microsoft</t>
        </is>
      </c>
      <c r="D221" t="inlineStr">
        <is>
          <t>indeed</t>
        </is>
      </c>
      <c r="E221">
        <f>HYPERLINK("https://www.indeed.com/viewjob?jk=84b76a4464c3dee1", "https://www.indeed.com/viewjob?jk=84b76a4464c3dee1")</f>
        <v/>
      </c>
      <c r="F221">
        <f>HYPERLINK("https://apply.careers.microsoft.com/careers/job/1970393556620575?utm_source=indeed&amp;domain=microsoft.com", "https://apply.careers.microsoft.com/careers/job/1970393556620575?utm_source=indeed&amp;domain=microsoft.com")</f>
        <v/>
      </c>
      <c r="G221" t="inlineStr">
        <is>
          <t>Redmond, WA, US</t>
        </is>
      </c>
      <c r="H221" s="3" t="n">
        <v>45963</v>
      </c>
      <c r="I221" t="inlineStr">
        <is>
          <t>**Overview**  
As part of Microsoft’s vision of redefining productivity in a mobile\-first and cloud\-first world, we believe the modern workspace is underserved by the existing software solutions and we are building the new, truly modern collaboration and productivity hub for the workspace. Microsoft Teams is core to Microsoft's vision for intelligent communications. We are THE hub for teamwork in Microsoft 365 with hundreds of thousands of organizations and tens of millions of users across the globe using Teams.
We are looking for a **Software Engineer II** to drive our efforts in areas ranging from performance, mobile architecture, and customer growth on an iOS platform. This position is with the Microsoft Teams’ mobile clients team which tackles the toughest challenges in the mobile collaboration and productivity space with customer driven shipping timelines by collaborating with multiple partner teams on technologies across the company and beyond.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Solve and address any issues in the application fundamentals across areas as we continue to build the next generation capabilities for the Teams Mobile Application.
* Improve the system architecture to scale the mobile development agility.
* Understanding and anticipating the needs of our customers in a changing business and technology landscape is critical.
* Understanding of mobile applications and understanding of the competitive landscape and usage scenarios. Product vision and ability to plan and design various features in stages to reach the end goal in an evolutionary way is critical.
* You will be accountable for the design, implementation and delivery of solutions that will directly impact the customer experience and store rating with emphasis on reliability and product performance as the top concern.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2 \+ years experience with iOS technologies Swift, Objective\-C, Swift, Core Data etc. and knowledge of end to end software development life cycle for iOS platform.
\#teamscore \#teams \#cap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li-4344667563</t>
        </is>
      </c>
      <c r="B2" t="inlineStr">
        <is>
          <t>Principal Software Engineer</t>
        </is>
      </c>
      <c r="C2" t="inlineStr">
        <is>
          <t>Microsoft</t>
        </is>
      </c>
      <c r="D2" t="inlineStr">
        <is>
          <t>linkedin</t>
        </is>
      </c>
      <c r="E2" t="inlineStr"/>
      <c r="F2" t="inlineStr"/>
      <c r="G2" t="inlineStr"/>
      <c r="H2" t="inlineStr"/>
      <c r="I2" t="inlineStr">
        <is>
          <t>**Overview**
 We are part of the Azure Experiences and Ecosystems team. Our team owns the data platform supporting several user experiences including the Azure Portal, Azure Copilot, Microsoft Learn and many more. Our services are accessed by millions of unique users every month.
 We are looking for a highly motivated Principal Software Engineer with passion for large data storage and smart integration with an emerging Artificial Intelligence (AI) landscape. Ours is a fast\-paced team working with the next generation technology in an exciting and strategic market. If you want to work in an agile environment and have impact that will span across hundreds of partners teams across Microsoft, this is the place for you!
 Our engineers come from diverse backgrounds, are passionate about our products, and grounded in our customers’ needs. Our team values thoughtful engineering, the ability to develop strong relationships with your peers and partners, and the ability to focus on the outcomes that matter.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Build and maintain scalable, secure, and performant data infrastructure.
* Partner with product and infra teams to capture meaningful signals across services.
* Support shared tooling and pipelines for model training, evaluation, and deployment.
* Releasing frequent updates on a weekly basis.
* Knowledge and work in agile development and continuous improvement processes.
* Value quality, security, performance, scalability, usability, and accessibility in everything we do.
* Are team\-players eager to excel in a dynamic, customer\-focused, collaborative environment.
**Qualifications**
**Required Qualifications:**
* Bachelor's Degree in Computer Science or related technical field AND 6\+ years technical engineering experience with coding in languages including, but not limited to, C, C\+\+, C\#, JavaScript, or Python
+ OR equivalent experience.
* 4\+ year(s) of experience in a Data Engineer or Software Engineer role with a focus on cloud\-based big data processing.
* 4\+ year(s) of knowledge of System Design and big data architectures.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5\+ years of knowledge of data mining, machine learning, or information retrieval.
* 3\+ years experience with Experimentation platforms and processing flighting telemetry.
* 2\+ years of knowledge of Azure, Azure Data Explorer (Kusto Query Language – KQL), Synapse, and Grafana.
* 6\+ years of programming experience and a willingness to learn new programming languages/AI tools to meet goals and objectives.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
      <c r="A3" t="inlineStr">
        <is>
          <t>li-4304807860</t>
        </is>
      </c>
      <c r="B3" t="inlineStr">
        <is>
          <t>Senior Machine Learning Engineer - Discovery (ML + Backend Engineering)</t>
        </is>
      </c>
      <c r="C3" t="inlineStr">
        <is>
          <t>Scribd, Inc.</t>
        </is>
      </c>
      <c r="D3" t="inlineStr">
        <is>
          <t>linkedin</t>
        </is>
      </c>
      <c r="E3" t="inlineStr"/>
      <c r="F3" t="inlineStr"/>
      <c r="G3" t="inlineStr">
        <is>
          <t>Phoenix, AZ</t>
        </is>
      </c>
      <c r="H3" t="inlineStr"/>
      <c r="I3"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Recommendations Team**
 The Recommendations team powers personalized discovery across Scribd’s products, delivering relevant and engaging suggestions to millions of users. We operate at the intersection of large\-scale data, cutting\-edge machine learning, and product innovation — collaborating across brands and platforms to enhance user experiences in reading, listening, and learning.
 Our Team Is a Blend Of Frontend, Backend, And ML Engineers Who Partner Closely With Product Managers, Data Scientists, And Analysts. We
* Prototype 0→1 solutions in collaboration with product and engineering teams.
* Build and maintain end\-to\-end, production\-grade ML systems for recommendations, search, and generative AI features.
* Develop and operate services in Go, Python, and Ruby that power high\-traffic recommendation and personalization pipelines.
* Run large\-scale A/B and multivariate experiments to validate models and feature improvements.
* Transform Scribd’s massive, diverse dataset into actionable insights that drive measurable business impact.
* Explore and implement generative AI for conversational recommendations, document understanding, and advanced search capabilities.
**About The Role**
 We’re looking for a
 **Machine Learning Engineer** 
 who will design, build, and optimize ML systems that scale to millions of users. You’ll work across the entire lifecycle — from data ingestion to model training, deployment, and monitoring — with a focus on creating fast, reliable, and cost\-efficient pipelines. You’ll also play a key role in delivering next\-generation AI features like doc\-chat and ask\-AI that expand how users interact with Scribd’s content.
**Key Responsibilities**
* Data Pipelines – Collaborate with engineering and analytics teams to build large\-scale ingestion, transformation, and validation pipelines on Databricks.
* Model Development \&amp; Deployment – Train, evaluate, and deploy ML models (including generative models) to production using Scribd’s internal platform and industry\-standard frameworks.
* Experimentation – Design and run A/B and N\-way experiments to measure the impact of model and feature changes.
* Cross\-Functional Collaboration – Partner with product managers, data scientists, and analysts to identify opportunities, define requirements, and deliver solutions that solve real user problems.
**Requirements**
**Must Have**
* 4\+ years of post qualification experience as a professional ML or software engineer, with a proven track record of delivering production ML systems at scale.
* Proficiency in at least one key programming language (preferably Python or Golang; Scala or Ruby also considered).
* Expertise in designing and architecting large\-scale ML pipelines and distributed systems.
* Deep experience with distributed data processing frameworks (Spark, Databricks, or similar).
* Strong cloud expertise (AWS, Azure, or GCP) and experience with deployment platforms (ECS, EKS, Lambda).
* Proven ability to optimize system performance and make informed trade\-offs in ML model and system design.
* Experience leading technical projects and mentoring engineers.
* Bachelor’s or Master’s degree in Computer Science or equivalent professional experience.
**Nice to Have**
* Experience with embedding\-based retrieval, large language models, advanced recommendation or ranking systems.
* Expertise in experimentation design, causal inference, or ML evaluation methodologies.
 Why Work With Us
* High\-Impact Environment: Your contributions will power recommendations, search, and next\-generation AI features used by millions of readers, learners, and listeners worldwide.
* Cutting\-Edge Projects: Tackle challenging ML and AI problems with a forward\-thinking team, building novel generative features on top of Scribd’s massive and unique dataset.
* Collaborative Culture: Join a culture that values debate, fresh perspectives, and a willingness to learn from each other.
* Flexible Workplace: Benefit from Scribd Flex, which offers autonomy in choosing your daily work style, while still prioritizing in\-person collaboration.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$146,500 \[minimum salary in our lowest geographic market within California] to $228,000 \[maximum salary in our highest geographic market within California].
 In the United States, outside of California, the reasonably expected salary range is between $120,000 \[minimum salary in our lowest US geographic market outside of California] to $217,000 \[maximum salary in our highest US geographic market outside of California].
 In Canada, the reasonably expected salary range is between $153,000 CAD\[minimum salary in our lowest geographic market] to $202,000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4">
      <c r="A4" t="inlineStr">
        <is>
          <t>li-4294691514</t>
        </is>
      </c>
      <c r="B4" t="inlineStr">
        <is>
          <t>Software Engineer, New Grad</t>
        </is>
      </c>
      <c r="C4" t="inlineStr">
        <is>
          <t>Stripe</t>
        </is>
      </c>
      <c r="D4" t="inlineStr">
        <is>
          <t>linkedin</t>
        </is>
      </c>
      <c r="E4" t="inlineStr"/>
      <c r="F4" t="inlineStr"/>
      <c r="G4" t="inlineStr">
        <is>
          <t>Seattle, WA</t>
        </is>
      </c>
      <c r="H4" t="inlineStr"/>
      <c r="I4"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 offers an interesting middle ground between joining a small startup and going to work for a multinational company. We have systems and processes optimized for early\-career professionals. You will be in an environment that prizes rigor, discipline, and reliability—from our products, from our ways of working, and from our colleagues. You will learn how the best teams put together extremely reliable systems, and you will be responsible for operating these systems, with adequate backup when things get tough.
 What you’ll do
 As a company, we believe in end\-to\-end ownership of projects. For any given project, we have one person on point. While they don't necessarily have to do all the work themselves, it's their job to make sure all the work gets done. We launch betas and prototypes as early as we can. This helps ensure that we're building what users actually want. We contribute back to the community, often by building things we think are cool and by releasing open\-source software.
**Responsibilities**
* Work on cross\-functional projects, directly collaborating with other engineers
* Give meaningful feedback on code reviews and technical designs
* Ensure that the systems your team operates continue running well and can scale to meet the needs of our users
* Build the skills to own a project from beginning to end, learning project management and technical leadership skills
 Who you are
 We’re looking for someone who meets the minimum requirements to be considered for the role. If you meet these requirements, you are encouraged to apply. The preferred qualifications are a bonus, not a requirement.
**Minimum Requirements**
* A Bachelor’s or Master’s degree in computer science or a directly related field, obtained by summer 2026, or equivalent work experience
* Some experience and familiarity with programming, either through side projects or classwork. We work mostly in Java, Ruby, JavaScript, Scala, and Go. We believe new programming languages can be learned if the fundamentals and general knowledge are present
* Experience from either previous internships or working collaboratively on multi\-person coding projects (in a university or professional setting)
* Ability to learn unfamiliar systems and form an understanding of those systems, through independent research and working with a mentor and subject matter experts
**Preferred Qualifications**
* One or more areas of specialized knowledge balanced with general skills and knowledge, such as knowing more frontend technologies and, at a high level, how a service handles an HTTP request
* Experience in code review practices, and an understanding of how to safely update production systems
* Familiarity with navigating and managing work in large code bases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$122,100 \- $134,400\.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5">
      <c r="A5" t="inlineStr">
        <is>
          <t>li-4258382945</t>
        </is>
      </c>
      <c r="B5" t="inlineStr">
        <is>
          <t>Software Engineer, Backend</t>
        </is>
      </c>
      <c r="C5" t="inlineStr">
        <is>
          <t>Glean</t>
        </is>
      </c>
      <c r="D5" t="inlineStr">
        <is>
          <t>linkedin</t>
        </is>
      </c>
      <c r="E5" t="inlineStr"/>
      <c r="F5" t="inlineStr"/>
      <c r="G5" t="inlineStr"/>
      <c r="H5" t="inlineStr"/>
      <c r="I5"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looking for Backend/Infrastructure engineers to build a highly performant, scalable, secure, permissions\-aware system that makes all the relevant enterprise knowledge readily available to employees in all contexts of their work. The role provides ample opportunities to work on various aspects of building a modern cloud\-native application stack using the latest best practices \- examples of some technical challenges you can work on are building a scalable, reliable distributed system and underlying storage, a unified application framework and data model that makes it easy to index diverse sources of information, end\-to\-end aspects of security \- application layer, platform layer as well as IT security, laser focus on making the experience feel instant, while at the same time balancing the system cost implications, and tooling for comprehensive monitoring and deployment of the system in multiple cloud environments.
**You Will**
* Own impactful infrastructure problems from inception and architecture to production launch
* Write well thought out design documents and robust, high\-quality and well\-tested code
* Work collaboratively with a strong team to identify the most impactful projects we should be prioritizing in our roadmap
* Mentor more junior engineers or learn from battle tested ones
**You Are**
* 3\+ years of experience
* BA/BS in computer science, or related degree
* Experience working on infrastructure for distributed systems or cloud\-native applications
**Key Knowledge And Skills**
* Thrive in a customer\-focused, tight\-nit and cross\-functional environment \- being a team player and willing to take on whatever is most impactful for the company is a must
* A proactive and positive attitude to lead, learn, troubleshoot and take ownership of both small tasks and large features
* Strong coding skills (for example in Go/Python/Java/C\+\+ etc) with an emphasis on designing for reliability and scale, and writing well\-tested components
* Familiarity with cloud native development practices in GCP/AWS/Azure is a plus
**Location:**
* This role is hybrid (3\-4 days a week in one of our SF Bay Area offices)
**Compensation \&amp; Benefits**
 The standard base salary range for this position is $140,000 \- $265,000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6">
      <c r="A6" t="inlineStr">
        <is>
          <t>li-4367490035</t>
        </is>
      </c>
      <c r="B6" t="inlineStr">
        <is>
          <t>Software Engineer</t>
        </is>
      </c>
      <c r="C6" t="inlineStr">
        <is>
          <t>FanDuel</t>
        </is>
      </c>
      <c r="D6" t="inlineStr">
        <is>
          <t>linkedin</t>
        </is>
      </c>
      <c r="E6" t="inlineStr"/>
      <c r="F6" t="inlineStr"/>
      <c r="G6" t="inlineStr">
        <is>
          <t>New York, NY</t>
        </is>
      </c>
      <c r="H6" t="inlineStr"/>
      <c r="I6" t="inlineStr">
        <is>
          <t>**THE POSITION**
 Our roster has an opening with your name on it
 We're growing our Trader Automation Engineering team that works on some of the coolest software in the industry \- the systems that price betting markets for the major US sports! The team you will join works proactively with other teams across the organization to build best in class trader automation tooling, while proactively identifying opportunities for technical innovation within the Risk and Trading organization. Our stakeholders are the people who establish the odds and prices for the \#1 sports book in America!
 As a Software Engineer within FanDuel’s Trading Solutions team, you will be an essential part of a cross functional agile team that directly impacts our business. You will work collaboratively with a team to implement creative, high\-quality solutions, scope effort and timelines, and balance priorities of our stakeholders and engineering needs. This team will work closely to deliver exceptionally high\-quality software, while taking pride and ownership in testing, deploying, monitoring, and maintaining that software.
 **Our engineers own every part of the software delivery lifecycle** 
 .
 You will work directly with quantitative analysts and sports platform engineering teams at FanDuel to improve the user experience of our trading teams. You will go beyond the software developer role and will be called upon to identify opportunities yourself in the trader automation space to innovate through technology.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and deliver constant improvements to our systems. We want you to be excited about constantly learning and driving your professional development. You should have many of the following skills and be eager to build the skills you don’t!:
* You work in project ideas with stakeholders, and peers
* You own parts of product and technology \&amp; become subject matter experts
* You write simple and extendable code following standards and best practices.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On\-call rotation where required. You provide excellent customer support
* You keep yourself up to date with market standards, open\-source frameworks
* Creative problem\-solving ability
* A passion for learning and always getting better
* Most importantly, you are; humble, pragmatic, self\-managed, thirsty for knowledge, never satisfied and always challenging the norm. Responsible for the state of the code you both inherit and produce
**THE STATS**
 What we're looking for in our next teammate
* Degree in Computer Science, Data Science, Engineering or related discipline.
* 3 or more years of industry experience in an Engineering field.
* Proficient in building services with a modern OOP language (C\# experience is required).
* A fundamental understanding of data structures and algorithms.
* Experience working with CI/CD pipeline tooling (BuildKite and GitHub Actions knowledge is beneficial).
* Experience working with cloud\-based infrastructure and technologies.
* Knowledge of infrastructure as code is nice to have, notably Terraform and Helm.
* Experience interacting and designing relational databases.
* Experience with streaming technologies, like Kafka, is preferable.
* Ability to document code, research, and designs clearly.
* Proficiency in translating requirements into design and developing applications.
* Understanding of containers (e.g. Docker), and orchestration (Kubernetes).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7">
      <c r="A7" t="inlineStr">
        <is>
          <t>li-4367601319</t>
        </is>
      </c>
      <c r="B7" t="inlineStr">
        <is>
          <t>Software Engineer</t>
        </is>
      </c>
      <c r="C7" t="inlineStr">
        <is>
          <t>Google</t>
        </is>
      </c>
      <c r="D7" t="inlineStr">
        <is>
          <t>linkedin</t>
        </is>
      </c>
      <c r="E7" t="inlineStr"/>
      <c r="F7" t="inlineStr"/>
      <c r="G7" t="inlineStr">
        <is>
          <t>Mountain View, CA</t>
        </is>
      </c>
      <c r="H7" t="inlineStr"/>
      <c r="I7" t="inlineStr">
        <is>
          <t>**Minimum qualifications:**
* Bachelor’s degree or equivalent practical experience.
* 2 years of experience with software development in one or more programming languages, or 1 year of experience with an advanced degree.
* 2 years of experience building developer tools (e.g., compilers, automated releases, code design and testing, test automation frameworks).
**Preferred qualifications:**
* Master's degree or PhD in Computer Science, or a related technical field.
* Experience using data science or statistical methods to derive insights and solve problems.
* Experience with AI/ML powered feature development and productization.
* Experience building developer tools (e.g., compilers, automated releases, code design and testing, test automation frameworks).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Android Platinum team is dedicated to enhancing the quality of Android releases by establishing and executing critical testing operation on essential devices. The primary mission of Platinum is to implement and maintain a standard for the Android baseline release quality. Furthermore, the team provides Android Engineers with a framework designed to execute critical tests for Critical User Journeys (CUJs). This initiative ensures that builds failing these essential tests are prevented from proceeding to subsequent release phases. Focusing on automation and the development of autonomous agents, the team seeks to significantly improve the efficiency of high\-speed critical testing operations and the overall productivity of Android feature development across various form factors.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Contribute to the design and implementation of scalable, low\-latency tools and infrastructure, responsible for Android releases.
* Write clean and maintainable code using established engineering best practices. Ensure system reliability and security through comprehensive testing and monitoring.
* Serve as a key technical liaison, collaborating closely with multiple internal Google teams.
* Manage ambiguous problems that require strong problem\-solving skills and define technical solutions from high\-level, evolving product requirements.
* Take ownership of key infrastructural components, managing their full lifecycle from design to deployment and operational support.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
      <c r="A8" t="inlineStr">
        <is>
          <t>li-4367449806</t>
        </is>
      </c>
      <c r="B8" t="inlineStr">
        <is>
          <t>Software Engineer</t>
        </is>
      </c>
      <c r="C8" t="inlineStr">
        <is>
          <t>Approved Oil Company</t>
        </is>
      </c>
      <c r="D8" t="inlineStr">
        <is>
          <t>linkedin</t>
        </is>
      </c>
      <c r="E8" t="inlineStr"/>
      <c r="F8" t="inlineStr"/>
      <c r="G8" t="inlineStr">
        <is>
          <t>Brooklyn, NY</t>
        </is>
      </c>
      <c r="H8" t="inlineStr"/>
      <c r="I8" t="inlineStr">
        <is>
          <t>Software Engineering
 Location: Brooklyn, NY \| Greenwich, CT \[Hybrid – 3 days in office / 2 days remote]
 Full Time
 Approved Oil is seeking a talented software engineer to power our evolution into an AI\-enabled energy platform. We empower customers to navigate complex energy markets and regulations through intuitive, data\-driven insights; providing them with unprecedented choice, transparency, and control over their energy future.
 Approved Oil is a leading independent fuel oil supplier and energy services provider serving residential, commercial, and wholesale customers across New York City and the surrounding tri\-state area. With a legacy dating back to 1932, the company continues to expand rapidly, evolving into a comprehensive energy services and solutions platform built on deep market expertise, operational excellence, and reliability.
 We value entrepreneurship, passion, and a strong desire to learn and grow, while maintaining the highest standards of customer service and integrity. Join our fast\-growing organization, where numerous opportunities exist to develop professionally and grow alongside a company with a long\-standing reputation and a forward\-looking vision.
 In this role, you will lead the design and evolution of our energy services platform, ensuring seamless integration with core internal systems. Serving as a strategic bridge, you will collaborate with stakeholders across sales, marketing, operations, finance, and legal to build technology solutions that drive our operational and strategic growth.
 This position will lead software development, deployment, and user adoption. The ideal candidate demonstrates hands\-on leadership, possesses the grit to see projects come to fruition, is innovative and flexible in addressing challenges, and above all, fosters positive collaborative culture throughout the company.
 Key Responsibilities
 • Engineering Leadership \&amp; Strategy
 o Lead the technical vision, long\-term architecture strategy, and engineering roadmap to support business objectives through drive the delivery of high\-quality software delivery across all engineering teams.
 o Build, mentor, and lead a high\-performing engineering team across software, cloud, data, and integrations.
 o Lead design, development, testing, deployment, maintenance, and continuous improvement of systems.
 o Responsible for recruiting, hiring, managing and mentoring of internal employees while strategically engaging external resources as needed.
 o Establish engineering procedures, policies, documentation standards, and governance practices through use of Atlassian tools for transparency and accountability.
 o Manage vendor relationships, third\-party software contracts, and external development partners.
 o Optimize engineering spend and operational efficiency to minimize software development cost.
 o Collaborate with executive leadership and cross\-functional departments to align business objectives and technical priorities.
 Platform Implementation \&amp; Ownership
 o Lead end\-to\-end implementation, customization, and optimization of Microsoft Dynamics 365 across all business units, including customer/partner portals and applications.
 o Own system architecture, workflows, integrations, APIs, and the underlying solution design.
 o Integrate and manage connections with third\-party software and APIs across billing, operations, energy suppliers, and partners.
 • Cloud Architecture (Microsoft Azure)
 o Architect and maintain the organization’s Azure cloud infrastructure.
 o Implement secure, scalable solutions using Azure, Functions, Logic Apps, Azure Identity, Application Insights, Data Factory and more.
 o Establish CI/CD pipelines, cloud security best practices, and operational monitoring.
 o Deploy and integrate AI agents into internal workflows, customer platforms, and operational systems.
 • Data Engineering \&amp; Automation
 o Normalize and unify data ingested from multiple external entities, including bills, invoices, supplier feeds, metering data, usage files, and historical records.
 o Build data pipelines that support reporting, forecasting, and analytics needs.
 o Oversee cost optimization, pipeline efficiency, and cloud data infrastructure spend
 Technical Execution
 o Oversee code reviews, architecture decisions, and implementation of new features.
 o Ensure reliability, performance, and security across all applications and integrations.
 o Manage full software development lifecycle and ensure comprehensive maintenance of documentation, release notes, and technical specifications.
 o Manage external vendors and third\-party development partners to ensure delivery against SLAs.
 • Cross\-Functional Collaboration
 o Work closely with Operations, Billing, Procurement, Customer Service, Finance, and Compliance to translate needs into scalable technical solutions and analytics.
 o Ensure engineering deliverables support compliance, efficiency, and customer experience goals.
 • Policies and Procedures
 o Lead Agile Software development process to manage tasks and deadlines, enforce iterative product development, and deliver MVP.
 o Responsible for management/reporting of project priorities, deadlines, and deliverables.
 o Ensure industry best practices for software development are adopted company wide.
 Qualifications
 Core
 o 4–6 years professional experience in software engineering, backend systems, or data engineering
 o Strong hands\-on expertise with Microsoft Azure cloud services and architecture.
 o Strong coding skills in Python with regards to data analytics, data processing and APIs/SDKs
 o Solid understanding of SQL for data analysis and query optimization
 o Experience implementing and customizing CRM platforms (Microsoft Dynamics 365 preferred, but others acceptable: Salesforce, HubSpot, etc.)
 o Strong understanding of API design, integration patterns, and cloud governance.
 Preferred
 o Experience in the energy, utilities, or infrastructure industries.
 o Experience with data platforms, reporting, or IoT/telemetry systems.
 Data Engineering \&amp; Analysis
 o Experience working with SQL databases (preferably PostgreSQL) in production environments
 o Familiarity with building and maintaining data pipelines (ELT/ETL)
 o Experience using or integrating with Snowflake as a data warehouse
 Cloud \&amp; DevOps (Azure Preferred)
 o Experience deploying services to Azure, AWS, or GCP
 o Comfortable using Azure Functions, Service Bus, or similar tools for event\-driven workflows
 CRM Integrations \&amp; APIs
 o Experience integrating CRM data into backend systems or analytics pipelines
 o Familiarity with Dataverse or CRM data models (e.g., leads, accounts, sales workflows)
 o Comfort working with REST APIs, auth tokens, and pagination/limiting strategies
 AI Automation and Workflow Tools
 o Experience with no\-code/low\-code tools like Zapier, n8n, etc.
 o Exposure to AI APIs or frameworks (LangChain, OpenAI API, CrewAI), but not core to the role
 o Background building internal tools or data dashboards for sales, revenue, or ops teams
 o General awareness of sales terminology (e.g., leads, stages, opportunity pipeline)
 Soft Skills \&amp; Work Style
 • Self\-directed, efficient, and outcome\-focused
 • Strong communication skills with ability to translate technical work into business impact
 • Interest in continual learning — especially around cloud tooling, data modeling, and internal automation
 • Management skills
 • Data Management
 • Cloud Management
 • Hands on full\-stack developer
 • Product Development
 • Energy experience a plus
 Benefits
 ● Competitive compensation package.
 ● Benefits (Medical, Dental, Vision)
 ● Opportunity to lead major digital transformation initiatives.
 ● Collaborative environment with significant autonomy.
 ● Long\-term growth opportunities as the business expands.</t>
        </is>
      </c>
    </row>
    <row r="9">
      <c r="A9" t="inlineStr">
        <is>
          <t>li-4367486293</t>
        </is>
      </c>
      <c r="B9" t="inlineStr">
        <is>
          <t>Senior Full Stack Software Engineer</t>
        </is>
      </c>
      <c r="C9" t="inlineStr">
        <is>
          <t>Icarus</t>
        </is>
      </c>
      <c r="D9" t="inlineStr">
        <is>
          <t>linkedin</t>
        </is>
      </c>
      <c r="E9" t="inlineStr"/>
      <c r="F9" t="inlineStr"/>
      <c r="G9" t="inlineStr">
        <is>
          <t>Los Angeles, CA</t>
        </is>
      </c>
      <c r="H9" t="inlineStr"/>
      <c r="I9" t="inlineStr">
        <is>
          <t>Icarus was founded on the belief that the Stratosphere is the
 **Forgotten Frontier** 
 and that reclaiming it will define the next era of aerospace and what is possible from the sky. We build solar\-powered aircraft that fly at 60,000 ft for weeks at a time, delivering persistent, affordable, and scalable presence from this layer of the atmosphere.
 Mission
 Re\-establish and maintain dominance in the Stratosphere.
 What you’ll do
* Build and own end\-to\-end software systems that power flight operations, autonomy, and user interaction
* Develop mission\-critical backend services for telemetry, command and control, data ingestion, and analytics
* Build clean, fast frontends for ground control, monitoring, and operator workflows
* Design APIs and data pipelines that connect aircraft, ground stations, and users
* Work closely with embedded, avionics, GNC, RF, and operations teams to ship tightly integrated systems
* Support flight test, field ops, and rapid iteration using real flight data
* Take systems from concept to production with speed and ownership
 What we’re looking for
* 2\+ years building real full\-stack software in production
* Strong backend experience (Python, Go, Rust, or similar)
* Strong frontend experience (React, TypeScript, or similar)
* Experience designing APIs, databases, and distributed systems
* Comfort working close to hardware, real\-time systems, or operational data
* Ability to move fast, own outcomes, and debug under pressure
 Why Icarus
* Meaningful equity
* Top market salary and bonuses
* Health, dental, and vision insurance
* Factory in El Segundo
* Real ownership, real hardware, real flight
* Small team, massive responsibility
* High signal (engineering) to noise (management) culture
* Dream desk setup
* Daily lunch
* Unlimited celsius
 This is not a normal engineering job
* We are pioneers, not corporate managers. Icarus deliberately optimizes for a high signal (engineers) to noise (management) ratio, where engineering, flight, and execution matter more than process, politics, or management overhead
* You will work side by side with the CEO and a small team of world\-class builders. You will own your subsystem end to end. Design it. Build it. Break it. Fix it. Validate it in the desert. Fly it. Then do it again, faster
* We expect full extreme ownership. This is a high\-trust, no\-BS team, and everyone pulls their weight
* We are hiring across the stack: mechanical, aerodynamics, RF, GNC, electrical, avionics, power electronics, energy storage, software, and systems
* We want builders. No hand\-holding. No fluff. No fake projects. No slide decks. No sitting in meetings all day. Just raw engineering, real hardware, and real flight
* You must thrive under pressure, learn fast, troubleshoot in the field, and push hardware to its limits. We move fast. We go to Mojave at 4 am in the morning. We expect results and an obsession with quality and speed
* You will be a core executor of flight hardware, taking systems from concept to reality and driving rapid iteration loops. You will work across avionics, power electronics, energy storage, integration, and production bring\-up. If you want real ownership, real hardware, and real flight milestones, this is it
 No tourists. No bystanders. Only builders.
 Hiring process
* Technical interview
* One\-on\-one with CEO
* Meet the team in\-person
 US salary range
 $120,000 \- $220,000 USD
 The salary range for this role is an estimate based on a wide range of compensation factors, inclusive of base salary only. Actual salary may vary based on (but not limited to) work experience, education and/or training, critical skills, and/or business considerations. Highly competitive equity grants are considered part of Icarus' total compensation package.
 We’re an equal opportunity employer. We welcome all applicants without attention to race, color, religion, sex, sexual orientation, gender identity, national origin, veteran or disability status.</t>
        </is>
      </c>
    </row>
    <row r="10">
      <c r="A10" t="inlineStr">
        <is>
          <t>li-4367470909</t>
        </is>
      </c>
      <c r="B10" t="inlineStr">
        <is>
          <t>Software Engineer</t>
        </is>
      </c>
      <c r="C10" t="inlineStr">
        <is>
          <t>FanDuel</t>
        </is>
      </c>
      <c r="D10" t="inlineStr">
        <is>
          <t>linkedin</t>
        </is>
      </c>
      <c r="E10" t="inlineStr"/>
      <c r="F10" t="inlineStr"/>
      <c r="G10" t="inlineStr">
        <is>
          <t>Atlanta, GA</t>
        </is>
      </c>
      <c r="H10" t="inlineStr"/>
      <c r="I10" t="inlineStr">
        <is>
          <t>**THE POSITION**
 Our roster has an opening with your name on it
 We're growing our Trader Automation Engineering team that works on some of the coolest software in the industry \- the systems that price betting markets for the major US sports! The team you will join works proactively with other teams across the organization to build best in class trader automation tooling, while proactively identifying opportunities for technical innovation within the Risk and Trading organization. Our stakeholders are the people who establish the odds and prices for the \#1 sports book in America!
 As a Software Engineer within FanDuel’s Trading Solutions team, you will be an essential part of a cross functional agile team that directly impacts our business. You will work collaboratively with a team to implement creative, high\-quality solutions, scope effort and timelines, and balance priorities of our stakeholders and engineering needs. This team will work closely to deliver exceptionally high\-quality software, while taking pride and ownership in testing, deploying, monitoring, and maintaining that software.
 **Our engineers own every part of the software delivery lifecycle** 
 .
 You will work directly with quantitative analysts and sports platform engineering teams at FanDuel to improve the user experience of our trading teams. You will go beyond the software developer role and will be called upon to identify opportunities yourself in the trader automation space to innovate through technology.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and deliver constant improvements to our systems. We want you to be excited about constantly learning and driving your professional development. You should have many of the following skills and be eager to build the skills you don’t!:
* You work in project ideas with stakeholders, and peers
* You own parts of product and technology \&amp; become subject matter experts
* You write simple and extendable code following standards and best practices.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On\-call rotation where required. You provide excellent customer support
* You keep yourself up to date with market standards, open\-source frameworks
* Creative problem\-solving ability
* A passion for learning and always getting better
* Most importantly, you are; humble, pragmatic, self\-managed, thirsty for knowledge, never satisfied and always challenging the norm. Responsible for the state of the code you both inherit and produce
**THE STATS**
 What we're looking for in our next teammate
* Degree in Computer Science, Data Science, Engineering or related discipline.
* 3 or more years of industry experience in an Engineering field.
* Proficient in building services with a modern OOP language (C\# experience is required).
* A fundamental understanding of data structures and algorithms.
* Experience working with CI/CD pipeline tooling (BuildKite and GitHub Actions knowledge is beneficial).
* Experience working with cloud\-based infrastructure and technologies.
* Knowledge of infrastructure as code is nice to have, notably Terraform and Helm.
* Experience interacting and designing relational databases.
* Experience with streaming technologies, like Kafka, is preferable.
* Ability to document code, research, and designs clearly.
* Proficiency in translating requirements into design and developing applications.
* Understanding of containers (e.g. Docker), and orchestration (Kubernetes).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1">
      <c r="A11" t="inlineStr">
        <is>
          <t>li-4367485732</t>
        </is>
      </c>
      <c r="B11" t="inlineStr">
        <is>
          <t>Software Engineer</t>
        </is>
      </c>
      <c r="C11" t="inlineStr">
        <is>
          <t>FanDuel</t>
        </is>
      </c>
      <c r="D11" t="inlineStr">
        <is>
          <t>linkedin</t>
        </is>
      </c>
      <c r="E11" t="inlineStr"/>
      <c r="F11" t="inlineStr"/>
      <c r="G11" t="inlineStr">
        <is>
          <t>Jersey City, NJ</t>
        </is>
      </c>
      <c r="H11" t="inlineStr"/>
      <c r="I11" t="inlineStr">
        <is>
          <t>**THE POSITION**
 Our roster has an opening with your name on it
 We're growing our Trader Automation Engineering team that works on some of the coolest software in the industry \- the systems that price betting markets for the major US sports! The team you will join works proactively with other teams across the organization to build best in class trader automation tooling, while proactively identifying opportunities for technical innovation within the Risk and Trading organization. Our stakeholders are the people who establish the odds and prices for the \#1 sports book in America!
 As a Software Engineer within FanDuel’s Trading Solutions team, you will be an essential part of a cross functional agile team that directly impacts our business. You will work collaboratively with a team to implement creative, high\-quality solutions, scope effort and timelines, and balance priorities of our stakeholders and engineering needs. This team will work closely to deliver exceptionally high\-quality software, while taking pride and ownership in testing, deploying, monitoring, and maintaining that software.
 **Our engineers own every part of the software delivery lifecycle** 
 .
 You will work directly with quantitative analysts and sports platform engineering teams at FanDuel to improve the user experience of our trading teams. You will go beyond the software developer role and will be called upon to identify opportunities yourself in the trader automation space to innovate through technology.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and deliver constant improvements to our systems. We want you to be excited about constantly learning and driving your professional development. You should have many of the following skills and be eager to build the skills you don’t!:
* You work in project ideas with stakeholders, and peers
* You own parts of product and technology \&amp; become subject matter experts
* You write simple and extendable code following standards and best practices.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On\-call rotation where required. You provide excellent customer support
* You keep yourself up to date with market standards, open\-source frameworks
* Creative problem\-solving ability
* A passion for learning and always getting better
* Most importantly, you are; humble, pragmatic, self\-managed, thirsty for knowledge, never satisfied and always challenging the norm. Responsible for the state of the code you both inherit and produce
**THE STATS**
 What we're looking for in our next teammate
* Degree in Computer Science, Data Science, Engineering or related discipline.
* 3 or more years of industry experience in an Engineering field.
* Proficient in building services with a modern OOP language (C\# experience is required).
* A fundamental understanding of data structures and algorithms.
* Experience working with CI/CD pipeline tooling (BuildKite and GitHub Actions knowledge is beneficial).
* Experience working with cloud\-based infrastructure and technologies.
* Knowledge of infrastructure as code is nice to have, notably Terraform and Helm.
* Experience interacting and designing relational databases.
* Experience with streaming technologies, like Kafka, is preferable.
* Ability to document code, research, and designs clearly.
* Proficiency in translating requirements into design and developing applications.
* Understanding of containers (e.g. Docker), and orchestration (Kubernetes).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2">
      <c r="A12" t="inlineStr">
        <is>
          <t>li-4359413165</t>
        </is>
      </c>
      <c r="B12" t="inlineStr">
        <is>
          <t>Backend Engineer/API, Payments and Risk</t>
        </is>
      </c>
      <c r="C12" t="inlineStr">
        <is>
          <t>Stripe</t>
        </is>
      </c>
      <c r="D12" t="inlineStr">
        <is>
          <t>linkedin</t>
        </is>
      </c>
      <c r="E12" t="inlineStr"/>
      <c r="F12" t="inlineStr"/>
      <c r="G12" t="inlineStr">
        <is>
          <t>New York, United States</t>
        </is>
      </c>
      <c r="H12" t="inlineStr"/>
      <c r="I12"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3">
      <c r="A13" t="inlineStr">
        <is>
          <t>li-4367486191</t>
        </is>
      </c>
      <c r="B13" t="inlineStr">
        <is>
          <t>Senior Embedded Software Engineer</t>
        </is>
      </c>
      <c r="C13" t="inlineStr">
        <is>
          <t>Icarus</t>
        </is>
      </c>
      <c r="D13" t="inlineStr">
        <is>
          <t>linkedin</t>
        </is>
      </c>
      <c r="E13" t="inlineStr"/>
      <c r="F13" t="inlineStr"/>
      <c r="G13" t="inlineStr">
        <is>
          <t>Los Angeles, CA</t>
        </is>
      </c>
      <c r="H13" t="inlineStr"/>
      <c r="I13" t="inlineStr">
        <is>
          <t>Icarus was founded on the belief that the Stratosphere is the
 **Forgotten Frontier** 
 and that reclaiming it will define the next era of aerospace and what is possible from the sky. We build solar\-powered aircraft that fly at 60,000 ft for weeks at a time, delivering persistent, affordable, and scalable presence from this layer of the atmosphere.
 Mission
 Re\-establish and maintain dominance in the Stratosphere.
 What you’ll do
* Build and ship flight\-critical embedded software for long\-endurance stratospheric aircraft
* Own embedded subsystems end to end: architecture, implementation, bring\-up, debugging, test, and flight validation
* Write firmware for MCU\-based avionics, sensors, actuators, power systems, and comms interfaces
* Integrate sensors and peripherals (IMU, GNSS, air data, magnetometer, servos, radios) and build reliable drivers and middleware
* Design robust telemetry, logging, and health monitoring to support long\-duration autonomous operations
* Build test harnesses, HIL hooks, and automation that makes iteration loops faster
* Support integration, production bring\-up, and flight ops in the desert
 What we’re looking for
* 2\+ years shipping real embedded systems (aerospace, robotics, automotive, defense, or similarly high\-reliability domains)
* Strong C/C\+\+ fundamentals and comfort working close to hardware
* Experience with RTOS or bare\-metal firmware, interrupts, timing, and deterministic systems
* Experience with common embedded interfaces and protocols (SPI, I2C, UART, CAN, Ethernet)
* Strong debugging skills using scopes, logic analyzers, JTAG, and real\-world fault reproduction
* Comfort moving fast, owning outcomes, and troubleshooting in the field
 Why Icarus
* Meaningful equity
* Top market salary and bonuses
* Health, dental, and vision insurance
* Factory in El Segundo
* Real ownership, real hardware, real flight
* Small team, massive responsibility
* High signal (engineering) to noise (management) culture
* Dream desk setup
* Daily lunch
* Unlimited celsius
 This is not a normal engineering job
* We are pioneers, not corporate managers. Icarus deliberately optimizes for a high signal (engineers) to noise (management) ratio, where engineering, flight, and execution matter more than process, politics, or management overhead
* You will work side by side with the CEO and a small team of world\-class builders. You will own your subsystem end to end. Design it. Build it. Break it. Fix it. Validate it in the desert. Fly it. Then do it again, faster
* We expect full extreme ownership. This is a high\-trust, no\-BS team, and everyone pulls their weight
* We are hiring across the stack: mechanical, aerodynamics, RF, GNC, electrical, avionics, power electronics, energy storage, software, and systems
* We want builders. No hand\-holding. No fluff. No fake projects. No slide decks. No sitting in meetings all day. Just raw engineering, real hardware, and real flight
* You must thrive under pressure, learn fast, troubleshoot in the field, and push hardware to its limits. We move fast. We go to Mojave at 4 am in the morning. We expect results and an obsession with quality and speed
* You will be a core executor of flight hardware, taking systems from concept to reality and driving rapid iteration loops. You will work across avionics, power electronics, energy storage, integration, and production bring\-up. If you want real ownership, real hardware, and real flight milestones, this is it
 No tourists. No bystanders. Only builders.
 Hiring process
* Technical interview
* One\-on\-one with CEO
* Meet the team in\-person
 US salary range
 $120,000 \- $220,000 USD
 The salary range for this role is an estimate based on a wide range of compensation factors, inclusive of base salary only. Actual salary may vary based on (but not limited to) work experience, education and/or training, critical skills, and/or business considerations. Highly competitive equity grants are considered part of Icarus' total compensation package.
 We’re an equal opportunity employer. We welcome all applicants without attention to race, color, religion, sex, sexual orientation, gender identity, national origin, veteran or disability status.</t>
        </is>
      </c>
    </row>
    <row r="14">
      <c r="A14" t="inlineStr">
        <is>
          <t>li-4367475280</t>
        </is>
      </c>
      <c r="B14" t="inlineStr">
        <is>
          <t>Full Stack Engineer</t>
        </is>
      </c>
      <c r="C14" t="inlineStr">
        <is>
          <t>Trade Coffee</t>
        </is>
      </c>
      <c r="D14" t="inlineStr">
        <is>
          <t>linkedin</t>
        </is>
      </c>
      <c r="E14" t="inlineStr"/>
      <c r="F14" t="inlineStr"/>
      <c r="G14" t="inlineStr"/>
      <c r="H14" t="inlineStr"/>
      <c r="I14" t="inlineStr">
        <is>
          <t>**About Trade Coffee** 
 Trade Coffee is building the future of specialty coffee at home. We've created the country's largest marketplace of exceptional independent roasters, using personalization technology and deep coffee expertise to match hundreds of thousands of customers with coffees they love. Our platform connects people to 450\+ coffees from America's best roasters. Every bag is roasted fresh to order and shipped direct. We're democratizing access to specialty coffee while empowering small roasters to scale and thrive.
 This new brand is not an extension of Trade.
 It's a completely new business under the same corporate umbrella, with a different go\-to\-market strategy and customer promise. Trade will continue to operate independently under the leadership of its own GM, while this new brand is built and scaled as its own platform.
**Build the technical foundation for a new coffee brand from the ground up** 
 We're building a new business from scratch under the Trade Coffee umbrella. Not a feature. Not a spinoff. A wholly separate product with its own strategy and customer promise.
 You'll be the founding engineer, partnering with our VP of Engineering to build everything: the storefront, the backend, the integrations, the infrastructure, and the AI\-powered systems that let a lean team operate at scale.
 The concept is validated. Now we need to build it.
**What Makes This Different** 
 Greenfield, not legacy. No existing codebase to navigate. No architectural decisions you're stuck with. You'll make the calls collaboratively and live with the results.
 Startup energy, established backing. Trade Coffee has the resources, infrastructure, and operational knowledge of an established company. You get the speed and ownership of a startup without the existential risk.
 AI from day one. We're not bolting on AI later. You'll build the automation and data systems that run the business: internal tools that create signal from noise and tight feedback loops that drive decisions.
 Full\-stack means full\-stack. Frontend to infrastructure. Shopify to AWS. You'll context\-switch constantly and ship across every layer.
**The Work** 
* Early focus: Bootstrap the product. Build customer\-facing features and third\-party integrations that get us to market. Speed matters.
* As we scale: Shift toward infrastructure, automation, and the systems that let a small team punch above its weight.
* Throughout: Build and use AI\-powered tools that automate operations and surface the data that matters.
**Tech Stack** 
* Frontend: React, Preact, Vue, Remix, Shopify Hydrogen, Liquid. Right tool for the job
* Backend: Node.js, TypeScript/JavaScript, REST \&amp; GraphQL; Python/FastAPI a plus
* Shopify: Deep experience required. Hydrogen, Storefront API, Admin API, Liquid themes
* Database: PostgreSQL, relational design, ORMs
* Infrastructure: AWS (Lambda, EventBridge, EC2, Glue), Docker, serverless
* AI/ML: OpenAI, AWS Bedrock, or similar. Building automation, not just chatbots
* CI/CD: GitHub Actions
**What We're Looking For** 
***Experience:***
* 5\+ years building full\-stack web applications. You've owned frontend and backend.
* Deep Shopify experience. You've built production implementations, headless or traditional. This is required, not nice\-to\-have.
***Zero\-to\-One:***
* You've built from scratch before. Early\-stage or fast\-moving environments where you defined the work while doing the work.
* You wear multiple hats. Infrastructure setup one day, frontend polish the next. You fill gaps where needed.
* You ship end\-to\-end. From initial concept through production deployment. Not just your piece, the whole feature.
* You move fast without making a mess. Speed matters, but so does code quality and maintainability.
***Engineering Excellence:***
* Strong architectural judgment. You design systems that scale and make tradeoffs intentionally.
* You establish standards. Testing practices, deployment pipelines, engineering norms. You've set these up before.
* Thoughtful on technical debt. You know when to move fast and when to build it right.
* Security\-aware. Especially for ecommerce and payment systems. You don't ship vulnerabilities.
* Clean, maintainable code. Other engineers can read your work, extend it, and learn from it.
***Mindset:***
* Pragmatic. You focus on delivering customer value, not just elegant code. You make tradeoffs with imperfect information and adjust as you learn.
* High ownership. You build it, you ship it, you support it, you improve it.
* Collaborative. Brainstorm together, write proposals on your own, review together. No unilateral decisions, but you come with a point of view.
* Engaged in debate. You bring pros/cons analysis, defer to data, and gather evidence when the path isn't clear. Silence in disagreements is a red flag.
* Customer\-minded. You care about UX/UI because you care about the people using what you build.
* Clear communicator. You translate technical decisions and tradeoffs for product and design partners.
* Energized by variety. Context\-switching doesn't drain you. Moving between a React component and a database schema in the same day is normal.
* Quick learner. You stay current with modern web development practices and tools.
* Hands\-on always. Even as the team grows. Architecture without implementation isn't the job.
**Not a Fit If** 
* You prefer rigid processes and detailed specs before you start
* You want to work in isolation
* You care about the tech but not the business
* You want to architect without coding
**How We Work** 
 We’re in our Midtown Manhattan office three days a week, with everyone together in person Tuesday through Thursday. Being face\-to\-face is core to how we operate—it allows us to move faster, solve challenges in real time, and generate new ideas through hands\-on teamwork. This is the perfect environment for people who value close collaboration while building something meaningful together.
**What We Offer** 
* The chance to help grow a profitable, mission\- and values\-driven company alongside an experienced leadership team
* The opportunity to deepen your skills and make a lasting impact as the organization scales
* Ongoing mentorship and support from leadership and management
* A competitive salary and unlimited vacation
* $500 a year to spend on amazing coffee
* Best\-in\-class health benefits and a 401(k)
* Twice\-monthly catered lunches
* A pet\-friendly office
* Two paid days of Trade\-sponsored community service each year
**NYC Base Salary Range** 
 $140,000—$200,000
*In addition, Trade offers comprehensive benefits, including company\-paid health, dental, and vision insurance, 401(k), flexible spending account, and paid leave (including vacation time and parental leave) in accordance with applicable plans and policies.*</t>
        </is>
      </c>
    </row>
    <row r="15">
      <c r="A15" t="inlineStr">
        <is>
          <t>li-4367448895</t>
        </is>
      </c>
      <c r="B15" t="inlineStr">
        <is>
          <t>Software Engineer</t>
        </is>
      </c>
      <c r="C15" t="inlineStr">
        <is>
          <t>NetApp</t>
        </is>
      </c>
      <c r="D15" t="inlineStr">
        <is>
          <t>linkedin</t>
        </is>
      </c>
      <c r="E15" t="inlineStr"/>
      <c r="F15" t="inlineStr"/>
      <c r="G15" t="inlineStr">
        <is>
          <t>San Jose, CA</t>
        </is>
      </c>
      <c r="H15" t="inlineStr"/>
      <c r="I15" t="inlineStr">
        <is>
          <t>**Job Summary**
 Member of a software engineering team involved in development \&amp; design of the AI Data Platform built on NetApp’s flagship storage operating ONTAP.
 ONTAP is a feature rich stack with its rich data management capabilities that has tremendous value to our customers and are used in mission critical applications across the world. You will work as part of a team responsible for the development, testing and debugging of distributed software that drives NetApp cloud, hybrid\-cloud, and on\-premises AI/ML solutions
 As part of the Research and Development function, the overall focus of the group is on competitive market and customer requirements, supportability, technology advances, product quality, product cost and time\-to\-market. Software engineers focus on enhancements to existing products as well as new product development.
 This is an entry level technical position that requires an individual to be broad\-thinking, systems\-focused, creative, team\-oriented, technologically savvy, able to work in a small and large cross\-functional teams, willing to learn and driven to produce results.
 Job Requirements
* Proficiency in programming languages like Python, GO, Java, C\#, C/C\+\+.
* Experience with Machine Learning Libraries and Frameworks: PyTorch, TensorFlow, Keras, Open AI, LLMs ( Open Source), LangChain etc.
* Hands\-on experience working with Rest APIs and Micro Services – Flask, API frameworks.
* Experience working in Linux, AWS/Azure/GCP, Kubernetes – Control plane, Auto scaling, orchestration, containerization is a must.
* Experience with No Sql Document Databases e.g., Mongo DB, Cassandra, Cosmos DB, Document DB.
* Experience working building Micro Services, REST APIs and related API frameworks.
* Experience with Big Data Technologies: Understanding big data technologies and platforms like Spark, Hadoop and distributed storage systems for handling large\-scale datasets and parallel processing.
* Proven track record of working on mid to large sized projects.
* Responsible for providing support in the development and testing activities of other engineers that involve several inter\-dependencies.
* Participate in technical discussions within the team and across cross\-functional teams.
* Willing to work on additional tasks and responsibilities that will contribute towards team, department and company goals.
* A strong understanding and experience with concepts related to computer architecture, data structures and programming practices.
* Experience with AI/ML frameworks like PyTorch or TensorFlow is a Plus.
 Education
 A Bachelor of Science Degree in Engineering or Computer Science with 2 years of experience, or a Master’s Degree; or equivalent experience is required.
**Compensation**
 The target salary range for this position is 108,800 \- 162,800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16">
      <c r="A16" t="inlineStr">
        <is>
          <t>li-4367473505</t>
        </is>
      </c>
      <c r="B16" t="inlineStr">
        <is>
          <t>Software Engineer, AI</t>
        </is>
      </c>
      <c r="C16" t="inlineStr">
        <is>
          <t>Red Hat</t>
        </is>
      </c>
      <c r="D16" t="inlineStr">
        <is>
          <t>linkedin</t>
        </is>
      </c>
      <c r="E16" t="inlineStr"/>
      <c r="F16" t="inlineStr"/>
      <c r="G16" t="inlineStr"/>
      <c r="H16" t="inlineStr"/>
      <c r="I16" t="inlineStr">
        <is>
          <t>**About The Company** 
 Red Hat is a globally recognized leader in enterprise open source software solutions, renowned for its innovative approach to delivering high\-performing Linux, cloud, container, and Kubernetes technologies. With a presence in over 40 countries, Red Hat fosters a dynamic and inclusive environment that encourages collaboration, creativity, and continuous learning. The company’s community\-powered model emphasizes transparency, open collaboration, and diverse perspectives, enabling it to drive technological advancements and deliver impactful solutions to organizations worldwide. Red Hat’s commitment to open source principles and its dedication to empowering its employees make it a prime destination for talented professionals seeking to make a meaningful difference in the technology landscape.
**About The Role** 
 Red Hat is seeking a Principal Software Engineer to join our innovative team focused on developing Agentic AI features and solutions. In this strategic role, you will collaborate with a diverse group of highly motivated engineers, product managers, and external partners to design, implement, and integrate cutting\-edge AI technologies within the Red Hat ecosystem. Your expertise will be pivotal in architecting scalable, distributed AI systems, defining multi\-agent system architectures, and advancing open standards for agent communication and workflows. This position offers a unique opportunity to influence the future of open source AI, contribute to industry standards, and develop innovative solutions that leverage hybrid cloud environments, open source frameworks, and advanced AI techniques. You will work on impactful projects, develop technical blueprints, and explore emerging AI capabilities to foster innovation and enhance the software development lifecycle.
**Qualifications** 
* 7\+ years of relevant software engineering experience
* Bachelor’s degree in Computer Science, Software Engineering, or a related technical field, or equivalent practical experience
* Proven experience building agents and tooling frameworks; expertise in LangGraph, PydanticAI, or similar state\-management libraries
* Experience implementing sophisticated RAG, long\-term memory systems, semantic caches, and vector databases
* Expert\-level proficiency in Python or Go, with a focus on resilient, asynchronous distributed systems
* Solid experience with containers and orchestration platforms such as OpenShift or Kubernetes
* Knowledge of inference optimization techniques including model parallelization, quantization, and memory management tools like vLLM, DeepSpeed, or OpenVino
* Experience with AI/ML lifecycle management, GitOps, automation pipelines, and production deployment
* Hands\-on experience with Agent Evaluation frameworks, guardrails, and governance mechanisms to ensure safety and reliability
* Strong collaboration skills and the ability to influence upstream AI/ML communities and standards
**Responsibilities** 
* Lead the development and implementation of scalable, distributed AI solutions that serve Agentic AI functionalities
* Define and implement Multi\-Agent System (MAS) architectures, including orchestration layers, state machines, and resilient routing policies
* Implement and standardize tool/data access protocols such as Model Context Protocol (MCP) and cross\-platform agent communication protocols like A2A or ACP
* Contribute to open\-source AI/ML communities to influence and shape evolving standards for agent workflows and interoperability
* Collaborate with internal teams and external vendors to refine AI strategies and address specific use cases that add value to Red Hat’s offerings
* Develop technical blueprints and multi\-product demonstrations showcasing innovative AI capabilities within the Red Hat AI stack
* Proactively explore emerging AI technologies and incorporate new capabilities into development workflows and tooling
* Drive AI integration within the software development lifecycle, sharing successful use cases and fostering a culture of innovation
* Mentor junior engineers, promote best practices, and ensure engineering excellence across projects
**Benefits** 
* Comprehensive medical, dental, and vision coverage
* Flexible Spending Account (FSA) for healthcare and dependent care expenses
* Health Savings Account (HSA) for high deductible health plans
* Retirement plan with employer matching contributions
* Paid time off and holidays to promote work\-life balance
* Paid parental leave for new parents
* Additional leave benefits including disability, family medical leave, and military leave
* Employee stock purchase plan, tuition reimbursement, family planning support, transportation allowance, and employee assistance programs
 Equal Opportunity
 Red Hat is committed to fostering an inclusive, equitable, and diverse work environment. We are proud to be an equal opportunity employer, and we review all applications without regard to race, color, religion, sex, sexual orientation, gender identity, national origin, ancestry, citizenship, age, veteran status, genetic information, disability, medical condition, marital status, or any other protected characteristic.</t>
        </is>
      </c>
    </row>
    <row r="17">
      <c r="A17" t="inlineStr">
        <is>
          <t>li-4367434888</t>
        </is>
      </c>
      <c r="B17" t="inlineStr">
        <is>
          <t>Software Engineer</t>
        </is>
      </c>
      <c r="C17" t="inlineStr">
        <is>
          <t>Microsoft</t>
        </is>
      </c>
      <c r="D17" t="inlineStr">
        <is>
          <t>linkedin</t>
        </is>
      </c>
      <c r="E17" t="inlineStr"/>
      <c r="F17" t="inlineStr"/>
      <c r="G17" t="inlineStr"/>
      <c r="H17" t="inlineStr"/>
      <c r="I17" t="inlineStr">
        <is>
          <t>**Overview**
 Do you want to help define how the Microsoft cloud operates at planetary scale? You will join the Azure Control Plane team, home of Azure Resource Manager (ARM), the foundational control plane service that powers every resource lifecycle operation in Microsoft Azure. You work at the very core of the platform, partnering across Azure engineering teams and with Microsoft Research (MSR) to design, build, and operate next\-generation control plane capabilities. Your work directly enables Azure’s evolution toward a federated future, including federated data and federated compute initiatives that unlock unprecedented scale, reliability, and agility.
 As a Software Engineer, you will lead and contribute to the design and development of highly distributed, high\-throughput cloud services that form the backbone of Azure’s control plane. You will drive architectural decisions, influence cross\-team technical direction, and deliver production systems that support exponentially growing traffic and complex multi\-tenant workloads. This opportunity will allow you to accelerate your career growth, develop deep expertise in large\-scale distributed systems and federated architectures, and build strong business and operational acumen by delivering technology that directly powers Azure’s global platform.
 At Microsoft, we are a company where growth mindset drives everything we do. You will be empowered to bring your best ideas, collaborate inclusively, and learn continuously while making a meaningful impact. We value diversity, foster a culture of respect, and are committed to creating an environment where everyone can thrive and do their best work.
**Responsibilities**
* Learn and apply artificial intelligence (AI)\-native development practices across the software development lifecycle (SDLC), taking responsibility for reviewing, validating, and improving AI\-generated artifacts while seeking guidance from experienced engineers as needed.
* Design, implement, review, and maintain high\-quality, extensible, and secure code for large\-scale distributed services, applying modern coding patterns, debugging techniques, automated analysis tools, logging, telemetry, and best practices to meet reliability, performance, and scalability expectations.
* Contribute to the design and evolution of product and service architectures, including participation in design reviews, evaluation of design tradeoffs, and development of prototypes, while considering performance, scalability, resiliency, cost of goods sold (COGS), security, privacy, and compliance requirements.
* Collaborate with partner teams to build and integrate features that support Azure Resource Manager (ARM) federated data and federated compute initiatives, identifying dependencies, ensuring interoperability, and contributing to end\-to\-end testing and validation of cross\-system interactions.
* Support engineering excellence by applying security\-first principles, following Microsoft security and privacy standards, contributing to threat modeling, compliance evidence, deployment gates, and automation, and ensuring solutions are designed with diagnosability, maintainability, and operational readiness.
* Implement, deploy, and operate features using safe change management practices, including feature flighting, rollback planning, capacity considerations, and disaster recovery mechanisms, while supporting deployment pipelines and production readiness reviews.
* Participate in live site operations and on\-call rotations as a designated responsible individual (DRI), monitoring service health, responding to incidents within service level agreements (SLAs), leveraging telemetry to diagnose issues, and contributing to continuous improvement of reliability, observability, and supportability.
**Qualifications**
**Required Qualifications:**
* Bachelor's Degree in Computer Science, or related technical discipline with proven experience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\#azurecorejobs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
      <c r="A18" t="inlineStr">
        <is>
          <t>li-4367464213</t>
        </is>
      </c>
      <c r="B18" t="inlineStr">
        <is>
          <t>Software Engineer</t>
        </is>
      </c>
      <c r="C18" t="inlineStr">
        <is>
          <t>Goliath Partners</t>
        </is>
      </c>
      <c r="D18" t="inlineStr">
        <is>
          <t>linkedin</t>
        </is>
      </c>
      <c r="E18" t="inlineStr"/>
      <c r="F18" t="inlineStr"/>
      <c r="G18" t="inlineStr"/>
      <c r="H18" t="inlineStr"/>
      <c r="I18" t="inlineStr">
        <is>
          <t>Our client is a leading quantitative trading firm that has tripled in revenue in the last 12 months and is hiring a C\+\+ Software Engineer to join their office in New York.
 They are willing to wait all non competes up to two years
 Role:
 Scale and optimize trading systems
 Collaborating with quant research and trading teams to enhance profitability.
 Developing low latency and exchange gateway connectivity
 Essential Skills:
 Bachelors in Computer Science/ Statistics/ Mathematics or related fields
 Experience with C/C\+\+
 Familiarity with distributed systems and infrastructure development
 Previous examples of competitive edge (high placed hackathon, awards, academic excellence, etc)
 Beneficial Skills:
 Masters/PhD in STEM related subjects
 Knowledge of Python
 Work experience with a disruptor, startup, or trading enterprise
 Comp:
 Base salary $250\-350k with an annual guaranteed bonus which will bring you towards 7 figures.
 If interested, please reply and Goliath Partners will be in touch!</t>
        </is>
      </c>
    </row>
    <row r="19">
      <c r="A19" t="inlineStr">
        <is>
          <t>li-4367446052</t>
        </is>
      </c>
      <c r="B19" t="inlineStr">
        <is>
          <t>Software Engineer</t>
        </is>
      </c>
      <c r="C19" t="inlineStr">
        <is>
          <t>Microsoft</t>
        </is>
      </c>
      <c r="D19" t="inlineStr">
        <is>
          <t>linkedin</t>
        </is>
      </c>
      <c r="E19" t="inlineStr"/>
      <c r="F19" t="inlineStr"/>
      <c r="G19" t="inlineStr"/>
      <c r="H19" t="inlineStr"/>
      <c r="I19" t="inlineStr">
        <is>
          <t>**Overview**
 Have you ever imagined the world with an infinite amount of storage available and accessible to everyone? A place where everyone in the world can easily access their books/music/photos/video/any data from anywhere at any time via any means (e.g. mobile phones, tablets, PCs, smart devices, etc). Did you ever desire a universally accessible storage system to record all the knowledge known to mankind, to keep all the books/music/videos ever created, or to store all the data collected from all the scientists in the world for them to collaborate with? Do you want to be part of a team that strives to bring these to reality?
 If so, the Microsoft Azure Storage team is what you are looking for. We are building Microsoft’s cloud storage solution \- Microsoft Azure Storage, which is a massively scalable, highly distributed, ubiquitously accessible storage system, designed to scale out and serve the entire world. We continue to have tremendous hockey stick growth, with many Exabyte’s of data stored, and are designing and building systems for Zettabyte scale to support demand growth for the coming years.
 We are looking for engineers who are passionate about distributed storage, more specifically on building the Platform that will power all of Azure Storage and for distributed systems. We want talented engineers that are comfortable working on a fast\-paced team and thrive in a startup like environment. The Azure Storage Armada Platform team is a platform that will power Azure Storage services and provide elasticity and scalability to the services. The Platform is going to support the exponential growth in the coming years and presents many interesting technical problems. Our mantra is to innovate, grow and learn.
 To be successful in these areas, you must have a growth mindset and be curious. You will be solving challenges related to scale and reliability for a distributed system. You will have an opportunity to make high impact changes on a daily basis as you build a hyper scale storage system that may indirectly or directly be used daily by your friends and family.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\#azurecorejobs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0">
      <c r="A20" t="inlineStr">
        <is>
          <t>li-4367438799</t>
        </is>
      </c>
      <c r="B20" t="inlineStr">
        <is>
          <t>Software Engineer</t>
        </is>
      </c>
      <c r="C20" t="inlineStr">
        <is>
          <t>Microsoft</t>
        </is>
      </c>
      <c r="D20" t="inlineStr">
        <is>
          <t>linkedin</t>
        </is>
      </c>
      <c r="E20" t="inlineStr"/>
      <c r="F20" t="inlineStr"/>
      <c r="G20" t="inlineStr"/>
      <c r="H20" t="inlineStr"/>
      <c r="I20" t="inlineStr">
        <is>
          <t>**Overview**
 Azure Batch is seeking Software Engineers of all levels to join our growing Dublin team. Azure Batch powers some of the world’s most robust large\-scale compute workloads, enabling organizations to run millions of jobs in parallel, supporting HPC workloads in industries including AI, genomics and climate modelling. With increasing demand for large\-scale HPC and AI services, we’re building the next generation of solutions to deliver seamless access to cutting\-edge compute, networking, and storage resources.
 Azure Batch processes billions of tasks every month, supporting global enterprises and research institutions as they tackle their most intensive data and computation challenges. Our service is trusted by customers around the world in workloads that accelerate drug discovery to the next AI/LLM breakthrough.
 In addition to traditional HPC scenarios, Azure Batch also powers Artificial Intelligence workloads, serving as the backbone for many of Microsoft’s most advanced AI products and services. By enabling vast parallelization and dynamic resource allocation, Azure Batch accelerates machine learning training, model inference, and large\-scale data analysis, helping teams unlock new possibilities in AI research and deployment.
 You’ll collaborate with a talented team of experts in distributed systems and cloud computing to create secure, innovative, and scalable products that empower customers to orchestrate and manage HPC and AI workloads on Azure. Together, we’ll redefine what’s possible for compute in the cloud.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Contributes to design, implementation, test, deployment, maintenance, and support of various product features in one or more service components.
* Consistently produces extensible, maintainable, reusable, and testable code.
* Contributes to technical reviews to assure the product meets Microsoft's quality and security standards.
* Participates in on\-call rotations and postmortem reviews to improve service resilience.
* Contributes to efforts to reduce incident volume and improve time to detection and time to mitigation.
* Promotes automation in production and deployment processes.
**Qualifications**
 Required Qualifications:
* Bachelor's Degree in Computer Science, or related technical discipline with proven experience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 year(s) technical engineering experience with coding in languages including, but not limited to, C, C\+\+, C\#, Java, JavaScript, OR Python,
+ OR Master's Degree in Computer Science or related technical field with proven experience coding in languages including, but not limited to, C, C\+\+, C\#, Java, JavaScript, or Python,
+ OR equivalent experience.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1">
      <c r="A21" t="inlineStr">
        <is>
          <t>li-4367449030</t>
        </is>
      </c>
      <c r="B21" t="inlineStr">
        <is>
          <t>Software Engineer</t>
        </is>
      </c>
      <c r="C21" t="inlineStr">
        <is>
          <t>Microsoft</t>
        </is>
      </c>
      <c r="D21" t="inlineStr">
        <is>
          <t>linkedin</t>
        </is>
      </c>
      <c r="E21" t="inlineStr"/>
      <c r="F21" t="inlineStr"/>
      <c r="G21" t="inlineStr"/>
      <c r="H21" t="inlineStr"/>
      <c r="I21" t="inlineStr">
        <is>
          <t>**Overview**
 The Cloud \&amp; AI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 is one of the largest enterprise service companies in the world.
 Security is a top priority for customers operating in an increasingly complex environment shaped by digital threats, regulatory requirements, and diverse technology estates. Microsoft Security is committed to making the world safer by delivering simplified, end‑to‑end security solutions that help protect users, organizations, and developers at scale.
 The Microsoft Security organization plays a critical role in advancing Microsoft’s mission by ensuring the security of customers’ heterogeneous platforms, devices, and cloud environments, while also protecting Microsoft’s internal estate. Our teams foster a growth mindset and a culture of continuous improvement, where engineers are encouraged to learn, collaborate, and deliver meaningful impact through high‑quality, reliable solutions.
 We are seeking a self‑driven and motivated engineer to contribute to several critical initiatives in the ledger space. This role requires strong technical depth, solid engineering judgment, and the ability to collaborate effectively with cross‑functional stakeholders to drive solutions forward.
 As a member of the core engineering team, you will own and execute on key initiatives that expand service capabilities and improve performance, scalability, and reliability. You will work closely with partner teams across Azure to integrate with related offerings and help deliver value across the confidential computing ecosystem.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Work with appropriate stakeholders to determine user requirements for a feature.
* Support identification of dependencies and the development of design documents for a product feature.
* Learn to create and implement code for a product, service, or feature, reusing code as applicable.
* Assist and learn about breaking down work items into tasks and provide estimation.
* Act as a Designated Responsible Individual (DRI) in monitoring system/product feature/service for degradation, downtime, or interruptions and recommend actions to restore system/product/service.
* Review current developments and proactively seek new knowledge that will improve the availability, reliability, efficiency, observability, and performance of products while also driving consistency in monitoring and operations at scale.
**Qualifications**
 Required Qualifications:
* Bachelor's Degree in Computer Science, or related technical discipline with proven experience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 year(s) technical experience coding in languages including, but not limited to, C, C\+\+, C\#, Java, JavaScript, or Python
+ OR Master's Degree in Computer Science or related technical field with technical experience coding in languages including, but not limited to, C, C\+\+, C\#, Java, JavaScript, or Python
+ OR equivalent experience.
* Experience with Container Orchestration concept, tools and platforms.
* Experience making data\-driven decisions to deliver quality software.
 \#confidentialcompute \#confidentialledger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2">
      <c r="A22" t="inlineStr">
        <is>
          <t>li-4367457028</t>
        </is>
      </c>
      <c r="B22" t="inlineStr">
        <is>
          <t>Software Engineer</t>
        </is>
      </c>
      <c r="C22" t="inlineStr">
        <is>
          <t>Gap Inc.</t>
        </is>
      </c>
      <c r="D22" t="inlineStr">
        <is>
          <t>linkedin</t>
        </is>
      </c>
      <c r="E22" t="inlineStr"/>
      <c r="F22" t="inlineStr"/>
      <c r="G22" t="inlineStr">
        <is>
          <t>Pleasanton, CA</t>
        </is>
      </c>
      <c r="H22" t="inlineStr"/>
      <c r="I22" t="inlineStr">
        <is>
          <t>**About Gap Inc.**
 Our brands bridge the gaps we see in the world. Old Navy democratizes style to ensure everyone has access to quality fashion at every price point. Athleta unleashes the potential of every woman, regardless of body size, age or ethnicity. Banana Republic believes in sustainable luxury for all. And Gap inspires the world to bring individuality to modern, responsibly made essentials.
 This simple idea—that we all deserve to belong, and on our own terms—is core to who we are as a company and how we make decisions. Our team is made up of thousands of people across the globe who take risks, think big, and do good for our customers, communities, and the planet. Ready to  learn fast, create with audacity and lead boldly? Join our team.
**About The Role**
 Partner with Product Managers, Solution Architects, and Engineering peers to define, analyze, and estimate levels of effort to deliver at\-scale solutions to meet business requirements. Gain an extensive understanding of key dependencies with external and internal teams to collaborate on cross\-functional initiatives. Write well\-written, self\-documenting code that follows best practices and design patterns. Maximize system uptime / availability and ensuring functional \&amp; performance SLAs are met and establish end\-to\-end monitoring and alerting for various systems. Practice relentless automation, continuous integration, and continuous delivery. Embrace and implement best\-in\-class DevOps practices with end\-to\-end “design, build and run” responsibilities with the aim of operating a low\-touch Production environment.
 Salary Range: $161,637 \- $166,637 USD
 Employee pay will vary based on factors such as qualifications, experience, skill level, competencies and work location. We will meet minimum wage or minimum of the pay range (whichever is higher) based on city, county and state requirements.
 What You'll Do
* Utilizing Java and Spring Boot to architect and implement scalable backend services and RESTful APIs, supporting high\-throughput enterprise applications with modular service design.
* Designing microservices architectures using containerization (Docker) and orchestration tools (Kubernetes), enabling independent deployment, fault tolerance, and horizontal scalability in Azure cloud. Experience with Kafka messaging infrastructure for building scalable, event\-driven systems and ensuring reliable, asynchronous communication between microservices.
* Writing optimized SQL queries and managing PostgreSQL databases, including schema design, indexing strategies, and performance tuning for transactional and analytical workloads.
* Implementing CI/CD pipelines using Jenkins and GitHub Actions / ArgoCD to automate build, test, and deployment workflows across multiple environments, ensuring rapid and reliable software delivery.
* Leading Agile development teams, participating in sprint planning, retrospectives, and backlog grooming, and using Jira to manage epics, user stories, and team velocity.
* Developing and executing BDD test scenarios using Cucumber and Gherkin to validate business logic and ensure feature completeness from a user\-centric perspective.
* Managing enterprise job scheduling using CA Workload Automation (AutoSys) to orchestrate batch jobs, monitor dependencies, and ensure SLA compliance across distributed systems.
 Who You Are
* Masters’s degree or foreign degree equivalent in Computer Science, Information Technology Management or related field and two (2\) years of experience in the related role or job offered.
 Benefits at Gap Inc.
* Merchandise discount for our brands: 50% off regular\-priced merchandise at Old Navy, Gap, Banana Republic and Athleta, and 30% off at Outlet for all employees.
* One of the most competitive Paid Time Off plans in the industry.\*
* Employees can take up to five “on the clock” hours each month to volunteer at a charity of their choice.\*
* Extensive 401(k) plan with company matching for contributions up to four percent of an employee’s base pay.\*
* Employee stock purchase plan.\*
* Medical, dental, vision and life insurance.\*
* See more of the benefits we offer.
* For eligible employees
 Gap Inc. is an equal\-opportunity employer and is committed to providing a workplace free from harassment and discrimination. We are committed to recruiting, hiring, training and promoting qualified people of all backgrounds, and make all employment decisions without regard to any protected status. We have received numerous awards for our long\-held commitment to equality and will continue to foster a diverse and inclusive environment of belonging. In 2022, we were recognized by Forbes as one of the World's Best Employers and one of the Best Employers for Diversity.</t>
        </is>
      </c>
    </row>
    <row r="23">
      <c r="A23" t="inlineStr">
        <is>
          <t>li-4339399245</t>
        </is>
      </c>
      <c r="B23" t="inlineStr">
        <is>
          <t>Software Engineer (All Levels)</t>
        </is>
      </c>
      <c r="C23" t="inlineStr">
        <is>
          <t>Abridge</t>
        </is>
      </c>
      <c r="D23" t="inlineStr">
        <is>
          <t>linkedin</t>
        </is>
      </c>
      <c r="E23" t="inlineStr"/>
      <c r="F23" t="inlineStr"/>
      <c r="G23" t="inlineStr">
        <is>
          <t>New York, NY</t>
        </is>
      </c>
      <c r="H23" t="inlineStr"/>
      <c r="I23" t="inlineStr">
        <is>
          <t>**About Abridge**
 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We have offices located in the Mission District in San Francisco, the SoHo neighborhood of New York, and East Liberty in Pittsburgh.
**The Role**
 We’re looking for Software Engineers to join our growing Product Engineering team! You’ll play a key role in helping us scale and mature our business by building and supporting new \+ existing web applications and their supporting backends. You’ll be writing code (mostly Typescript), making architectural decisions, recommending technologies to adopt, and ensuring that our systems scale up reliably and securely.
**What You'll Do**
* Design, build, and support the robust cloud\-based services we need for our rapidly\-growing business
* Make and implement technology decisions that support business needs without compromising security, privacy, or quality
* Research commercial and open\-source solutions, and make build vs buy recommendations to bring new capabilities into the technology organization. You’ll have a say in the technology strategy — not just implementation details
* Enhance existing systems to add new functionality, and to improve performance, stability, quality, and security
* Advocate for high standards; make quality\-of\-life improvements to the codebase; and help limit the growth of technical debt
* Build deep user empathy and maintain a user\-centric mindset
* Communicate regularly and effectively within and on behalf of our cross\-functional product delivery teams. You’ll work with other disciplines including design, product, machine learning, and infrastructure, and will have opportunities to learn from and contribute to projects across the company
* Mentor and learn from other engineers
**What You'll Bring**
* 2\+ years of experience building, shipping, and operating cloud\-based distributed systems at scale \- You’ve seen what works, and probably a few things that didn’t work. Your opinions are grounded in experience
* Experience as a lead engineer on a number of major components or subsystems of a software platform, or have been the lead for the platform itself
* Confidence knowing your way around event pipelines and experience with tools such as Kinesis or Kafka
* Several years of experience building software for a regulated environment, and understand the tradeoffs that can be required to ensure compliance with regulations and frameworks such as HIPAA, SOC 2, and HITRUST
* Willingness to pitch in wherever needed \-\- as a fast\-moving startup we need to do good work, quickly
**Must be willing to work from our SF or NY office at least 3x per week**
 This position requires a commitment to a hybrid work model, with the expectation of coming into the office a minimum of (3\) three times per week. Relocation assistance is available for candidates willing to move to San Francisco or New York.
 We value people who want to learn new things, and we know that great team members might not perfectly match a job description. If you’re interested in the role but aren’t sure whether or not you’re a good fit, we’d still like to hear from you.
**Why Work at Abridge?**
 At Abridge, we’re transforming healthcare delivery experiences with generative AI, enabling clinicians and patients to connect in deeper, more meaningful ways. Our mission is clear: to power deeper understanding in healthcare. We’re driving real, lasting change, with millions of medical conversations processed each month.
 Joining Abridge means stepping into a fast\-paced, high\-growth startup where your contributions truly make a difference. Our culture requires extreme ownership—every employee has the ability to (and is expected to) make an impact on our customers and our business.
 Beyond individual impact, you will have the opportunity to work alongside a team of curious, high\-achieving people in a supportive environment where success is shared, growth is constant, and feedback fuels progress. At Abridge, it’s not just what we do—it’s how we do it. Every decision is rooted in empathy, always prioritizing the needs of clinicians and patients.
 We’re committed to supporting your growth, both professionally and personally. Whether it's flexible work hours, an inclusive culture, or ongoing learning opportunities, we are here to help you thrive and do the best work of your life.
 If you are ready to make a meaningful impact alongside passionate people who care deeply about what they do, Abridge is the place for you.
**How we take care of Abridgers:**
* Generous Time Off: 14 paid holidays, flexible PTO for salaried employees, and accrued time off for hourly employees
* Comprehensive Health Plans: Medical, Dental, and Vision coverage for all full\-time employees and their families.
* Generous HSA Contribution: If you choose a High Deductible Health Plan, Abridge makes monthly contributions to your HSA.
* Paid Parental Leave: Generous paid parental leave for all full\-time employees.
* Family Forming Benefits: Resources and financial support to help you build your family.
* 401(k) Matching: Contribution matching to help invest in your future.
* Personal Device Allowance: Tax free funds for personal device usage.
* Pre\-tax Benefits: Access to Flexible Spending Accounts (FSA) and Commuter Benefits.
* Lifestyle Wallet: Monthly contributions for fitness, professional development, coworking, and more.
* Mental Health Support: Dedicated access to therapy and coaching to help you reach your goals.
* Sabbatical Leave: Paid Sabbatical Leave after 5 years of employment.
* Compensation and Equity: Competitive compensation and equity grants for full time employees.
* ... and much more!
**Equal Opportunity Employer**
 Abridge is an equal opportunity employer and considers all qualified applicants equally without regard to race, color, religion, sex, sexual orientation, gender identity, national origin, veteran status, or disability.
**Staying safe \- Protect yourself from recruitment fraud**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
 Compensation Range: $178\.5K \- $248K</t>
        </is>
      </c>
    </row>
    <row r="24">
      <c r="A24" t="inlineStr">
        <is>
          <t>li-4302470276</t>
        </is>
      </c>
      <c r="B24" t="inlineStr">
        <is>
          <t>Embedded Software Engineer II, Charging &amp; Energy</t>
        </is>
      </c>
      <c r="C24" t="inlineStr">
        <is>
          <t>Rivian</t>
        </is>
      </c>
      <c r="D24" t="inlineStr">
        <is>
          <t>linkedin</t>
        </is>
      </c>
      <c r="E24" t="inlineStr"/>
      <c r="F24" t="inlineStr"/>
      <c r="G24" t="inlineStr">
        <is>
          <t>Torrance, CA</t>
        </is>
      </c>
      <c r="H24" t="inlineStr"/>
      <c r="I24"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Join our team and develop cutting\-edge charging products as a highly skilled Embedded Software Engineer proficient in Modern C\+\+. You'll work on cutting\-edge systems, write efficient and high\-quality code, develop robust unit tests, and contribute to impactful embedded software projects in a collaborative and supportive environment where you can learn and grow.
**Responsibilities**
* Design, develop, and maintain embedded Linux application software for residential and commercial charging products.
* Develop unit tests and systems level SIL tests to ensure the highest code quality.
* Develop and support software tools used for development and testing.
* Participate in code reviews providing technical feedback to drive quality design.
* Provide technical guidance and mentorship to junior team members, fostering a culture of continuous learning and growth.
 Where you'll work: Torrance, CA or Irvine, CA. 3 day in office expectation.
**Qualifications**
 Must Have:
* BS or MS in Computer Science, Computer Engineering, Electrical Engineering or a related field.
* 2\+ years of industry experience developing C/C\+\+ based applications on embedded Linux.
* Experience with build tools such as Make and CMake.
* Experience with unit test frameworks e.g., Google Test.
* Strong scripting and automation skills using languages such as Bash or Python.
**Nice To Have**
* Experience with Agile development methodologies and using tracking tools like Jira.
* Experience with web\-based communication protocols, especially gRPC and WebSockets.
* Experience working with CAN and Modbus communication interfaces.
* Hands\-on experience with containerization technologies like Docker.
* Experience with Yocto\-based build systems for embedded devices.
* Experience with electric vehicle charging protocols such as SAE J1772, DIN SPEC 70121, and ISO 15118\.
* Experience with Open Charge Point Protocol (OCPP).
**Pay Disclosure**
**Salary Range for Southern California Based Candidates:** 
 $107,000\.00 \- $133,700\.00 (actual compensation will be determined based on experience, location, and other factors permitted by law).
**Salary Range for Northern California Based Candidates:** 
 $116,300\.00 \- $145,400\.00 (actual compensation will be determined based on experience, location, and other factors permitted by law).
**Benefits Summary:** 
 Rivian provides robust medical/Rx, dental and vision insurance packages for full\-time and part\-time employees, their spouse or domestic partner, and children up to age 26\. Full Time Employee coverage is effective on the first day of employment. Part\-Time employee coverage is effective the first of the month following 90 days of employment.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25">
      <c r="A25" t="inlineStr">
        <is>
          <t>li-4367261226</t>
        </is>
      </c>
      <c r="B25" t="inlineStr">
        <is>
          <t>Senior Software Engineer</t>
        </is>
      </c>
      <c r="C25" t="inlineStr">
        <is>
          <t>Technology Partners</t>
        </is>
      </c>
      <c r="D25" t="inlineStr">
        <is>
          <t>linkedin</t>
        </is>
      </c>
      <c r="E25" t="inlineStr"/>
      <c r="F25" t="inlineStr"/>
      <c r="G25" t="inlineStr"/>
      <c r="H25" t="inlineStr"/>
      <c r="I25" t="inlineStr">
        <is>
          <t>Our Client is looking for a Senior Java Engineer. Candidates must be local to St. Louis and have the ability to work in the office at least 2 days a week.
**1\. Summary** 
 The role involves developing and supporting customer\-facing web applications using Java, Spring Boot, and Oracle SQL. It requires creating new features and maintaining existing systems with a focus on backend server\-side development, integrating with front\-end technologies like Angular or React in a collaborative environment.
**2\. Required Skills and Experience** 
* Java: At least 6 years of server\-side web development experience, with a focus on delivering scalable, production\-quality Java applications.
* Spring Framework: Minimum 3 years of experience working extensively with Spring, particularly Spring JPA and Spring Security, for building secure and data\-driven services.
* Java Container Frameworks: Proven experience with containerization and application servers such as Tomcat or similar.
* Testing Frameworks: Hands\-on experience with unit testing using frameworks like JUnit and Mockito to ensure code quality.
* Oracle SQL and Relational Databases: Strong analytical skills with proven experience in designing, querying, and troubleshooting Oracle database systems.
* Front\-End Integration: Familiarity with JavaScript frameworks such as Angular, AngularJS, or React, and responsive design principles for cohesive front\-end/back\-end integration.
* Troubleshooting and Diagnostics: Demonstrated ability to analyze complex issues and implement effective solutions during development and support phases.
**3\. Desired Skills and Experience** 
* Hibernate ORM: Experience with Java database frameworks such as Hibernate or JPA for data persistence.
* Front\-End Technologies: Proficiency in JavaScript, Angular, Bootstrap, and responsive design for seamless UI development.
* DevOps and CI/CD Tools: Knowledge of Jenkins for continuous integration and deployment.
**4\. Culture and Environment** 
* Collaborative yet autonomous team environment, emphasizing proactive communication and accountability.
* Agile development pace with a mix of new projects and ongoing support activities, requiring adaptability and problem\-solving agility.
* Cross\-functional collaboration with product and design teams, with regular remote or hybrid meetings.
* Encourages a detail\-oriented approach with a focus on quality, troubleshooting, and continuous improvement.
* Expectations for professionalism and stability, with a preference for candidates with stable employment histories.
**5\. Preferred Qualifications** 
* Bachelor’s degree in Computer Science, Information Technology, or related field.
* Prior experience working in retail or customer\-facing application environments.</t>
        </is>
      </c>
    </row>
    <row r="26">
      <c r="A26" t="inlineStr">
        <is>
          <t>li-4367486695</t>
        </is>
      </c>
      <c r="B26" t="inlineStr">
        <is>
          <t>Senior Backend Software Engineer</t>
        </is>
      </c>
      <c r="C26" t="inlineStr">
        <is>
          <t>Harrison Clarke</t>
        </is>
      </c>
      <c r="D26" t="inlineStr">
        <is>
          <t>linkedin</t>
        </is>
      </c>
      <c r="E26" t="inlineStr"/>
      <c r="F26" t="inlineStr"/>
      <c r="G26" t="inlineStr">
        <is>
          <t>New York, United States</t>
        </is>
      </c>
      <c r="H26" t="inlineStr"/>
      <c r="I26" t="inlineStr">
        <is>
          <t>Senior Backend Software Engineer
 Locations \- New York or San Francisco
 We’re looking for an experienced
 **Senior Backend Software Engineer** 
 to join a small, high\-impact team building the next generation of search, AI\-powered products, and intelligent platforms.
 You’ll lead the design, implementation, and scaling of backend systems that power web, mobile, and browser\-based experiences used by millions.
 Tech Stack :
 Python \| Go \| Rust \| TypeScript \| FastAPI \| PostgreSQL \| Redis \| Docker \| AWS \| vLLM
 What You’ll Do
* Build and scale systems that ingest and process data from the web, files, and other sources
* Optimize database and caching interfaces for performance and reliability
* Collaborate closely with PMs, frontend engineers, and cross\-functional stakeholders
* Work with AI, Search, and Data Science teams on non\-deterministic systems
* Manage complex orchestration across multiple services and interfaces
* Scale, optimize, and load\-balance systems with rapidly evolving requirements
 What We’re Looking For
* Strong experience with
 **Python**
* Solid background with
 **databases and caching systems**
* Hands\-on experience with
 **AWS at scale**
* Experience working with
 **high\-scale data** 
 and
 **LLM\-driven or non\-deterministic systems**
* **5\+ years** 
 of professional engineering experience</t>
        </is>
      </c>
    </row>
    <row r="27">
      <c r="A27" t="inlineStr">
        <is>
          <t>li-4229440861</t>
        </is>
      </c>
      <c r="B27" t="inlineStr">
        <is>
          <t>Software Engineer 5, Broadcast Systems</t>
        </is>
      </c>
      <c r="C27" t="inlineStr">
        <is>
          <t>Netflix</t>
        </is>
      </c>
      <c r="D27" t="inlineStr">
        <is>
          <t>linkedin</t>
        </is>
      </c>
      <c r="E27" t="inlineStr"/>
      <c r="F27" t="inlineStr"/>
      <c r="G27" t="inlineStr"/>
      <c r="H27" t="inlineStr"/>
      <c r="I27"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**About The Role**
 Our team is seeking a highly skilled Software Engineer to join the Broadcast Systems Team within the Live Broadcast Technology group. This role is pivotal in developing and scaling our physical broadcast workflow orchestration tooling, which is essential for automating and orchestrating live workflows at Netflix end\-to\-end. While this role is primarily focused on engineering our backend APIs, the team is responsible for both backend and frontend development, ensuring we can efficiently provision and orchestrate our infrastructure as we expand to new markets.
**Responsibilities**
* Develop and support the orchestration tooling, with a focus on backend components, focusing on reliability and scalability.
* Collaborate with the Live Broadcast Operations team to build and automate live workflows, reducing manual configurations and enhancing operational efficiency.
* Scale our orchestration services to support a global network of physical ingest points, addressing challenges related to ingest, routing, and control.
* Work closely with the Live Streaming Pipeline team on design and integration efforts, ensuring seamless interaction between ground and cloud systems.
* Document processes and systems meticulously to ensure clarity and consistency across teams and stakeholders.
* Engage in future responsibilities, including BOC and MCR automation, as the service evolves.
**Qualifications**
* 5\+ years of hands\-on professional experience in software engineering, with a focus on distributed services in the cloud.
* Strong software engineering design principles as we model complex broadcast workflows
* Extensive experience in designing and implementing comprehensive automated software testing frameworks.
* Good communication skills, both written and verbal, to effectively convey technical concepts to non\-technical stakeholders.
* Proficiency in programming languages such as Java, Go, or similar, with robust programming skills.
* Strong problem\-solving skills and the ability to troubleshoot complex systems.
* Familiarity with cloud platforms such as AWS, Google Cloud, or Azure.
* Ability to work collaboratively in a cross\-functional team environment with operations, partner development teams, broadcast engineering partners, live launch/project management teams and more
****Nice\-to\-have****
* Experience with 2110 networking, including timing and routing concepts
* Experience with containerization technologies such as Docker and Kubernetes.
* Familiarity with broadcast hardware and software from GrassValley, Appear, EVS, AI Media, TagVs and AWS Elemental
* Experience with open\-source multimedia frameworks and tools.
* Experience with real\-time data processing and analytics.
* Understanding of streaming protocols and codec basics, especially broadcast codecs.
****Why Join Us**
 Be part of a team that is transforming live broadcast technology at Netflix. Your work will directly impact the quality and scalability of live events, contributing to a seamless experience for millions of viewers worldwide. At Netflix, we value individual contributions and offer opportunities for professional growth and leadership within a flat, highly aligned structure.**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$148,500\.00 \- $174,500\.00\.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8">
      <c r="A28" t="inlineStr">
        <is>
          <t>li-4344827779</t>
        </is>
      </c>
      <c r="B28" t="inlineStr">
        <is>
          <t>Advanced Software Engineer, Backend</t>
        </is>
      </c>
      <c r="C28" t="inlineStr">
        <is>
          <t>WB Games / Avalanche</t>
        </is>
      </c>
      <c r="D28" t="inlineStr">
        <is>
          <t>linkedin</t>
        </is>
      </c>
      <c r="E28" t="inlineStr"/>
      <c r="F28" t="inlineStr"/>
      <c r="G28" t="inlineStr">
        <is>
          <t>Washington, United States</t>
        </is>
      </c>
      <c r="H28" t="inlineStr"/>
      <c r="I28"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Avalanche is a Warner Bros. Games studio located in downtown Salt Lake City nestled against the backdrop of the beautiful Wasatch Mountains. We’ve been in the video game business since 1995, creating interactive experiences for fans of the world’s largest
 franchises. Join
 the team behind the blockbuster open world, action RPG Hogwarts Legacy as we create what’s next!
**The Job** 
 Avalanche, a division of WB Games Inc., is seeking an
 **Advanced Software Engineer** 
 to join our team of talented industry veterans working on a new online multiplayer RPG. This person will work closely with project engineering, art, and design leadership to architect and implement the backend infrastructure for an online multiplayer RPG.
 The ideal candidate will own and support a variety of critical backend services, demonstrating high competency for developing secure, scalable, and highly available online systems.
**What part will you play?** 
* Architecting, developing, and implementing key backend game systems, features, and services.
* Design, implement, and maintain scalable and secure backend services and infrastructure in partnership with WB Central Technology teams.
* Work closely with the project engineering team to architect and develop high quality, low\-latency, and highly responsive code.
* Integrate with internal and external shared services and libraries.
* Perform peer code reviews and champion a high standard of code excellence.
* Collaborate with the design and gameplay teams to build supporting backend systems and tools.
* Mentor junior engineers and provide technical guidance on new features.
* Participate in all parts of the development process from concept through to live\-ops.
**What do we need from you?** 
* 8\+ years of professional software engineering experience, working on cross\-functional teams.
* Experience on at least one successfully\-published large\-scale multiplayer online game title or equivalent.
* Bachelor’s Degree in Computer Science (or a related field) or equivalent work experience.
* Experience managing a high functioning team of software engineers.
* Computer Science fundamentals in object\-oriented design, algorithms, and data structures.
* Deep understanding of server architecture, cloud computing (e.g., AWS, Gamelift, Lambda), backend services, and microservices.
* Strong knowledge of networking protocols and multiplayer systems (e.g., matchmaking, persistence, replication).
* Proficient experience with the Unreal Engine specific network/multiplayer features (OnlineSubsystems, EOS, RepGraph, Subobject replication, RPCs).
* Strong problem solving, debugging, and troubleshooting skills.
**Good to Have** 
* A passion for online multiplayer RPGs and deep experience with online games.
* Deep knowledge of industry trends, best practices, and emerging technologies in online gaming.
* Experience with DevOps, CI/CD pipelines, and deployment strategies for live games.
* Familiarity with anti\-cheat solutions and game security best practices.
* Deep understanding of Performance Analysis and Optimizations.
* Knowledge of Unreal’s newest replication system, Iris.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$151,200\.00 \- $280,800\.00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29">
      <c r="A29" t="inlineStr">
        <is>
          <t>li-4355205485</t>
        </is>
      </c>
      <c r="B29" t="inlineStr">
        <is>
          <t>Software Engineer-Python</t>
        </is>
      </c>
      <c r="C29" t="inlineStr">
        <is>
          <t>BeaconFire Inc.</t>
        </is>
      </c>
      <c r="D29" t="inlineStr">
        <is>
          <t>linkedin</t>
        </is>
      </c>
      <c r="E29" t="inlineStr"/>
      <c r="F29" t="inlineStr"/>
      <c r="G29" t="inlineStr">
        <is>
          <t>Illinois, United States</t>
        </is>
      </c>
      <c r="H29" t="inlineStr"/>
      <c r="I29" t="inlineStr">
        <is>
          <t>**Job Title: Junior Python Developer** 
**Location: Edison, New Jersey** 
**Job Type: Full\-time** 
 About the Role
 We are seeking a motivated Entry\-Level Python Developer to join our software engineering team. The ideal candidate will have a Master’s degree in Computer Science, Software Engineering, or a related field, with hands\-on experience in both frontend and backend development. You will collaborate with senior developers to design, develop, and maintain scalable web applications and services using modern Python frameworks and tools.
 Key Responsibilities:
* Develop, test, and maintain backend services and APIs using Python and frameworks such as Django or Flask.
* Contribute to frontend development using modern JavaScript frameworks like React, Vue.js, or Angular.
* Design and manage database schemas, queries, and optimizations (e.g., PostgreSQL, MySQL, or MongoDB).
* Write clean, efficient, and maintainable code following best practices.
* Collaborate with cross\-functional teams including UI/UX designers, QA engineers, and product managers.
* Participate in code reviews, debugging, and troubleshooting to ensure high\-quality releases.
* Assist in integrating APIs, third\-party services, and cloud\-based platforms (AWS, Azure, or GCP).
* Document technical specifications and contribute to continuous improvement efforts.
**Required Qualifications :** 
* Master’s degree in Computer Science, Software Engineering, Information Technology, or a related field.
* Solid understanding of Python programming and object\-oriented design principles.
* Knowledge of frontend technologies such as HTML, CSS, JavaScript, and at least one frontend framework (e.g., React).
* Experience or coursework in backend frameworks (Django, Flask, or FastAPI).
* Familiarity with databases (relational or NoSQL) and ORM tools.
* Understanding of RESTful APIs and web architecture.
* Good problem\-solving skills and attention to detail.
* Strong communication and teamwork skills.
**Preferred Qualifications:** 
* Experience with version control systems (Git, GitHub, GitLab).
* Exposure to containerization (Docker) and cloud platforms (AWS, Azure, or GCP).
* Familiarity with CI/CD pipelines and automated testing frameworks (PyTest, Selenium).
* Knowledge of data visualization or machine learning libraries is a plus.
**Compensation:** 
 $65,000\.00 to $80,000\.00 /year
***Beaconfire is an e\-verified company and provides equal employment opportunities (visa sponsorship provided).***</t>
        </is>
      </c>
    </row>
    <row r="30">
      <c r="A30" t="inlineStr">
        <is>
          <t>li-4367482887</t>
        </is>
      </c>
      <c r="B30" t="inlineStr">
        <is>
          <t>Embedded Software Engineer</t>
        </is>
      </c>
      <c r="C30" t="inlineStr">
        <is>
          <t>Pacific Defense</t>
        </is>
      </c>
      <c r="D30" t="inlineStr">
        <is>
          <t>linkedin</t>
        </is>
      </c>
      <c r="E30" t="inlineStr"/>
      <c r="F30" t="inlineStr"/>
      <c r="G30" t="inlineStr">
        <is>
          <t>Cedar Rapids, IA</t>
        </is>
      </c>
      <c r="H30" t="inlineStr"/>
      <c r="I30" t="inlineStr">
        <is>
          <t>* Due to the classified nature of our work, U.S. citizenship is required. Candidates must be willing to obtain and maintain a DoD Security Clearance
**Location: Cedar Rapids IA, preferred, but open to Mukilteo**
**About Us**
 Pacific Defense develops advanced electronics systems for the U.S. Department of Defense and commercial customers. Specializing in Open Systems Architecture solutions for electromagnetic spectrum warfare, we deliver modular, rapidly reconfigurable systems in less than half the time of traditional contractors. Our expertise spans Radar, EW, SIGINT, and Communications, combined with a go\-fast execution model leveraging Open Standards like SOSA, CMOSS, and MORA. With facilities across the country and a diverse team, we drive innovation in signal processing, algorithm development, cognitive systems, and systems integration. Join us to advance your career and tackle national defense challenges.
 The Pacific Defense family includes Perceptronics Solutions with expertise spanning signal processing, novel algorithm development, cognitive systems, high performance computing, hardware design and development, and systems integration and test. We embrace the diversity of people, ideas, and a great employee experience to drive the innovation that runs through everything we do. Pacific Defense has established an excellent reputation in our professional community and is growing our team to seize new opportunities to solve tough challenges for national defense. Come join us and accelerate your career!
 We are looking to hire an
 **Embedded Software Engineer** 
 who wants to get involved with a small, fast\-paced, and dynamic company. Responsible for managing, maintaining, and advancing the state of the art in embedded software components on SDR systems.
**Requirements**
**What You'll Get to Do:**
* Be responsible for the development of new features on our embedded platforms.
* Investigate, prototype, and deliver new and innovative system solutions.
* Design, develop and verify firmware and drivers for embedded systems.
* Participate in design reviews, API development, and documentation.
* Work with new technologies that are vital to product development.
* Perform tasks including debug, bring\-up, Beta and production software development.
* Successfully collaborate with both software and hardware product teams.
**You'll Bring These Qualifications:**
* Appropriate level of experience as an embedded software engineer writing C and C\+\+ user space applications.
* Experience in design, development, and debugging applications on ARM/ARM 64 architecture.
* Experience developing application software that interfaces with FPGAs, sensors, and other embedded hardware.
* Experience in writing well\-documented code in a collaborative, team\-centric environment.
* Experience applying Computer Science fundamentals such as data structures, algorithm design, problem\-solving, and complexity analysis.
* Highly motivated and self\-starting
**These Qualifications Would be Nice to Have:**
* Experience with assured PNT systems, including Kalman filters, precision timing, sensor fusion, anti\-jam antennas, or PNT client integration.
* Experience with RF or SDR technology.
* Experience with Electronic Warfare (EW) systems and/or technology.
* Active security clearance.
**Education**
* BS EE/CS or related field
**Benefits**
 Pacific Defense provides competitive salaries and immediately vested 401K match. We provide 100% coverage options for the employee, and 75% coverage for dependents' medical, dental, vision, and life insurance premiums, as well as a flexible spending account for incidental health care expenses. We offer paid time off and federal holidays to spend time with family, pursue outside interests, or just get some extra rest.
 Pacific Defense is an Equal Opportunity Employer and considers qualified applicants for employment without regard to race, color, creed, religion, national origin, sex, sexual orientation, gender identity or expression, age, disability, veteran status, or any other protected factor.</t>
        </is>
      </c>
    </row>
    <row r="31">
      <c r="A31" t="inlineStr">
        <is>
          <t>li-4356850708</t>
        </is>
      </c>
      <c r="B31" t="inlineStr">
        <is>
          <t>Full Stack Engineer</t>
        </is>
      </c>
      <c r="C31" t="inlineStr">
        <is>
          <t>Miro</t>
        </is>
      </c>
      <c r="D31" t="inlineStr">
        <is>
          <t>linkedin</t>
        </is>
      </c>
      <c r="E31" t="inlineStr"/>
      <c r="F31" t="inlineStr"/>
      <c r="G31" t="inlineStr">
        <is>
          <t>San Francisco, CA</t>
        </is>
      </c>
      <c r="H31" t="inlineStr"/>
      <c r="I31" t="inlineStr">
        <is>
          <t>**About The Role**
 As a Software Engineer in a Forward Deployed Engineer role, you will partner directly with customers to design and ship solutions on Miro. You’ll operate independently, navigate ambiguity, and work across multiple teams and codebases. You thrive in a high‑pace environment, communicate clearly, and deliver outcomes that matter. This is a great opportunity to pioneer a new function at Miro and be part of its shaping and success. This role can be fully remote or based out of one of Miro’s US hubs in Austin, New York, San Francisco or Los Angeles, but will require travel \- our customers’ location and Miro’s European offices.
**About You**
 You are customer‑obsessed, action‑oriented, and comfortable owning outcomes end‑to‑end. You navigate ambiguity, make data‑informed decisions, and communicate clearly with technical and non‑technical audiences. You move fast, iterate, and deliver high‑quality software that creates real value.
**What You’ll Do**
* Engage with customers to understand goals and translate them into technical solutions
* Design, build, and deploy full‑stack features and integrations on Miro
* Create scalable distributed services and APIs that are reliable and secure
* Prototype quickly, iterate with feedback, and drive projects to production
* Collaborate across product, design, professional services and engineering
* Establish best practices, documentation, and handoffs for long‑term ownership
* Measure impact, troubleshoot issues, and continuously improve solutions
**What You’ll Need**
 Must‑have
* 5\+ years of software engineering experience
* Proven experience working closely with customers to gather requirements and deliver solutions
* Strong computer science fundamentals (data structures, algorithms, systems)
* Proven track record of applying platform thinking and using evolutionary architecture pattern to deliver for both short term and long term needs
* Experience building distributed systems at scale
* Full‑stack development experience (frontend, backend, APIs, data)
* Proficiency with AI coding tools to increase velocity and quality
* Excellent communication and stakeholder management skills
 Nice‑to‑have
* Background in SaaS, collaboration tools, or workflow platforms
* Exposure to security, compliance, and enterprise deployment patterns
* Track record in forward‑deployed, solutions engineering, or professional services roles
**What's In It For You**
* 401k matching \+ Competitive equity package
* Excellent Medical, Dental and Vision health benefits
* Fertility \&amp; Family Forming Benefits
* Flexible time off
* Lunch, snacks and drinks provided in the office
* Wellbeing benefit and WFH equipment allowance
* Annual learning and development allowance to grow your skills and career
* Up to $2,000 of charitable donation matches each year
*The reasonably estimated salary range is specific to Los Angeles and may not be applicable to other locations. Final compensation and total package components will be based on individual factors such as the candidate's skills, qualifications, and experience. The range for this role is:*
 Los Angeles salary range
 $144—$215 USD
*The reasonably estimated salary range is specific to San Francisco and may not be applicable to other locations. Final compensation and total package components will be based on individual factors such as the candidate's skills, qualifications, and experience. The range for this role is:*
 San Francisco salary range
 $164—$246 USD
*The reasonably estimated salary range is specific to New York and may not be applicable to other locations. Final compensation and total package components will be based on individual factors such as the candidate's skills, qualifications, and experience. The range for this role is:*
 New York salary range
 $156—$235 USD
**About Miro**
 Miro is a visual workspace for innovation that enables distributed teams of any size to build the next big thing. The platform's infinite canvas enables teams to lead engaging workshops and meetings, design products, brainstorm ideas, and more. Miro, co\-headquartered in San Francisco and Amsterdam, serves more than 100M users and 250,000 companies collaborate in the Innovation Workspace. Miro was founded in 2011 and currently has more than 1,600 employees in 13 hubs around the world.
 We are a team of dreamers. We look for individuals who dream big, work hard, and above all stay humble. Collaboration is at the heart of what we do and through our work together we hope to create a supportive, welcoming, and innovative environment. We strive to play as a team to win the world and create a better version of ourselves every day. If this sounds like something that excites you, we want to hear from you!
**Check Out More About Life At Miro**
* Youtube: https://www.youtube.com/@lifeatmiro
* Blog: https://miro.com/careers/life\-at\-miro/all/
* Instagram: https://www.instagram.com/mirohq/
 At Miro, we strive to create and foster an environment of belonging and collaboration across cultural differences. Miro’s mission —
 *Empower teams to create the next big thing* 
 — is how we think about our product, people, and culture. We believe that creating big things requires diverse and inclusive teams.
 *Diversity* 
 invites all talent with different demography, identities and styles
 *to step in* 
 , and
 *inclusion* 
 invites them to step
 *closer together.* 
 Every day, we are working to build a more diverse Miro, cultivate a sense of belonging for future and current Mironeers around the world, and foster an environment where everyone can collaborate and embrace differences.
****Miro handles and uses personal data of job applicants in line with its Recruitment Privacy Policy found here.****</t>
        </is>
      </c>
    </row>
    <row r="32">
      <c r="A32" t="inlineStr">
        <is>
          <t>li-4337946882</t>
        </is>
      </c>
      <c r="B32" t="inlineStr">
        <is>
          <t>Senior Backend Engineer</t>
        </is>
      </c>
      <c r="C32" t="inlineStr">
        <is>
          <t>Yahoo</t>
        </is>
      </c>
      <c r="D32" t="inlineStr">
        <is>
          <t>linkedin</t>
        </is>
      </c>
      <c r="E32" t="inlineStr"/>
      <c r="F32" t="inlineStr"/>
      <c r="G32" t="inlineStr"/>
      <c r="H32" t="inlineStr"/>
      <c r="I32" t="inlineStr">
        <is>
          <t>Yahoo Sports is one of the internet’s leading destinations for comprehensive sports news and innovative fantasy games. We produce insightful content across multiple platforms and curate quality coverage from around the web to inform and entertain fans. We're an original fantasy sports pioneer, with a legacy of innovation that helps us continue to be a fantasy leader. And as one of the most\-visited sports platforms on the internet, we're one of the best places for brands to reach fans.
**Fantasy BE PHP Senior Engineer**
****A Little About Us:****
 We are sports fans. We love our teams, our code, products and users. We are also committed to improving ourselves and are looking for someone who shares our values (honesty, integrity, collaboration) to join our team and make us even better. Working in Yahoo Sports is an adventure in delivering first class experiences across multiple devices at scale for an avid fan base you won’t find anywhere else on the planet.
****Responsibilities:****
* New feature development for our season long and casual fantasy games in an Agile environment
* Maintain game operations (e.g. seasonal launches)
* Build APIs to support our mobile and web clients
* Improve the code base and maintain engineering excellence
* Interact cross functionally with Product and Design teams to plan and execute on fantasy projects
* Architect infrastructure solutions to complex problems for new development
****Requirements:****
* BS/MS in Computer Science, Engineering or equivalent certification
* Technical Experience:
+ Working knowledge of Linux/UNIX
+ OOP and software design in PHP
+ Strong skills writing unit and functional tests
* 5\+ years of experience
****Nice to Have:****
* Building and/or using RESTful APIs
* Web servers like jetty or undertow
* Familiarity with cloud services like AWS
* Experience with MySQL or similar query languages
* Track record of proactively establishing and following through on commitments
* Passion for sports and for delivering products that users simply cannot live without
 The material job duties and responsibilities of this role include those listed above as well as adhering to Yahoo policies; exercising sound judgment; working effectively, safely and inclusively with others; exhibiting trustworthiness and meeting expectations; and safeguarding business operations and brand integrity.
 At Yahoo, we offer flexible hybrid work options that our employees love! While most roles don’t require regular office attendance, you may occasionally be asked to attend in\-person events or team sessions. You’ll always get notice to make arrangements. Your recruiter will let you know if a specific job requires regular attendance at a Yahoo office or facility. If you have any questions about how this applies to the role, just ask the recruiter!
 Yahoo is proud to be an equal opportunity workplace. All qualified applicants will receive consideration for employment without regard to, and will not be discriminated against based on age, race, gender, color, religion, national origin, sexual orientation, gender identity, veteran status, disability or any other protected category. Yahoo will consider for employment qualified applicants with criminal histories in a manner consistent with applicable law. Yahoo is dedicated to providing an accessible environment for all candidates during the application process and for employees during their employment. If you need accessibility assistance and/or a reasonable accommodation due to a disability, please submit a request via the Accommodation Request Form (www.yahooinc.com/careers/contact\-us.html) or call \+1\.866\.772\.3182\. Requests and calls received for non\-disability related issues, such as following up on an application, will not receive a response.
 We believe that a diverse and inclusive workplace strengthens Yahoo and deepens our relationships. When you support everyone to be their best selves, they spark discovery, innovation and creativity. Among other efforts, our 11 employee resource groups (ERGs) enhance a culture of belonging with programs, events and fellowship that help educate, support and create a workplace where all feel welcome.
 The compensation for this position ranges from $120,750\.00 \- $251,250\.00/yr and will vary depending on factors such as your location, skills and experience.The compensation package may also include incentive compensation opportunities in the form of discretionary annual bonus or commissions. Our comprehensive benefits include healthcare, a great 401k, backup childcare, education stipends and much (much) more.
*Currently work for Yahoo? Please apply on our internal career site.*</t>
        </is>
      </c>
    </row>
    <row r="33">
      <c r="A33" t="inlineStr">
        <is>
          <t>li-4358155754</t>
        </is>
      </c>
      <c r="B33" t="inlineStr">
        <is>
          <t>Software Developer</t>
        </is>
      </c>
      <c r="C33" t="inlineStr">
        <is>
          <t>Finys</t>
        </is>
      </c>
      <c r="D33" t="inlineStr">
        <is>
          <t>linkedin</t>
        </is>
      </c>
      <c r="E33" t="inlineStr"/>
      <c r="F33" t="inlineStr"/>
      <c r="G33" t="inlineStr">
        <is>
          <t>Troy, MI</t>
        </is>
      </c>
      <c r="H33" t="inlineStr"/>
      <c r="I33" t="inlineStr">
        <is>
          <t>Our Software Developer position requires a proficiency in coding and strong analytical skills to develop robust software solutions. The individual in this role will build high\-volume processing applications, using reusable code and components, and implement the latest technology within our product suite. The ideal candidate will show initiative and demonstrate success in communication and problem solving.
 We have multiple permanent openings available for candidates that possess proven experience in the areas listed in the next section.
**What It Takes** 
 (some or all)
* Strong software development skills
* 3 \+ years experience using .NET
* ASP.NET 8, C\#, Entity Framework, LINQ, JavaScript, KendoUI, Angular
* Structured Query Language (Microsoft SQL Server, Oracle or equivalent)
* Microsoft Visual Studio Development Environment
* Strong analytical/problem\-solving skills
* Ability to work with minimal supervision, exercising discretion and independent judgment
* Highly motivated to excel and produce high\-quality work
* Excellent verbal and written communication skills
**What YOU Will Be Doing** 
* Building state\-of\-the\-art web applications
* Working on high\-volume mission\-critical systems, ensuring robustness, scalability, and reliability
* Planning and developing reusable code for both new and existing components, ensuring efficiency and maintainability
* Utilizing both front\-end and back\-end technologies to deliver comprehensive solutions
* Working in a team environment, collaborating with project leaders and highly skilled developers to deliver high\-quality software products
**Who WE Are** 
 Finys is a leading producer of packaged software for the Property Casualty (P\&amp;C) insurance sector. With a deep understanding of industry intricacies and cutting\-edge technology, we have crafted the Finys Suite—an adaptable enterprise platform for policy administration, claims, billing, business intelligence, and mobile access. Our solution serves dozens of carriers, reducing operational costs and accelerating time to market, while fostering seamless collaboration between carriers, their agents, vendors, and insureds. Located in Troy, Michigan, our talented, U.S.\-based team is dedicated to your success.
**What WE Offer YOU** 
 At Finys, we offer an outstanding work environment, in which great people work with great technology. We also offer a competitive compensation package with generous benefits including health, vision, dental, life, paid vacation, paid holidays, matching retirement plan, flex time, and bonus opportunities.
 Join our rapidly growing software company and be part of a team dedicated to transforming the P\&amp;C insurance industry through innovation and excellence
 Apply now and take the next step in your career!
 www.finys.com</t>
        </is>
      </c>
    </row>
    <row r="34">
      <c r="A34" t="inlineStr">
        <is>
          <t>li-4354265549</t>
        </is>
      </c>
      <c r="B34" t="inlineStr">
        <is>
          <t>Java Full Stack Engineer</t>
        </is>
      </c>
      <c r="C34" t="inlineStr">
        <is>
          <t>BeaconFire Inc.</t>
        </is>
      </c>
      <c r="D34" t="inlineStr">
        <is>
          <t>linkedin</t>
        </is>
      </c>
      <c r="E34" t="inlineStr"/>
      <c r="F34" t="inlineStr"/>
      <c r="G34" t="inlineStr">
        <is>
          <t>New York, United States</t>
        </is>
      </c>
      <c r="H34" t="inlineStr"/>
      <c r="I34"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35">
      <c r="A35" t="inlineStr">
        <is>
          <t>li-4367272745</t>
        </is>
      </c>
      <c r="B35" t="inlineStr">
        <is>
          <t>Software Engineer</t>
        </is>
      </c>
      <c r="C35" t="inlineStr">
        <is>
          <t>ProSearch</t>
        </is>
      </c>
      <c r="D35" t="inlineStr">
        <is>
          <t>linkedin</t>
        </is>
      </c>
      <c r="E35" t="inlineStr"/>
      <c r="F35" t="inlineStr"/>
      <c r="G35" t="inlineStr"/>
      <c r="H35" t="inlineStr"/>
      <c r="I35" t="inlineStr">
        <is>
          <t>ProSearch is hiring a senior Software Engineer for a remote contract engagement with the intention of becoming a permanent position with a nationally respected client. This is an excellent opportunity for someone experienced with hands\-on coding experience.
**Job Requirements** 
 What you’ll do in this role:
* Write efficient, reliable, maintainable, and defect\-free code. Design and implement software to meet and exceed business objectives.
* Participate and contribute to software development practices such as design spec and code review.
* Collaborate with cross\-functional teams to design and implement scalable and efficient cloud solutions.
* Utilize automated CI/CD pipelines to deploy software packages in a DevOps environment.
* Working knowledge and ability to use tools to assist with user analytics, logging, and monitoring.
* Write and execute unit tests, integration tests, and performance tests.
**Required Qualifications** 
* Bachelor’s degree in computer science or other related field or equivalent work experience.
* 5\+ years’ experience developing complex, intelligent, and secure web applications with modern web technologies, in client side and/or server side.
* Expertise in Angular, TypeScript, ES5/6, HTML, and CSS
* Strong understanding of component\-based development, familiarity with Angular or any other equivalent library/framework.
* Strong background of object\-oriented design principles and design patterns.
* Experience with .NET Development. .NET Core preferred.
* Hands on experience in building scalable systems using AWS serverless technologies and supporting services such as Lambda, Fargate, RDS, and DynamoDB
* Hands on experience with infrastructure\-as\-code technologies such as CloudFormation, CDK, or equivalent
* Experience with RESTFUL APIs and Webservices
* Hands on experience and proficient understanding of automated testing frameworks like cypress or any other equivalent automated system testing tools.
* Familiarity with various tools like Swagger, Postman etc.
* Experience in scrum and agile methodologies.
* Strong communication and collaboration skills
**Apply Now** 
 If you're a seasoned software engineer passionate about building modern, scalable solutions and ready to make an impact with a respected national organization, we want to hear from you. This is your opportunity to join a forward\-thinking team where your skills will be valued and your contributions will help shape the future of innovative technology solutions. Apply today to take the next step in your career with ProSearch.
*ProSearch is proud to be an affirmative action / equal opportunity employer. All qualified applicants will receive consideration without regard to race, creed, gender, sex, marital status, sexual orientation, citizenship status, color, religion, national origin, age, disability, veteran status, or any other protected status under local, state, or federal law.*</t>
        </is>
      </c>
    </row>
    <row r="36">
      <c r="A36" t="inlineStr">
        <is>
          <t>li-4355235400</t>
        </is>
      </c>
      <c r="B36" t="inlineStr">
        <is>
          <t>Associate Software Engineer</t>
        </is>
      </c>
      <c r="C36" t="inlineStr">
        <is>
          <t>BeaconFire Inc.</t>
        </is>
      </c>
      <c r="D36" t="inlineStr">
        <is>
          <t>linkedin</t>
        </is>
      </c>
      <c r="E36" t="inlineStr"/>
      <c r="F36" t="inlineStr"/>
      <c r="G36" t="inlineStr">
        <is>
          <t>Massachusetts, United States</t>
        </is>
      </c>
      <c r="H36" t="inlineStr"/>
      <c r="I36" t="inlineStr">
        <is>
          <t>**Job Title: Junior Python Developer** 
**Location: Edison, New Jersey** 
**Job Type: Full\-time** 
 About the Role
 We are seeking a motivated Entry\-Level Python Developer to join our software engineering team. The ideal candidate will have a Master’s degree in Computer Science, Software Engineering, or a related field, with hands\-on experience in both frontend and backend development. You will collaborate with senior developers to design, develop, and maintain scalable web applications and services using modern Python frameworks and tools.
 Key Responsibilities:
* Develop, test, and maintain backend services and APIs using Python and frameworks such as Django or Flask.
* Contribute to frontend development using modern JavaScript frameworks like React, Vue.js, or Angular.
* Design and manage database schemas, queries, and optimizations (e.g., PostgreSQL, MySQL, or MongoDB).
* Write clean, efficient, and maintainable code following best practices.
* Collaborate with cross\-functional teams including UI/UX designers, QA engineers, and product managers.
* Participate in code reviews, debugging, and troubleshooting to ensure high\-quality releases.
* Assist in integrating APIs, third\-party services, and cloud\-based platforms (AWS, Azure, or GCP).
* Document technical specifications and contribute to continuous improvement efforts.
**Required Qualifications :** 
* Master’s degree in Computer Science, Software Engineering, Information Technology, or a related field.
* Solid understanding of Python programming and object\-oriented design principles.
* Knowledge of frontend technologies such as HTML, CSS, JavaScript, and at least one frontend framework (e.g., React).
* Experience or coursework in backend frameworks (Django, Flask, or FastAPI).
* Familiarity with databases (relational or NoSQL) and ORM tools.
* Understanding of RESTful APIs and web architecture.
* Good problem\-solving skills and attention to detail.
* Strong communication and teamwork skills.
**Preferred Qualifications:** 
* Experience with version control systems (Git, GitHub, GitLab).
* Exposure to containerization (Docker) and cloud platforms (AWS, Azure, or GCP).
* Familiarity with CI/CD pipelines and automated testing frameworks (PyTest, Selenium).
* Knowledge of data visualization or machine learning libraries is a plus.
**Compensation:** 
 $65,000\.00 to $80,000\.00 /year
***Beaconfire is an e\-verified company and provides equal employment opportunities (visa sponsorship provided).***</t>
        </is>
      </c>
    </row>
    <row r="37">
      <c r="A37" t="inlineStr">
        <is>
          <t>li-4367459716</t>
        </is>
      </c>
      <c r="B37" t="inlineStr">
        <is>
          <t>Software Engineer</t>
        </is>
      </c>
      <c r="C37" t="inlineStr">
        <is>
          <t>James Search Group</t>
        </is>
      </c>
      <c r="D37" t="inlineStr">
        <is>
          <t>linkedin</t>
        </is>
      </c>
      <c r="E37" t="inlineStr"/>
      <c r="F37" t="inlineStr"/>
      <c r="G37" t="inlineStr"/>
      <c r="H37" t="inlineStr"/>
      <c r="I37" t="inlineStr">
        <is>
          <t>**Software Engineer – P\&amp;C Insurance \| Technology \&amp; Claims Transformation** 
**Remote \| Competitive Compensation \&amp; Benefits** 
**About Our Client** 
 James Search Group is partnering with a
 **leading Property \&amp; Casualty (P\&amp;C) insurance carrier** 
 seeking a
 **Software Engineer** 
 to support
 **technology and claims transformation initiatives** 
 . This is a critical role within a growing organization focused on modernizing systems and driving operational efficiency.
**Responsibilities** 
* Design, develop, and implement software solutions for claims, underwriting, and reinsurance systems
* Collaborate with business analysts, project managers, and stakeholders to define requirements and technical specifications
* Work on system integrations, API development, and data processing solutions
* Ensure high\-quality code through testing, debugging, and performance optimization
* Maintain and enhance existing applications, ensuring system stability and scalability
* Stay up to date with emerging technologies and best practices in software development
* Document technical processes, system architecture, and development workflows
**Qualifications** 
* 2\-5\+ years of experience in software development within the
 **P\&amp;C insurance industry**
* Strong proficiency in
 **Java, C\#, Python, or similar programming languages**
* Experience with
 **cloud platforms (AWS, Azure, or Google Cloud)**
* Knowledge of
 **database systems (SQL, NoSQL)** 
 and data modeling
* Hands\-on experience with
 **RESTful APIs, microservices architecture, and system integrations**
* Familiarity with
 **insurance industry systems such as claims management, underwriting, or policy administration**
* Understanding of
 **Agile and DevOps methodologies**
* Strong problem\-solving skills and the ability to work in a fast\-paced environment
**Why Join?** 
* Work for a
 **leading P\&amp;C insurance carrier** 
 with a strong industry presence
* **Fully remote position** 
 with flexible work arrangements
* **Competitive salary \+ performance\-based bonus**
* **Comprehensive benefits package** 
 including health, dental, vision, and 401(k)
* Opportunity to work on
 **modern technology solutions** 
 and drive business transformation
**Apply now** 
 or contact James Search Group for more details.</t>
        </is>
      </c>
    </row>
    <row r="38">
      <c r="A38" t="inlineStr">
        <is>
          <t>li-4356790336</t>
        </is>
      </c>
      <c r="B38" t="inlineStr">
        <is>
          <t>Junior Software Engineer - Up to $100k + Bonus + Package</t>
        </is>
      </c>
      <c r="C38" t="inlineStr">
        <is>
          <t>Hunter Bond</t>
        </is>
      </c>
      <c r="D38" t="inlineStr">
        <is>
          <t>linkedin</t>
        </is>
      </c>
      <c r="E38" t="inlineStr"/>
      <c r="F38" t="inlineStr"/>
      <c r="G38" t="inlineStr">
        <is>
          <t>Boston, MA</t>
        </is>
      </c>
      <c r="H38" t="inlineStr"/>
      <c r="I38" t="inlineStr">
        <is>
          <t>**Job Title:** 
 Junior Software Engineer \- Up to $100k \+ Bonus
**Client:** 
 Elite Tech Firm
**Experience Level:** 
 1\+ years'
**Salary:** 
 Up to $100k \+ Bonus \+ Package
**Location:** 
 Boston (Hybrid)
 An elite tech firm are searching for Software Developers to join a group of the highest\-regarded talent around!
 This team has an unlimited budget when it comes to technology, promotes a great culture, and is made up of incredible like\-minded individuals.
**Role**
* Building out high performance tools \- utilising cutting edge technology across a diverse range of greenfield projects
* Tech driven environment \- Java 23 and Python 3 used extensively!
* Direct involvement in the build out and recruitment of a growing team, as well as daily mentoring responsibilities
**Skills/Experience**
* Strong knowledge of Java or Python
* STEM degree \- strong computer science fundamentals (Preferred)</t>
        </is>
      </c>
    </row>
    <row r="39">
      <c r="A39" t="inlineStr">
        <is>
          <t>li-4367257012</t>
        </is>
      </c>
      <c r="B39" t="inlineStr">
        <is>
          <t>Senior Software Engineer II</t>
        </is>
      </c>
      <c r="C39" t="inlineStr">
        <is>
          <t>Vyne</t>
        </is>
      </c>
      <c r="D39" t="inlineStr">
        <is>
          <t>linkedin</t>
        </is>
      </c>
      <c r="E39" t="inlineStr"/>
      <c r="F39" t="inlineStr"/>
      <c r="G39" t="inlineStr"/>
      <c r="H39" t="inlineStr"/>
      <c r="I39" t="inlineStr">
        <is>
          <t>**Title of Position:** 
 Senior Software Engineer II
**Managerial Responsibilities:** 
 None
**Job Family:** 
 Engineering
**Discipline:** 
 Software Engineering
**Classification:** 
 Exempt
**General Summary**
 Responsible for designing, developing, and maintaining a software application, this role involves writing efficient code, collaborating with teams to meet requirements, debugging, conducting code reviews, documenting processes, staying abreast of tech trends, and mentoring juniors.
**Duties \&amp; Responsibilities**
* Design, develop, and maintain software applications
* Write clean, testable, and efficient code
* Collaborate with cross\-functional teams to identify system requirements and design solutions
* Debug and troubleshoot software issues
* Participate in code reviews to ensure quality and adherence to best practices
* Document software design, testing, and maintenance processes
* Stay updated with emerging trends and technologies in software engineering
* Mentor and guide junior engineers in best practices
* Maintain compliance with the knowledge requirements outlined on the department intranet site
* Other duties as assigned.
**Education, Knowledge And Skills**
* Applicable Bachelors Degree in Engineering, or equivalent experience
* Minimum of 6\+ years of experience in a related position
* Advanced level understanding of algorithms and data structures
* Expert of one and advanced in one programming language(s) such as JavaScript, Java, C\#, etc.
* Advanced level experience with software development methodologies such as Agile and Scrum
* Intermediate level knowledge of databases, SQL and NoSQL
* Expert level familiarity with version control systems such as Git
* Expert level understanding of software testing and debugging
* Expert level problem\-solving skills
* Advanced level ability to work effectively in a team environment
* high level of integrity and dependability with a strong sense of urgency and results\-orientation.
* Advanced level communication and interpersonal skills
**Physical Demands**
 The physical demands described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sit; use hands to finger, handle, or feel; reach with hands and arms and talk or hear. Specific vision abilities required by this job include close vision, distance vision, color vision, peripheral vision, depth perception and ability to adjust focus.
**Work Environment**
 The work environment characteristics described are representative of those an employee may encounter while performing the essential functions of this job. Reasonable accommodations may be made to enable individuals with disabilities to perform the essential functions. The noise level in the work environment is usually moderate.
**Security Role / Responsibility**
* Protected Health Information (“PHI”): This position may have access to and be responsible for the security of PHI/PI on an incidental basis.
* Human Resource Information: This position may have access to and be responsible for the security of information including salary, insurance, reviews, resumes.
* Financial Admin: This position may have access to and be responsible for the security of financial administrative accounts and corporate accounts.
* Application Admin: This position may have access to and be responsible for securely administering user access to corporate applications.
 Vyne Dental provides equal employment opportunities (EEO) to all employees and applicants for employment without regard to race, color, religion, sex (including pregnancy, gender identity, and sexual orientation), national origin, age, disability, genetics, or veteran status. In addition to federal law requirements, Vyne Dental follows applicable state and local laws governing nondiscrimination in employment in every location in which the company has facilities</t>
        </is>
      </c>
    </row>
    <row r="40">
      <c r="A40" t="inlineStr">
        <is>
          <t>li-4304441843</t>
        </is>
      </c>
      <c r="B40" t="inlineStr">
        <is>
          <t>Software Developer</t>
        </is>
      </c>
      <c r="C40" t="inlineStr">
        <is>
          <t>DataAnnotation</t>
        </is>
      </c>
      <c r="D40" t="inlineStr">
        <is>
          <t>linkedin</t>
        </is>
      </c>
      <c r="E40" t="inlineStr"/>
      <c r="F40" t="inlineStr"/>
      <c r="G40" t="inlineStr">
        <is>
          <t>Idaho, United States</t>
        </is>
      </c>
      <c r="H40" t="inlineStr"/>
      <c r="I40"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1">
      <c r="A41" t="inlineStr">
        <is>
          <t>li-4367452711</t>
        </is>
      </c>
      <c r="B41" t="inlineStr">
        <is>
          <t>Senior Software Engineer</t>
        </is>
      </c>
      <c r="C41" t="inlineStr">
        <is>
          <t>People In AI</t>
        </is>
      </c>
      <c r="D41" t="inlineStr">
        <is>
          <t>linkedin</t>
        </is>
      </c>
      <c r="E41" t="inlineStr"/>
      <c r="F41" t="inlineStr"/>
      <c r="G41" t="inlineStr"/>
      <c r="H41" t="inlineStr"/>
      <c r="I41" t="inlineStr">
        <is>
          <t>**Senior Software Engineer** 
**$180,000–$215,000 base \+ equity** 
**Remote (United States)** 
**About the Company** 
 This stealthy, high\-velocity startup is on a mission to bring real\-world generative AI to life. Backed by top\-tier investors, they’re building powerful, scalable systems that help customers harness LLMs in meaningful, reliable ways. With a product already in use and a world\-class founding team, they’re growing fast and looking for engineers who thrive in ambiguity and want to shape the future of applied AI.
**The Role** 
 You’ll be part of a small, senior team shipping advanced GenAI features to production. This is an opportunity for an experienced engineer to own complex full\-stack systems end\-to\-end, work across React, Node.js, and AI integration layers, and help define the platform’s architectural foundation. You'll translate fuzzy product goals into scalable solutions and collaborate closely with product, design, and leadership.
**What You’ll Do** 
* Build and ship production\-grade GenAI capabilities from scratch
* Design and implement full\-stack features using TypeScript, React, and Node.js
* Integrate LLMs into real\-world workflows, apps, and agentic systems
* Shape and scale internal frameworks for rapid GenAI development
* Drive performance, reliability, and observability across AI pipelines
* Own projects end\-to\-end, from product definition to release
* Work closely with Product, Design, and cross\-functional teams
* Contribute to architectural planning, code reviews, and technical debates
**What You’ll Bring** 
* Deep TypeScript, React, and Node.js expertise
* Experience building full\-stack applications end\-to\-end
* Hands\-on work with LLM systems, embeddings, RAG, or vector search
* Familiarity with LangChain, LangGraph, LlamaIndex, or similar frameworks
* Comfort working in fast\-moving, ambiguous environments
* Strong debugging, architecture, and performance optimization skills
* Understanding of prompting, guardrails, and model behavior
**Nice to Have** 
* Python experience for AI workflows or backend services
* Knowledge of evaluation frameworks, safety, or LLM traceability
* Background in vector databases or scalable ML infrastructure
* Contributions to open\-source AI tools or libraries
**Tech Stack** 
* TypeScript, React, Node.js
* LLM frameworks (LangChain, LangGraph, LlamaIndex)
* Vector search, RAG, embeddings
* Cloud platforms and observability tools (OpenTelemetry, etc.)
**Why Join?** 
* Work at the frontier of generative AI in production
* Join a lean, senior team where your impact is immediate and visible
* Fully remote, async\-first culture with flexible hours
* Generous equity and ownership opportunities
* Paid time off, continued education support, and team offsites
* Accelerated career growth in a breakout AI startup
**About People In AI** 
 People In AI is a specialized recruitment partner to the world’s most ambitious AI companies. We help exceptional talent find high\-impact roles in cutting\-edge teams—from early\-stage startups to global leaders—with a focus on meaningful work, technical excellence, and long\-term growth.</t>
        </is>
      </c>
    </row>
    <row r="42">
      <c r="A42" t="inlineStr">
        <is>
          <t>li-4367219784</t>
        </is>
      </c>
      <c r="B42" t="inlineStr">
        <is>
          <t>Software Engineer III, Google Ads</t>
        </is>
      </c>
      <c r="C42" t="inlineStr">
        <is>
          <t>Google</t>
        </is>
      </c>
      <c r="D42" t="inlineStr">
        <is>
          <t>linkedin</t>
        </is>
      </c>
      <c r="E42" t="inlineStr"/>
      <c r="F42" t="inlineStr"/>
      <c r="G42" t="inlineStr">
        <is>
          <t>Los Angeles, CA</t>
        </is>
      </c>
      <c r="H42" t="inlineStr"/>
      <c r="I42"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Pittsburgh, PA, USA; Los Angeles, CA, USA** 
 .
 **Minimum qualifications:**
* Bachelor’s degree or equivalent practical experience.
* 2 years of experience programming in C\+\+.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Ads Mission is “Powering the open and free internet with the best technology that connects users and businesses everywhere.” Google Ads operates across several countries and is composed of the following engineering teams: Search Ads, Display, Video Ads and Apps (AViD), YouTube Ads, Analytics, Insights and Measurements (AIM), Ads Privacy and Safety (APaS), Commerce, Travel and Customer Engagement, and two Departments: Reach UX and Ads Engineering Productivity.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improve software.
* Manage individual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3">
      <c r="A43" t="inlineStr">
        <is>
          <t>li-4367477933</t>
        </is>
      </c>
      <c r="B43" t="inlineStr">
        <is>
          <t>Senior Java Software Engineer</t>
        </is>
      </c>
      <c r="C43" t="inlineStr">
        <is>
          <t>Grid Dynamics</t>
        </is>
      </c>
      <c r="D43" t="inlineStr">
        <is>
          <t>linkedin</t>
        </is>
      </c>
      <c r="E43" t="inlineStr"/>
      <c r="F43" t="inlineStr"/>
      <c r="G43" t="inlineStr"/>
      <c r="H43" t="inlineStr"/>
      <c r="I43" t="inlineStr">
        <is>
          <t>**Description:** 
 We are seeking a strong Senior Java Developer with good technical expertise, to be responsible for the backend development distributed platform for one of the largest world\-leading retailers. You will be working as a key member of this collaborative team with a group of experts recognized around the world. This is an excellent opportunity to play a role as a key contributor in creating the next generation of network\-centric distributed and scalable architectures. We work with bleeding\-edge technologies, including J2EE, building microservices, variety of cloud platforms such as AWS, Google cloud platform etc., OO Programming, using Agile Development Methodology and much more.
**Responsibilities:** 
* Design and implement server\-side logic for backend services.
* Develop and maintain APIs to support frontend and external integrations.
* Manage and optimize databases for performance and reliability.
* Monitor server health and troubleshoot application issues.
* Ensure high availability and scalability of backend systems.
* Collaborate with cross\-functional teams to improve system architecture.
**Min requirements:** 
* Strong proficiency in Java, Dropwizard, and Spring Boot frameworks.
* Bachelor’s degree required, preferably in Computer Science or a related field.
* Expertise in Oracle database, SQL, Snowflake, and Liquibase.
* Knowledge of JavaScript and React framework.
* Familiarity with Kafka consumer configuration.
* Experience with AWS services (EC2, S3, ECR) and RESTful API design principles.
* Proficiency in Git, Docker, and Gradle.
**We offer:** 
* Opportunity to work on bleeding\-edge projects
* Work with a highly motivated and dedicated team
* Competitive salary
* Flexible schedule
* Benefits package \- medical insurance, sports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 supported by profound expertise and ongoing investment in
 data
 ,
 analytics
 ,
 cloud \&amp; DevOps
 ,
 application modernization
 and
 customer experience
 . Founded in 2006, Grid Dynamics is headquartered in Silicon Valley with offices across the Americas, Europe, and India.</t>
        </is>
      </c>
    </row>
    <row r="44">
      <c r="A44" t="inlineStr">
        <is>
          <t>li-4367474985</t>
        </is>
      </c>
      <c r="B44" t="inlineStr">
        <is>
          <t>Senior Software Engineer</t>
        </is>
      </c>
      <c r="C44" t="inlineStr">
        <is>
          <t>Urgently</t>
        </is>
      </c>
      <c r="D44" t="inlineStr">
        <is>
          <t>linkedin</t>
        </is>
      </c>
      <c r="E44" t="inlineStr"/>
      <c r="F44" t="inlineStr"/>
      <c r="G44" t="inlineStr"/>
      <c r="H44" t="inlineStr"/>
      <c r="I44" t="inlineStr">
        <is>
          <t>**YOUR MISSION** 
 : Your mission is to build and evolve the Dispatch platform that connects our customers with the right service providers during roadside incidents. Dispatch is at the heart of how Urgently delivers real\-time assistance, and this role owns the feasibility, design, and delivery of Dispatch capabilities with a strong focus on reliability, speed, and operational quality. You’ll work closely with Product and Operations to ensure Dispatch decisions are accurate, scalable, and resilient under real\-world conditions.
**YOUR LEGACY:** 
 Your legacy will be the stability, scalability, and evolution of the Dispatch platform. This includes building and maintaining core Dispatch services, improving provider assignment and workflows, and raising the bar on system reliability and operational excellence for one of Urgently’s most mission\-critical systems. The result? You helped Urgently become the world’s leading mobility assistance company.
**WHAT YOU’LL BE RESPONSIBLE FOR:** 
**1\) First 2 months:** 
* Ramp up on Urgently’s platform architecture, development environment, and engineering philosophy
* Develop a strong understanding of the Dispatch system, including provider assignment, workflows, integrations, and operational dependencies
* Become productive in the Dispatch codebase, deployment process, and on\-call/operational workflows
**2\) First 6 months:** 
* Fully understand the mission and business goals of the Dispatch platform
* Take ownership of the development and stability of core Dispatch services
* Partner closely with Product to design and deliver Dispatch features, working through requirements, tradeoffs, and edge cases
* Improve Dispatch services using modern, scalable approaches while maintaining performance and reliability
**3\) Ongoing...** 
* Design, build, and evolve features within the Dispatch system
* Own Dispatch services end to end: development, deployment, monitoring, and operational stability
* Participate in day\-to\-day execution while influencing longer\-term technical direction for Dispatch
**WHO YOU ARE:** 
**Technical Foundation** 
* Bachelor’s degree in Computer Science or a related technical field
* 7\+ years of software development experience in backend, distributed systems environments
* Strong, hands\-on experience with:
* Java and the Java ecosystem
* Spring Boot, Spring MVC, and microservices architecture
* Data structures and core algorithms
* MySQL and NoSQL data stores
* Unit and system testing frameworks
* Git and modern version control workflows
**Problem Solving \&amp; Creativity** 
* Creative thinker and strong problem solver who can navigate ambiguity
* Able to work through complex Dispatch scenarios and propose clear, practical solutions
* Partners with Product to shape solutions, not just implement tickets
* Proactively identifies issues and improvement opportunities before they impact operations
**Ownership \&amp; Accountability** 
* Strong ownership mindset for mission\-critical Dispatch systems
* Takes responsibility for quality, performance, and real\-world system behavior
* Comfortable operating and supporting the services they build, including incident follow\-ups
**Technical Leadership** 
* Acts as a technical leader within the Dispatch domain
* Mentors' engineers and raises the bar for design, code quality, and system reliability
* Clearly articulates designs, tradeoffs, and implementation plans to the broader team
**Execution** 
* Detail\-oriented with a strong emphasis on maintainability and documentation
* Balances delivery speed with correctness, resilience, and scalability
* Makes pragmatic decisions aligned with both technical and business needs
**Nice to Have Experience:** 
* Experience with Apache Solr / Elasticsearch
* Experience with Test\-Driven Development
* Experience with logistics software (delivery, transportation, route planning)
**THE NITTY GRITTY:** 
* Location \= Great news! This position is remote and you have the option of working from anywhere in the U.S.!
* Manager \= You’ll report to Senior Technical Lead
* Compensation \= The base salary range for this position is $130,000 \- $160,000\. The range displayed on each job posting reflects the minimum and maximum target for new hire salaries for the position across all US locations. Within the range, individual pay is determined by job\-related skills, experience, and relevant education or training.
* Benefits \= At Urgently, we have awesome benefits! We provide short term disability, long term disability, and life insurance to you \- all free of charge! We also offer three different medical plans to choose from, two dental plans , a vision plan, and other valuable benefits. You’ll have 12 holidays off and unlimited paid time off. We match 100% on the first 3% you contribute to our 401(k)and then 50% of the next 2% you contribute. So, if you contribute 5% of your paycheck, we’ll match 4% of that. Free money!</t>
        </is>
      </c>
    </row>
    <row r="45">
      <c r="A45" t="inlineStr">
        <is>
          <t>li-4367234037</t>
        </is>
      </c>
      <c r="B45" t="inlineStr">
        <is>
          <t>Junior Software Engineer</t>
        </is>
      </c>
      <c r="C45" t="inlineStr">
        <is>
          <t>Tech Consulting</t>
        </is>
      </c>
      <c r="D45" t="inlineStr">
        <is>
          <t>linkedin</t>
        </is>
      </c>
      <c r="E45" t="inlineStr"/>
      <c r="F45" t="inlineStr"/>
      <c r="G45" t="inlineStr">
        <is>
          <t>New Jersey, United States</t>
        </is>
      </c>
      <c r="H45" t="inlineStr"/>
      <c r="I45" t="inlineStr">
        <is>
          <t>Are you excited about taking your technical career to new heights with a full\-time, W\-2 role as a consultant in a dynamic and rapidly growing company? If you are, let's get in touch –
 *your interest is the first step to starting the conversation.* 
***\*\*No Sponsorship\*\****
**What This Role Requires:** 
* 1\-4 years of experience in software development using Java after your degree.
* Must have Java or C\# experience (one or the other).
* Should understand basics of OOP (Object Oriented Program) concepts.
* Hands\-on experience in XML, SQL, JavaScript/CSS/JQUERY/HTML or SON preferred.
* Familiarity with version control systems like Git
* Eagerness to learn and adapt to new technologies, frameworks, and best practices in the rapidly evolving Android ecosystem
* Basic understanding of computer science concepts like data structures, algorithms, software architecture, and design patterns.
**To Qualify:** 
* You should be willing to relocate anywhere in the US on a client project\-to\-project basis, as this is an
 **onsite, in\-office position** 
 .
* Strong English communication skills, both written and verbal.
* **Bachelor’s degree in computer science** 
 , Information Systems, Electrical Engineering, Mathematics, or a related quantitative field.
* **What’s In It For YOU?**
* Gain valuable, career\-enhancing experience working with our Fortune 1,000 clients.
* Receive relocation support for training and project assignments, as required.
* Enjoy comprehensive W2 employee benefits.
* Access full coverage medical, dental, and vision insurance.
* Qualify for 401K eligibility after one year of employment.
**Company Highlights:** 
* **Our Specialization:** 
 Providing IT consulting services.
* **Experience:** 
 Over 25 years of combined domestic and international expertise in IT consulting serving hundreds of Fortune 1,000 and innovative startup clients.
* Interested in accelerating your tech career through career\-enhancing IT consulting experience? Do you meet the required qualifications?
 ***If so, apply today! We look forward to hearing from you.***
**"Can also apply via https://tinyurl.com/ConsultantCareerForm"**</t>
        </is>
      </c>
    </row>
    <row r="46">
      <c r="A46" t="inlineStr">
        <is>
          <t>li-4304451615</t>
        </is>
      </c>
      <c r="B46" t="inlineStr">
        <is>
          <t>Software Developer</t>
        </is>
      </c>
      <c r="C46" t="inlineStr">
        <is>
          <t>DataAnnotation</t>
        </is>
      </c>
      <c r="D46" t="inlineStr">
        <is>
          <t>linkedin</t>
        </is>
      </c>
      <c r="E46" t="inlineStr"/>
      <c r="F46" t="inlineStr"/>
      <c r="G46" t="inlineStr">
        <is>
          <t>Louisiana, United States</t>
        </is>
      </c>
      <c r="H46" t="inlineStr"/>
      <c r="I46"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7">
      <c r="A47" t="inlineStr">
        <is>
          <t>li-4359625798</t>
        </is>
      </c>
      <c r="B47" t="inlineStr">
        <is>
          <t>Full Stack Software Engineer</t>
        </is>
      </c>
      <c r="C47" t="inlineStr">
        <is>
          <t>Monarch Recruiters</t>
        </is>
      </c>
      <c r="D47" t="inlineStr">
        <is>
          <t>linkedin</t>
        </is>
      </c>
      <c r="E47" t="inlineStr"/>
      <c r="F47" t="inlineStr"/>
      <c r="G47" t="inlineStr"/>
      <c r="H47" t="inlineStr"/>
      <c r="I47" t="inlineStr">
        <is>
          <t>**Full Stack Software Engineer** 
**San Francisco (On\-Site)** 
 As a Full Stack Engineer, you will span from data pipelines, scraping, and strong backend systems, to engaging front\-end and product experiences with gamification and growth loops.
 You’ll own building systems that collect, structure, and serve data, while also crafting delightful user\-facing flows that feel consumer\-like and game\-like. You’ll move fast, operate in ambiguity, and shape the direction of our product from early days.
**Day\-to\-day, you'll work across two main areas:** 
* **Front end:** 
 Build applications for internal operations teams to manage data creation projects AND external expert\-facing tools where hired experts annotate, contribute, and view data. Future work includes gamification elements like quizzes, taste games, reward flows, and leaderboards.
* **Back end:** 
 Handle batch processing of data \- processing gathered data, synthetically generating data, and evaluating data. Build robust pipelines that run across workers to speed up operations dealing with thousands of generations and parallel AI operations. Set up inference/serving infrastructure, vector databases, and API serving at scale for clients with millions of requests.
 You'll architect full\-stack features end\-to\-end (API design, backend logic, frontend UI), collaborate with researchers and creative experts to scope features, and operate in early\-stage mode wearing many hats. The work is scrappy, and requirements vary by project \- you'll build custom systems for each client with different needs.
 Future\-looking work includes multimodal features, gamification of data collection experiences, share extensions that capture screens, personalization/style mapping/tagging, and potentially building APIs that other products use to gather taste or augment their models.
**Tech Stack** 
 React, TypeScript, Python</t>
        </is>
      </c>
    </row>
    <row r="48">
      <c r="A48" t="inlineStr">
        <is>
          <t>li-4367488761</t>
        </is>
      </c>
      <c r="B48" t="inlineStr">
        <is>
          <t>Senior Full Stack Engineer</t>
        </is>
      </c>
      <c r="C48" t="inlineStr">
        <is>
          <t>Grid Dynamics</t>
        </is>
      </c>
      <c r="D48" t="inlineStr">
        <is>
          <t>linkedin</t>
        </is>
      </c>
      <c r="E48" t="inlineStr"/>
      <c r="F48" t="inlineStr"/>
      <c r="G48" t="inlineStr"/>
      <c r="H48" t="inlineStr"/>
      <c r="I48" t="inlineStr">
        <is>
          <t>**Description:** 
 We are seeking a strong Senior Node.JS Developer with good technical expertise, to be responsible for the backend development distributed platform for one of the largest world\-leading retailers. You will be working as a key member of this collaborative team with a group of experts recognized around the world. This is an excellent opportunity to play a role as a key contributor in creating the next generation of network\-centric distributed and scalable architectures.
**Responsibilities:** 
* Design, develop, and maintain scalable backend services following clean architecture and best practices
* Build and optimize data models and queries ensuring performance, consistency, and reliability
* Prepare functional requirements and technical/design documentation for new features and system enhancements
* Analyze performance bottlenecks, identify root causes, and propose scalable and cost\-effective improvements
* Own the full backend lifecycle—from development and testing to deployment and monitoring
* Work with the incoming support request chain, performing RCA and driving issues to resolution
* Collaborate closely with stakeholders to deliver end\-to\-end features
* Write clear technical documentation and contribute to architectural decisions and code reviews
* Continuously improve system performance, scalability, and reliability while reducing technical debt
* Take full ownership of testing strategy and execution (unit, integration, and other relevant testing) using Jest and complementary testing approaches in a QA\-less environment.
**Min requirements:** 
* 5 years of professional software development experience, with a strong focus on backend systems
* Proven hands\-on experience with Node.js and Express.js in production environments
* Strong proficiency in SQL, including schema design, query optimization, and performance tuning
* Practical experience with PostgreSQL and/or CockroachDB
* Solid experience building and operating systems on AWS, including: Lambda, SQS, EventBridge, S3, ECR, Certificate Manager, Secrets Manager, Systems Manager
* Experience designing, maintaining, and improving CI/CD pipelines
* Familiarity with observability, monitoring, and log aggregation, particularly Splunk
* Experience designing scalable, reliable, and secure APIs and backend services
* Strong understanding of cloud\-native and event\-driven architectures
* Ability to work independently with minimal supervision
* Comfortable taking ownership of features from design through production
* Capable of making architectural and technical decisions
* Experience reviewing code and providing constructive feedback
* Proactive in identifying technical debt and proposing improvements
* Strong problem\-solving and analytical mindset
* Clear and effective communication skills
**We offer:** 
* Opportunity to work on bleeding\-edge projects
* Work with a highly motivated and dedicated team
* Competitive salary
* Flexible schedule
* Benefits package \- medical insurance, sports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 supported by profound expertise and ongoing investment in
 data
 ,
 analytics
 ,
 cloud \&amp; DevOps
 ,
 application modernization
 and
 customer experience
 . Founded in 2006, Grid Dynamics is headquartered in Silicon Valley with offices across the Americas, Europe, and India.</t>
        </is>
      </c>
    </row>
    <row r="49">
      <c r="A49" t="inlineStr">
        <is>
          <t>li-4351295899</t>
        </is>
      </c>
      <c r="B49" t="inlineStr">
        <is>
          <t>Software Engineer in Test (SDET)</t>
        </is>
      </c>
      <c r="C49" t="inlineStr">
        <is>
          <t>BeaconFire Inc.</t>
        </is>
      </c>
      <c r="D49" t="inlineStr">
        <is>
          <t>linkedin</t>
        </is>
      </c>
      <c r="E49" t="inlineStr"/>
      <c r="F49" t="inlineStr"/>
      <c r="G49" t="inlineStr">
        <is>
          <t>New York, United States</t>
        </is>
      </c>
      <c r="H49" t="inlineStr"/>
      <c r="I49" t="inlineStr">
        <is>
          <t>Job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Requirement: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Qualifications:
 ● Master’s Degree in Computer Science (CS).
 ● 0\-1 year of practical experience in Java coding.
 ● Experience using JUnit/TestNG, Cucumber, Selenium, Cypress, JMeter and other testing
 frameworks, HTML, CSS.
 Compensation: $65,000\.00 to $80,000\.00 /year
 BeaconFire is an E\-verified company and provides equal employment opportunities (visa
 sponsorship provided).</t>
        </is>
      </c>
    </row>
    <row r="50">
      <c r="A50" t="inlineStr">
        <is>
          <t>li-4367491016</t>
        </is>
      </c>
      <c r="B50" t="inlineStr">
        <is>
          <t>Full Stack Engineer</t>
        </is>
      </c>
      <c r="C50" t="inlineStr">
        <is>
          <t>The QTI Group</t>
        </is>
      </c>
      <c r="D50" t="inlineStr">
        <is>
          <t>linkedin</t>
        </is>
      </c>
      <c r="E50" t="inlineStr"/>
      <c r="F50" t="inlineStr"/>
      <c r="G50" t="inlineStr">
        <is>
          <t>Wisconsin, United States</t>
        </is>
      </c>
      <c r="H50" t="inlineStr"/>
      <c r="I50" t="inlineStr">
        <is>
          <t>Build the future of learning! The QTI Group is partnering with a start\-up organization that is on a mission to redefine how companies train, educate, and engage their teams and customers. We are recruiting for a
 **Senior Full Stack Engineer.** 
 Our client’s AI\-powered platform delivers dynamic learning experiences through avatars, intelligent workflows, and next\-gen personalization. The company is scaling fast and needs exceptional talent to help lead the way in the space. This is your chance to join a high\-impact team and shape a platform that transforms enterprise learning and how people consume information.
**Location** 
 : Fully Remote (Pacific or Central Time Zone preferred) with quarterly team meetups.
**Compensation** 
 : $130,000\-135,000 \+ 10% target bonus and possibility for equity.
**Responsibilities:** 
* Lead the development of secure, scalable APIs and microservices, robust front ends that support intelligent content delivery, and build integrations that connect with customer platforms and endpoints.
* Build and scale the company’s creator\-centric platform for video, interactive AI agents, and multi\-step learning experiences.
* Deliver clean, high\-performance Next.js (React) and Python/Django code with a focus on usability, accessibility, and interaction design.
* Design data pipelines for AI\-driven workflows and interface with technologies for real\-time collaboration (Liveblocks, CMS).
* Architect secure, scalable APIs and microservices.
* Develop tools for creators and builders, including editor components, real\-time collaboration, timeline interactions, multimodal content generation, and AI\-assisted creation workflows.
* Collaborate with a growing in\-house team (CTO, Director of Platform Engineering, AI Engineer) and offshore developers to coordinate workstreams and ensure consistent quality across time zones.
* Serve as a mentor to the in\-house team as the team expands.
**Qualifications** 
 :
* 4\+ years full stack development, building scalable, production\-grade applications.
* Expertise in Python, Django, and JavaScript, as well as Next.js (React).
* Deep understanding of the SDLC, including version control, code review processes, etc.
* Experience using AI to work more efficiently and thoughtfully incorporating it into products you build.
* Experience developing for event streaming/processing in AWS or other microservices, as well as learning management system (LMS) integrations.
* Familiarity with content creation tools (Canva, Figma) and light interaction design is a plus!
* Database design (SQL) and familiarity with data privacy
* Self\-sufficient, curious, and ready to thrive in a fast\-paced, early\-stage environment.
* Must be authorized to work in the United States without requiring sponsorship now or in the future.
***Additional Information: Candidates must be eligible to work without sponsorship; no C2C or agency submissions.***</t>
        </is>
      </c>
    </row>
    <row r="51">
      <c r="A51" t="inlineStr">
        <is>
          <t>li-4312426639</t>
        </is>
      </c>
      <c r="B51" t="inlineStr">
        <is>
          <t>Software Engineer (E2)</t>
        </is>
      </c>
      <c r="C51" t="inlineStr">
        <is>
          <t>Incident IQ</t>
        </is>
      </c>
      <c r="D51" t="inlineStr">
        <is>
          <t>linkedin</t>
        </is>
      </c>
      <c r="E51" t="inlineStr"/>
      <c r="F51" t="inlineStr"/>
      <c r="G51" t="inlineStr">
        <is>
          <t>Alpharetta, GA</t>
        </is>
      </c>
      <c r="H51" t="inlineStr"/>
      <c r="I51" t="inlineStr">
        <is>
          <t>**Company Overview:**
**About Us:**
 Atlanta\-based Incident IQ is the leading workflow management platform built exclusively for K\-12 districts. Trusted by over 2,000 districts, Incident IQ powers mission\-critical services for more than 12 million students and educators nationwide. By connecting technology and operational workflows, Incident IQ enables schools to streamline processes, reduce administrative burdens, and focus on what matters most: supporting students.
**Purpose:**
 Incident IQ is committed to creating a future where every K\-12 district operates with seamless efficiency. When operations are unified on a single platform, districts gain the clarity and control needed to build a stronger foundation for student success. We’re focused on delivering the tools, support, and partnerships that help make that vision a reality.
**Mission:**
 Incident IQ is on a mission to eliminate the friction of disconnected systems and clunky workflows that slow schools down. We’re reimagining the critical work that happens behind the scenes, bringing visibility, efficiency, and impact to the processes that keep classrooms running. By streamlining the complex, automating the routine, and surfacing the insights that matter most, we can create the conditions for educators to teach, students to thrive, and districts to shape the future of education.
**Software Engineer II Overview:**
 We are seeking an experienced frontend engineer to join one of our teams building new features and enhancing our top\-tier cloud\-based SaaS application. Candidates will be joining a fully staffed feature team with around 6 Software Engineers, a Designer and Product Owner. The ideal candidate has experience developing web applications using modern React patterns, with some experience C\# API development.
 What you’ll do
* Deliver user‑facing features in React \+ TypeScript across our web applications.
* Collaborate with design and backend teams to translate product ideas into accessible, high‑quality UIs
* Integrate with C\# microservice REST APIs
* Contribute to component libraries/design systems and promote reuse across the experience layer
* Optimize for performance (code splitting, caching, lazy loading)
* Write automated tests (Jest, React Testing Library, Cypress)
* Participate in code reviews, propose improvements, and uphold code quality.
* Ship safely and often using GitHub Actions (CI/CD) and observability basics (logging/metrics).
 What you bring
* A minimum of 3 years of professional experience in web app development
* Proficiency in JavaScript/TypeScript, React, HTML, and CSS.
* Ability to design clean, modular, maintainable code using OOP, SOLID, and common patterns.
* Comfort with architectural concepts (e.g., MVC/MVVM, dependency injection) and modern app architecture.
* Practical API integration skills (REST; familiarity with auth flows, pagination, error handling).
* Working knowledge of SQL/relational concepts to reason about data and debug API‑driven issues.
* Strong debugging and profiling skills (Chrome/Edge DevTools, React DevTools) and an eye for performance.
* Clear communication, collaborative mindset, thoughtful prioritization, and attention to detail.
* Tooling fluency: Git/GitHub workflows; VS Code or Visual Studio.
* Exposure to micro\-frontend design patterns
* Willingness and ability to quickly learn new technologies and adapt to changes in requirements or technology stack
 Nice to have
* C\#/.NET familiarity (reading/writing service code, DTOs, DI, async patterns).
* Exposure to micro‑frontends and composition at scale.
* Experience helping migrate from Angular to React (coexistence, adapters, incremental rollout).
* Experience with runtime monitoring (e.g., Grafana, Sentry) and performance tooling (Lighthouse, Core Web Vitals).
**What makes Incident IQ different:**
* We facilitate whole\-person growth where employees can develop personally as well as professionally.
* We offer an energetic and collaborative environment; everyone’s opinion matters!
* We produce software that empowers K\-12 schools to run efficiently, allowing for a better classroom experience for students to THRIVE!
* We provide excellent work/life balance. Two amazing offices \- a Downtown Atlanta office location and one at Halcyon in Alpharetta!
 Incident IQ offers a competitive salary based on experience with a benefits package for full\-time employees that includes medical, dental, vision, life insurance, 401k match, and paid\-time off (PTO).
*Incident IQ is an Equal Opportunity Employer*</t>
        </is>
      </c>
    </row>
    <row r="52">
      <c r="A52" t="inlineStr">
        <is>
          <t>li-4356851140</t>
        </is>
      </c>
      <c r="B52" t="inlineStr">
        <is>
          <t>Sr. Software Developer II (6369)</t>
        </is>
      </c>
      <c r="C52" t="inlineStr">
        <is>
          <t>MetroStar</t>
        </is>
      </c>
      <c r="D52" t="inlineStr">
        <is>
          <t>linkedin</t>
        </is>
      </c>
      <c r="E52" t="inlineStr"/>
      <c r="F52" t="inlineStr"/>
      <c r="G52" t="inlineStr">
        <is>
          <t>Washington, DC</t>
        </is>
      </c>
      <c r="H52" t="inlineStr"/>
      <c r="I52" t="inlineStr">
        <is>
          <t>As
 **Sr. Software Developer II** 
 , you'll deliver secure and reliable software capabilities for a highly visible and mission\-critical customer supporting national\-level operations. The program’s mission is to rapidly deliver high\-quality software while maintaining strict security and operational standards.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Troubleshoot and resolve production issues in a timely and effective manner
* Work as part of a collaborative, high\-performing team delivering technical solutions for mission\-critical federal government systems
* Support O\&amp;M and design, develop, and modernize custom enterprise applications
* Apply secure coding practices across all phases of development
* Participate in code reviews and Agile ceremonies (planning, stand\-ups, retros, etc.)
* Support and contribute to CI/CD pipelines and automated deployments
* Troubleshoot and resolve production issues in a timely and effective manner
* Communicate technical decisions and solutions clearly to both technical and non\-technical stakeholders
* Establish and maintain a high level of customer trust and confidence through technical expertise and professionalism
* Use creativity and innovation to deliver solutions that meet customer and mission needs
**What you’ll need to succeed:** 
* An active Top Secret with SCI eligibility security clearance.
* Bachelor’s degree in Computer Science or Software Engineering is preferred; Relevant experience may be substituted for education.
* 7\+ years of professional software development experience.
* Demonstrated proficiency in C\#, .NET, and modern application frameworks.
* Hands\-on experience modernizing legacy .NET applications and containerizing workloads.
* Experience with Windows Server IIS, .NET Core 8\+, .NET Framework 4\+, Entity Framework, Quartz, Angular, React, Azure DevOps, GitLab CI/CD, PostgreSQL, SQL Server, and Docker.
* Possess a DoD 8140 DCWF Role of 451 – System Administrator with certifications such as Cloud\+, GICSP, GSEC, Security\+, or SSCP. Ability to contribute immediately.
 SALARY RANGE:  $170,000 \- $184,000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53">
      <c r="A53" t="inlineStr">
        <is>
          <t>li-4367461812</t>
        </is>
      </c>
      <c r="B53" t="inlineStr">
        <is>
          <t>Software Engineer - OnTap RAID Systems Programming</t>
        </is>
      </c>
      <c r="C53" t="inlineStr">
        <is>
          <t>NetApp</t>
        </is>
      </c>
      <c r="D53" t="inlineStr">
        <is>
          <t>linkedin</t>
        </is>
      </c>
      <c r="E53" t="inlineStr"/>
      <c r="F53" t="inlineStr"/>
      <c r="G53" t="inlineStr">
        <is>
          <t>San Jose, CA</t>
        </is>
      </c>
      <c r="H53" t="inlineStr"/>
      <c r="I53" t="inlineStr">
        <is>
          <t>**Job Summary**
 NetApp is developing a new portfolio of data\-centric storage platforms and services to help the world's leading organizations harness their data in new and interesting ways. NetApp brings its industry leading, enterprise class data storage technologies into the world's biggest public clouds and the simplicity \&amp; flexibility of cloud into customer data centers.
 As a Software Engineer, you will work as part of an exceptionally talented engineering team responsible for architecture, design and development of ONTAP Storage software. The overall focus of the team will be on delivering innovative technologies to address competitive market and customer requirements with enterprise\-class product quality and time\-to\-market. The team will also be responsible for maintenance and enhancements to existing technologies and products.
 Job Requirements
* Apply modern software engineering skills and best practices to contribute to both new product development and enhancements of ONTAP software stack.
* Contribute to technical design discussions and share insights on systems engineering concepts, including computer architecture, operating systems, file systems, networking, algorithms, and data structures.
* Contribute to design, coding, debugging, performance analysis, and troubleshooting across development, test, and production environments.
* Work as part of an exceptionally talented global team, engaging in technical discussions and acting as a resource for peers.
* Be proactive in learning and applying the latest testing technologies, tools, and frameworks, while also driving automation initiatives.
* Develop, modify, and execute comprehensive software test plans and test cases, both manually and through automation.
* Investigate and resolve issues, collaborating closely with other team members and across teams to address challenges in test and production environments.
* Work on Storage device drivers for NVMe, SATA, SCSI, SAS, Fibre Channel.
* Opportunity to work on Encryption protocols for various types of SED drives.
 Qualification
* A passion for system software programming is a must!
* Deep understanding and expertise in Operating system fundamentals
* Strong Kernel/Systems software programming skills in C/C\+\+ with hands\-on experience in Linux/UNIX environments.
* Ability to debug complex systemic issues and various interactions including Crash dump analysis.
* Excellent problem\-solving skills with meticulous attention to detail.
* Proficient with modern automation tools and frameworks, and enthusiastic about applying cutting\-edge testing methodologies, including unit testing frameworks.
* Ability to work effectively in cross\-functional, geo\-distributed teams.
* Excellent oral and written communication skills.
* Experience with storage hardware components such as SSDs, HDDs, RAID controllers, and storage arrays.
* Experience/Knowledge with Storage/Disk device drivers, Disk IO scheduling, Encryption Technology and TCG Opal, SED is preferred.
 Education
* A Bachelor of Science Degree in Electrical Engineering or Computer Science, a Master's Degree or a PhD; or equivalent experience is required.
* Requires a minimum of 5 years of related software development and testing experience.
**Compensation**
 The target salary range for this position is 130,900 \- 194,700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54">
      <c r="A54" t="inlineStr">
        <is>
          <t>li-4356655063</t>
        </is>
      </c>
      <c r="B54" t="inlineStr">
        <is>
          <t>Java Software Engineer</t>
        </is>
      </c>
      <c r="C54" t="inlineStr">
        <is>
          <t>BeaconFire Inc.</t>
        </is>
      </c>
      <c r="D54" t="inlineStr">
        <is>
          <t>linkedin</t>
        </is>
      </c>
      <c r="E54" t="inlineStr"/>
      <c r="F54" t="inlineStr"/>
      <c r="G54" t="inlineStr">
        <is>
          <t>East Windsor, NJ</t>
        </is>
      </c>
      <c r="H54" t="inlineStr"/>
      <c r="I54" t="inlineStr">
        <is>
          <t>**Job Responsibilities:** 
* Develop applications using Java 8/JEE (and higher), Angular 2\+, React.js, SQL, Spring, HTML5, CSS, JavaScript, and TypeScript, among other tools.
* Write scalable, secure, and maintainable code that powers our clients’ platforms.
* Create, deploy, and maintain automated system tests.
* Work with Testers to understand defects and resolve them in a timely manner.
* Support continuous improvement by investigating alternatives and technologies, and presenting these for architectural review.
* Collaborate effectively with other team members to accomplish shared user story and sprint goals.
**Requirement:** 
* Experience in programming languages: Java and JavaScript
* Decent understanding of the software development life cycle
* Basic programming skills using object\-oriented programming (OOP) languages, with in\-depth
* knowledge of common APIs and data structures like Collections, Maps, Lists, Sets, etc.
* Knowledge of relational databases (e.g., SQL Server, Oracle) and basic SQL query language skills
**Preferred Qualifications:** 
* Master’s Degree in Computer Science (CS)
* 0–1 year of practical experience in Java coding
* Experience using Spring, Maven, Angular frameworks, HTML, and CSS
* Knowledge of other contemporary Java technologies (e.g., WebLogic, RabbitMQ, Tomcat)
* Familiarity with JSP, J2EE, and JDBC</t>
        </is>
      </c>
    </row>
    <row r="55">
      <c r="A55" t="inlineStr">
        <is>
          <t>li-4367496383</t>
        </is>
      </c>
      <c r="B55" t="inlineStr">
        <is>
          <t>Software Engineer III, Full Stack, YouTube</t>
        </is>
      </c>
      <c r="C55" t="inlineStr">
        <is>
          <t>Google</t>
        </is>
      </c>
      <c r="D55" t="inlineStr">
        <is>
          <t>linkedin</t>
        </is>
      </c>
      <c r="E55" t="inlineStr"/>
      <c r="F55" t="inlineStr"/>
      <c r="G55" t="inlineStr">
        <is>
          <t>Mountain View, CA</t>
        </is>
      </c>
      <c r="H55" t="inlineStr"/>
      <c r="I55" t="inlineStr">
        <is>
          <t>Note: By applying to this position you will have an opportunity to share your preferred working location from the following:
 **Mountain View, CA, USA; San Bruno, CA, USA** 
 .
 **Minimum qualifications:**
* Bachelor’s degree or equivalent practical experience.
* 2 years of experience programming in C\+\+.
* 2 years of experience programming in TypeScript or JavaScript.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6">
      <c r="A56" t="inlineStr">
        <is>
          <t>li-4362442509</t>
        </is>
      </c>
      <c r="B56" t="inlineStr">
        <is>
          <t>Software Engineer - GenAI</t>
        </is>
      </c>
      <c r="C56" t="inlineStr">
        <is>
          <t>Aeris</t>
        </is>
      </c>
      <c r="D56" t="inlineStr">
        <is>
          <t>linkedin</t>
        </is>
      </c>
      <c r="E56" t="inlineStr"/>
      <c r="F56" t="inlineStr"/>
      <c r="G56" t="inlineStr">
        <is>
          <t>San Jose, CA</t>
        </is>
      </c>
      <c r="H56" t="inlineStr"/>
      <c r="I56" t="inlineStr">
        <is>
          <t>At Aeris, we are at the forefront of the IoT revolution, connecting more than 90 million cellular IoT devices globally in our IoT Platform Services via our telecom operator partners and enterprise customers, providing cutting\-edge SaaS solutions that enable businesses to harness the power of connected devices. Our largest industry segments are Automotive, Utilities and Transport \&amp; Logistics, using eSIM technologies. With offices around the world, Aeris is the preeminent IoT software company globally powering critical projects across energy, connected vehicles, transportation, retail, healthcare and more.
 Aeris provides a SaaS based connectivity management platform for mobile operators and enterprises. It enables organizations to realize new revenue streams from a vast variety of devices while simplifying the process and reducing the cost of connecting them to benefit from economies of scale. The platform provides access to key functionality including subscription management, eSIM/eUICC management via world class APIs and operator and enterprise self\-service portals. This is built on core tenants of cloud computing and intelligence (AI/ML). And thanks to our deep expertise and our extensive trusted partner network, we are the go\-to destination for those wishing to roll\-out high quality global IoT deployment.
 As Aeris continues to expand and we are seek an experienced Software Engineer to join our team. In this critical role, you will be responsible for the design, development, and progression of the agentic aspect of our platform and services. You will be at the forefront of our AI transformation journey, architecting and implementing advanced AI solutions that drive our organization from operational AI toward fully autonomous business processes and decision\-making capabilities. This role presents a unique opportunity to shape our AI\-first culture and establish our position as an industry leader in AI innovation, working with real\-world applications and enterprise data to deliver tangible business outcomes. Your work will directly contribute to evolving our platform's intelligence from assisted decision\-making to increasingly autonomous operations that create sustainable competitive advantages.
**About You:** 
* Passionate, innovative, likes to explore and continuously challenge yourself and your team, strong analytical and problem solving skills
* MINIMALLY six years of professional working experience. Ideally six to ten years experience developing SaaS/PaaS oriented product is PREFERRED.
* Proficiency in at least one modern programming languages (Java, Go, or Python) with ability to quickly learn new ones.
* Excellent communication skills (written and verbal).
* Communicates proactively and effectively with product and engineering management and project stakeholders in a highly agile environment
* At least a bachelor’s degree in Computer Science, Software Engineering or equivalent discipline. Knowledge in electrical engineering experience is a plus
* RELOCATION assistance IS NOT available. This position will be located at our offices in San Jose, CA.
**Bonus Points** 
* Familiarity with Large Language Models (LLMs) and their applications.
* Experience with AI agent frameworks (e.g., Langchain, AutoGPT).
* Knowledge of Retrieval Augmented Generation (RAG) techniques.
* Experience with cloud computing platforms (e.g., AWS, Azure, GCP).
* Contributions to open\-source projects in the AI/ML space.
*The below range reflects the range of possible compensation for this role at the time of this posting. We may ultimately pay more or less than the posted range. This range may also be modified in the future. An employee’s position within the salary range will be based on several factors including, but not limited to: relevant education, qualifications, certifications, experience, skills, seniority, geographic location, performance, shift, travel requirements, sales or revenue\-based metrics, any collective bargaining agreements, and business or organizational needs.* 
*The salary range for this role is $150,000 to $205,000\.* 
*Aeris offers a comprehensive package of benefits including paid time off, medical / dental / vision insurance, and 401(k) to eligible employees.* 
*As part of our hiring process, Aeris may conduct background checks to verify the information provided in your application and assess your suitability for the role. The scope and type of checks will comply with the applicable laws and regulations of the country where the position is based. Additional detail will be provided via the formal application process.* 
*Aeris walks the walk on diversity. We are a brilliant mix of varying ethnicities, backgrounds, religions, cultures, sexual orientations, gender identities, ages and professional/personal/military experiences – and that’s by design. Different perspectives are essential to our culture, innovative process and competitive edge. Aeris is proud to be an equal opportunity employer.*</t>
        </is>
      </c>
    </row>
    <row r="57">
      <c r="A57" t="inlineStr">
        <is>
          <t>li-4367457675</t>
        </is>
      </c>
      <c r="B57" t="inlineStr">
        <is>
          <t>Sr Software Engineer (Remote)</t>
        </is>
      </c>
      <c r="C57" t="inlineStr">
        <is>
          <t>Jobgether</t>
        </is>
      </c>
      <c r="D57" t="inlineStr">
        <is>
          <t>linkedin</t>
        </is>
      </c>
      <c r="E57" t="inlineStr"/>
      <c r="F57" t="inlineStr"/>
      <c r="G57" t="inlineStr">
        <is>
          <t>Kansas, United States</t>
        </is>
      </c>
      <c r="H57" t="inlineStr"/>
      <c r="I57" t="inlineStr">
        <is>
          <t>This position is posted by Jobgether on behalf of a partner company. We are currently looking for a Senior Software Engineer \- REMOTE. In this impactful role, you will contribute to building the next generation of media management platforms that support live and sports content at scale. Your work will focus on designing and constructing core backend services that integrate various infrastructures, ensuring efficient media handling and metadata management. Join a team that thrives on innovation and pushes the boundaries of storytelling through cutting\-edge technology.
**Accountabilities**
* Design and build backend services for the Live Media Asset Management platform.
* Integrate third\-party media asset management systems with existing hybrid infrastructure.
* Implement robust data models and APIs for live media assets and their metadata.
* Collaborate with engineering, production, and operations teams to deliver comprehensive workflows for live content.
* Work with AI/ML teams to enhance the MAM ecosystem with automated functionalities.
* Own production services, focusing on reliability, observability, and on\-call support for critical workflows.
**Requirements**
* 5\+ years of experience in building and operating backend/platform services in production.
* Strong understanding of distributed systems and event\-driven architectures.
* Experience in media platforms, MAM/DAM systems, or complex integrations with third\-party platforms.
* Proficient in working in hybrid cloud and on\-prem environments.
* Ability to design reusable services and clear APIs for various internal stakeholders.
* Committed to ensuring reliability and observability for time\-sensitive workflows.
* A strong collaborator with the ability to work effectively across teams.
* Self\-directed and comfortable with autonomy and responsibility.
**Benefits**
* Competitive salary with flexible compensation options.
* Comprehensive health plans and mental health support.
* 401(k) Retirement Plan with employer match.
* Opportunity to participate in the Stock Option Program.
* Paid and flexible time off policies.
* Family\-forming benefits and life insurance coverage.
* Support for personal and professional development.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8">
      <c r="A58" t="inlineStr">
        <is>
          <t>li-4367269951</t>
        </is>
      </c>
      <c r="B58" t="inlineStr">
        <is>
          <t>Software Engineer</t>
        </is>
      </c>
      <c r="C58" t="inlineStr">
        <is>
          <t>Heirloom</t>
        </is>
      </c>
      <c r="D58" t="inlineStr">
        <is>
          <t>linkedin</t>
        </is>
      </c>
      <c r="E58" t="inlineStr"/>
      <c r="F58" t="inlineStr"/>
      <c r="G58" t="inlineStr"/>
      <c r="H58" t="inlineStr"/>
      <c r="I58" t="inlineStr">
        <is>
          <t>We are looking for an experienced and dedicated individual to join Heirloom's software team! In this role you will contribute to the design, development, testing, debugging, deployment, and maintenance of software aimed at supporting carbon removal R\&amp;D, as well as that destined for both pilot and commercial facilities that remove carbon dioxide from the atmosphere. You will be presented with a myriad of technical problems and ample opportunity to keep pace with the evolving set of tools employed by the software discipline. You will work alongside a team of world\-class software engineers, product managers, and systems engineers committed to delivering high\-quality solutions in service of a more liveable future for all.</t>
        </is>
      </c>
    </row>
    <row r="59">
      <c r="A59" t="inlineStr">
        <is>
          <t>li-4367254494</t>
        </is>
      </c>
      <c r="B59" t="inlineStr">
        <is>
          <t>Embedded Software Engineer</t>
        </is>
      </c>
      <c r="C59" t="inlineStr">
        <is>
          <t>Synchro</t>
        </is>
      </c>
      <c r="D59" t="inlineStr">
        <is>
          <t>linkedin</t>
        </is>
      </c>
      <c r="E59" t="inlineStr"/>
      <c r="F59" t="inlineStr"/>
      <c r="G59" t="inlineStr">
        <is>
          <t>Austin, Texas Metropolitan Area</t>
        </is>
      </c>
      <c r="H59" t="inlineStr"/>
      <c r="I59" t="inlineStr">
        <is>
          <t>**Position: Linux Engineer** 
**Location: Onsite M\-F in Austin, TX** 
**Duration: FTE \- Direct Hire** 
 Our end client is a fast\-growing player in the autonomous mobility and robotics space. They build advanced self\-driving and robotic delivery technologies and are expanding their team.
 They are looking for a seasoned Embedded Linux Software Engineer to join their team. This role will focus on building and maintaining custom Linux\-based platforms for cutting\-edge embedded hardware. You’ll work closely with hardware and sensor engineers to develop, optimize, and maintain the low\-level software that drives mission\-critical systems for autonomous vehicles and robotics.
**Responsibilities** 
* Perform board bring\-up on new hardware revisions
* Develop and maintain custom Linux distributions that support testing, production, and deployment
* Write, port, and debug Linux device drivers
* Build and optimize low\-latency userspace software for sensors and actuators including Radar, Camera, LiDAR, GNSS, IMU, and microphones
* Provide technical support to cross\-functional teams, troubleshooting both hardware and software issues
* Contribute to system\-level performance improvements
**Qualifications** 
* Bachelor’s or Master’s degree in Electrical Engineering, Computer Science, Robotics, or a related field
* 5\+ years of embedded software development
* Strong background in C/C\+\+ for real\-time embedded systems
* Proficiency with Python and Bash
* Deep experience with embedded Linux kernel development on ARM\-based platforms
* Knowledge of electrical engineering fundamentals, with ability to review schematics and perform hardware\-level debugging using oscilloscopes, logic analyzers, etc.
* Experience with Linux networking as well as automotive hardware interfaces</t>
        </is>
      </c>
    </row>
    <row r="60">
      <c r="A60" t="inlineStr">
        <is>
          <t>li-4344824746</t>
        </is>
      </c>
      <c r="B60" t="inlineStr">
        <is>
          <t>Software Engineer - Forecasting &amp; Scheduling</t>
        </is>
      </c>
      <c r="C60" t="inlineStr">
        <is>
          <t>Assembled</t>
        </is>
      </c>
      <c r="D60" t="inlineStr">
        <is>
          <t>linkedin</t>
        </is>
      </c>
      <c r="E60" t="inlineStr"/>
      <c r="F60" t="inlineStr"/>
      <c r="G60" t="inlineStr"/>
      <c r="H60" t="inlineStr"/>
      <c r="I60" t="inlineStr">
        <is>
          <t>**About Assembled**
 Great customer support requires human agents and AI in perfect balance, and Assembled is the only unified platform that orchestrates both at scale. Companies like Canva, Etsy, and Robinhood use Assembled to coordinate their entire support operation — in\-house agents, BPOs, and AI — in a single operating system. With AI Agents that resolve cases end\-to\-end, AI Copilot for agent assistance, and AI\-powered workforce management that optimizes both human and AI capacity, Assembled helps teams deliver faster, better service while making smarter decisions about how to staff and automate. Backed by $70M from NEA, Emergence Capital, and Stripe, we're building the platform that makes AI and human collaboration actually work.
**What You’ll Work On**
* Predicting contact volume: Developing forecasting interfaces, data pipelines, and inference servers to predict support contact volume and determine the optimal number of support agents required for specific days and times.
* Scheduling 1000s of support agents: Designing and implementing interfaces to collect and store team preferences and customer business constraints (e.g., labor laws), enabling the creation of optimal schedules for teams of thousands of support agents based on these forecasts and constraints. (check out https://en.wikipedia.org/wiki/Nurse\_scheduling\_problem)
* MLOps: Enhancing machine learning efficiency and operations to support rapid model deployment and iteration.
**About You (specifically)**
* Familiarity with ML packages and software: Experience using Python libraries like pandas, SciPy, and seaborn for statistical or predictive work.
* Background in ML or algorithmic teams: Previous experience working on a machine learning or algorithmic team.
* Passion for performance: A strong commitment to advancing both statistical and runtime performance, ensuring reliable and efficient forecasting and scheduling.
*We know great candidates don’t always meet every requirement listed in a job description. If the role excites you and you believe you can make an impact at Assembled, we encourage you to apply. We value diverse perspectives and are committed to building an inclusive workplace where everyone feels like they belong and has the opportunity to do their best work. We look forward to hearing from you!*
**For United States Applicants**
*Assembled participates in E\-Verify and will provide the federal government with your Form I\-9 information to confirm that you are authorized to work in the United States.*
**For United Kingdom Applicants**
*Assembled is required to verify your right to work in the UK and will conduct a Right to Work check prior to employment in accordance with applicable law.*</t>
        </is>
      </c>
    </row>
    <row r="61">
      <c r="A61" t="inlineStr">
        <is>
          <t>li-4344826169</t>
        </is>
      </c>
      <c r="B61" t="inlineStr">
        <is>
          <t>Lead Software Engineer - Data Connectivity</t>
        </is>
      </c>
      <c r="C61" t="inlineStr">
        <is>
          <t>Zeta Global</t>
        </is>
      </c>
      <c r="D61" t="inlineStr">
        <is>
          <t>linkedin</t>
        </is>
      </c>
      <c r="E61" t="inlineStr"/>
      <c r="F61" t="inlineStr"/>
      <c r="G61" t="inlineStr">
        <is>
          <t>San Francisco, CA</t>
        </is>
      </c>
      <c r="H61" t="inlineStr"/>
      <c r="I61"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**The Role**
 As a Lead Software Engineer, you'll own the design, development, and evolution of the core data connectivity systems that power our Zeta Marketing Platform. You will collaborate with Engineers, Product Managers and Executives across the organization to develop a roadmap and subsequent projects to build the next generation comprehensive, multichannel marketing solution that unifies and unlocks data across digital touch points, driving return on marketing investment. This includes building scalable integrations between marketing data sources (CRMs, ad networks, analytics tools, and data warehouses) and the platform’s core datastore. You’ll lead a team of engineers in technical aspect to deliver high\-performance data pipelines and APIs that enable frictionless ingestion, synchronization, and delivery of large\-scale customer and campaign data.
**Job Description**
 As a Lead Software Engineer, your responsibilities will include:
* Design, Architect, implement, and operate Python\-based microservices and high\-throughput ETL/ reverse ETL pipelines that meet enterprise SLAs, RPO/RTO targets, and data quality standards
* Embed observability by default through structured logging, metrics, and distributed tracing; define SLOs, error budgets, and incident response runbooks for production services
* Conduct design and code reviews, performance and cost optimizations, and challenge fellow engineers to raise the bar on engineering excellence and operational maturity
* Design and evolve reusable connector frameworks for inbound and outbound integrations with Ad tech platforms like Facebook Ads, Google Ads, and other enterprise systems, emphasizing modularity, versioning, and backward compatibility
* Collaborate with Product, SecOps, and Platform teams to deliver scalable, cost\-efficient solutions across Kubernetes, message buses, and workflow orchestrators
* Evaluate designs of other team members
* Mentor junior members and provide technical guidance on the team
**Desired Qualifications**
* 8\+ years of experience in backend with at least 2 years in technical leadership roles.
* Strong proficiency with Python, Go, or Java, and familiarity with distributed systems concepts (Kafka, Kinesis, or similar).
* Deep understanding of ETL/ELT pipelines, data modeling, and connector architectures.
* Hands\-on experience with cloud data ecosystems — AWS (Lambda, ECS/EKS, S3\), GCP, or Azure.
* Expertise in REST/gRPC API design, OAuth, and webhook\-based integrations.
* Experience on building self\-healing high through put data pipelines
* Experience with at least one of the query engines \- Trino, Athena, Spark
**Nice To Have**
* Experience working in one of the Data lake house technologies \- Iceberg, Delta Lake
* Experience with Temporal or other similar technologies
**Benefits \&amp; Perks**
* Unlimited PTO
* Excellent medical, dental, and vision coverage
* Employee Equity
* Employee Discounts, Virtual Wellness Classes, and Pet Insurance And more!!
**SALARY RANGE**
 The salary range for this role is $150,000 \- $200,000,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t>
        </is>
      </c>
    </row>
    <row r="62">
      <c r="A62" t="inlineStr">
        <is>
          <t>li-4329669293</t>
        </is>
      </c>
      <c r="B62" t="inlineStr">
        <is>
          <t>Senior Software Engineer</t>
        </is>
      </c>
      <c r="C62" t="inlineStr">
        <is>
          <t>Innovative Refrigeration Systems, Inc.</t>
        </is>
      </c>
      <c r="D62" t="inlineStr">
        <is>
          <t>linkedin</t>
        </is>
      </c>
      <c r="E62" t="inlineStr"/>
      <c r="F62" t="inlineStr"/>
      <c r="G62" t="inlineStr">
        <is>
          <t>Waynesboro, VA</t>
        </is>
      </c>
      <c r="H62" t="inlineStr"/>
      <c r="I62" t="inlineStr">
        <is>
          <t>**Senior Software Engineer** 
 Innovative Refrigeration Systems, Inc. is seeking a
 **Senior Software Engineer** 
 to join our expanding software development team. This opportunity is ideal for an experienced developer with strong SaaS and cloud platform expertise, ready to lead by example and contribute meaningfully to safety and sustainability software that impacts global enterprise clients.
 Innovative Refrigeration Systems, Inc. is a premier custom design\-build contractor for industrial refrigeration systems, providing design, fabrication, construction, commissioning, and service in\-house.
**Job Role:** 
 The Senior Software Engineer is responsible for developing, testing, and deploying full\-stack software within our EHS and process safety software platforms. This role also includes mentoring junior engineers and contributing to technical design decisions. The ideal candidate brings a collaborative spirit, modern development experience, and a passion for delivering high\-impact software solutions.
**Key Duties:** 
* Design and develop robust, maintainable, and scalable software solutions across the tech stack.
* Build and refine user experiences and API endpoints using best practices.
* Create and maintain automated unit and integration tests to support code quality and stability.
* Participate in architecture planning and technical decision\-making.
* Collaborate in design discussions and team\-based problem solving.
* Mentor junior software engineers and guide best practices in coding and design.
* Take ownership of assigned projects and drive successful delivery.
**Requirements:** 
* 3\+ years of professional software development experience, ideally with SaaS or cloud applications.
* Bachelor’s degree in Computer Science, related field, or equivalent work experience.
* Proficiency in modern JavaScript with hands\-on experience using frameworks such as Vue or React.
* Experience with responsive design, mobile\-first development, and CSS frameworks.
* Familiarity with build tools and development workflows (e.g., Webpack).
* Strong knowledge of RESTful API development.
* Experience with object\-oriented programming in PHP and SQL database design.
* Bonus: experience with mobile app development (native or frameworks like NativeScript).
* Must be able to remain in a stationary position (seated or standing) for extended periods.
* Occasionally may need to lift or carry items up to 25 pounds (e.g., office supplies, small equipment).
**Preferences:** 
* Prior experience in enterprise SaaS product development.
* Familiarity with version control (Git) and CI/CD pipelines.
* Experience in mentoring and leading development teams.
**Benefits:** 
 In addition to a competitive base salary, we offer a robust benefits package:
* Retirement plan; company matches dollar for dollar up to 15%
* Health insurance; company pays 75% of the premiums for employee/family
* Dental insurance
* Vision insurance
* Weekly pay
* Competitive vacation \&amp; holiday pay
* Supplemental insurance available (Aflac)
* Short\-term \&amp; long\-term disability coverage
* Accidental death/dismemberment coverage after one year of employment
* Life insurance coverage after one year of employment
* Employee referral incentives
* Opportunities for advancement, professional development, training opportunities, and apprenticeship programs available
* Discounts on cell phone plans, rental vehicles, and other company discounts for eligible positions
* If you are driven to succeed and want to be part of a rapidly growing company at the forefront of the industry, apply today!</t>
        </is>
      </c>
    </row>
    <row r="63">
      <c r="A63" t="inlineStr">
        <is>
          <t>li-4367488499</t>
        </is>
      </c>
      <c r="B63" t="inlineStr">
        <is>
          <t>Software Engineer - C++ Quantitative Trading</t>
        </is>
      </c>
      <c r="C63" t="inlineStr">
        <is>
          <t>Acquire Me</t>
        </is>
      </c>
      <c r="D63" t="inlineStr">
        <is>
          <t>linkedin</t>
        </is>
      </c>
      <c r="E63" t="inlineStr"/>
      <c r="F63" t="inlineStr"/>
      <c r="G63" t="inlineStr"/>
      <c r="H63" t="inlineStr"/>
      <c r="I63" t="inlineStr">
        <is>
          <t>Summary
 Highly proficient, ambitious C\+\+ programmer wanted for a unique opportunity in one of the most forward\-thinking technology led quant trading firms globally. Small team of exceptionally talented engineers building cutting\-edge technology, implementing the full stack of trading infrastructure and algorithms to build high performance, highly availability systems in C\+\+ in a Linux environment.
 You would be working within core trading infrastructure; from idea generation all the way through to programming and trading implementation. This is a revolutionary way of working in a trading firm and is an exciting prospect for any gifted aspirational developer/engineer.
 Responsibilities:
 o Building best in class tech, working closely with mathematicians developing models and strategies
 o Work on complex computational and data related problems
 o Implementing automated multi\-asset trading
 o Develop visualisations for experimental trading
 Requirements:
 o Significant programming experience in C\+\+
 o Worked on multi\-thousand line coding projects
 o Strong degree in computer science (or similar)
 o Knowledge of data structures and algorithms
 o Ability to write high quality code
 Rewards and Incentives:
 o Industry leading compensation and bonus scheme
 o Working in a small team of highly talented engineers \&amp; mathematicians
 o Direct business impact
 o Free food, smart offices, flexible working, opportunities to learn new skills outside of work expertise
 Get in touch for extra info</t>
        </is>
      </c>
    </row>
    <row r="64">
      <c r="A64" t="inlineStr">
        <is>
          <t>li-4367450961</t>
        </is>
      </c>
      <c r="B64" t="inlineStr">
        <is>
          <t>Senior Software Engineer - (WAFL Distributed File Systems)</t>
        </is>
      </c>
      <c r="C64" t="inlineStr">
        <is>
          <t>NetApp</t>
        </is>
      </c>
      <c r="D64" t="inlineStr">
        <is>
          <t>linkedin</t>
        </is>
      </c>
      <c r="E64" t="inlineStr"/>
      <c r="F64" t="inlineStr"/>
      <c r="G64" t="inlineStr">
        <is>
          <t>San Jose, CA</t>
        </is>
      </c>
      <c r="H64" t="inlineStr"/>
      <c r="I64" t="inlineStr">
        <is>
          <t>**Job Summary**
 A highly skilled and experienced Software Engineer 5 with expertise in intelligent storage and data management systems to join WAFL (Write Anywhere File Layout) team. As an SE5, you will play a pivotal role in designing, developing, and maintaining advanced storage and data management solutions. You will lead projects, mentor junior engineers, and contribute to strategic technical decisions.
 Job Requirements
**Responsibilities**
* Lead the design and development of new features and enhancements for the WAFL file system within the ONTAP storage operating system.
* Analyze and optimize the performance of the WAFL file system, ensuring high efficiency and scalability.
* Write clean, maintainable, and well\-documented code. Conduct code reviews and provide feedback to team members.
* Investigate, diagnose, and resolve complex issues related to data integrity, performance, and scalability.
* Work closely with cross\-functional teams, including hardware engineers, QA engineers, and product managers, to deliver high\-quality intelligent storage solutions.
* Provide technical leadership and mentorship to junior engineers, fostering their growth and development.
* Identify and resolve performance bottlenecks and software defects.
* Stay updated with emerging technologies and industry trends, incorporating them into projects as appropriate.
* Contribute to the continuous improvement of development processes and tools.
* Communicate effectively with stakeholders, presenting technical concepts and project progress.
**Qualifications**
* Technical Skills:
* Proficiency in C/C\+\+ programming languages.
* Deep understanding of file systems, data structures, and algorithms.
* Experience with performance analysis and optimization techniques.
* Familiarity with Unix/Linux operating systems and kernel development.
* Soft Skills:
* Strong problem\-solving skills and the ability to think critically and creatively.
* Excellent communication and collaboration skills.
* Ability to work independently and as part of a team.
**Preferred Qualifications**
* Experience with ONTAP or similar storage operating systems.
* Knowledge of distributed systems and network protocols.
* Familiarity with agile development methodologies.
 Education
* Education: Bachelor’s or Master’s degree in Computer Science, Engineering, or a related field.
* Experience: 8\+ years of experience in software development, with a focus on file systems or storage technologies.
**Compensation**
 The target salary range for this position is 187,000 \- 278,300 USD. The salary offered will be determined by the candidate's location, qualifications, experience, and education and may be outside of this range. The range is based on 'On Target Earnings’ (OTE) representing the total potential earnings, which is the sum of the base salary and potential commission earned when performance targets are achieved. Final compensation packages are competitive and in line with industry standards, reflecting a variety of factors, and include a comprehensive benefits package. This may cover Health Insurance, Life Insurance, Retirement or Pension Plans, Paid Time Off, various Leave options, employee stock purchase plan, and/or restricted stocks (RSU’s). These offerings are subject to regional variations and governed by local laws, regulations, and company policies. We will provide detailed information about the specific benefits for your region during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65">
      <c r="A65" t="inlineStr">
        <is>
          <t>li-4367042243</t>
        </is>
      </c>
      <c r="B65" t="inlineStr">
        <is>
          <t>Founding Full Stack Engineer</t>
        </is>
      </c>
      <c r="C65" t="inlineStr">
        <is>
          <t>Stealth Vertical AI Startup</t>
        </is>
      </c>
      <c r="D65" t="inlineStr">
        <is>
          <t>linkedin</t>
        </is>
      </c>
      <c r="E65" t="inlineStr"/>
      <c r="F65" t="inlineStr"/>
      <c r="G65" t="inlineStr">
        <is>
          <t>New York, NY</t>
        </is>
      </c>
      <c r="H65" t="inlineStr"/>
      <c r="I65" t="inlineStr">
        <is>
          <t>**About the job** 
***Note: This role is in\-person in our NYC HQ 4\-5 days/week. You must be able to start in February or March!***
 We are hiring a full\-stack engineer to join our engineering team! You'll be on a team of five engineers by the end of the quarter and we will lean heavily on AI tools to ship a lot of product. Please
 *apply sooner rather than later* 
 as we're reviewing apps as soon as they come in!
 We've just raised
 **the biggest round in the space (led by Bessemer)** 
 , have a quickly growing base of very excited customers, and a substantial product roadmap ahead of us to build.
 You’ll
 **work directly with the founders and engineering team** 
 , and will be responsible for turning product specs and PRDs into high\-velocity shipping. Depending on the candidate, this role can evolve into engineering leadership roles quickly.
**You'll own the following** 
* Work with the full codebase \- backend, frontend, integrations, and AI systems
* Rapidly shipping features that make our product truly AI\-native (chat\-first UX, voice, agentic workflows)
* Architecting and scaling the platform as we expand into the full hotel operating system
* Build a lean, high\-performance engineering team over time
**Ideal Candidates Have** 
**Experience** 
* Bachelor’s in Computer Science (or equivalent rigorous CS background)
* At least 2 years building \&amp; owning full\-stack web apps end\-to\-end
* Prior startup / founding engineer experience a strong plus
**Builder\-owner mindset** 
* Someone who takes a PRD or business problem and
 **runs with it,** 
 delivering high\-quality solutions without micromanagement or very granular requirements
* Scrappy, resourceful, proactive, and enjoys having autonomy \&amp; technical agency
* Passionate about using the latest AI dev tools
* Strong written \&amp; verbal communicator — can articulate technical decisions and tradeoffs to non\-technical stakeholders
**Must\-Have Skills** 
* Full\-stack engineering:
 **Node.js, NestJS, React, PostgreSQL**
* Ability to own
 **integrations** 
 ,
 **infrastructure** 
 ,
 **DevOps** 
 , and
 **QA** 
 strong plus
* Curiosity or personal experience building
 **agentic systems**
**Nice\-to\-Haves** 
* Building AI\-native products in real production environments
* Experience at a fast\-growing startup \- ship\-fast culture, low bug tolerance, nobody to check your work, etc.
* Front\-end abilities to independently ship full\-stack features/products
**About the company** 
 Autumn is the
 **world’s first AI\-native, all\-in\-one hotel operating system** 
 . We are founded by repeat entrepreneurs who have spent the last half decade in hotels and backed by Tier 1 venture capital firms, having raised the
 **largest seed round in hotel tech history** 
 .
 Our platform
 **replaces the 40\+ disconnected systems used in hotels today with one unified, agentic AI system** 
 that automates pricing, marketing, operations, and more. Our mission is to make running a hotel as easy as running an Airbnb.
 We’re a team of six based in New York City and we work in\-person out of Soho Works, a beautiful waterfront office in Dumbo. We're currently in stealth but will share more with you live!
**What we offer** 
* **Founding Team Role** 
 \- Key part of the technical team
* **Meaningful equity** 
 , competitive salary, leadership opportunities
* **Company Perks** 
 \- Generous fitness stipend, regular meal stipends, office with complimentary breakfast, snacks, and weekly happy hours
* **Autonomy** 
 \&amp; technical ownership of the entire codebase
* **Direct Impact** 
 \- Influence product, architecture, etc</t>
        </is>
      </c>
    </row>
    <row r="66">
      <c r="A66" t="inlineStr">
        <is>
          <t>li-4365367109</t>
        </is>
      </c>
      <c r="B66" t="inlineStr">
        <is>
          <t>Sr. Software Engineer I, AVP</t>
        </is>
      </c>
      <c r="C66" t="inlineStr">
        <is>
          <t>State Street</t>
        </is>
      </c>
      <c r="D66" t="inlineStr">
        <is>
          <t>linkedin</t>
        </is>
      </c>
      <c r="E66" t="inlineStr"/>
      <c r="F66" t="inlineStr"/>
      <c r="G66" t="inlineStr">
        <is>
          <t>Burlington, MA</t>
        </is>
      </c>
      <c r="H66" t="inlineStr"/>
      <c r="I66" t="inlineStr">
        <is>
          <t>**Summary**
 Contribute to the enhancement and maintenance of one or more Alpha Data Platform modules or components as a senior member of an agile scrum team. Provide engineering troubleshooting assistance to customer support teams and other development teams within Charles River.
**Responsibilities**
* Work under minimal supervision to analyze, design, develop, test, and debug small to medium software enhancements and solutions within Charles River’s business and technical problem domains including modifications to core frameworks and other primary facilities critical to system operation.
* Collaborate with Business Analysts and Product Managers to turn business requirements of moderate complexity into working and sustainable software
* Contribute as a Sr. Individual Contributor within a team of top engineers using Agile methodology.
* Participate in the design of product architecture within the team’s scope of responsibility pertaining to new development.
* Direct problem solving for projects or major phases of projects to resolve software technical issues.
* Develop, test, debug, and implement software programs, applications and projects using Java, JavaScript (React), SQL or other related software engineering languages as well as keeping abreast of emerging technologies impactful to CRDs business.
* Identify ways of improving development test methodologies contribute to and related test methodology frameworks.
* Provide thoughtful insight and suggestions in code reviews
* Write unit and automation tests to ensure a high\-quality product
* Conduct manual tests (if necessary) to ensure a high\-quality product
* Provide troubleshooting on large, mission\-critical client implementations.
* Contribute to written design and API documentation, and participate in customer documentation process
* Actively participate in the agile software development process by adhering to the CRD scrum methodology including attending all daily standups, sprint planning, backlog grooming, and retrospectives
* Participate in cross\-team group activities to complete assignments
* Very good written and verbal communication skills
**Qualifications**
**Education:**
 B.S. degree (or foreign education equivalent) in Computer Science, Engineering, Mathematics, and Physics or other technical course of study required. MS degree strongly preferred.
**Experience**
* 4\-8 years of experience in development \- preferably in FinTech (financial markets).
* Experience with developing applications/microservices using Java \&amp; Spring Boot
* Experience in front\-end web development, ideally using React
* Experience in the development of cloud\-native services (Azure experience a bonus)
* Knowledge of SQL and experience with RBDMS.
* Able to contribute to design specs with some assistance from senior staff
* Experience with Kafka \&amp; Snowflake will be a strong asset.
* A minimum of 3 years working with an Agile development methodology strongly desired
**Salary Range**
 $90,000 \- $142,500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R\-779729</t>
        </is>
      </c>
    </row>
    <row r="67">
      <c r="A67" t="inlineStr">
        <is>
          <t>li-4347752662</t>
        </is>
      </c>
      <c r="B67" t="inlineStr">
        <is>
          <t>Software Engineer, Growth</t>
        </is>
      </c>
      <c r="C67" t="inlineStr">
        <is>
          <t>Suno</t>
        </is>
      </c>
      <c r="D67" t="inlineStr">
        <is>
          <t>linkedin</t>
        </is>
      </c>
      <c r="E67" t="inlineStr"/>
      <c r="F67" t="inlineStr"/>
      <c r="G67" t="inlineStr">
        <is>
          <t>New York, NY</t>
        </is>
      </c>
      <c r="H67" t="inlineStr"/>
      <c r="I67"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We’re looking for a Growth Engineer to join our team of early generalists who are passionate about driving user acquisition and engagement through engineering. You’ll work closely with our product and growth teams, using data and technology to craft the experience that brings Suno to millions of new users.
 Check out our Suno version of the job here!
**What You’ll Do**
* Develop and optimize features that drive growth, onboarding, and engagement for Suno’s music apps.
* Implement data\-driven experiments to maximize user acquisition, retention, and conversion.
* Work closely with product and marketing to design systems that analyze user behavior, identify opportunities, and drive Suno’s growth.
* Create scalable and performant systems and integrations that support growth initiatives and campaigns.
**What You’ll Need**
* 5\+ years of experience in engineering, growth, or a similar technical role.
* Deep experience with full\-stack development, ideally focused on growth engineering or analytics.
* Proven ability to work with data pipelines, analytics platforms, and user tracking (experience with tools like Segment, Amplitude, Mixpanel, Statsig and/or Snowflake is a plus).
* An ability to translate data into insights and actionable strategies.
* Web experience (React, Typescript, NextJS) is a plus.
* A passion for iterating quickly and an obsession with delivering a seamless user experience.
* A love for music and experimentation is a huge plus.
* Bachelor's degree or equivalent required.
**Additional Notes:** 
 Applicants must be eligible to work in the US.
**Location:** 
 This is an onsite role in our NYC or Cambridge office.
**Perks \&amp; Benefits For Full\-Time Employees**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68">
      <c r="A68" t="inlineStr">
        <is>
          <t>li-4367225774</t>
        </is>
      </c>
      <c r="B68" t="inlineStr">
        <is>
          <t>Senior Backend Engineer, Cases Product Engineering</t>
        </is>
      </c>
      <c r="C68" t="inlineStr">
        <is>
          <t>EvenUp</t>
        </is>
      </c>
      <c r="D68" t="inlineStr">
        <is>
          <t>linkedin</t>
        </is>
      </c>
      <c r="E68" t="inlineStr"/>
      <c r="F68" t="inlineStr"/>
      <c r="G68" t="inlineStr">
        <is>
          <t>San Francisco, CA</t>
        </is>
      </c>
      <c r="H68" t="inlineStr"/>
      <c r="I68" t="inlineStr">
        <is>
          <t>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 Life as an Engineer at EvenUp**
 Location \&amp; Work Model
 This is a hybrid role, with an expectation of being in our SF office three days per week.
**About The Team**
 Our Cases Product Engineering team is in search of a Backend Software Engineer who will lead the charge in architecting cutting\-edge software integrations and revolutionize the user experience for EvenUp customers! If you're passionate about understanding user needs and ready to tackle their pain points head\-on, this is your chance to shine. Working closely with our talented engineering squad, you'll spearhead the enhancement of our integration engine while paving the way for future innovations. This role isn't just about coding—it's about making an immediate impact on our business and paving the path for growth opportunities across the organization. Dive into the dynamic world of legal tech and join us in shaping its future.
**This is a hybrid role with the expectation of working at least 3 days a week from our downtown Toronto or San Francisco hubs.**
**What you'll do:**
* Actively engage in the full project lifecycle across the stack, with full ownership from conception to deployment and iteration.
* Collaborate closely with backend engineers, product owners \&amp; designers to develop efficient, innovative solutions.
* Collaborate with stakeholders to gather requirements and translate them into technical solutions.
* Conceptualize the design and development of interfaces and integration architecture.
* Document technical interface requirements and convert specifications into technical designs.
* Solve problems with extensive programming skills and abilities in multiple coding languages and frameworks.
* Optimizing application performance and responsiveness to ensure a smooth user experience.
**What we look for:**
* Development Experience: Over 5 years of hands\-on, relevant experience crafting applications and services, ensuring intuitive and user\-friendly experiences.
* Technical Expertise: Extensive experience in integrating with third\-party vendors while designing and implementing efficient and dependable integration frameworks.
* API Design and Development: Skilled in crafting RESTful APIs adhering to industry best practices and standards, coupled with a willingness to impart knowledge and mentor fellow engineers.
* Versatile Skillset: Solid grasp of software development fundamentals, encompassing data structures, algorithms, design patterns, and familiarity with various protocols like SOAP, REST, and GraphQL, along with server\-side languages like SQL.
* Skilled Communication: Ability to communicate technical ideas or issues in easy\-to\-understand and actionable terms.
* Bonus: experience with React/Typescript and experience in AI, legal tech, and social impact projects.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 Choice of medical, dental, and vision insurance plans for you and your family
* Additional insurance coverage options for life, accident, or critical illness
* Flexible paid time off, sick leave, short\-term and long\-term disability
* 10 US observed holidays, and Canadian statutory holidays by province
* A home office stipend
* 401(k) for US\-based employees and RRSP for Canada\-based employees
* Paid parental leave
* A local in\-person meet\-up program
*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$152,660 \- $214,475</t>
        </is>
      </c>
    </row>
    <row r="69">
      <c r="A69" t="inlineStr">
        <is>
          <t>li-4367230109</t>
        </is>
      </c>
      <c r="B69" t="inlineStr">
        <is>
          <t>Software Engineer, Hybrid and AI Infrastructure</t>
        </is>
      </c>
      <c r="C69" t="inlineStr">
        <is>
          <t>Google</t>
        </is>
      </c>
      <c r="D69" t="inlineStr">
        <is>
          <t>linkedin</t>
        </is>
      </c>
      <c r="E69" t="inlineStr"/>
      <c r="F69" t="inlineStr"/>
      <c r="G69" t="inlineStr">
        <is>
          <t>Sunnyvale, CA</t>
        </is>
      </c>
      <c r="H69" t="inlineStr"/>
      <c r="I69" t="inlineStr">
        <is>
          <t>**Minimum qualifications:**
* Bachelor's degree in Computer Science or IT\-related field, or equivalent practical experience.
* 2 years of experience with systems automation.
* 2 years of experience with technical infrastructure (e.g., deployment, maintenance, troubleshooting).
**Preferred qualifications:**
* 3 years of experience with systems design and implementation.
**About The Job**
 Systems Development Engineering (SDE) at Google is a role where you manage services and systems at scale. SDEs creatively put their engineering discipline to use automating the mundane and reducing toil. We don’t just write code to fix bugs, but emphasize the development of tools and solutions that fix classes of problems. We know it’s hard to control what you can’t measure – so we focus on observability: instrumenting first, then turning data into knowledge, and finally knowledge into action. We know that the operational efficiency of Google systems, services, virtual compute environments and the operating systems that power them impact the environment, not just the bottom line. We know that working together we can do more, and that community matters.
 Google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Together we engineer and build the infrastructure, tools, access and telemetry for systems that enable orchestration of Google\-scale services. Come build things that matter.
 We provide supercomputer class infrastructure including CPUs, GPUs, and TPUs and control plane constructs that allow customers to create scalable, tailor\-made HPC environments and migrate from on\-premise solutions. While ensuring success with today's technology, our responsibility is to pioneer the future of scientific computing by leading the convergence of AI and HPC.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$113,000\-$161,000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Contribute significantly to the goal for the Hybrid and On\-prem Infrastructure business by assisting in defining and delivering architecture and roadmap initiatives.
* Collaborate with product and go\-to\-Mmarket leaders to implement strategies for our migrate, modernize, and workload efforts.
* Work with peer engineers and managers within Google teams and external partners to influence product and team direction.
* Partner with internal cross\-functional organizations and external vendors and partners.
* Contribute to customer advocacy by understanding user needs and helping to deliver solutions that delight and empower users.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0">
      <c r="A70" t="inlineStr">
        <is>
          <t>li-4367460047</t>
        </is>
      </c>
      <c r="B70" t="inlineStr">
        <is>
          <t>Software Engineer</t>
        </is>
      </c>
      <c r="C70" t="inlineStr">
        <is>
          <t>Best Job Tool</t>
        </is>
      </c>
      <c r="D70" t="inlineStr">
        <is>
          <t>linkedin</t>
        </is>
      </c>
      <c r="E70" t="inlineStr"/>
      <c r="F70" t="inlineStr"/>
      <c r="G70" t="inlineStr"/>
      <c r="H70" t="inlineStr"/>
      <c r="I70" t="inlineStr">
        <is>
          <t>**About The Company**
 Sunbelt Controls is a leading provider of innovative building management solutions, dedicated to enhancing operational efficiency and sustainability for clients across various industries. With a rich history of delivering high\-quality products and services, we specialize in integrating advanced control systems, automation technology, and energy management solutions. Our commitment to excellence and customer satisfaction has established us as a trusted partner in the building automation industry. At Sunbelt Controls, we foster a collaborative and dynamic work environment that encourages continuous learning and professional growth, ensuring our team members are equipped with the latest industry knowledge and skills.
**About The Role**
 We are seeking a highly motivated and detail\-oriented Building Automation Engineer to join our team. In this role, you will be responsible for designing, implementing, and maintaining building automation systems that optimize energy efficiency, comfort, and operational performance. You will collaborate with clients, project managers, and technical teams to deliver tailored solutions that meet specific project requirements. The ideal candidate will have a strong technical background in control systems, excellent problem\-solving skills, and a passion for innovative technology. This position offers an excellent opportunity to contribute to impactful projects that promote sustainable building practices and advanced automation solutions.
**Qualifications**
 The ideal candidate should possess a bachelor’s degree in Electrical Engineering, Mechanical Engineering, or a related field. Proven experience in building automation, HVAC control systems, or similar technical roles is essential. Familiarity with industry\-standard control platforms such as BACnet, LonWorks, or Modbus is required. Strong analytical and troubleshooting skills are necessary to diagnose and resolve system issues effectively. Excellent communication and interpersonal skills are vital for working with clients and cross\-functional teams. Certification in relevant control systems or energy management is a plus, demonstrating a commitment to professional development and industry standards.
**Responsibilities**
 Design, develop, and implement building automation and control systems tailored to client needs, ensuring optimal performance and energy efficiency. Conduct site surveys and assessments to gather technical requirements and develop detailed project plans. Install, configure, and commission control systems, ensuring seamless integration with existing building infrastructure. Provide technical support and troubleshooting assistance during and after project deployment. Collaborate with project managers, clients, and vendors to ensure project timelines and budgets are met. Maintain detailed documentation of system configurations, programming, and maintenance procedures. Stay updated on industry trends and emerging technologies to continuously improve system design and implementation processes. Provide training and technical support to clients and internal teams to ensure proper system operation and maintenance.
**Benefits**
 Sunbelt Controls offers a comprehensive benefits package that includes competitive salary, health insurance, retirement plans, and paid time off. We support ongoing professional development through training programs, certifications, and industry conferences. Our employees enjoy a collaborative work environment that values innovation, diversity, and inclusion. Additionally, we provide opportunities for career advancement and leadership development within the organization. We are committed to promoting work\-life balance and fostering a positive, engaging workplace culture that recognizes and rewards individual contributions.
 Equal Opportunity
 Sunbelt Controls is an equal opportunity employer. We celebrate diversity and are committed to creating an inclusive environment for all employees. We do not discriminate based on race, religion, gender, sexual orientation, age, disability, or any other protected characteristic. Our hiring practices are designed to ensure fairness and equal opportunity for all qualified candidates, fostering a workplace where everyone can thrive and contribute to our shared success.</t>
        </is>
      </c>
    </row>
    <row r="71">
      <c r="A71" t="inlineStr">
        <is>
          <t>li-4367237595</t>
        </is>
      </c>
      <c r="B71" t="inlineStr">
        <is>
          <t>Software Developer</t>
        </is>
      </c>
      <c r="C71" t="inlineStr">
        <is>
          <t>hackajob</t>
        </is>
      </c>
      <c r="D71" t="inlineStr">
        <is>
          <t>linkedin</t>
        </is>
      </c>
      <c r="E71" t="inlineStr"/>
      <c r="F71" t="inlineStr"/>
      <c r="G71" t="inlineStr">
        <is>
          <t>Belcamp, MD</t>
        </is>
      </c>
      <c r="H71" t="inlineStr"/>
      <c r="I71" t="inlineStr">
        <is>
          <t>***hackajob** 
 is collaborating with
 **MANTECH** 
 to connect them with exceptional tech professionals for this role.*
 Shape the future of defense with MANTECH! Join a team dedicated to safeguarding our nation through advanced tech and innovative solutions. Since 1968, we’ve been a trusted partner to the Department of Defense, delivering cutting\-edge projects that make a real impact. Dive into exciting opportunities in Cybersecurity, IT, Data Analytics and more. Propel your career forward and be part of something extraordinary. Your journey starts now—protect and innovate with MANTECH!
**MANTECH** 
 seeks a motivated, career and customer\-oriented
 **Software Developer** 
 to join our team in
 **Belcamp, MD** 
 . This is an onsite position.
 The Software Developer will work in support of the Army for the Network Modernization \&amp; Mission Network Technical Service Support program (NetMod). NetMod sets forth the work efforts required to provide product technical support services for systems and equipment being produced, fielded, modified or supported by PdM Network Modernization (NetMod) and PdM Mission Network of the Project Manager (PM) Tactical Network (TN) of the Program Executive Office for Command Control and Communications\-Tactical (PEO C3T). This support may also include future systems and equipment that is acquired for the Army to maintain its technological advantage.
**Job Responsibilities Include But Are Not Limited To**
* Designing, developing, and maintaining software for a variety of engineering applications
* Working with analysts to understand their analytic or interface requirements
* Developing tools and interfaces
* Designing, developing, and testing operating systems\-level software, compilers, and network distribution software applications
* Setting operational specifications and formulating and analyzing software requirements
* Designing embedded systems software
* Responsible for designing, coding, testing, and deploying software applications
* Collaborate with teams to meet user needs, ensuring the functionality and quality of the software across different platforms and systems.
* Identify areas for improvement and implement updates based on user feedback.
**Minimum Qualifications**
* Bachelor of Science and 10\+ years of relevant experience in software development.
* 5\+ years in the Department of Defense supporting software development preferred.
* Ability to analyze user requirements, create software architecture, and write code to build applications according to specifications.
* Ability to conduct thorough testing to identify and fix bugs and issues in the software.
* Experience with creating documentation for developed software, including user guides and technical specifications.
* Possess basic programming language skills such as Java, Python, C\#, JavaScript.
**Preferred Qualifications**
* Strong command of relevant programming languages based on the project requirements
* Ability to analyze complex problems, identify solutions, and implement them effectively
**Clearance Requirements**
* Must be a U.S Citizen and have a current/active Secret clearance.
**Physical Requirements**
* Must be able to remain in a stationary position 50% of the time.
* Needs to occasionally move about inside the office to access file cabinets, office machinery, etc.
* Frequently communicates with co\-workers, management, and customers, which may involve delivering presentations. Must be able to exchange accurate information in these situations.
 The projected compensation range for this position is $81,700\.00\-$137,100\.00\. There are differentiating factors that can impact a final salary/hourly rate, including, but not limited to, Contract Wage Determination, relevant work experience, skills and competencies that align to the specified role, geographic location (For Remote Opportunities), education and certifications as well as Federal Government Contract Labor categories. In addition, MANTECH invests in its employees beyond just compensation. MANTECH’s benefits offerings include, dependent upon position, Health Insurance, Life Insurance, Paid Time Off, Holiday Pay, short\-term and long\-term Disability, Retirement and Savings, Learning and Development opportunities, wellness programs as well as other optional benefit elections.
*MANTECH International Corporation considers all qualified applicants for employment without regard to disability or veteran status or any other status protected under any federal, state, or local law or regulation.*</t>
        </is>
      </c>
    </row>
    <row r="72">
      <c r="A72" t="inlineStr">
        <is>
          <t>li-4355743537</t>
        </is>
      </c>
      <c r="B72" t="inlineStr">
        <is>
          <t>Software Engineer in Test</t>
        </is>
      </c>
      <c r="C72" t="inlineStr">
        <is>
          <t>BeaconFire Inc.</t>
        </is>
      </c>
      <c r="D72" t="inlineStr">
        <is>
          <t>linkedin</t>
        </is>
      </c>
      <c r="E72" t="inlineStr"/>
      <c r="F72" t="inlineStr"/>
      <c r="G72" t="inlineStr">
        <is>
          <t>California, United States</t>
        </is>
      </c>
      <c r="H72" t="inlineStr"/>
      <c r="I72" t="inlineStr">
        <is>
          <t>**Job Title: Software Development Engineer in Test** 
**Location: New Jersey** 
**Job Type :Full\-Time** 
 BeaconFire is based in Central NJ, specializing in Software Development, Web Development, and Business Intelligence; looking for candidates with a strong background in Software Engineering or Computer Science for a Software Development Engineer in Test position.
**Job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**Requirement:**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Qualifications:** 
* Master’s Degree in Computer Science (CS).
* 0\-1 year of practical experience in Java coding.
* Experience using JUnit/TestNG, Cucumber, Selenium, Cypress, JMeter and other testing frameworks, HTML, CSS.
**Compensation:** 
 $65,000\.00 to $80,000\.00 /year
 BeaconFire is an E\-verified company and provides equal employment opportunities (visa sponsorship provided).</t>
        </is>
      </c>
    </row>
    <row r="73">
      <c r="A73" t="inlineStr">
        <is>
          <t>li-4317700850</t>
        </is>
      </c>
      <c r="B73" t="inlineStr">
        <is>
          <t>Sr / Staff Software Engineer, Perception Onboard</t>
        </is>
      </c>
      <c r="C73" t="inlineStr">
        <is>
          <t>Rivian</t>
        </is>
      </c>
      <c r="D73" t="inlineStr">
        <is>
          <t>linkedin</t>
        </is>
      </c>
      <c r="E73" t="inlineStr"/>
      <c r="F73" t="inlineStr"/>
      <c r="G73" t="inlineStr">
        <is>
          <t>Palo Alto, CA</t>
        </is>
      </c>
      <c r="H73" t="inlineStr"/>
      <c r="I73" t="inlineStr">
        <is>
          <t>**About Rivian**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As a Software Engineer specializing in safety\-critical self\-driving software, you will play a vital role in the design, development, and deployment of software that underpins essential self\-driving features. Your responsibilities encompass a range of technical tasks, from software development to architecture analysis, all contributing to the successful implementation of robust and reliable self\-driving solutions.
 This role is based in Palo Alto, CA.
**Responsibilities**
* Take charge of optimizing, testing, and enhancing onboard software that runs Rivian’s Perception models that underpin all self\-driving features
* Develop necessary tools to support development, debugging, and testing
* Assist in software\-design and code reviews while assisting other developers on technical issues, design choices, and decision making
* Analysis of requirements, architecture, design, development, code review, quality assurance, and deployment of entire software engineering life cycle
* Coordinate with Perception model development and cross\-functional teams to enable and support onboard model deployment/integration
**Qualifications**
* B.S. / M.S. in Computer Science, Engineering, or a related field
* 8\+ years of experience developing production\-grade software
* Strong C\+\+ programming skills
* Experience in automotive or robotics software development
* Experience working on heterogeneous systems with various types of hardware accelerators (GPU, ISP, Encoder, etc.)
* Experience working with libraries for hardware accelerators (CUDA, TensorRT, OpenCL, etc.)
* Team player with great communication skills to drive cross\-functional efforts in a fast\-paced development environment
* Passionately motivated to take ideas from R\&amp;D phase to a product
* Software Development life cycle experience: from requirements gathering through to implementation and maintenance
**Pay Disclosure**
 Salary Range for California Based Applicants: $179,000 \- $285,000 (actual compensation will be determined based on experience, location, and other factors permitted by law).
 Benefits Summary: Rivian provides robust medical/Rx, dental and vision insurance packages for full\-time employees, their spouse or domestic partner, and children up to age 26\. Coverage is effective on the first day of employment, and Rivian overs most of the premiums.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74">
      <c r="A74" t="inlineStr">
        <is>
          <t>li-4367249113</t>
        </is>
      </c>
      <c r="B74" t="inlineStr">
        <is>
          <t>Software Engineer - Embedded Controls</t>
        </is>
      </c>
      <c r="C74" t="inlineStr">
        <is>
          <t>Aviation Ground Equipment Corp</t>
        </is>
      </c>
      <c r="D74" t="inlineStr">
        <is>
          <t>linkedin</t>
        </is>
      </c>
      <c r="E74" t="inlineStr"/>
      <c r="F74" t="inlineStr"/>
      <c r="G74" t="inlineStr">
        <is>
          <t>Dayton, OH</t>
        </is>
      </c>
      <c r="H74" t="inlineStr"/>
      <c r="I74" t="inlineStr">
        <is>
          <t>**Software Engineer – Embedded Controls** 
 Aviation ground Equipment Corp. (AGEC) is seeking a hands\-on
 **Software Engineer** 
 for
 our power generation products. This is an embedded controls position with the responsibility to design, develop, test and troubleshoot the embedded controls and HMI interfaces of the various system and subsystems within our power generation and power conversion products.
 AGEC is a rapidly growing developer and manufacturer of commercial and military power generation and control equipment supporting airline and military ground support equipment (GSE). Men and women in the military rely on AGEC to deliver critical assets that protect this nation and our allies. We are seeking colleagues that enjoy a small business team atmosphere and a desire to make a difference.
**What you will do:** 
* Develop embedded control software including control architectures, algorithms, and code to fulfill internal and customer requirements for power generation and power conversion systems. (10kW – 300kW systems)
* Design and implement real\-time control solutions primarily using C for embedded systems.
* Apply advanced power electronics control techniques such as Space Vector PWM and Programmed Harmonic Elimination (PHE).
* Implement Graphical User Interfaces (GUIs).
* Develop communication protocols such as I2C and CAN to communicate between and control various modules in the power conversion systems.
* Perform hands\-on testing and validation of hardware performance with embedded software/firmware, utilizing JTAG interface, logic analyzers, and oscilloscopes.
* Troubleshoot firmware and hardware anomalies, identifying root causes and implementing corrective actions.
* Work extensively in lab and production environments involving high\-power electrical systems.
* Collaborate with cross\-functional engineering teams to meet performance, cost, and scheduled objectives.
* Diagnose and resolve system malfunctions to minimize downtime and improve system reliability.
* Collaborate with other Electrical Engineers to create quality solutions per customer and internal requirements.
* Experience with real\-time system debugging, control loop turning, and signal processing.
* Support the full product development lifecycle from concept to design through testing, production release, and post\-launch support.
* Successfully transition new designs into production, ensuring manufacturability and quality.
* Work independently while maintaining strong communication and coordination with internal teams and stakeholders.
**What you will need:** 
* Bachelor’s degree in engineering with an emphasis on Software Engineering.
* Must have five (5\) years of hands\-on experience in embedded software design programming microcontrollers and/or DSPs for control of power converters.
* Skilled in Electrical Engineering supporting the application of proper software controls
* Experience with code generation and C programming language for application within HMI interfaces as well as system interface PCB’s.
* Experience with hands on testing of hardware for assessing performance of embedded software/firmware, utilizing JTAG interface, logic analyzers, oscilloscopes or similar equipment.
* Experience implementing closed loop control with microprocessors and/or DSPs.
* Advanced power system control techniques such as Space Vector PWM, programmed harmonic elimination.
* Knowledge of interfacing microcontrollers and DSPs to analog, digital circuits and electro\-mechanical systems. This includes working knowledge of troubleshooting analog circuit design for signal measurements.
* Experience with embedded microprocessor and DSP architectures and hardware including peripherals such as A/D, D/A, logic and memory interfaces.
* Interface embedded controls to drive power devices such as MOSFETs and IGBTs.
* Experience using closed loop stability analysis tools such as Venable instruments.
* Power systems up to 480 VAC, 750 VDC and 100\+ KW is a plus.
* Ability to take ownership \&amp; develop a sense of urgency with projects and work assignments.
* Strong understanding of computer architecture, operating systems, data structures, and computer networking.
* Ability to multi\-task in a fast\-paced dynamic environment.
* Effective written and verbal communication skills.
* Travel 5\-10%
* Experience in the Aerospace industry is an advantage.
 Equal Opportunity Employer/Protected Veterans/Individuals with Disabilities
 This employer is required to notify all applicants of their rights pursuant to federal employment laws. For further information, please review the Know Your Rights notice from the Department of Labor</t>
        </is>
      </c>
    </row>
    <row r="75">
      <c r="A75" t="inlineStr">
        <is>
          <t>li-4367451901</t>
        </is>
      </c>
      <c r="B75" t="inlineStr">
        <is>
          <t>Senior Software Engineer - Business Continuity / Distributed Systems</t>
        </is>
      </c>
      <c r="C75" t="inlineStr">
        <is>
          <t>NetApp</t>
        </is>
      </c>
      <c r="D75" t="inlineStr">
        <is>
          <t>linkedin</t>
        </is>
      </c>
      <c r="E75" t="inlineStr"/>
      <c r="F75" t="inlineStr"/>
      <c r="G75" t="inlineStr">
        <is>
          <t>San Jose, CA</t>
        </is>
      </c>
      <c r="H75" t="inlineStr"/>
      <c r="I75" t="inlineStr">
        <is>
          <t>**Job Summary**
 Data is the currency of business in the digital era. NetApp is the data authority, helping customers leverage and manage their data wherever it resides – in the cloud, in their data centers, or anywhere data flows. Engineers at NetApp help transform the way customers utilize their dynamic, diverse, and distributed information. They are allowing doctors to save lives with deep data analytics shared with medical experts around the world, helping automotive engineers improve autonomous vehicle navigation with artificial intelligence, enabling scientists to monitor and identify environmental hazards through deep image analysis, and providing companies the ability to expand their businesses in yet unimagined ways.
 By joining NetApp, you can take part in transforming how data is changing the world. ONTAP is the \#1 Storage Operating System in the world, managing hundreds of Exabytes of customers information. We have more than 30,000 customers today that rely on us to be the data authority. Take part in the transformation that is changing how we work and play daily.
 The Core Software team is a high\-performance engineering team responsible for building the fundamental software to manage the ONTAP software product. You will work as part of a team responsible for the development, testing and debugging of distributed software that drives NetApp cloud, hybrid\-cloud and on\-premise solutions. This position requires an individual to be creative, team\-oriented, a quick learner and driven to produce results. This is a wonderful opportunity to work on a high\-powered team delivering an industry changing product within an extremely high growth sector of the tech industry. Feature rich software stack combined with ONTAP – The storage operating system of NetApp with its rich data management capabilities have tremendous value to our customers and are used in mission critical applications across the world. As part of the Research and Development function, the overall focus of the group is on competitive market and customer requirements, supportability, technology advances, product quality, product cost and time\-to\-market. Software engineers focus on enhancements to existing products as well as new product development. This position requires an individual to be broad\-thinking and systems\-focused, creative, team\-oriented, technologically savvy, able to lead large cross\-functional teams, and driven to produce results.
 Job Requirements
 This position requires an individual to be creative, team\-oriented, a quick learner and driven to produce results.
**Essential Functions**
* Coding
* Designing
* Testing and/or Unit Testing
* Test automation
* Debugging
* Reliability
* Availability
* Performance analysis
* Critical and/or high visibility customer support
* Responsible for providing support in development and testing activities of other engineers that involve several inter\-dependencies
* Participate in technical discussions within the team and with other groups within Business Units associated with specified projects
* Willing to work on additional tasks and responsibilities that will contribute towards team, department and company goals
* Provide guidance and mentoring to more junior engineers
* A strong understanding of concepts related to computer architecture, data structures and programming practices
* System/Kernel programming experience
* Knowledge of Filesystems
* Experience with Networking and file/cloud protocols
* Excellent coding skills in C/C\+\+
* Strong oral and written communication skills are essential
* Work collaboratively within a team environment of other engineers to meet aggressive goals and high quality standards. Possesses sufficient technical knowledge and experience to pick up new expertise quickly with guidance from a technical leader.
* Strong aptitude for learning new technologies
* Follow standard engineering principles and practices
* Resourceful in applying creative ideas to solve problems
**Responsibility**
* Responsible for non\-routine and unstructured tasks, requiring creative solutions with more inter\-dependencies and with processes that are less defined
* The individual works on complex problems with partially defined, larger scope
* May work with teams across the company in problem solving and design efforts
* The individual will begin to develop a technical specialty
**Interaction**
* Work effectively with staff to senior manager level employees within the function and the technical team on assigned projects. There may be communication with employees in other functions within Business Units as required
* Work independently with minimal guidance from other Senior members in the team
 Education
* Requires a minimum of 8 years of related experience with a Bachelor’s degree; or 6 years and a Master’s degree; or a PhD with 3 years experience; or equivalent experience.
**Compensation**
 The base salary range for this position is $160,000 \- $226,450 and will be determined by the candidate's location, qualifications, experience, and education.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You'll Thrive at NetApp**
 At NetApp, you won't wait for the perfect moment—you'll make it. The early planning, the extra thought, the bold idea that turns good into great: That's how our people operate and how we continue to push the boundaries of data infrastructure.
 NetApp is the trusted partner for organizations transforming data into opportunity. As the only enterprise\-grade storage service natively embedded in Google Cloud, AWS, and Microsoft Azure, we empower customers to run everything from traditional workloads to enterprise AI with unmatched performance, resilience, and security.
**Our culture**
 We celebrate mold breakers, bold thinkers, and problem solvers. We reward initiative, impact, and ownership. We provide flexibility so you can balance professional ambition with your personal life. Here, differences are not just welcomed—they drive everything we do.
 If you're ready to innovate, rise to the challenge, and own every moment \- make your next move your best one. Apply now.</t>
        </is>
      </c>
    </row>
    <row r="76">
      <c r="A76" t="inlineStr">
        <is>
          <t>li-4367245244</t>
        </is>
      </c>
      <c r="B76" t="inlineStr">
        <is>
          <t>Senior Backend Engineer, Client Portal Engineering</t>
        </is>
      </c>
      <c r="C76" t="inlineStr">
        <is>
          <t>EvenUp</t>
        </is>
      </c>
      <c r="D76" t="inlineStr">
        <is>
          <t>linkedin</t>
        </is>
      </c>
      <c r="E76" t="inlineStr"/>
      <c r="F76" t="inlineStr"/>
      <c r="G76" t="inlineStr">
        <is>
          <t>San Francisco, CA</t>
        </is>
      </c>
      <c r="H76" t="inlineStr"/>
      <c r="I76" t="inlineStr">
        <is>
          <t>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 Life as an Engineer at EvenUp**
 Location \&amp; Work Model
 This is a hybrid role, with an expectation of being in our SF office three days per week.
**About The Team**
 Our Cases Product Engineering team is in search of a Backend Software Engineer who will lead the charge in architecting cutting\-edge software integrations and revolutionize the user experience for EvenUp customers! If you're passionate about understanding user needs and ready to tackle their pain points head\-on, this is your chance to shine. Working closely with our talented engineering squad, you'll spearhead the enhancement of our integration engine while paving the way for future innovations. This role isn't just about coding—it's about making an immediate impact on our business and paving the path for growth opportunities across the organization. Dive into the dynamic world of legal tech and join us in shaping its future.
**This is a hybrid role with the expectation of working at least 3 days a week from our downtown Toronto or San Francisco hubs.**
**What you'll do:**
* Actively engage in the full project lifecycle across the stack, with full ownership from conception to deployment and iteration.
* Collaborate closely with backend engineers, product owners \&amp; designers to develop efficient, innovative solutions.
* Collaborate with stakeholders to gather requirements and translate them into technical solutions.
* Conceptualize the design and development of interfaces and integration architecture.
* Document technical interface requirements and convert specifications into technical designs.
* Solve problems with extensive programming skills and abilities in multiple coding languages and frameworks.
* Optimizing application performance and responsiveness to ensure a smooth user experience.
**What we look for:**
* Development Experience: Over 5 years of hands\-on, relevant experience crafting applications and services, ensuring intuitive and user\-friendly experiences.
* Technical Expertise: Extensive experience in integrating with third\-party vendors while designing and implementing efficient and dependable integration frameworks.
* API Design and Development: Skilled in crafting RESTful APIs adhering to industry best practices and standards, coupled with a willingness to impart knowledge and mentor fellow engineers.
* Versatile Skillset: Solid grasp of software development fundamentals, encompassing data structures, algorithms, design patterns, and familiarity with various protocols like SOAP, REST, and GraphQL, along with server\-side languages like SQL.
* Skilled Communication: Ability to communicate technical ideas or issues in easy\-to\-understand and actionable terms.
* Bonus: experience with React/Typescript and experience in AI, legal tech, and social impact projects.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 Choice of medical, dental, and vision insurance plans for you and your family
* Additional insurance coverage options for life, accident, or critical illness
* Flexible paid time off, sick leave, short\-term and long\-term disability
* 10 US observed holidays, and Canadian statutory holidays by province
* A home office stipend
* 401(k) for US\-based employees and RRSP for Canada\-based employees
* Paid parental leave
* A local in\-person meet\-up program
*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$152,660 \- $214,475</t>
        </is>
      </c>
    </row>
    <row r="77">
      <c r="A77" t="inlineStr">
        <is>
          <t>li-4367476463</t>
        </is>
      </c>
      <c r="B77" t="inlineStr">
        <is>
          <t>Backend Engineer (Node.js, TypeScript)</t>
        </is>
      </c>
      <c r="C77" t="inlineStr">
        <is>
          <t>MLabs</t>
        </is>
      </c>
      <c r="D77" t="inlineStr">
        <is>
          <t>linkedin</t>
        </is>
      </c>
      <c r="E77" t="inlineStr"/>
      <c r="F77" t="inlineStr"/>
      <c r="G77" t="inlineStr"/>
      <c r="H77" t="inlineStr"/>
      <c r="I77" t="inlineStr">
        <is>
          <t>**About The Company**
 MLabs Ltd is a pioneering technology company operating at the forefront of the cryptocurrency and trading infrastructure industry. Backed by venture capital and experiencing rapid growth, MLabs specializes in developing cutting\-edge autonomous trading systems, wallets, and execution platforms designed to operate efficiently under high market volatility. Committed to innovation and excellence, MLabs aims to revolutionize how digital assets are traded and managed by leveraging advanced AI\-driven solutions and scalable distributed systems. The company fosters a dynamic, inclusive, and collaborative work environment where talented professionals can thrive and contribute to shaping the future of crypto trading technology.
**About The Role**
 We are seeking a highly skilled Staff or Principal Backend Engineer to join our high\-growth, venture\-backed crypto company. This senior role is integral to building and maintaining next\-generation autonomous trading infrastructure that supports real\-time, high\-throughput trading operations. The successful candidate will own critical backend systems, including trading execution engines, wallets, and AI\-enhanced layers that adapt and optimize trading outcomes under extreme market conditions. You will work closely with cross\-functional teams to design low\-latency, resilient systems that meet the demanding needs of crypto markets. This role offers an exceptional opportunity to operate at the frontier of crypto, trading infrastructure, and applied AI, influencing the future of decentralized finance and digital asset trading.
**Qualifications**
* Hands\-on experience with crypto wallets, tokens, and trading systems
* Deep production experience with Golang, Node.js, and TypeScript
* Strong understanding of distributed systems, performance optimization, and reliability engineering
* Extensive knowledge of trading APIs, execution flows, and transaction lifecycle management
* Proven ability to design, develop, and deploy high\-throughput backend services
* Experience with AI tooling and integration in software development
* Experience running and maintaining production systems, including monitoring, incident response, and on\-call management
* Excellent problem\-solving skills and the ability to make high\-impact technical decisions in ambiguous environments
* Crypto\-native experience, including building or operating trading platforms or wallets, is essential
* Strong communication skills and a collaborative mindset
**Responsibilities**
* Own and develop business\-critical backend systems that enable high\-frequency, real\-time crypto trading
* Design and implement low\-latency trading infrastructure capable of handling extreme market volatility
* Develop wallet and execution systems to ensure robustness and performance under stress
* Integrate AI\-driven intelligence layers to enhance trading outcomes and system efficiency
* Ship reliable, resilient, and high\-performance production systems with a focus on correctness and safety
* Leverage AI tools to accelerate development, improve architecture, and optimize system performance
* Collaborate with cross\-functional teams to define technical requirements and deliver innovative solutions
* Participate in the full software development lifecycle, including problem definition, architecture, implementation, and deployment
* Monitor and maintain live systems, troubleshoot issues, and implement improvements
* Contribute to technical documentation, best practices, and knowledge sharing within the team
**Benefits**
* Initial stock grant representing approximately 1% of the company, valued at around $230,000
* Opportunities for regular salary increases and bonuses based on revenue and usage performance
* Participation in the company's token launch planned for 2026, offering pro\-rata token upside
* Flexible remote work options with a preference for candidates in the US, especially Austin, TX; exceptional candidates in Europe will also be considered
* Collaborative and innovative work environment focused on cutting\-edge crypto and AI technologies
* Access to professional development opportunities and industry\-leading projects
* Supportive company culture emphasizing diversity, inclusion, and equal opportunity
 Equal Opportunity
 MLabs Ltd is committed to fostering a diverse and inclusive workplace. We provide equal employment opportunities to all candidates regardless of race, gender, age, disability, sexual orientation, or background. We ensure that our recruitment process is accessible, and we are happy to accommodate any reasonable adjustments needed during the hiring process. Our goal is to create an environment where everyone can thrive and contribute to our innovative mission.</t>
        </is>
      </c>
    </row>
    <row r="78">
      <c r="A78" t="inlineStr">
        <is>
          <t>li-4367227486</t>
        </is>
      </c>
      <c r="B78" t="inlineStr">
        <is>
          <t>Frontend Engineer</t>
        </is>
      </c>
      <c r="C78" t="inlineStr">
        <is>
          <t>RemoteHunter</t>
        </is>
      </c>
      <c r="D78" t="inlineStr">
        <is>
          <t>linkedin</t>
        </is>
      </c>
      <c r="E78" t="inlineStr"/>
      <c r="F78" t="inlineStr"/>
      <c r="G78" t="inlineStr"/>
      <c r="H78" t="inlineStr"/>
      <c r="I78" t="inlineStr">
        <is>
          <t>About the Opportunity:
 The organization is a venture\-backed company focused on enabling responsible AI development, adoption, procurement, and usage at scale. It provides a platform for context\-driven AI governance, risk assessment, and compliance with regulations and standards to ensure fair, auditable, and compliant AI deployment. The goal is to make responsible AI development a standard practice by helping organizations integrate governance practices and collaborating with regulators to establish ecosystem incentives.
 Responsibilities:
 • Design and implement scalable, efficient, and reliable front\-end systems.
 • Communicate technical challenges and solutions clearly across teams.
 • Collaborate with engineers and product managers to deliver high quality UI/UX.
 • Explore and integrate new technologies and programming languages into development.
 • Maintain AI fluency or demonstrate willingness to learn AI concepts.
 • Continuously adapt to new technical challenges, focusing on backend development practices.
 Requirements:
 • 3\-5 years of experience developing high\-quality, maintainable, and robust software for enterprise applications.
 • Proficiency with HTML5, CSS3, JavaScript (ES6\+), and familiarity or interest in learning TypeScript.
 • Experience with frameworks/libraries such as React, Angular, Vue.js, or Next.js.
 • Knowledge of styling tools including SASS, CSS\-in\-JS, Tailwind CSS, or Bootstrap.
 • Experience with testing tools like Jest, Mocha, Cypress, or Jasmine.
 • Proficient in version control systems such as Git, GitHub, or GitLab.
 • Familiarity with APIs including REST, GraphQL, Swagger/OpenAPI, and Postman.
 • Experience with responsive web design, accessibility, and design systems is a plus.
 • Experience with Storybook, Docker, CI/CD, and authentication flows is a plus.
 • Strong communication skills for explaining complex technical issues.
 • Highly motivated to learn new technologies and frameworks.
 Compensation:
 • Expected base salary range is $160,000 to $180,000 USD.
 • Salary ranges depend on role, level, location, skills, experience, and education.
 • The posted range reflects minimum and maximum targets for new hires at the specified location.
 Benefits \&amp; Perks:
 • Competitive salary and equity.
 • Health, dental, and vision coverage.
 • Ergonomic benefit for equipment costs supporting health while working remotely or in office.
 • Coverage for coworking spaces and in\-person meetups.
 • Unlimited paid time off.
 • Up to 12 weeks of paid parental leave.
 • 401(k) plan available for US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9">
      <c r="A79" t="inlineStr">
        <is>
          <t>li-4358990159</t>
        </is>
      </c>
      <c r="B79" t="inlineStr">
        <is>
          <t>Sr. Software Engineer (Workday Finance)</t>
        </is>
      </c>
      <c r="C79" t="inlineStr">
        <is>
          <t>U.S. Bank</t>
        </is>
      </c>
      <c r="D79" t="inlineStr">
        <is>
          <t>linkedin</t>
        </is>
      </c>
      <c r="E79" t="inlineStr"/>
      <c r="F79" t="inlineStr"/>
      <c r="G79" t="inlineStr">
        <is>
          <t>Cupertino, CA</t>
        </is>
      </c>
      <c r="H79" t="inlineStr"/>
      <c r="I79"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**Job Description**
 The Workday PRISM ETL Engineer will be responsible for designing, developing, and maintaining ETL processes to support data integration within the Workday PRISM Analytics platform. This role involves working closely with various stakeholders to ensure data accuracy, consistency, and accessibility, enabling effective data\-driven decision\-making.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Five to six years of relevant experience
**Preferred Skills/Experience**
* Hands on experience with working with Workday Integrations (EIB/API/Connectors/Studio/Orchestrate/Extend)
* Familiarity with scripting languages (e.g., Python, Shell scripting) is a plus.
* Experience with CI/CD pipeline, GitHub, and UDeploy
* Working experience in SaaS data warehousing, data lakes, data engineering applications like Snowflake
* Proven experience as an ETL Engineer, Data Integration Specialist, or similar role
* Hands\-on experience with Workday PRISM Analytics, Accounting Center and Workday integrations: Studio/Orchestrate/APIs.
* Familiarity with Workday Extend development
* Strong knowledge of data modeling, data warehousing, and data integration, developing and implementing applications
* Proficient in Excel, PowerPoint, Visio
* Familiarity with cloud services (AWS, Azure (preferred), Google Cloud)
* Demonstrating knowledge of Agile methodologies such as Scrum, XP, and Kanban
* Understanding of Agile tools such as JIRA/Practitest/DragonBoat
* Comfortable engaging with 3rd parties such as upstream or downstream application teams, business line SME’s, cross\-functional workstreams, etc. as appropriate to uncover any dependencies, risks, and coordinate testing scenarios/plans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80">
      <c r="A80" t="inlineStr">
        <is>
          <t>li-4367230801</t>
        </is>
      </c>
      <c r="B80" t="inlineStr">
        <is>
          <t>Senior Software Engineer</t>
        </is>
      </c>
      <c r="C80" t="inlineStr">
        <is>
          <t>TalentAlly</t>
        </is>
      </c>
      <c r="D80" t="inlineStr">
        <is>
          <t>linkedin</t>
        </is>
      </c>
      <c r="E80" t="inlineStr"/>
      <c r="F80" t="inlineStr"/>
      <c r="G80" t="inlineStr">
        <is>
          <t>Plano, TX</t>
        </is>
      </c>
      <c r="H80" t="inlineStr"/>
      <c r="I8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PDN\-a0f4fb71\-4313\-4ebc\-9347\-e525adcec348</t>
        </is>
      </c>
    </row>
    <row r="81">
      <c r="A81" t="inlineStr">
        <is>
          <t>li-4367242470</t>
        </is>
      </c>
      <c r="B81" t="inlineStr">
        <is>
          <t>Senior Software Developer</t>
        </is>
      </c>
      <c r="C81" t="inlineStr">
        <is>
          <t>Randstad Digital Americas</t>
        </is>
      </c>
      <c r="D81" t="inlineStr">
        <is>
          <t>linkedin</t>
        </is>
      </c>
      <c r="E81" t="inlineStr"/>
      <c r="F81" t="inlineStr"/>
      <c r="G81" t="inlineStr">
        <is>
          <t>Atlanta, GA</t>
        </is>
      </c>
      <c r="H81" t="inlineStr"/>
      <c r="I81" t="inlineStr">
        <is>
          <t>**Job Summary**
 Individuals within the Software Development job family work closely with clients, business analysts and team members to understand the business requirements that drive the analysis and design and/or development of quality technical solutions
 location: Atlanta, Georgia
 job type: Contract
 salary: $58\.56 \- 58\.57 per hour
 work hours: 8am to 5pm
 education: Bachelors
**Responsibilities**
 Responsible for technical leadership in the analysis, design, development, integration, testing and enhancement of software, applications or middleware. Actively involved in researching, troubleshooting or resolving complex support issues. Responsibilities include, but may not be limited to, the following:
* Consults in the project planning process with clients, business analysts, architects and team members.
* Monitors project milestones and critical dates to identify potential project schedule risks. Identifies ways to resolve schedule issues. Keeps management aware of project progress and status.
* May lead the technical evaluation and selection process for software or middleware packages. Supports any communication and training necessary for successful adoption of selected tools or software.
* Ascertains work effort for various tasks within a project and assigns work to other members of the project when leading a project.
* Communicates with business analysts, quality assurance, project owners, and stakeholders about the project, including status, roadblocks, etc.
* Provides input for buy vs. build recommendations. Researches the feasibility or availability of custom, open source and commercial (COTS) solution alternatives. Provides input on system options, risk, cost versus benefit, and impacts on business processes and goals. Provides input to business cases and may assist in procurement activities for buy decisions.
* Proactively analyzes existing applications to identify weaknesses and develop opportunities for improvements. May initiate the identification, analysis, implementation, communication and adoption of technical process improvements to benefit the team. This may include recognizing the potential for streamlining or automation of existing processes, determining the value of new or different approaches to application implementations, suggesting or proposing changes to applications to solve or address existing problems. Supports any change management necessary for implemented process improvements.
* Identifies system and/or business requirements. Able to elicit, analyze, document and communicate business or technical requirements for designated systems or applications. Has the ability to work with business and technology stakeholders to translate business requirements into technical designs. Provides input to the architect on design approaches.
* Recommends procedures to solve problems considering computer equipment capacity and limitations, operating time, form of desired results, and integration of components.
* Creates and helps to implement conversion, upgrade and migration designs. Recommends or applies system patches and/or certificates in a timely manner and validates that they are kept up to date for designated applications or systems.
* Assists with documenting or demonstrating examples to ensure code, data or document repositories are appropriately utilized, accessed, maintained and updated.
* Develops software and/or applications specifications. Makes recommendations and provides input for decisions or considerations involving new code development or existing code reuse. Recommends and develops methods to efficiently reuse existing components. Identifies better sources of data feeds and interfaces.
* Provides input and assistance to architects when requested on software or system specifications, selecting and adopting technologies or tools, prototyping solutions, communicating technical decisions and assisting other developers with the adoption and understanding of agreed upon technical approaches or direction.
* Provides technical leadership for the definition, development and modification of individual or integrated software modules as well as enterprise applications using disciplined software development processes.
* Familiar with web development, web platforms and content management. Understands and may have working knowledge of graphics design, mobile\-first and user\-first web design approaches as well as other user interface (UI) or user experience (UX) implementation techniques.
* Develops and helps to define integrated solutions aimed at modernizing, consolidating and coordinating the independently designed applications within and across the enterprise. Codes, integrates and tests components, middleware, data, systems and their interfaces to create seamless communications across services.
* Determines how existing applications, legacy systems, databases, Web interfaces, enterprise server software and/or hardware logic, which may be currently operational on multiple platforms, work together to meet new and emerging requirements.
* Adheres to technical or quality standards and procedures. Reviews modules for quality assurance and checks compliance with software architecture standards. Assists in defining and communicating development guidelines and standards to be utilized in software development and integration. Selects and effectively applies appropriate architecture or design standards, methods and tools. Reviews the designs and code of other developers in collaboration with architects.
* Provides technical guidance and support for unit testing of software modules to ensure software meets specifications.
* Coordinates with configuration management on integration build activities across systems or environments and understands how to perform or support integration builds in preparation for both integration and quality assurance testing. Provides input for deployment documents and related artifacts for production environment deployments.
* Participates in and supports both integration testing and quality assurance testing activities which includes assisting with the test planning process, performing technical testing of integrated solutions to verify appropriate outcomes or results of interfaces, functions, features and data, as well as identifying or reporting defects, change requests or enhancements. Helps others to resolve or fix identified defects or issues and also fixes them. May also assist with or participate in regression testing, user acceptance testing or performance/load testing.
* Documents changes to architecture, integration and/or conversion plans. May develop and maintain system and software architecture diagrams.
* Supports maintenance of software, as needed.
* Makes applications or modules production ready by including or referencing supporting libraries, incorporating supporting configuration or properties files, updating version control documentation, completing required forms, following move to production procedures, etc.
* Provides Tier III (integration) support. Troubleshoots existing information systems to identify errors or deficiencies and develops solutions. Dissects problems or issues to identify and diagnose root causes and determine resolutions. Assists with communicating resolutions and helping reporters of issues to understand or adopt resolutions.
**Qualifications**
 Experience working with an RDBMS such as Oracle or PostgreSQL. Required 3 Years
 Experience with RESTful Web Services or APIs and supporting tools (Postman, Swagger, JMeter, etc.) Required 3 Years
 Experience with data exchange/serialization languages, formats, or technologies (JSON, YAML, XML, etc.) Required 3 Years
**Preferred Demonstrated Project Experience Using React Required 2 Years**
 preferred demonstrated project experience with J2EE/Jakarta EE Required 2 Years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82">
      <c r="A82" t="inlineStr">
        <is>
          <t>li-4303839141</t>
        </is>
      </c>
      <c r="B82" t="inlineStr">
        <is>
          <t>Senior Software Engineer - Security (FUTURE ROLES)</t>
        </is>
      </c>
      <c r="C82" t="inlineStr">
        <is>
          <t>Statsig</t>
        </is>
      </c>
      <c r="D82" t="inlineStr">
        <is>
          <t>linkedin</t>
        </is>
      </c>
      <c r="E82" t="inlineStr"/>
      <c r="F82" t="inlineStr"/>
      <c r="G82" t="inlineStr">
        <is>
          <t>Bellevue, WA</t>
        </is>
      </c>
      <c r="H82" t="inlineStr"/>
      <c r="I82" t="inlineStr">
        <is>
          <t>* Statsig is not actively hiring for this role but anticipates needs next year and is accepting applications in the meantime.
**About Statsig**
 Statsig is on a mission to revolutionize how software is built, tested, and scaled.
 Thousands of companies—including OpenAI, Microsoft, Atlassian, Notion, Bloomberg, Brex, Vercel, and Rippling —rely on Statsig to understand their product and find new ways to grow. We're not just building a better analytics or experimentation tool \- we're changing the way products are built, so that every company can have a distributed, data\-based product culture.
 What You’ll Do
 Statsig is looking for a Security Engineer to join our team! As a Security Engineer you will play a crucial role in building secure systems and implementing effective security measures. You will leverage your strong engineering skills and deep security knowledge to expand and improve Statsig’s security posture.
* Implement, maintain, and improve software architecture to decrease Statsig’s risk of security incidents.
* Deliver on key projects that enhance security operations by writing clean, high\-quality, high\-performance, maintainable code.
* Develop and support software including applications, database integrations, interfaces, and new functionality enhancements.
* Support test and deployment of new products and features.
* Contribute to collaborative code reviews; maintaining high standards of quality and best practices.
* Take a generalist approach to building security controls, balancing a mix of security expertise and broad technical skillsets to adapt to evolving challenges.
* This role involves hands\-on engineering and strong cross\-functional collaboration to ensure projects align with business objectives and compliance standards (SOC2, ISO27001, FEDRAMP, etc.)
 Who You Are
 You’re someone who thrives in a fast\-paced, high\-growth environment and is eager to work on impactful projects that scale. You enjoy collaborative team work and excel at working with large\-scale applications and frameworks.
* Bachelor's degree in Computer Science, Cybersecurity, or related field preferred.
* 5\+ years of experience in Software Engineering, Security Engineering or Security\-adjacent field.
* Familiar with security principles, best practices, and common vulnerabilities.
* Understanding of common security practices, with the ability to identify and address security gaps or inefficiencies to protect company assets.
* Experience working within cloud environments such as GCP or AWS.
* Strong knowledge of at least one programming/scripting language (Python, Ruby, Go, Rust, JavaScript) and comfortable reading and critically reviewing code in languages you may not have deep proficiency in.
* A proactive mindset with the ability to organize, prioritize, and work autonomously.
* Excellent communication skills, with the ability to convey complex security concepts to a variety of stakeholders.
* Statsig is a 5\-days\-a\-week on\-site company in Bellevue, WA. You must be able to be onsite.
**Compensation**
 The base range for this position is $165,000 \- $200,000 annually \+ equity. Compensation offered will be determined by factors such as level, position\-related knowledge, skills, and experience.
**EEOC**
 Statsig is an equal opportunity employer and values diversity at our company. We do not discriminate on the basis of race, religion, color, national origin, gender, gender identity, sexual orientation, age, marital status, veteran status, or disability status.</t>
        </is>
      </c>
    </row>
    <row r="83">
      <c r="A83" t="inlineStr">
        <is>
          <t>li-4356701405</t>
        </is>
      </c>
      <c r="B83" t="inlineStr">
        <is>
          <t>Senior Software Engineer</t>
        </is>
      </c>
      <c r="C83" t="inlineStr">
        <is>
          <t>PTC</t>
        </is>
      </c>
      <c r="D83" t="inlineStr">
        <is>
          <t>linkedin</t>
        </is>
      </c>
      <c r="E83" t="inlineStr"/>
      <c r="F83" t="inlineStr"/>
      <c r="G83" t="inlineStr">
        <is>
          <t>Denver, CO</t>
        </is>
      </c>
      <c r="H83" t="inlineStr"/>
      <c r="I83" t="inlineStr">
        <is>
          <t>Our world is transforming, and PTC is leading the way. Our software brings the physical and digital worlds together, enabling companies to improve operations, create better products, and empower people in all aspects of their business.
 Our people make all the difference in our success. Today, we are a global team of nearly 7,000 and our main objective is to create opportunities for our team members to explore, learn, and grow – all while seeing their ideas come to life and celebrating the differences that make us who we are and the work we do possible.
**Denver, CO \- Hybrid**
 Generative design is transforming the way products are conceived, designed, and manufactured. The PTC Generative Design team is looking for a talented Software Engineer to join our highly skilled team. If you are driven to innovate and deliver a functional approach to design; providing new tools for engineers to imagine, design and make a better world, this role could be a perfect fit.
**As part of your job you will:**
* Design and implement generative design software solutions for integration into Creo and Onshape products.
* Deliver high\-quality, innovative solutions by applying first principles to address the needs of engineers.
* Communicate technical design and delivery schedules with peers.
* Collaborate with other developers, quality assurance and software engineers.
* Write automated tests for the newly added code.
* Review code written by peers.
**Requirements:**
* Master's degree or higher in Computational Mechanics, Applied Mathematics, Computational Geometry, Engineering, Physics, or related fields.
* 3\+ years experience in C\+\+ (11 or higher) with strong understanding HPC e.g., CUDA and/or OpenMP.
* Proficiency in linear algebra and vector/tensor calculus.
* Works independently with minimal supervision
* Excellent communication and strong problem\-solving skills.
**Will be a plus:**
* Experience with various geometry representations e.g., parametric or implicit
* Experience with GNU Make \&amp; MSVC
* Experience with version control e.g., git or mercurial.
* Experience with debugging tools e.g., GDB, Valgrind, VS debugger
 PTC carefully considers a wide variety of factors when determining compensation. The anticipated annual salary range for this position is between $125,000\-165,000\. The salary range reflects a good\-faith estimate of compensation at the time of posting. Actual compensation may vary based on a candidate's skills, qualifications, experience, and location. Additionally, candidates may be eligible for a performance\-based bonus. Employees also have the opportunity to become a PTC shareholder through our employee share purchase program (ESPP), which allows for the purchase of discounted PTC stock. Certain roles may also be eligible for participation in our equity programs. Employees may be eligible for medical, dental and vision insurance, paid time off and sick leave, tuition reimbursement, 401(k) contributions and employer match, flexible spending accounts, life insurance, disability coverage and, if you are an office\-assigned employee, a generous commuter subsidy. All total rewards and benefits programs are subject to applicable plan eligibility and other terms and conditions.
 For more information about PTC’s comprehensive benefits, please visit our Careers Page.
 Applications will be accepted on an on\-going basis.
 At PTC, we believe in the power of diverse ideas and perspectives. As a global company that values and respects all identities, cultures, and perspectives, we strive to create an inclusive PTC for ALL through an environment where everyone feels like they belong and are empowered to bring their true, authentic selves to work. Proud to be an Equal Opportunity Employer, we welcome applicants from all backgrounds and hire without regard to race, national origin, religion, age, color, ethnicity, ancestry, marital status, sex (including pregnancy), sexual orientation, gender identity, gender expression, genetic information, disability, veteran status, or any other characteristic protected by local, state, or federal laws, rules, or regulations. It is unlawful in Massachusetts to require or administer a lie detector test as a condition of employment or continued employment. An employer who violates this law shall be subject to criminal penalties and civil liability.
 PTC endeavors to make ptc.com/careers accessible to all users. If you would like to contact us regarding the accessibility of our website or need assistance completing the application process, please contact PTC's Talent Acquisition team at TalentAcquisition@ptc.com. This contact information is for accommodation requests only and cannot be used to inquire about the status of applications.
 Life at PTC is about more than working with today’s most cutting\-edge technologies to transform the physical world. It’s about showing up as you are and working alongside some of today’s most talented industry leaders to transform the world around you.
 If you share our passion for problem\-solving through innovation, you’ll likely become just as passionate about the PTC experience as we are. Are you ready to explore your next career move with us?
 We respect the privacy rights of individuals and are committed to handling Personal Information responsibly and in accordance with all applicable privacy and data protection laws. Review our Privacy Policy here."</t>
        </is>
      </c>
    </row>
    <row r="84">
      <c r="A84" t="inlineStr">
        <is>
          <t>li-4341093745</t>
        </is>
      </c>
      <c r="B84" t="inlineStr">
        <is>
          <t>Sr. Backend Engineer</t>
        </is>
      </c>
      <c r="C84" t="inlineStr">
        <is>
          <t>CHAMP</t>
        </is>
      </c>
      <c r="D84" t="inlineStr">
        <is>
          <t>linkedin</t>
        </is>
      </c>
      <c r="E84" t="inlineStr"/>
      <c r="F84" t="inlineStr"/>
      <c r="G84" t="inlineStr">
        <is>
          <t>Cleveland, OH</t>
        </is>
      </c>
      <c r="H84" t="inlineStr"/>
      <c r="I84" t="inlineStr">
        <is>
          <t>At
 **CHAMP,** 
 we are redefining the technology used by Motor Vehicle Agencies and their stakeholders. We do so with innovative, cloud\-based software that enhances efficiency, security, and interoperability. Our solutions replace outdated processes with modern, scalable platforms, enabling organizations to operate with greater speed and accuracy in an increasingly digital world.
**Senior Backend Engineer** 
**Location** 
 : Cleveland (Onsite – 4 days in office)
**Department** 
 : Engineering
**Travel:** 
 \&lt;10%
**Sponsorship:** 
 This position is not eligible for Visa Sponsorship
**Relocation:** 
 This position is not eligible for Relocation
**Your Impact** 
 As a Senior Backend Engineer, you will work in a distributed team on multiple backend services using Agile methodology to support our product suite. This is a highly interactive role that requires the skills of a team player who can analyze business requirements and handle technical challenges. You will need to be able to switch contexts based on business requirements. You will be involved in our application design and architecture. You will assist in the continuous improvement of our processes.
**What You Bring** 
 We welcome candidates from all backgrounds. If you meet most of the qualifications below, we encourage you to apply, even if you don’t meet every single one.
**What You’ll Do** 
* Design and implement backend services and APIs while continuously improving code quality, keeping scalability and maintainability in mind
* Develop RESTful APIs and integrate with external systems including state DMV platforms
* Implement message\-driven architectures using RabbitMQ for inter\-service communication
* Design and develop Core modules, State plugins, and SDK components following CHAMP reference architecture
* Create and maintain system documentation
* Work with database design, optimization, and data modeling
* Implement security best practices for sensitive government and financial data
* Contribute to code reviews and establish coding standards
* Mentor and coach junior developers on best practices
* Lead technical design discussions and architecture decisions
* Maintain code standards and development processes
* Lead a team of engineers on feature projects
**Development Stack** 
* **Programming languages** 
 : Java (including Java 21\)
* **Frameworks** 
 : Spring Boot 3\.x, Apache Camel 4\.4\.x, Spring Security, JPA/Hibernate
* **Architecture** 
 : Multi\-module Maven projects, Message\-driven architecture with RabbitMQ
* **Build Tools** 
 : Maven, champ\-parent\-pom
* **Testing** 
 : JUnit 5, Mockito, Spring Boot Test, Integration Testing
* **Infrastructure** 
 : Docker, AWS, Terraform, GitHub Actions
* **Collaboration Tools** 
 : Jira, Confluence, GitHub, Slack
**Requirements Qualifications** 
* 5\+ years designing, testing, and implementing Java applications and microservices
* Strong experience with Spring Boot and Spring Framework ecosystem
* Experience with Apache Camel for integration and routing patterns
* Proficiency in RESTful API design and development
* Experience with message queues and event\-driven architectures (preferably RabbitMQ)
* Knowledge of relational databases and SQL
* Experience with multi\-module Maven projects and dependency management
* Experience mentoring/coaching other software engineers
* Excellent communication and collaboration skills to work effectively with cross\-functional teams, other developers, backend services, Product teams, and QA engineers
* Understanding of cloud platforms, preferably AWS
**Preferred Qualifications** 
* Experience working with offshore software engineers
* Experience with government or regulatory system integrations
* Knowledge of vehicle title and registration processes
* Experience with Apache Camel 4\.x and modern integration patterns
* Docker containerization and orchestration
* Terraform infrastructure as code
* Experience with high\-availability and fault\-tolerant system design
* Knowledge of SOAP web services and legacy system integration
**Why You’ll Like Working Here** 
 Competitive Salary
 Annual Bonus Potential
 Health, Dental \&amp; Vision Insurance
 Unlimited PTO Policy
 Matching 401K with immediate vesting
 Subsidized Lunches at our Cleveland Headquarters
 Fast Paced work environment in a growth company
 Newly Renovated Office Space
**Salary Range** 
 The expected salary range for this position is $120,000 to $140,000 annually. This is a good faith estimate, and final compensation may vary based on experience and skills.
 We celebrate diversity and are committed to creating an inclusive environment for all employees. We welcome applicants of all backgrounds, including veterans and individuals with disabilities. If you need accommodations during the application or interview process, please let us know. We’re here to help.
 By joining
 **CHAMP Titles** 
 , you will be an integral member of our team with many opportunities for personal growth and upward mobility in a growing organization. We have a great culture that is flexible, collaborative and welcoming.</t>
        </is>
      </c>
    </row>
    <row r="85">
      <c r="A85" t="inlineStr">
        <is>
          <t>li-4319398544</t>
        </is>
      </c>
      <c r="B85" t="inlineStr">
        <is>
          <t>Staff Backend Engineer</t>
        </is>
      </c>
      <c r="C85" t="inlineStr">
        <is>
          <t>Zeta Global</t>
        </is>
      </c>
      <c r="D85" t="inlineStr">
        <is>
          <t>linkedin</t>
        </is>
      </c>
      <c r="E85" t="inlineStr"/>
      <c r="F85" t="inlineStr"/>
      <c r="G85" t="inlineStr">
        <is>
          <t>New York, United States</t>
        </is>
      </c>
      <c r="H85" t="inlineStr"/>
      <c r="I85" t="inlineStr">
        <is>
          <t>**Who We Are**
 Zeta Global (NYSE: ZETA) is the AI\-Powered Marketing Cloud that leverages advanced artificial intelligence (AI) and trillions of consumer signals to make it easier for marketers to acquire, grow, and retain customers more efficiently. Through the Zeta Marketing Platform (ZMP), our vision is to make sophisticated marketing simple by unifying identity, intelligence, and omnichannel activation into a single platform – powered by one of the industry’s largest proprietary databases and AI. Our enterprise customers across multiple verticals are empowered to personalize experiences with consumers at an individual level across every channel, delivering better results for marketing programs. Zeta was founded in 2007 by David A. Steinberg and John Sculley and is headquartered in New York City with offices around the world. To learn more, go to www.zetaglobal.com.
 Role Description
 As a Staff Backend Engineer, you will be a highly technical individual contributor responsible for designing, building, and optimizing the backend systems that power our low\-latency ad platform. You will take the lead in developing scalable microservices and streaming data infrastructure to handle high\-throughput workloads with minimal latency. This role requires deep expertise in distributed systems and real\-time data processing (ideally in the programmatic advertising domain) to ensure our systems remain highly performant and reliable. You’ll work closely with product managers, data scientists, and other engineering teams to translate business needs into technical solutions and ensure the platform is fast, fault\-tolerant, and observable.
 *This role is based in the United States and can be performed remotely, with a preference for candidates who can join us in a hybrid capacity in San Francisco, New York, or Atlanta.*
 Key Responsibilities
* System Architecture \&amp; Development: Lead the design and implementation of scalable, high\-performance backend services, including microservices and APIs, that can efficiently handle large volumes of requests with low latency. Ensure the architecture accommodates real\-time bidding and personalization use cases common in AdTech.
* Streaming Data Infrastructure: Develop and maintain streaming data pipelines and event\-driven systems to process and analyze continuous data flows in real time (e.g., using Apache Kafka). Optimize data ingestion and processing for timeliness and accuracy to support downstream analytics and machine\-learning models.
* Performance \&amp; Reliability: Ensure the backend systems are highly performant, resilient, and stable under heavy load. Implement robust fault\-tolerance mechanisms and optimize for low\-latency response times in a high\-concurrency environment. Leverage observability best practices (comprehensive monitoring, logging, and tracing) to enable engineers to quickly analyze system behavior and take proactive measures to boost performance and reliability.
* Cross\-Functional Collaboration: Work closely with cross\-functional teams – including Product, Data Science, DevOps, and Frontend – to translate business requirements into scalable technical solutions. Facilitate effective communication and collaborative problem\-solving to deliver new features and improvements that align with our product roadmap.
* Technical Leadership \&amp; Mentorship: Provide technical leadership within the engineering team without direct managerial duties. Guide and mentor junior engineers through code reviews, design discussions, and best practice adoption, fostering a culture of technical excellence and continuous improvement.
* Technical Strategy \&amp; Innovation: Stay abreast of emerging technologies and industry trends (e.g. new AWS services, streaming frameworks, database technologies) and evaluate their potential benefit to our platform. Contribute to the technical roadmap, making build\-vs\-buy recommendations and driving innovation to keep our systems ahead of the curve.
**Required Qualifications**
* 8\+ years of software engineering experience building backend systems, with 3\+ years in a senior or lead role (e.g. Staff Engineer, Principal Engineer) in the AdTech or a similar high\-volume, low\-latency domain.
* Proven track record in designing and building high\-throughput, low\-latency distributed systems that operate at scale (e.g. handling thousands of requests per second or more).
* Expertise in microservices architecture and distributed system design, including experience decomposing monoliths or building greenfield microservices with well\-defined APIs.
* Proficiency in Java and Go for backend development, and experience with Python for scripting, automation, or data processing tasks.
* Hands\-on experience with streaming data technologies and event\-driven frameworks, such as Apache Kafka (or AWS Kinesis), and possibly stream processing frameworks (Spark Streaming, Flink, or similar, experience with Apache Kafka is highly desired).
* Strong experience with cloud platforms (AWS preferred) and deploying services in a cloud\-native environment. Familiarity with AWS components like EC2, S3, Lambda, SNS/SQS, etc., and ability to design cost\-effective, performant cloud architectures.
* Experience with both SQL and NoSQL databases for high\-volume applications. Comfortable with technologies like PostgreSQL/MySQL as well as key\-value or wide\-column stores (e.g. DynamoDB, Cassandra, Redis) for caching and fast lookups.
* Familiarity with containerization and orchestration tools (Docker, Kubernetes) and CI/CD pipelines to build and deploy microservices reliably.
* Deep understanding of system observability and monitoring – experience instrumenting applications and using monitoring/logging tools to ensure visibility into system performance (e.g. Prometheus, Grafana, ELK stack or similar).
* Excellent problem\-solving and communication skills. Ability to communicate complex technical concepts clearly to cross\-functional team members and stakeholders. Proven collaboration skills in an agile development environment.
**Preferred Qualifications**
* Domain Expertise: Deep knowledge of the programmatic advertising ecosystem, including how Demand\-Side Platforms (DSPs), Supply\-Side Platforms (SSPs), ad exchanges, and real\-time bidding (RTB) work together. Prior experience building or optimizing components of a DSP or ad server is a strong plus.
* High\-Scale Data Processing: Experience designing systems that operate at extreme scale, such as real\-time auction systems or high\-frequency trading platforms, and optimizing algorithms for latency and throughput (e.g. understanding of auction theory or bidding optimization strategies).
* Data Pipelines \&amp; Analytics: Familiarity with big data processing and analytics pipelines (Spark, Hadoop, or columnar data stores) for batch and streaming workloads. Experience with data warehousing or real\-time analytics databases (e.g. Druid, ClickHouse) is a plus.
* Advanced Performance Tuning: Demonstrated experience in performance profiling and optimization (e.g. JVM tuning, concurrency, GC optimization, network I/O) in large\-scale Java or Go applications.
* Leadership in the Tech Community: A track record of contributing to open\-source projects, technical publications, or speaking at industry conferences. Keeping on top of emerging trends and sharing knowledge both inside and outside the organization.
* Education: Bachelor’s degree in Computer Science, Engineering, or related field (Master’s or Ph.D. a plus), with strong foundations in algorithms and data structures.
**Benefits \&amp; Perks**
* Unlimited PTO
* Excellent medical, dental, and vision coverage
* Employee Equity
* Employee Discounts, Virtual Wellness Classes, and Pet Insurance And more!!
**SALARY RANGE**
 The salary range for this role is $300,000 \- $375,000, depending on location and experience.
**PEOPLE \&amp; CULTURE AT ZETA**
 Zeta considers applicants for employment without regard to, and does not discriminate on the basis of an individual’s sex, race, color, religion, age, disability, status as a veteran, or national or ethnic origin; nor does Zeta discriminate on the basis of sexual orientation, gender identity or expression.
 We’re committed to building a workplace culture of trust and belonging, so everyone feels invited to bring their whole selves to work. We provide a forum for employees to celebrate, support and advocate for one another. Learn more about our commitment to diversity, equity and inclusion here: https://zetaglobal.com/blog/a\-look\-into\-zetas\-ergs/
**ZETA IN THE NEWS!**
 https://zetaglobal.com/press/?cat\=press\-releases</t>
        </is>
      </c>
    </row>
    <row r="86">
      <c r="A86" t="inlineStr">
        <is>
          <t>li-4367606269</t>
        </is>
      </c>
      <c r="B86" t="inlineStr">
        <is>
          <t>Senior Software Engineering Manager, Pixel, Core Infrastructure</t>
        </is>
      </c>
      <c r="C86" t="inlineStr">
        <is>
          <t>Google</t>
        </is>
      </c>
      <c r="D86" t="inlineStr">
        <is>
          <t>linkedin</t>
        </is>
      </c>
      <c r="E86" t="inlineStr"/>
      <c r="F86" t="inlineStr"/>
      <c r="G86" t="inlineStr">
        <is>
          <t>Mountain View, CA</t>
        </is>
      </c>
      <c r="H86" t="inlineStr"/>
      <c r="I86" t="inlineStr">
        <is>
          <t>**Minimum qualifications:**
* Bachelor's degree in Computer Science or related technical field, or equivalent practical experience.
* 8 years of experience in embedded, cloud, or release management systems.
* 5 years of experience in a people management or team leadership role.
**Preferred qualifications:**
* Master’s degree or PhD in Engineering, Computer Science, or a related technical field.
* 15 years of experience in engineering with a track record of technical innovation with large\-scale user facing products.
* 8 years of experience programming in Java, C\+\+, RUST or Python.
* Experience leading large teams, while creating a shared sense of goal or purpose, and promoting engineering and product excellence.
* Ability to think and develop product solutions.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In this role, you will lead the team responsible for building the tools, systems, and processes which improve our overall engineering efficiency and increase the quality of our products. You will develop and execute a roadmap for organization\-wide impact. You will bring industry foresight, collaborate and influence across teams, platforms and systems to deliver best\-in\-class software quality for our Pixel portfolio of devices. You will also manage a global team of engineers who are driving cloud, software, and embedded work.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the technical goal and strategy for Pixel Infrastructure. Design and lead a multi\-year technical roadmap, balancing short and long\-term technology investments.
* Review technical design from the team and guide technical discussions. Review experiments and guide project directions.
* Lead and manage a team of engineers over a global footprint. Set clear expectations with individuals based on their level and role, and meet regularly to discuss performance and development and provide feedback and coaching.
* Set and communicate team priorities that support the broader organization's goals. Align strategy, processes, and decision\-making across teams.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87">
      <c r="A87" t="inlineStr">
        <is>
          <t>li-4259103622</t>
        </is>
      </c>
      <c r="B87" t="inlineStr">
        <is>
          <t>Senior Software Engineer</t>
        </is>
      </c>
      <c r="C87" t="inlineStr">
        <is>
          <t>IXL Learning</t>
        </is>
      </c>
      <c r="D87" t="inlineStr">
        <is>
          <t>linkedin</t>
        </is>
      </c>
      <c r="E87" t="inlineStr"/>
      <c r="F87" t="inlineStr"/>
      <c r="G87" t="inlineStr">
        <is>
          <t>Raleigh, NC</t>
        </is>
      </c>
      <c r="H87" t="inlineStr"/>
      <c r="I87" t="inlineStr">
        <is>
          <t>IXL Learning, developer of personalized learning products used by millions of people globally, is seeking Software Engineers who have a passion for technology and education to help us add new features to our extremely successful educational products and build new, innovative products. We find it immensely satisfying to develop products that impact the lives of millions, and we are eager to have you join our team.
 This is a full\-time position in our Raleigh, NC area office. The work schedule for this role is Monday\-Friday in the office with the option to work from home one day per week.
**What You'll Be Doing**
* Work with a team of talented engineers, both starting projects from scratch and also working within the existing code base
* Build the back\-end wiring, application logic, and UI for our products
* Drive the development process for your team, including design, coding, documenting, testing, debugging, and tuning
* Provide accurate estimates, evaluate feasibility, and assess new platforms and technologies for project implementations
* Collaborate and communicate clearly across multiple development teams to design and release amazing products
**What We're Looking For**
* 6\+ years of experience in software engineering
* Bachelor's or advanced degree in Computer Science or a related discipline
* Excellent programming skills in Java or other object\-oriented language
* Strong communication skills
* Strong analytical\-reasoning and problem\-solving skills
* Passion for improving education through technology
**About IXL Learning**
 IXL Learning is the country's largest EdTech company. We reach millions of learners through our diverse range of products. For example:
* 1 in 4 students in the United States uses IXL.com
* Rosetta Stone provides an immersive learning experience for 25 languages
* Wyzant is the nation's largest community of tutors, covering 300\+ subjects
* Teachers Pay Teachers (TPT) is a comprehensive marketplace for millions of educator\-created resources
 Our mission is to create innovative products that will make a real, positive difference for learners and educators and we're looking for passionate, mission\-minded people to join us in achieving this goal. We have a unique culture at IXL that fosters collaboration and the open exchange of ideas. We value our team and treat one another with kindness and respect. We approach our work with passion, tenacity, and authenticity. We find it immensely satisfying to develop products that impact the lives of millions and we are eager to have you join our team.
*At IXL, we value diversity in age, race, ethnicity, gender, sexual orientation, physical and mental ability, political and religious beliefs, and life experience, and we are proud to promote a work environment where everyone, from any background, can do their best work. IXL Learning is an equal opportunity employer.*</t>
        </is>
      </c>
    </row>
    <row r="88">
      <c r="A88" t="inlineStr">
        <is>
          <t>li-4339219659</t>
        </is>
      </c>
      <c r="B88" t="inlineStr">
        <is>
          <t>Senior Software Engineer, SRE</t>
        </is>
      </c>
      <c r="C88" t="inlineStr">
        <is>
          <t>Abridge</t>
        </is>
      </c>
      <c r="D88" t="inlineStr">
        <is>
          <t>linkedin</t>
        </is>
      </c>
      <c r="E88" t="inlineStr"/>
      <c r="F88" t="inlineStr"/>
      <c r="G88" t="inlineStr">
        <is>
          <t>New York, NY</t>
        </is>
      </c>
      <c r="H88" t="inlineStr"/>
      <c r="I88" t="inlineStr">
        <is>
          <t>**About Abridge**
 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We have offices located in the Mission District in San Francisco, the SoHo neighborhood of New York, and East Liberty in Pittsburgh.
**The Role**
 Abridge’s services and engineering team are in hyperscale mode. We are looking for experienced SREs to join our team and help improve the performance, stability, and scalability of our software by multiples. This is a distributed systems oriented role and is approximately 80% software focused and 20% cloud infrastructure focused.
 You will help us build load testing and chaos engineering into our CI pipelines, leverage observability and profiling tools to identify performance bottlenecks and resolve them, work with diverse teams to help rehome their applications onto more scalable infrastructure, and ensure a smooth ride as we hyperscale our application adoption in the healthcare space. You may be embedded with other teams for weeks or months.
 The platform we are building needs to maximize both engineering velocity and security, will be under tremendous scale, and presents many opportunities to leverage creativity, autonomy, and leadership to take things 0 to 1\. This is a unique opportunity in the industry to rapidly grow your career in a rapidly growing company leveraging the best of emerging technologies.
**What You'll Do**
* Leverage load testing, chaos engineering, and other test practices to identify performance and latency bottlenecks across all of our systems, and make changes to application code to resolve them.
* Drive software changes that can rehome applications at the code level onto new infrastructure (run times, event driven infrastructure, databases, and more) in order to dramatically improve scalability as well as enable multi\-tenant deployments.
* Identify and implement software configuration changes and performance tuning parameters that will dramatically improve performance and scalability.
* Build developer tools and software modules that help engineers build code faster and more effectively with more enablements to the entire engineering organization.
* Work with the Platform team to develop, and application teams to adopt, emerging elements of our internal developer platform, such as service templates and self\-serve infrastructure.
* Work with application teams to establish and adopt SLOs and error budgets, and drive better metrics for application health that can drive automated canary releases, improved health monitoring, and better engineering practices.
* Uplevel our ability to respond to incidents by improving observability, runbooks, and incident response muscle across the organization.
* Evangelize, document, and train the engineering team on the solutions being built and uplevel them on cloud native design strategies and tools.
* Be a public evangelist for Abridge in the global platform engineering community, including conferences, open source, and research as we pioneer new AI\-first cloud\-native\-first security\-first implementations at scale.
**Who You Are**
* 8\+ years of software engineering experience focused on distributed systems or tooling, with an interest in engineering enablement and software scaling.
* At least 2 years experience as a back\-end engineer focused on system performance and scalability.
* Experience reducing latency in software by multiples through leveraging observability and profiling tools and deriving great pleasure from doing so.
* Experience building on Kubernetes and scaling compute services on Kubernetes; experience with related cloud native technologies including ArgoCD, Argo Rollouts, Istio, etc.
* Comfortable implementing and securing services in Google Cloud Platform with Infrastructure as Code, including GCP Projects, VPC Networks, Google Kubernetes Engine, and IAM Roles, Groups and policies. Candidates without GCP experience but who have experience with Kubernetes are encouraged to apply.
* Experience building software with backend languages (e.g. Python, GoLang, Node, and Rust).
* Experience monitoring distributed systems with Prometheus, OpenTelemetry Collector, and Grafana (or something similar), including metrics collection, visualization, alerting, and using observability data to drive performance optimizations.
* Passion for engineering enablement and solving software and distributed systems scaling challenges under pressure.
**Must be willing to travel up to 10%**
 Abridge typically hosts a three\-day builder team retreat every 3\-6 months. These retreats often feature internal hackathons, collaborative project sessions, and social events that allow the team to connect in person.
 We value people who want to learn new things, and we know that great team members might not perfectly match a job description. If you’re interested in the role but aren’t sure whether or not you’re a good fit, we’d still like to hear from you.
**Why Work at Abridge?**
 At Abridge, we’re transforming healthcare delivery experiences with generative AI, enabling clinicians and patients to connect in deeper, more meaningful ways. Our mission is clear: to power deeper understanding in healthcare. We’re driving real, lasting change, with millions of medical conversations processed each month.
 Joining Abridge means stepping into a fast\-paced, high\-growth startup where your contributions truly make a difference. Our culture requires extreme ownership—every employee has the ability to (and is expected to) make an impact on our customers and our business.
 Beyond individual impact, you will have the opportunity to work alongside a team of curious, high\-achieving people in a supportive environment where success is shared, growth is constant, and feedback fuels progress. At Abridge, it’s not just what we do—it’s how we do it. Every decision is rooted in empathy, always prioritizing the needs of clinicians and patients.
 We’re committed to supporting your growth, both professionally and personally. Whether it's flexible work hours, an inclusive culture, or ongoing learning opportunities, we are here to help you thrive and do the best work of your life.
 If you are ready to make a meaningful impact alongside passionate people who care deeply about what they do, Abridge is the place for you.
**How we take care of Abridgers:**
* Generous Time Off: 14 paid holidays, flexible PTO for salaried employees, and accrued time off for hourly employees
* Comprehensive Health Plans: Medical, Dental, and Vision coverage for all full\-time employees and their families.
* Generous HSA Contribution: If you choose a High Deductible Health Plan, Abridge makes monthly contributions to your HSA.
* Paid Parental Leave: Generous paid parental leave for all full\-time employees.
* Family Forming Benefits: Resources and financial support to help you build your family.
* 401(k) Matching: Contribution matching to help invest in your future.
* Personal Device Allowance: Tax free funds for personal device usage.
* Pre\-tax Benefits: Access to Flexible Spending Accounts (FSA) and Commuter Benefits.
* Lifestyle Wallet: Monthly contributions for fitness, professional development, coworking, and more.
* Mental Health Support: Dedicated access to therapy and coaching to help you reach your goals.
* Sabbatical Leave: Paid Sabbatical Leave after 5 years of employment.
* Compensation and Equity: Competitive compensation and equity grants for full time employees.
* ... and much more!
**Equal Opportunity Employer**
 Abridge is an equal opportunity employer and considers all qualified applicants equally without regard to race, color, religion, sex, sexual orientation, gender identity, national origin, veteran status, or disability.
**Staying safe \- Protect yourself from recruitment fraud**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
 Compensation Range: $210\.8K \- $248K</t>
        </is>
      </c>
    </row>
    <row r="89">
      <c r="A89" t="inlineStr">
        <is>
          <t>li-4367441101</t>
        </is>
      </c>
      <c r="B89" t="inlineStr">
        <is>
          <t>Senior Software Engineer</t>
        </is>
      </c>
      <c r="C89" t="inlineStr">
        <is>
          <t>Microsoft</t>
        </is>
      </c>
      <c r="D89" t="inlineStr">
        <is>
          <t>linkedin</t>
        </is>
      </c>
      <c r="E89" t="inlineStr"/>
      <c r="F89" t="inlineStr"/>
      <c r="G89" t="inlineStr">
        <is>
          <t>Redmond, WA</t>
        </is>
      </c>
      <c r="H89" t="inlineStr"/>
      <c r="I89"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Microsoft Purview team’s mission is to build cloud solutions that support premium features such as security, compliance, data governance, data loss prevention, and more, seamlessly integrating these services for Microsoft 365 and Windows clients. We are dedicated to transforming how businesses leverage artificial intelligence by creating global\-scale services that transport, store, secure, and manage the most sensitive data on the planet. Our services are built on Azure and other cloud platforms. As we continue to grow rapidly, we are seeking a Software Engineer to help us deliver best\-in\-class data protection for Microsoft customers. Our team operates in an agile development environment, continuously gathering and analyzing data to counter evolving threats. Our mission is to protect customers with truly innovative proactive measures, advise them on emerging trends, and engage in valuable partnerships. You will work closely with other engineering teams to ensure our services and systems are highly stable, performant, and meet the expectations of both internal and external customers. We are looking for passionate people with experience working with all service aspects of high throughput and multi\-tenant services, ability to design components carefully, properly handle errors, write clean and well\-factored code with good tests and good maintainability.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**Other**
* Embody our culture and values.
**Qualifications**
**Required Minimum Qualifications:**
* Bachelor's Degree in Computer Science, or related technical discipline AND 4\+ years technical engineering experience with coding in languages including, but not limited to, C, C\+\+, C\#, Java, JavaScript, or Python OR equivalent experience.
**Qualifications \-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**Qualifications \- Preferred**
* Bachelor's Degree in Computer Science or related technical field AND 6\+ years technical engineering experience with coding in languages including, but not limited to, C, C\+\+, C\#, Java, JavaScript, or Python OR Master's Degree in Computer Science or related technical field AND 4\+ years technical engineering experience with coding in languages including, but not limited to, C, C\+\+, C\#, Java, JavaScript, or Python OR equivalent experience.
* Experience working in large\-scale cloud services.
* Self\-motivation and a drive to get things to “done”
* Deep understanding of cloud technologies, distributed compute systems, and distributed systems and microservices architecture
* System design, algorithmic skills, and knowledge of data structures
* Ability to identify, analyze, and resolve complex technical issues, ensuring optimal performance, scalability, and user experience
* Passion for learning new technologies and staying up to date with industry trends, best practices, and emerging technologies in web development and AI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0">
      <c r="A90" t="inlineStr">
        <is>
          <t>li-4367600319</t>
        </is>
      </c>
      <c r="B90" t="inlineStr">
        <is>
          <t>Software Engineer III, ML Infrastructure, Core ML</t>
        </is>
      </c>
      <c r="C90" t="inlineStr">
        <is>
          <t>Google</t>
        </is>
      </c>
      <c r="D90" t="inlineStr">
        <is>
          <t>linkedin</t>
        </is>
      </c>
      <c r="E90" t="inlineStr"/>
      <c r="F90" t="inlineStr"/>
      <c r="G90" t="inlineStr">
        <is>
          <t>Sunnyvale, CA</t>
        </is>
      </c>
      <c r="H90" t="inlineStr"/>
      <c r="I90" t="inlineStr">
        <is>
          <t>**Minimum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data structures and algorithms.
* 2 years of experience with the C\+\+ programming language.
* 1 year of experience building Machine Learning infrastructure.
* Passion for building infrastructure and ecosystems to support ML researchers/developers.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 is dedicated to ensuring that highest priority training jobs are running on Alphabets ML compute fleet at all times. With near infinite demand for TPU resources and an ever changing engaged landscape, it is mission critical to prioritize access to these training resources in novel dynamic ways. In this role, you will have an opportunity to impact Alphabets ML/AI training efforts at scale through our projects and products.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Review code developed by other developers and provide feedback to ensure best practices (e.g., style guidelines, checking code in, accuracy, testability, and efficiency).
* Work on resource management, from how accelerators are allocated to Product Areas across the company, to the end user who needs to find what hardware is available to them, or who wants to run a workload on a specific TPU chip.
* Work on ML workload prioritization.
* Work on market algorithms, develop advanced mechanisms to price accelerators, helping users make the most of their budgets.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1">
      <c r="A91" t="inlineStr">
        <is>
          <t>li-4302912511</t>
        </is>
      </c>
      <c r="B91" t="inlineStr">
        <is>
          <t>Principal Software Engineer</t>
        </is>
      </c>
      <c r="C91" t="inlineStr">
        <is>
          <t>Oracle</t>
        </is>
      </c>
      <c r="D91" t="inlineStr">
        <is>
          <t>linkedin</t>
        </is>
      </c>
      <c r="E91" t="inlineStr"/>
      <c r="F91" t="inlineStr"/>
      <c r="G91" t="inlineStr">
        <is>
          <t>Santa Clara, CA</t>
        </is>
      </c>
      <c r="H91" t="inlineStr"/>
      <c r="I91" t="inlineStr">
        <is>
          <t>**Job Description**
* This role can be based out of the following OCI hubs: Austin, TX, Nashville, TN, Seattle, WA, or Santa Clara, CA
 Oracle Cloud Infrastructure (OCI) delivers mission\-critical applications for top tier enterprises around the world. Our cloud offers unmatched hyperscale, multitenant services deployed in more than 50 regions worldwide. OCI is expanding its mission beyond the traditional boundaries of public cloud to include dedicated, hybrid and multi cloud, edge computing, and more.
 In the Technical Strategy and Oversight (TSO) organization, our mission is to support customer choice, transparency, and value when it comes to cloud infrastructure. We’re embarking on ambitious new initiatives such as building new innovative platforms, high performance data plane primitives, frameworks to support OCI developers, and a new service platform that will allow us to run the full variety of OCI services, including our most demanding, high\-performance, high\-availability services.
 We are looking for engineers to join an incubation team that initiates, prototypes and hands off new projects that have broad business impact in OCI. We are currently engaged in a long\-term incubation of a new platform designed to power OCI services. This platform will include low\-level execution runtimes, application management, and high\-level workflows for change management. Our mission is to enable OCI developers to focus on building innovative services, while we ensure those services operate efficiently at cloud scale. We need you to challenge existing engineering assumptions and boundaries, bring your expertise in highly performant, reliable software engineering and help us bring OCI to the next level.
 These are exciting times, and our team is still new and growing. This is your opportunity to build ambitious new initiatives with broad impact. We are seeking self\-motivated engineers who are passionate about solving complex software challenges, and able to dive deep into systems to understand and improve them. You should value simplicity and scale, work comfortably in a collaborative, agile environment, and be excited to learn.
 Career Level – IC4
**Responsibilities**
 With your superb technical, research and analytical capabilities and demonstrated ability to get the right things done quickly and effectively to delight our customers, you will collaborate with multiple teams to build the next generation OCI Service Platform.
 As a software engineer, you’ll play a key role in defining and improving standard practices and procedures. You’ll design, specify, and develop software for new projects, as well as perform tasks related to the design, development, and debugging of software applications or operating systems.
**Preferred Skills \&amp; Experience**
* 6\+ years of relevant engineering experience.
* Experience with software development, preferably in Java.
* Experience building and operating software as a service.
* Preferably, experience with OCI
* Experience with containers, Kubernetes, and scalable, reliable workflows is a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2">
      <c r="A92" t="inlineStr">
        <is>
          <t>li-4367236446</t>
        </is>
      </c>
      <c r="B92" t="inlineStr">
        <is>
          <t>Senior Software Engineer, Cloud</t>
        </is>
      </c>
      <c r="C92" t="inlineStr">
        <is>
          <t>RemoteHunter</t>
        </is>
      </c>
      <c r="D92" t="inlineStr">
        <is>
          <t>linkedin</t>
        </is>
      </c>
      <c r="E92" t="inlineStr"/>
      <c r="F92" t="inlineStr"/>
      <c r="G92" t="inlineStr"/>
      <c r="H92" t="inlineStr"/>
      <c r="I92" t="inlineStr">
        <is>
          <t>About the Opportunity:
 The organization delivers a real\-time database designed for mission\-critical workloads including machine learning and AI, supporting millions of transactions per second with millisecond latency and low total cost of ownership. This role focuses on developing the Cloud Platform that provisions, operates, and monitors databases running in customer\-dedicated Kubernetes clusters, enhancing the reliability, scalability, and safety of production database clusters globally.
 Responsibilities:
 • Design, implement, and maintain components for provisioning and managing Kubernetes\-based database clusters
 • Build and evolve workflows to orchestrate long\-running infrastructure and database lifecycle operations
 • Develop Kubernetes\-native systems using controllers, operators, and CRDs
 • Manage cloud infrastructure automation using Terraform, including VPCs, EKS clusters, IAM, storage, and networking
 • Design and maintain persistent storage lifecycles involving EBS volumes, local NVMe storage, and backups
 • Diagnose and resolve complex production issues involving Kubernetes, cloud provider APIs, and distributed systems
 • Enhance observability through metrics, logs, and alerts using Prometheus, OpenTelemetry, and Datadog
 • Collaborate with teams to evolve architecture, improve reliability, and prevent operational regressions
 Requirements:
 • Minimum 5 years of software engineering experience
 • Strong foundation in computer science, distributed systems, and complex system debugging
 • Proficiency in a statically typed backend language, preferably Go
 • Experience developing and operating distributed systems in production
 • Hands\-on experience with Kubernetes and containerized workloads
 • Experience with at least one major cloud provider, preferably AWS
 • Experience designing, deploying, and operating stateful systems
 • Familiarity with Git\-based workflows and CI/CD pipelines
 Preferred Skills:
 • Proficiency in Go
 • Experience with Terraform and infrastructure\-as\-code
 • Experience with Kubernetes Operators, controllers, or CRDs
 • Experience with workflow orchestration systems such as Temporal, Cadence, or Airflow
 • Strong knowledge of cloud networking concepts including VPCs, subnets, IP management, and load balancers
 • Experience with observability tools such as Prometheus, OpenTelemetry, and Datadog
 • Experience operating storage systems including EBS, instance store, and backups
 Compensation:
 • Salary Range for California Based Applicants: \[$169,000 \- $195,000] (actual compensation will be determined based on experience, location, and other factors permitted by law)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3">
      <c r="A93" t="inlineStr">
        <is>
          <t>li-4366084265</t>
        </is>
      </c>
      <c r="B93" t="inlineStr">
        <is>
          <t>Senior Software Engineer - Java / TypeScript / AWS</t>
        </is>
      </c>
      <c r="C93" t="inlineStr">
        <is>
          <t>FILD Search, LLC</t>
        </is>
      </c>
      <c r="D93" t="inlineStr">
        <is>
          <t>linkedin</t>
        </is>
      </c>
      <c r="E93" t="inlineStr"/>
      <c r="F93" t="inlineStr"/>
      <c r="G93" t="inlineStr">
        <is>
          <t>El Segundo, CA</t>
        </is>
      </c>
      <c r="H93" t="inlineStr"/>
      <c r="I93" t="inlineStr">
        <is>
          <t>Are you a Senior Software Engineer with expertise in Java, TypeScript, React, and AWS looking to join a hyper\-growth, VC\-backed startup that’s disrupting the enterprise security space? Are you a Senior Software Engineer (Java, TypeScript, React) who thrives on the challenge of building highly available, reliable, and performance\-optimized systems? Are you a Senior Software Engineer who is excited by the intersection of software, data, and hardware and ready to make an impact as one of the first 60 employees? If so, keep reading.
 We’re seeking a Senior Software Engineer to join a hyper\-growth company redefining enterprise security through advanced AI\-powered automation. Their mission is to accelerate the speed and precision of security operations with a long\-term goal of integrating cybersecurity and physical security into a unified platform. In this role, you’ll design, build, and scale backend systems, modern cloud infrastructure, and edge compute environments while contributing to identity and access management. You’ll also play a key role in empowering engineering teams and ensuring customer environments remain secure, reliable, and high performing.
**Role \&amp; Responsibilities:** 
* Design and develop new and existing user\-facing products, features, and infrastructure
* Work in close collaboration with product team to drive customer adoption and retention
* Build data ingestion pipelines for MVP data feeds and customer segmentation
* Define system architecture and help shape the user experience
* Design, build, and deploy server APIs following industry best practices
* Design and implement scalable microservices as the platform grows
* 50/50 split between frontend and backend development
* Set coding standards, author technical documentation, and contribute white papers
* Mentor junior engineers and drive technical decisions that influence the App Experience
* Drive end\-to\-end software delivery: planning, development, deployment, testing, and monitoring
* Develop and maintain modern CI/CD pipelines
* Architect resilient cloud infrastructure, edge compute environments, identity \&amp; access management, and system continuity with robust monitoring
**Skills / Experience Required:** 
* 5\+ years of full stack software development experience
* Backend development in Java, Rust, or Kotlin
* Strong experience with TypeScript and modern JavaScript frameworks
* Proficiency with React, React Native, and Next.js
* Hands\-on experience designing and implementing GraphQL and REST APIs
* Solid experience with SQL and/or NoSQL databases
* Experience building full\-stack applications in microservice architectures
* Strong foundation in Infrastructure as Code (IaC), especially Terraform and Terragrunt
* Proven experience working with AWS cloud infrastructure
* Bachelor's degree in Computer Science, Mathematics, or a related technical field
* Ability to work Onsite full time
**What is Being Offered:** 
* The chance to collaborate with top talent in the security industry
* A unique growth\-stage opportunity to be among the first 60 employees in the company
* Work alongside a diverse, innovative team that fosters creativity and collaboration to drive industry modernization
* Join a passionate team dedicated to solving critical customer challenges while building a dynamic company culture
* Competitive base salary with equity opportunities
* Comprehensive health benefits, including medical, dental, vision, and life insurance
* 401k plan w/ company match
* A family\-friendly, compassionate work environment
* Stunning new office space
* Additional company perks and benefits
 If you’re a Senior Software Engineer excited about joining a leading security startup and working with cutting\-edge technologies, please apply today.</t>
        </is>
      </c>
    </row>
    <row r="94">
      <c r="A94" t="inlineStr">
        <is>
          <t>li-4367430925</t>
        </is>
      </c>
      <c r="B94" t="inlineStr">
        <is>
          <t>Senior Software Engineer</t>
        </is>
      </c>
      <c r="C94" t="inlineStr">
        <is>
          <t>Microsoft</t>
        </is>
      </c>
      <c r="D94" t="inlineStr">
        <is>
          <t>linkedin</t>
        </is>
      </c>
      <c r="E94" t="inlineStr"/>
      <c r="F94" t="inlineStr"/>
      <c r="G94" t="inlineStr">
        <is>
          <t>Redmond, WA</t>
        </is>
      </c>
      <c r="H94" t="inlineStr"/>
      <c r="I94"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We are seeking a Senior Software Engineer in the Core Authentication team in Entra ID who will play a pivotal role in shaping services that power authentications for millions of organizations running business\-critical workloads, issuing hundreds of billions of tokens daily. You’ll experience what it takes to run a highly distributed, scalable service with an SLA of over four nines availability.
 In this role, you will lead from the front in driving an AI\-first culture, leveraging AI technologies to improve engineering efficiency, accelerate innovation, and deliver smarter solutions. You will also contribute to building a secure platform for AI agent authentication, enabling the next generation of trusted AI experiences across Microsoft and beyond.
 Our team is at the center of enabling critical security capabilities such as conditional access, continuous access evaluation, token binding, credential\-free authentication via managed service identities for workload identities—all core priorities under Microsoft’s Secure Future Initiative. You’ll work on industry\-leading redundancy strategies to achieve availability goals and help shape the future of identity security.
 This is an opportunity to have a deep, meaningful impact and touch billions of lives with your work. Our culture promotes diversity, inclusion, and multiculturalism, which are reflected in everything we do. Diversity is more than a commitment—it’s the foundation of our success. We foster accountability and provide numerous opportunities for learning and career growth.
 We have exciting opportunities for you to innovate, influence, transform, inspire, and grow within our organization. If you’re passionate about security, scalability, and AI\-driven innovation, we encourage you to apply and learn more!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large scale distributed software services and solutions with a focus on scalability, performance, and security.
* Drive system design by defining clear interfaces across multiple components, conducting in\-depth design and code reviews, and leveraging data/telemetry to guide architectural decisions.
* Establish engineering excellence by ensuring services are modular, secure, reliable, diagnosable, actively monitored, and reusable; set standards and mentor others to adopt best practices.
* Lead AI\-first initiatives by embedding AI\-driven automation and efficiency into engineering workflows and fostering a culture that embraces AI for innovation and operational excellence.
* Lead quality initiatives by improving test coverage, designing robust integration and end\-to\-end testing strategies, and proactively identifying and resolving complex problem areas.
* Champion operational readiness by considering testability, observability, reliability, maintainability, and ensuring code meets production standards before delivery.
* Own Live Site health by troubleshooting and optimizing automation, reliability, and monitoring; drive root cause analysis and implement long\-term fixes.
* Mentor and guide engineers by sharing expertise in distributed systems, fostering technical growth, and promoting a culture of innovation and accountability.
 Embody our culture and values
**Qualifications**
**Required Qualifications:**
* Bachelor's Degree in Computer Science or related technical field AND 4\+ years technical engineering experience with coding in languages including, but not limited to, C, C\+\+, C\#, Java, JavaScript,or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3\+ years of experience developing high scale, distributed systems on a cloud platform.
* Understanding of authentication protocols like Oauth2, OpenID Connect etc.
* 2\+ years of experience with .NET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5">
      <c r="A95" t="inlineStr">
        <is>
          <t>li-4344657938</t>
        </is>
      </c>
      <c r="B95" t="inlineStr">
        <is>
          <t>Principal Software Engineer</t>
        </is>
      </c>
      <c r="C95" t="inlineStr">
        <is>
          <t>Microsoft</t>
        </is>
      </c>
      <c r="D95" t="inlineStr">
        <is>
          <t>linkedin</t>
        </is>
      </c>
      <c r="E95" t="inlineStr"/>
      <c r="F95" t="inlineStr"/>
      <c r="G95" t="inlineStr">
        <is>
          <t>Redmond, WA</t>
        </is>
      </c>
      <c r="H95" t="inlineStr"/>
      <c r="I95" t="inlineStr">
        <is>
          <t>**Overview**
 OneDrive and SharePoint are rapidly growing services at the center of Microsoft's cloud, reaching almost every part of the company, like Windows and Office. You would be a part of a team that can fundamentally change the way that millions of people use their devices and interact with the most important content in their lives.
 We are looking for a smart, agile, and intellectually curious
 **Principal Software Engineer** 
 who loves creating and building things that delight and protect our customers. You will be working with a team of amazing engineers, PMs, and designers, and work closely with other teams across Microsoft to deliver large scale, distributed architectures, and features to meet OneDrive and SharePoint's core infrastructure needs. You'll design and deliver systems that enable partners and ISVs to migrate from other cloud providers, improve core systems performance and efficiencies, and ensure zero customer impact throughout the change management cycle. You will deliver systems to meet our business continuity planning goals, provide telemetry for optimizing the service and drive our response time for detecting and resolving service issues down.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a set of scenarios.
* Leads identification of dependencies and the development of design documents for a product, application, service, or platform.
* Leads by example and mentors others to produce extensible and maintainable code used across products.
* Leverages subject\-matter knowledge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Embody our culture and values.
**Qualifications**
**Required Qualifications:**
* Bachelor's Degree in Computer Science or related technical field AND 8\+ years technical engineering experience with coding in languages including, but not limited to, C, C\+\+, C\#, Java, JavaScript, or Python
+ OR equivalent experience.
* 6\+ years of experience collaborating with partner teams to meet the engineering goals in a unified manner.
* 6\+ years of delivering and interacting with REST API’s and web services across multiple systems.
**Preferred Qualifications**
* Master's Degree in Computer Science or related technical field AND 12\+ years technical engineering experience with coding in languages including, but not limited to, C, C\+\+, C\#, Java, JavaScript, or Python
+ OR Bachelor's Degree in Computer Science or related technical field AND 15\+ years technical engineering experience with coding in languages including, but not limited to, C, C\+\+, C\#, Java, JavaScript, or Python
+ OR equivalent experience.
* 6\+ years experience of cloud\-scale services and server/service management features.
* 6\+ years experience coding, debugging, algorithm design and problem\-solving skills.
* Experience with building cloud\-scale infrastructure components.
* Awareness, passion, and experience related to cloud scale distributed design and patterns.
* Familiar with secure software design concepts.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6">
      <c r="A96" t="inlineStr">
        <is>
          <t>li-4367458341</t>
        </is>
      </c>
      <c r="B96" t="inlineStr">
        <is>
          <t>Software Engineer III - Java / Kafka / Cloud</t>
        </is>
      </c>
      <c r="C96" t="inlineStr">
        <is>
          <t>JPMorganChase</t>
        </is>
      </c>
      <c r="D96" t="inlineStr">
        <is>
          <t>linkedin</t>
        </is>
      </c>
      <c r="E96" t="inlineStr"/>
      <c r="F96" t="inlineStr"/>
      <c r="G96" t="inlineStr">
        <is>
          <t>Plano, TX</t>
        </is>
      </c>
      <c r="H96" t="inlineStr"/>
      <c r="I96" t="inlineStr">
        <is>
          <t>**Job Description**
 We have an exciting and rewarding opportunity for you to take your software engineering career to the next level.
 As a Software Engineer III at JPMorganChase within the Commercial \&amp; Investment Bank \- Digital \&amp; Platform Services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Candidates experience is expected in analysis/design, application development, optimization and performance tuning plus working with business analysts, user experience, testers and the (financial) business.
**Job Responsibilities**
* Executes software solutions, design, development, and technical troubleshooting with ability to think beyond routine or conventional approaches to build solutions or break 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 Adds to team culture of diversity, opportunity, inclusion, and respect
**Required qualifications, capabilities, and skills**
* Formal training or certification on software engineering concepts and 3\+ years applied experience
* Experience in developing, debugging, and maintaining code in a large corporate environment with one or more modern programming languages and database querying languages
* Hands\-on practical experience in system design, application development, testing, and operational stability
* Core Java 17\+, Spring, Spring Boot, Spring JDBC, Transaction Management using Spring, Oracle as a Database, Spring IOC (Dependency Injection),
* Microservices using Spring Boot, RESTful Webservices using Spring MVC Kafka messaging – using Spring
* Overall knowledge of the Software Development Life Cycle
* Mockito/Fitness/Cucumber Testing frameworks
* Solid understanding of agile methodologies such as CI/CD, Application Resiliency, and Security
* Demonstrated knowledge of software applications and technical processes within a technical discipline (e.g., cloud, artificial intelligence, machine learning etc.)
**Preferred qualifications, capabilities, and skills**
* Familiarity with modern front\-end technologies
* Exposure to cloud technologies
* Beneficial to have working experience of DevOps practices and tools, including CI/CD pipelines and version control systems (e.g., Git)
* Knowledge of Maven, Git, Bitbucket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97">
      <c r="A97" t="inlineStr">
        <is>
          <t>li-4366973064</t>
        </is>
      </c>
      <c r="B97" t="inlineStr">
        <is>
          <t>Lead Software Engineer (Digital Engagement Solutions- Web, APIs, Mobile, Cloud, Data systems)</t>
        </is>
      </c>
      <c r="C97" t="inlineStr">
        <is>
          <t>U.S. Bank</t>
        </is>
      </c>
      <c r="D97" t="inlineStr">
        <is>
          <t>linkedin</t>
        </is>
      </c>
      <c r="E97" t="inlineStr"/>
      <c r="F97" t="inlineStr"/>
      <c r="G97" t="inlineStr">
        <is>
          <t>San Francisco, CA</t>
        </is>
      </c>
      <c r="H97" t="inlineStr"/>
      <c r="I97"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Job Description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Oversee the implementation and strategic direction of U.S. Bank's Do\-IT\-Together platform, ensuring seamless integration across web and mobile channels to boost customer acquisition, and elevate customer support.
* Take charge of the design, development, testing, operation, and ongoing maintenance of various digital banking products.
* Engineer comprehensive digital solutions for customer engagement that encompass Web, APIs, Mobile, Cloud, and Data systems.
* Utilize a variety of programming languages—such as Java, Python, React, Kotlin, and Swift—to design and develop scalable components for both web and mobile platforms.
* Advance and update cloud\-native applications on Azure using Kubernetes and automated DevOps practices.
* Develop integration patterns and define API contracts to facilitate enterprise\-wide customer interaction flows.
* Implement and support data pipelines, event streams, and reporting metrics for engagement platforms.
* Leverage GenAI technologies to enhance automation, generate insights, and improve experiences for customers and agents alike.
* Maintain rigorous standards for security, compliance, and resiliency across all systems that interact with customers.
* Guide and mentor engineers, promoting best engineering practices throughout multiple product teams.
* Collaborate closely with vendors, product teams, and operations to consistently deliver dependable and high\-quality engagement solutions.
**Basic Qualifications**
* Bachelor’s degree, or equivalent work experience
* Six to eight years of relevant experience
**Preferred Skills/Experience**
* Demonstrated background in designing and implementing complex digital engagement platforms, including Web, API, Mobile, Cloud, and Data solutions.
* Advanced skills with Java, Python, REST APIs, React, as well as Kotlin and Swift.
* Practical experience working with Azure, Kubernetes, and various DevOps automation tools.
* In\-depth knowledge of API development, integration strategies, and core enterprise architecture concepts.
* Comprehensive grasp of data engineering, event\-driven systems, and analytical techniques.
* Acquainted with Generative AI technologies and their use within customer engagement contexts.
* Strong leadership abilities paired with effective communication and teamwork skills.
* Microsoft Certified: Azure Solutions Architect Expert a big plus.
* Experience with Glance’s CX to implement co\-browse is a plus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$126,820\.00 \- $149,200\.00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98">
      <c r="A98" t="inlineStr">
        <is>
          <t>li-4365489964</t>
        </is>
      </c>
      <c r="B98" t="inlineStr">
        <is>
          <t>Full Stack Engineer</t>
        </is>
      </c>
      <c r="C98" t="inlineStr">
        <is>
          <t>Underdog.io -Apply to top tech jobs in 60 seconds. A place where companies apply to you</t>
        </is>
      </c>
      <c r="D98" t="inlineStr">
        <is>
          <t>linkedin</t>
        </is>
      </c>
      <c r="E98" t="inlineStr"/>
      <c r="F98" t="inlineStr"/>
      <c r="G98" t="inlineStr"/>
      <c r="H98" t="inlineStr"/>
      <c r="I98" t="inlineStr">
        <is>
          <t>Underdog.io is a modern recruiting platform. One of our hiring partners is looking to hire a Mid and Senior Level Full Stack Engineer.
**Senior Full Stack Engineer \- Telehealth Platform** 
**Location:** 
 NYC \- 2 days onsite
**About Us** 
 We're revolutionizing healthcare by building the nation's first vertically integrated telehealth platform \- connecting millions of patients across all 50 states to diagnosis, treatment, and ongoing care through a single, patient\-centric experience. Recognized as a Fortune Best Workplace, we're eliminating healthcare deserts and putting control back in patients' hands with transparent pricing, proactive care, and ridiculously convenient service.
**The Role** 
 As a
 **Senior Full Stack Engineer** 
 , you'll architect the web experiences that power our end\-to\-end healthcare platform. You'll:
* Build intuitive patient/provider interfaces handling thousands of daily interactions
* Lead technical design for features spanning telehealth, pharmacy, and lab services
* Optimize performance for users across diverse connectivity environments
* Mentor engineers in accessibility, scalability, and healthcare\-specific best practices
**What You'll Build** 
* **Telemedicine workflows** 
 serving 98% of primary care deserts
* **Prescription management systems** 
 with real\-time pharmacy integration
* **Data\-driven care platforms** 
 that evolve with patient needs
* **Compliance\-conscious features** 
 meeting 50\-state regulations
**Tech Stack \&amp; Requirements** 
* **Frontend:** 
 React, TypeScript (performance optimization expertise)
* **Backend:** 
 Python (Django/Flask preferred), node.js
* **Experience:** 
 5\+ years shipping production web applications
* **Mindset:** 
 Product\-oriented engineer passionate about healthcare equity
**Why Join?** 
* **Impact:** 
 Your code directly improves healthcare access for millions
* **Growth:** 
 Lead technical initiatives at a category\-defining company
**Benefits:** 
* 100% covered medical/dental/vision \+ OneMedical
* 401(k) matching \+ student loan refinancing
* Flexible PTO \+ paid parental leave
* Wellness \&amp; learning stipends
* Pet insurance \+ fertility benefits
**Our Engineering Values** 
1. **Patient First:** 
 Code with empathy for diverse healthcare needs
2. **Scale Thoughtfully:** 
 Build for today's patients and tomorrow's growth
3. **Compliance by Design:** 
 Healthcare demands rigorous standards
4. **Teach \&amp; Learn:** 
 Grow together through mentorship and innovation
**You'll Thrive Here If You** 
* Want to fix healthcare's broken user experience
* Balance technical excellence with product intuition
* Enjoy mentoring while staying hands\-on
* Get energized by complex regulatory challenges
**Apply now to build healthcare that actually works for patients.**</t>
        </is>
      </c>
    </row>
    <row r="99">
      <c r="A99" t="inlineStr">
        <is>
          <t>li-4356649503</t>
        </is>
      </c>
      <c r="B99" t="inlineStr">
        <is>
          <t>Software Engineer</t>
        </is>
      </c>
      <c r="C99" t="inlineStr">
        <is>
          <t>Jobot</t>
        </is>
      </c>
      <c r="D99" t="inlineStr">
        <is>
          <t>linkedin</t>
        </is>
      </c>
      <c r="E99" t="inlineStr"/>
      <c r="F99" t="inlineStr"/>
      <c r="G99" t="inlineStr">
        <is>
          <t>Montgomery County, PA</t>
        </is>
      </c>
      <c r="H99" t="inlineStr"/>
      <c r="I99" t="inlineStr">
        <is>
          <t>Want to learn more about this role and Jobot? Click our Jobot logo and follow our LinkedIn page!
 Job details
**greenfield development / full stack / hybrid in conshohocken**
 This Jobot Job is hosted by Katrina McFillin
 Are you a fit? Easy Apply now by clicking the "Easy Apply" button and sending us your resume.
 Salary $120,000 \- $145,000 per year
**A Bit About Us**
 We are a global leader in industrial process fluids that manufactures specialized chemical products and provides chemical management services for steel, aluminum, automotive, aerospace, mining, and other heavy industrial manufacturing processes
****Why join us?****
 401(k) \+ 4% company match
 20 days PTO \+ floating holidays
 Health, dental, vision, and life insurance
 FSA
 flexible, hybrid work environment (3 days a week in office)
 gym and cafeteria on\-site
**Job Details**
 You will be joining the fluid intelligence team working on a greenfield, cloud native product to replace their 6th\-generation legacy product.
 You are a full\-stack engineer with experience building end\-to\-end, client\-facing cloud\-native applications.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00">
      <c r="A100" t="inlineStr">
        <is>
          <t>li-4339395359</t>
        </is>
      </c>
      <c r="B100" t="inlineStr">
        <is>
          <t>Lead Software Engineer - AI Delivery 2</t>
        </is>
      </c>
      <c r="C100" t="inlineStr">
        <is>
          <t>Publix Super Markets</t>
        </is>
      </c>
      <c r="D100" t="inlineStr">
        <is>
          <t>linkedin</t>
        </is>
      </c>
      <c r="E100" t="inlineStr"/>
      <c r="F100" t="inlineStr"/>
      <c r="G100" t="inlineStr">
        <is>
          <t>Lakeland, FL</t>
        </is>
      </c>
      <c r="H100" t="inlineStr"/>
      <c r="I100" t="inlineStr">
        <is>
          <t>**Description**
 Please note, this is a hybrid position requiring 8 days per month on\-site in Lakeland, FL. Join Publix Technology \- Where Innovation Meets Impact
 Publix Super Markets, Inc., the largest employee\-owned company in the U.S., is powered by a dynamic technology team of 2,100\+ associates. We deliver modern, cutting\-edge solutions to 1,400\+ stores and over 200,000 internal team members across 8 states. Whether you're passionate about IT security, platform engineering, architecture, software development, or infrastructure, we offer exciting career paths at every level \- from internships to technical leadership. Be part of a Fortune “100 Best Companies to Work For” and help us build more than just great subs \- build the future of technology for Publix.Become a part of the Publix AI Delivery Team as a Lead Software Engineer. Our team is responsible for designing, developing, and deploying AI\-powered solutions that serve both our associates and customers.An ideal candidate thrives in a fast\-paced environment, can wear many hats, and has a natural curiosity to learn. They possess exceptional development skills, are passionate about producing high\-quality code, and enjoy tackling complex challenges that push the limits of what’s possible.
**Job Responsibilities**
* Develop high quality, maintainable code and contribute to internal frameworks that accelerate AI delivery
* Implement and optimize data pipelines in Databricks and Azure to operationalize data for AI solutions
* Utilize modern development methodologies with a cloud first approach, incorporating CI/CD pipelines through Azure DevOps
* Create and maintain robust automated testing and monitoring systems for AI services
* Champion experimentation, learning, and innovation across the AI Delivery team while mentoring peers and sharing best practices
* Participate in prompt engineering, search optimization, and generative AI model tuning for various use cases
**Required Qualifications**
* Bachelor’s degree in management information systems, Computer Science, Business, or other analytical disciplines or equivalent experience
* 7\+ years of experience in application design, development, and delivery in an enterprise environment
* 5\+ years of hands\-on experience working with modern programming languages, specifically C\#, Python, and TypeScript, demonstrating the ability to produce clean, maintainable, and high\-performance code
* 5\+ years of hands\-on experience with Microsoft Azure, demonstrating deep practical expertise in core services such as Azure Functions, App Service, Storage, SQL Database, Azure OpenAI, and Front Door
* 5\+ years of solid experience with SQL, database design, and the use of ORM frameworks (such as Dapper or Entity Framework) to develop efficient and scalable data access layers
* Proven ability to troubleshoot complex issues in distributed systems
* Strong sense of ownership and accountability with a focus on delivering high quality code
**Preferred Qualifications**
* Experience leading or mentoring engineering teams on cloud native or AI/ML projects
* Hands\-on experience with modern frontend frameworks (React, Next.js, or Blazor) integrated with backend APIs
* Familiarity with large language models (LLMs), prompt engineering, and retrieval\-augmented generation (RAG) patterns
* Experience building or integrating with observability and monitoring stacks (Application Insights, Dynatrace, or OpenTelemetry)
* Background with CI/CD automation, Terraform, and infrastructure\-as\-code practices
* Strong understanding of MLOps, model deployment, and performance optimization workflows in Azure or Databricks
**Benefits Information**
* Employee stock ownership plan that contributes Publix stock to associates each year at no cost
* An opportunity to purchase additional shares of our privately\-held stock
* 401(k) retirement savings plan
* Group health, dental and vision plans
* Paid Time Off
* Paid Parental Leave
* Short\- and long\-term disability insurance
* Tuition reimbursement
* Free hot lunches (buffet\-style) at facilities with a cafeteria
* Visit our website to see all of our benefits: https://jobs.publix.com/benefits/
**Year End Bonus**
 As a year\-end bonus to associates, Publix issues one month’s extra pay (pro\-rated in the first year) each year if associate remains employed through issue date of the bonus check that year. This is calculated as a 13th month of pay in the Potential Annual Pay with Bonus line above.
**Additional Information**
 Your application may have additional steps that you will need to complete in order to remain eligible for consideration. Please be sure to monitor your email, including your spam folder, on a daily basis for critical, time\-sensitive emails that could require action within 24\-48 hours. Please do not use your Publix email address when applying. Once your application has been successfully submitted you will receive a confirmation email.
 \*\*\*Relocation/Household Good Shipment Allowance will NOT be provided.\*\*\*</t>
        </is>
      </c>
    </row>
    <row r="101">
      <c r="A101" t="inlineStr">
        <is>
          <t>li-4367491455</t>
        </is>
      </c>
      <c r="B101" t="inlineStr">
        <is>
          <t>Staff Software Engineer - Fulfillment Logistics</t>
        </is>
      </c>
      <c r="C101" t="inlineStr">
        <is>
          <t>Uber</t>
        </is>
      </c>
      <c r="D101" t="inlineStr">
        <is>
          <t>linkedin</t>
        </is>
      </c>
      <c r="E101" t="inlineStr"/>
      <c r="F101" t="inlineStr"/>
      <c r="G101" t="inlineStr">
        <is>
          <t>San Francisco, CA</t>
        </is>
      </c>
      <c r="H101" t="inlineStr"/>
      <c r="I101" t="inlineStr">
        <is>
          <t>**About The Team**
 The Fulfillment platform is the foundation powering the logistics behind fulfilling user orders from any Uber app. It operates life cycles of orders, trips, drivers, eaters, and other user sessions when they interact with Uber. These interactions are real\-time and high\-scale when millions of concurrent riders, drivers, and eaters are using Uber. We support both Uber Rider businesses (pool, airports, hourly rentals, intercity trips, reservations, package delivery, uber health) and Uber Delivery businesses (groceries, uber eats, delivery API).
 Our tech challenges are in both the business layer (data modeling of complex products, building reusable higher order business APIs to share across products) and the Infrastructure layer (storing high write \&amp; transient data, language framework, search \&amp; ranking, events \&amp; data streaming systems).
**About The Role**
 We are looking for a Software Engineer to join the Fulfillment logistics (Supply and Order Fulfillment) team. Over the next few years, this team will be innovating with new offerings such as Autonomous Vehicles integrations, Multi\-Job Orders, Digital and Field Tasks, Third\-Party Drivers, and Package Delivery, while reimagining and re\-envisioning the Fulfillment Platform end to end. This is a high\-impact role where you will partner closely with Engineering, Product, and Operations leaders across the company to launch new products, scale critical platforms, and improve the overall efficiency, reliability, and performance of the Uber marketplace.
 You can get a glimpse of the work we do in Fulfillment
* https://eng.uber.com/fulfillment\-platform\-rearchitecture/
* https://eng.uber.com/building\-ubers\-fulfillment\-platform/
**What You'll Do**
* Lead the design and architecture of the next phase of fulfillment and product lines for our 1P, 3P, and SaaS customers, prioritizing scalability, reliability, and efficiency.
* Collaborate with several cross\-functional teams to define requirements and translate them into technical specifications.
* Optimize existing Fulfillment platform capabilities for efficiency, speed, and accuracy.
* Devise and implement solutions that seamlessly scale with the growing needs of our user base.
* Mentor junior engineers, fostering a culture of knowledge exchange and continuous improvement
* Partner with engineering managers, product managers, and other engineering teams to define project requirements and execution plans.
* Ensure that system designs, including APIs, architecture, and dependency selection, result in scalable, resilient solutions that minimize support costs and enhance the partner experience.
**Basic Qualifications**
* A Bachelor's Degree in Computer Science or a related field (or equivalent experience).
* 8\+ years of full\-time engineering experience
* Systematic problem\-solving approach and knowledge of algorithms, data structures and complexity analysis.
* Strong understanding of distributed systems or stream processing.
* Strong understanding of computer science fundamentals, including object\-oriented design, data structures, algorithm design, problem\-solving, and complexity analysis.
* Proficient in at least one programming language, such as Golang, Java, C\#, or C\+\+.
**Preferred Qualifications**
* 5\+ years of experience building and managing distributed systems.
* Highly efficient coding in Golang, Java or any similar languages.
* Comfortable dealing with system complexity
* Knowledgeable in software engineering best practices throughout the entire software development life cycle, including coding standards, code reviews, source control management, build processes, testing, and operations.
* Great sense of ownership
 For San Francisco, CA\-based roles: The base salary range for this role is USD$232,000 per year \- USD$258,000 per year. For Sunnyvale, CA\-based roles: The base salary range for this role is USD$232,000 per year \- USD$258,000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02">
      <c r="A102" t="inlineStr">
        <is>
          <t>li-4367444552</t>
        </is>
      </c>
      <c r="B102" t="inlineStr">
        <is>
          <t>Elasticsearch - Vector Search - Principal Software Engineer I</t>
        </is>
      </c>
      <c r="C102" t="inlineStr">
        <is>
          <t>Elastic</t>
        </is>
      </c>
      <c r="D102" t="inlineStr">
        <is>
          <t>linkedin</t>
        </is>
      </c>
      <c r="E102" t="inlineStr"/>
      <c r="F102" t="inlineStr"/>
      <c r="G102" t="inlineStr"/>
      <c r="H102" t="inlineStr"/>
      <c r="I102"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
**What is The Role:**
 We're looking for a Principal Software Engineer to join the Elasticsearch \- Search team. This globally\-distributed team of expert engineers focuses on delivering a robust and feature\-rich search experience, including contributing to improving the search experience in Lucene. This is a principal software engineering role that focuses on enhancing the vector similarity search functionality within Elasticsearch, covering the design and implementation of new vector search features, enhancements to existing vector search functionality, and resolving bugs.
 Our company is distributed by intention. We hire the best engineers we can find wherever they are, whoever they are. We collaborate across continents every day over email, GitHub, Zoom, and Slack. At our best, we write fast, scalable and intuitive software. We believe that the best way to do that is to empower individual engineers, code review every change, decide big things by consensus, and strive for incremental improvements.
**What You Will Be Doing:**
* Lead initiatives within Elasticsearch to produce an industry\-leading vector database offering, supplying unparalleled speed and relevance in search.
* Contribute to Elasticsearch full time, building new search features and fixing intriguing bugs, all while making the code easier to understand. Sometimes you'll need to invent a new algorithm or data structure. Or find one and implement it. Sometimes you'll need to get close to the operating system and hardware.
* Work with a globally distributed team of experienced engineers focused on the vector search capabilities of Elasticsearch.
* Be an expert on how Elasticsearch implements vector similarity in support of search relevance and everyone will turn to you when they have a question about this area. You'll improve this area based on your questions and your instincts.
* Work with community members from all over the world on issues and pull requests, sometimes triaging them and handing them off to other experts and sometimes handling them yourself.
* Write idiomatic modern Java \-\- Elasticsearch is 99\.8% Java!
**What You Bring:**
* You have implemented novel techniques in vector similarity on a search platform with a large user base or progressed the field of academic research in vector similarity information retrieval.
* Professional experience with vector similarity and vector databases, and you used HNSW, IVF, or other relevant algorithms and libraries on search platforms at scale.
* You have strong skills in core Java and are conversant in the standard library of data structures and concurrency constructs, as well as other features like lambdas.
* You work with a high level of autonomy, and are able to take on projects and guide them from beginning to end. This covers both technical design and working with other engineers to develop needed components.
* You're comfortable developing collaboratively. Giving and receiving feedback on code and approaches and APIs is hard! Bonus points if you've collaborated over the internet because that's harder. Double bonus points for asynchronous collaboration over the internet. That's even harder, but we do it anyway because it's the best way we know how to build software.
* You've used several data storage technologies like Elasticsearch, Solr, PostgreSQL, MongoDB, or Cassandra and have some idea how they work and why they work that way.
* You have excellent verbal and written communication skills. Like we said, collaborating on the internet is hard. We try to be respectful, empathetic, and trusting in all of our interactions. And we'd expect that from you too.
**Bonus Points:**
* You've built things with Elasticsearch before.
* You've worked with open source projects and are familiar with different styles of source control workflow and continuous integration.
* Experience with data storage technology.
* You have experience designing, leading and owning cross\-functional initiatives
**Additional Information \- We Take Care of Our People:**
 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
 We strive to have parity of benefits across regions, and while regulations differ from place to place, we believe taking care of our people is the right thing to do.
* Competitive pay based on the work you do here and not your previous salary
* Health coverage for you and your family in many locations
* Ability to craft your calendar with flexible locations and schedules for many roles
* Generous number of vacation days each year
* Increase your impact \- We match up to $2000 (or local currency equivalent) for financial donations and service
* Up to 40 hours each year to use toward volunteer projects you love
* Embracing parenthood with a minimum of 16 weeks of parental leave
 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
 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
 Applicants have rights under Federal Employment Laws and can view the following posters linked below:
 Family and Medical Leave Act (FMLA) Poster
 Employee Polygraph Protection Act (EPPA) Poster
 Elasticsearch develops and distributes technology and information that is subject to U.S. and other country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
 *.*
 Please see here for our Privacy Statement.</t>
        </is>
      </c>
    </row>
    <row r="103">
      <c r="A103" t="inlineStr">
        <is>
          <t>li-4367241460</t>
        </is>
      </c>
      <c r="B103" t="inlineStr">
        <is>
          <t>Lead Software Engineering</t>
        </is>
      </c>
      <c r="C103" t="inlineStr">
        <is>
          <t>AT&amp;T</t>
        </is>
      </c>
      <c r="D103" t="inlineStr">
        <is>
          <t>linkedin</t>
        </is>
      </c>
      <c r="E103" t="inlineStr"/>
      <c r="F103" t="inlineStr"/>
      <c r="G103" t="inlineStr">
        <is>
          <t>Dallas, TX</t>
        </is>
      </c>
      <c r="H103" t="inlineStr"/>
      <c r="I103" t="inlineStr">
        <is>
          <t>**Job Description:**
**This position requires office presence of a minimum of 5 days per week and is only located in the location(s) posted. No relocation is offered.**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 \- you’ll create it.
 As a Lead Full Stack Software Engineer, you will play a critical role in the design, development, testing, and deployment of high\-performance, scalable software applications across both front\-end and back\-end technologies. This hands\-on engineering position requires strong technical expertise, leadership capabilities, and a passion for delivering high\-quality solutions. You will collaborate across teams to drive technical innovation, mentor junior engineers, and ensure adherence to best practices in software development and automation.
**What You’ll Do:**
* Design, develop, and code high\-quality software applications using diverse programming languages and frameworks including Java, Spring Boot, Spring MVC, and Microservices.
* Build and maintain APIs leveraging Mulesoft and RESTful principles.
* Create and maintain API documentation using tools such as Swagger.
* Develop and execute automated test plans using jUnit, Spock, Mockito/JMock, Selenium, and Cucumber to ensure functional and regression testing.
* Monitor API performance and system health using ELK (Elasticsearch, Logstash, Kibana), Dynatrace, and Quantum dashboards.
* Utilize JSON, XML, SoapUI, and Postman extensively for API testing and validation.
* Collaborate with engineers, architects, and stakeholders to gather requirements, estimate tasks, and design solutions.
* Troubleshoot and resolve application and environment problems efficiently, leveraging advanced Git skills and branching strategies.
* Support and facilitate seamless software deployment processes using Jenkins, Docker, OpenShift, and Maven.
* Mentor junior team members and contribute to long\-term technical strategies.
* Work with relational databases and NoSQL technologies such as Cosmos DB to manage data persistence.
* Develop front\-end components and user interfaces using JavaScript, jQuery, Angular, React, and GIR.
**What You’ll Bring:**
* 8\+ years of experience in Java development including J2EE, Hibernate, Spring Boot, Spring Cloud, Spring MVC, Kafka (event\-driven programming), Microservices, and RESTful Web Services.
* 3\+ years of hands\-on experience building APIs in Mulesoft.
* 6\+ years of experience using API documentation tools, with Swagger preferred.
* 8\+ years of experience in API monitoring and dashboards using ELK, Dynatrace, and Quantum.
* 8\+ years working with JSON, XML, SoapUI, and Postman for API development and testing.
* 8\+ years of expertise in unit and functional testing frameworks such as jUnit, Spock, Mockito/JMock, Selenium, and Cucumber.
* Strong skills with advanced Git usage and branching strategies.
* Proficient in front\-end technologies including JavaScript, jQuery, Angular, React, and GIR.
* Experience with CI/CD and container orchestration tools like Jenkins, Docker, and OpenShift.
* Solid understanding of relational databases and NoSQL databases including Cosmos DB.
* Proven problem\-solving skills with expertise in troubleshooting complex software issues.
* Strong communication skills to clearly explain technical concepts to diverse stakeholders.
* Leadership abilities to guide, motivate, and uphold engineering standards within the team.
* 5\+ years of software development experience with a focus on design and coding.
* Bachelor’s degree in Computer Science or related field preferred.
* Familiarity with Azure cloud fundamentals and Kubernetes is a plus.
 Our Lead Software Engineering earns between $141,300\-$237,400 annually,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
**Time Type:**
 Regular
**Location:**
 Plano, Texas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104">
      <c r="A104" t="inlineStr">
        <is>
          <t>li-4367227870</t>
        </is>
      </c>
      <c r="B104" t="inlineStr">
        <is>
          <t>Lead Software Engineering</t>
        </is>
      </c>
      <c r="C104" t="inlineStr">
        <is>
          <t>AT&amp;T</t>
        </is>
      </c>
      <c r="D104" t="inlineStr">
        <is>
          <t>linkedin</t>
        </is>
      </c>
      <c r="E104" t="inlineStr"/>
      <c r="F104" t="inlineStr"/>
      <c r="G104" t="inlineStr">
        <is>
          <t>Plano, TX</t>
        </is>
      </c>
      <c r="H104" t="inlineStr"/>
      <c r="I104" t="inlineStr">
        <is>
          <t>**Job Description:**
**This position requires office presence of a minimum of 5 days per week and is only located in the location(s) posted. No relocation is offered.**
**Join AT\&amp;T and reimagine the communications and technologies that connect the world.** 
 Our Consumer Technology Experience team is delivering innovative and reliable technology solutions to power differentiated, simplified customer experiences. Bring your bold ideas and fearless risk\-taking to redefine connectivity and transform how the world shares stories and experiences that matter. When you step into a career with AT\&amp;T, you won’t just imagine the future \- you’ll create it.
 As a Lead Full Stack Software Engineer, you will play a critical role in the design, development, testing, and deployment of high\-performance, scalable software applications across both front\-end and back\-end technologies. This hands\-on engineering position requires strong technical expertise, leadership capabilities, and a passion for delivering high\-quality solutions. You will collaborate across teams to drive technical innovation, mentor junior engineers, and ensure adherence to best practices in software development and automation.
**What You’ll Do:**
* Design, develop, and code high\-quality software applications using diverse programming languages and frameworks including Java, Spring Boot, Spring MVC, and Microservices.
* Build and maintain APIs leveraging Mulesoft and RESTful principles.
* Create and maintain API documentation using tools such as Swagger.
* Develop and execute automated test plans using jUnit, Spock, Mockito/JMock, Selenium, and Cucumber to ensure functional and regression testing.
* Monitor API performance and system health using ELK (Elasticsearch, Logstash, Kibana), Dynatrace, and Quantum dashboards.
* Utilize JSON, XML, SoapUI, and Postman extensively for API testing and validation.
* Collaborate with engineers, architects, and stakeholders to gather requirements, estimate tasks, and design solutions.
* Troubleshoot and resolve application and environment problems efficiently, leveraging advanced Git skills and branching strategies.
* Support and facilitate seamless software deployment processes using Jenkins, Docker, OpenShift, and Maven.
* Mentor junior team members and contribute to long\-term technical strategies.
* Work with relational databases and NoSQL technologies such as Cosmos DB to manage data persistence.
* Develop front\-end components and user interfaces using JavaScript, jQuery, Angular, React, and GIR.
**What You’ll Bring:**
* 8\+ years of experience in Java development including J2EE, Hibernate, Spring Boot, Spring Cloud, Spring MVC, Kafka (event\-driven programming), Microservices, and RESTful Web Services.
* 3\+ years of hands\-on experience building APIs in Mulesoft.
* 6\+ years of experience using API documentation tools, with Swagger preferred.
* 8\+ years of experience in API monitoring and dashboards using ELK, Dynatrace, and Quantum.
* 8\+ years working with JSON, XML, SoapUI, and Postman for API development and testing.
* 8\+ years of expertise in unit and functional testing frameworks such as jUnit, Spock, Mockito/JMock, Selenium, and Cucumber.
* Strong skills with advanced Git usage and branching strategies.
* Proficient in front\-end technologies including JavaScript, jQuery, Angular, React, and GIR.
* Experience with CI/CD and container orchestration tools like Jenkins, Docker, and OpenShift.
* Solid understanding of relational databases and NoSQL databases including Cosmos DB.
* Proven problem\-solving skills with expertise in troubleshooting complex software issues.
* Strong communication skills to clearly explain technical concepts to diverse stakeholders.
* Leadership abilities to guide, motivate, and uphold engineering standards within the team.
* 5\+ years of software development experience with a focus on design and coding.
* Bachelor’s degree in Computer Science or related field preferred.
* Familiarity with Azure cloud fundamentals and Kubernetes is a plus.
 Our Lead Software Engineering earns between $141,300\-$237,400 annually,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AT\&amp;T is leading the way to the future – for customers, businesses and the industry. We're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Apply now!
**\#ConsumerTechnologyeXperience**
**Weekly Hours:**
 40
**Time Type:**
 Regular
**Location:**
 Plano, Texas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105">
      <c r="A105" t="inlineStr">
        <is>
          <t>li-4358358826</t>
        </is>
      </c>
      <c r="B105" t="inlineStr">
        <is>
          <t>Senior Software Engineer - CTJ - POLY</t>
        </is>
      </c>
      <c r="C105" t="inlineStr">
        <is>
          <t>Microsoft</t>
        </is>
      </c>
      <c r="D105" t="inlineStr">
        <is>
          <t>linkedin</t>
        </is>
      </c>
      <c r="E105" t="inlineStr"/>
      <c r="F105" t="inlineStr"/>
      <c r="G105" t="inlineStr">
        <is>
          <t>Reston, VA</t>
        </is>
      </c>
      <c r="H105" t="inlineStr"/>
      <c r="I105" t="inlineStr">
        <is>
          <t>**Overview**
 Microsoft has an exciting opportunity for a
 **Senior Software Engineer** 
 to join The Identity team for the Azure Government Secret and Top\-Secret Clouds. The position will provide you exposure and growth opportunity. Do you want to be at the center of Cloud Computing and work on services that touch every facet of Azure? Do you have the passion to work on products that make Azure “The Developer’s Cloud” \- the place that every developer thinks first when they build their mission cloud application? Joining The Identity team will give you your chance.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You will be involved with the Design, development and the delivering of user\-friendly, state\-of\-the\-art Azure services to provide world\-class user experiences on Azure. Work together with the team to ensure service quality, availability, and reliability. Participate in live\-site and customer support to ensure customers using our services have a great experience. Engineers should expect to participate in a regularly scheduled on\-call rotation.
**Coding**
* Reviews the code of a product to assure it meets the team's and Microsoft's quality standards, is reliable and accurate, and is appropriate for the scale of the product/solution area. Applies feedback to current and future iterations. Participates in code reviews to ensure coding standards are followed. Considers diagnosability, reliability, and maintainability when reviewing code, and understands when code is ready to be shared or delivered. Applies and screens for coding patterns and best practices in reviews, and provides feedback on code to drive adherence to best practices.
* Leads by example within the team by producing extensible and maintainable. Optimizes, debugs, refactors, and reuses code to improve performance and maintainability, effectiveness, and return on investment (ROI). Applies metrics to drive the quality and stability of code, as well as appropriate coding patterns and best practices.
* Applies debugging tools and examines logs, telemetry, and other methods to verify assumptions through writing and developing code proactively before issues occur and reactively as issues occur for products.
* Conducts retrospective debugging of solutions to identify root causes of problems. responsibility description
**Design**
* Independently creates a clear and articulated plan for testing and assuring quality of solutions, and defines success for outcomes of tests (e.g., unit tests). Identifies needs for a broad versus selected approach in testing mechanisms and makes informed decisions to implement the most effective tests. Drives efforts to add new tests, remove antiquated tests, and aggregate tests to improve the test suite. Improves recommendations to the team and augments test cases to ensure that solutions have good test coverage. Drives efforts to continually integrate automation features when planning for testing.
* Leads discussions for the architecture of products/solutions and creates proposals for architecture by testing design hypotheses and helping to refine code plans. Provides reactions, proposed solutions, and inputs to architects. Partially owns solutions for architecting of solutions, with minimal technical oversight. Develops design documents for designs or User Stories, and determines the technology that will be leveraged and how it will interact. Shares learnings and identified solutions from investigations with the team and owns for some design decisions. Assures system architecture meets security and compliance requirements and expectations.
* Drives identification of dependencies and the development of design documents for a product, application, service or platform. Identifies other teams and technologies that will be leveraged, how they will interact, and when one's own system may provide support to others. Determines back\-end dependencies associated with product, application, service, or platform functionality for the solution/product area. Understands up and downstream effects of solutions and work provided to ensure appropriate security and performance, drives reliability in the solutions, and optimizes dependency chains and retrieves across teams. Drives identification of areas of dependency and overlap with other teams or team members and drives coordination. Communicates across teams and resolves conflicts between teams. responsibility description
**Engineering Excellence**
* Drives efforts to ensure the correct processes are followed to achieve a high degree of security, privacy, safety, and accessibility. Creates and assures the presence of visible evidence to demonstrate compliance for products. Develops and maintains a deep understanding of the implications of onboarding new technologies following expectations of compliance at Microsoft.
* Considers and drives comprehensive application of automation within production and deployment of a product. Runs code in simulated or other non\-production environments to confirm functionality and error\-free runtime for products. Defines and develops standardized, repeatable, scalable solutions to guarantee quality.
* Maintains communication with key partners across the Microsoft ecosystem of engineers. Acts as a key contact for leadership to ensure alignment with partners' expectations. Considers partner teams across own organization and their end goals for products to drive and achieve desirable user experiences and fitting dynamic needs of partners/customers through product development.
* Applies and extrapolates best practices to reliably build code that is based on well\-established methods while also applying best practices for new code development. Demonstrates and maintains an up\-to\-date understanding of both global and local regulations for technologies and system applications to ensure regulations are followed and met. Drives product development and scaling to customer requirements and applies best practices for meeting scaling needs and performance expectations.
* Remains current in skills by investing time and effort into staying abreast of current developments. Proactively seeks new knowledge and adapts to new trends, technical solutions, and patterns that will improve the availability, reliability, efficiency, observability, and performance of products while also driving consistency in monitoring and operations at scale.
* Builds, enhances, reuses, contributes to, and identifies new software developer tools to support other programs and applications to create, debug, and maintain code for products. Uses open source when possible. Begins to develop skills in other tools outside areas of expertise. Identifies internal tools and creates tools that will be useful for creating the product, determining if methods are still applicable for the current solution. Shares best practices and teaches others about new tools and strategies.
**Implement**
* Creates and updates implementation framework as necessary, following industry standards. Drives implementation and deployment of the solution in the existing framework. Considers and accounts for the impact of build deployments on both users and other services. Assures that solutions are deployed safely.
* Drives creation and conducting of experimentation to determine the effectiveness of changes, monitors developments for prototyping and testing products, and interprets results from experimentation.
* Leverages subject\-matter expertise of product features and partners with appropriate stakeholders (e.g., project managers) to drive a workgroup's project plans, release plans, and work items. Organizes work into smaller sets of tasks as part of an overall roadmap. Guides other members for project estimation and escalates any issues that would cause a delay. responsibility description
**Reliability and Supportability**
* Acts as a Designated Responsible Individual (DRI) and guides other engineers by developing and following the playbook, working on call to monitor system/product/service for degradation, downtime, or interruptions. Alerts stakeholders as to status and initiates actions to restore system/product/service for simple problems and complex problems when appropriate. Responds within Service Level Agreement (SLA) timeframe. Drives efforts to reduce incident volume, looking globally at incidences and providing broad resolutions. Escalates issues to appropriate owners.
* Drives efforts to integrate instrumentation for gathering telemetry data on system behavior such as performance, reliability, availability, usage, and safety mechanisms. Drives sustaining feedback loops from telemetry resulting in subsequent designs. Creates outputs of telemetry such as notifications or dashboards.
* Drives efforts to collect, classify, and analyze data on a range of metrics (e.g., health of the system, where bugs might be occurring). Drives the refinement of products through data analytics, and makes informed decisions in engineering products through data integration.
* Maintains operations of live service as issues arise on a rotational, on\-call basis. Implements solutions and mitigations to more complex issues impacting performance or functionality of Live Site service and escalates as necessary. Reviews and writes issues postmortem and shares insights with the team. responsibility description
**Understand User Requirements**
* Collaborates with appropriate stakeholders (e.g., project manager, technical lead) to determine user requirements for a scenario. Leverages a variety of feedback channels to incorporate insights into future designs or solution fixes. Ensures appropriate continuous feedback loops measuring customer value, usage patterns, and other actionable metrics of value are incorporated.
 Embody our culture and values.
**Qualifications**
**Required/Minimum Qualifications:**
* Bachelor's Degree in Computer Science or related technical field AND 4\+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Candidates must have an
 **active** 
 TS/SCI and be willing to upgrade to TS/SCI (with polygraph). This role will require candidates to maintain the TS/SCI (with polygraph) clearance. Ability to meet Microsoft, customer and/or government security screening requirements are required for this role. Failure to maintain or obtain the appropriate clearance and/or customer screening requirements may result in employment action up to and including termination.
**Clearance Verification:** 
 This position requires successful verification of the stated security clearance to meet federal government customer requirements. You will be asked to provide clearance verification information prior to an offer of employment.
**Microsoft Cloud Background Check:** 
 This position will be required to pass the Microsoft Cloud background check upon hire/transfer and every two years thereafter.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**Preferred/Additional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6">
      <c r="A106" t="inlineStr">
        <is>
          <t>li-4314554325</t>
        </is>
      </c>
      <c r="B106" t="inlineStr">
        <is>
          <t>Staff Backend Engineer – Payments &amp; Billing</t>
        </is>
      </c>
      <c r="C106" t="inlineStr">
        <is>
          <t>Scribd, Inc.</t>
        </is>
      </c>
      <c r="D106" t="inlineStr">
        <is>
          <t>linkedin</t>
        </is>
      </c>
      <c r="E106" t="inlineStr"/>
      <c r="F106" t="inlineStr"/>
      <c r="G106" t="inlineStr">
        <is>
          <t>San Francisco, CA</t>
        </is>
      </c>
      <c r="H106" t="inlineStr"/>
      <c r="I106"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Payments \&amp; Billing team at Scribd powers our subscription revenue engine by delivering the systems that manage billing lifecycles, global payment processing, and financial reliability across Scribd, Everand, Slideshare, and Fable. Our focus areas include payment processing at scale, invoicing, reconciliation, fraud prevention, compliance, and support for international currencies and payment methods. We partner closely with Product, Finance, Risk, and Platform Engineering to ensure that millions of readers worldwide can reliably access our services every day.
**What You’ll Do**
* Lead the technical architecture and implementation of Scribd’s payments and billing systems, the backbone of our subscription business.
* Design, build, and operate backend services that power subscription payments at global scale.
* Own billing lifecycle, global payments, invoicing, reconciliation, and financial reliability—integrating with multiple providers (Stripe, Adyen, Braintree) and supporting international currencies and local methods.
* Ensure compliance and security of financial systems through PCI DSS, tokenization, encryption, and secure data handling.
* Foster a culture of technical excellence while driving scalable, resilient, and observable financial systems that enable teams to move fast, simplify complexity, and deliver revenue with confidence
* Modernize legacy systems and eliminate technical debt to improve velocity and scalability.
* Partner with Product, Finance, Risk, Platform, and Analytics to deliver secure, reliable financial flows, leveraging data, metrics, and telemetry to uncover trends, resolve anomalies, and guide the team with clarity and foresight.
* Mentor engineers, shape cross\-team technical strategy, and tackle some of the hardest scaling and security challenges in the company.
**We’re Looking For Someone Who**
* Has 8\+ years of backend engineering experience, with deep expertise in building and scaling distributed systems for financial or mission\-critical workloads.
* Brings a strong foundation in data modeling, transactional consistency, and high\-throughput architectures, with hands\-on SQL (e.g., MySQL, PostgreSQL) and familiarity with NoSQL and caching.
* Is skilled in observability and reliability practices: defining SLOs, implementing metrics/alerts, debugging distributed systems, and leading incident response.
* Has strong coding ability in at least one modern backend language such as Ruby (preferred), Java, Go, or Python, with a focus on clean, maintainable, and secure code.
* Has a proven track record of technical leadership: setting architectural direction, mentoring engineers, and driving large\-scale migrations or modernization efforts.
* Communicates clearly and collaborates across product, finance, risk, and platform teams, influencing both technical and business decisions.
* Contributes to cross\-team initiatives (mentoring, architecture review groups, knowledge sharing) that shape Scribd’s engineering culture.
**It’s a Plus If You**
* Has strong coding ability in Ruby.
* Have deep experience designing and operating payment or billing systems.
* Have integrated with major payment service providers (Stripe, Adyen, Braintree, PayPal) and managed multi\-currency or local payment methods.
* Bring knowledge of compliance and security standards (PCI DSS, encryption, tokenization).
* Understand fraud prevention strategies (chargebacks, retries, card fingerprinting, abuse detection).
* Have led large\-scale migrations between payment providers or billing systems with minimal customer impact.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$167,000 \[minimum salary in our lowest geographic market within California] to $260,500 \[maximum salary in our highest geographic market within California].
 In the United States, outside of California, the reasonably expected salary range is between $137,500 \[minimum salary in our lowest US geographic market outside of California] to $247,500 \[maximum salary in our highest US geographic market outside of California].
 In Canada, the reasonably expected salary range is between $175,000 CAD\[minimum salary in our lowest geographic market] to $231,500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107">
      <c r="A107" t="inlineStr">
        <is>
          <t>li-4367232752</t>
        </is>
      </c>
      <c r="B107" t="inlineStr">
        <is>
          <t>NMS ServiceNow Software Designer (IT Software Developer III) (Government)</t>
        </is>
      </c>
      <c r="C107" t="inlineStr">
        <is>
          <t>AT&amp;T</t>
        </is>
      </c>
      <c r="D107" t="inlineStr">
        <is>
          <t>linkedin</t>
        </is>
      </c>
      <c r="E107" t="inlineStr"/>
      <c r="F107" t="inlineStr"/>
      <c r="G107" t="inlineStr">
        <is>
          <t>Chantilly, VA</t>
        </is>
      </c>
      <c r="H107" t="inlineStr"/>
      <c r="I107" t="inlineStr">
        <is>
          <t>**Job Description:**
 AT\&amp;T Global Public Sector is a trusted provider of secure, IP enabled, cloud\-based, network solutions and professional services to the Federal Government. We are dedicated to recruiting, developing and empowering a diverse, high\-performing workforce that is passionate about what they do, committed to our shared values and dedicated to our customers’ mission.
 Our National Security Team supports the intelligence community, providing, operating, and assuring critical voice, video
 and collaboration services for the full spectrum of operations.
**AT\&amp;T has an opening for an** 
**NMS ServiceNow Senior Software Designer:** 
 To support a key program in AT\&amp;T’s National Security business segment. The NMS IT Software Designer will provide expert knowledge of network management systems, operating systems, commercial software, government software, and full integration of toolsets and servers. This position requires office presence a minimum of 5 days per week and is only located in the location(s) posted. No relocation is offered.
**Description of Job Duties/Responsibilities:**
* Compliance with Department of Defense (DoD) 8140\.03 (8570\) Information Assurance Technical (IAT) Level 2\.
* Oversee and guide team members in the deployment, administration, development, and integration of the ServiceNow suite of tools on RHEL and Windows operating systems, while facilitating collaboration with database developers on MariaDB requirements.
* Lead the team in utilizing Agile, Scrum, and SDLC methodologies to coordinate, track, and deliver projects efficiently, fostering a culture of continuous improvement and accountability.
* Coordinate closely with Project Managers and Technical Leads, ensuring clear communication of team progress, risks, and technical challenges.
* Direct integration efforts with Cisco Network Services Orchestrator, GOTS, and other enterprise tools, assigning integration tasks and ensuring successful outcomes.
* Oversee the creation and maintenance of technical documentation by the team, ensuring accuracy and completeness for operations users and providing user handoff training as needed.
* Monitor the team’s efforts to maintain IT system and application performance/availability while responding proactively to emerging issues.
* Lead the team in hardening and securing systems, supporting Risk Management Framework (RMF) authorization and accreditation (A\&amp;A) efforts, and ensuring all engineered solutions are compliant.
* Guide the automation and orchestration of ServiceNow deployment activities using modern tools and methods (Ansible, Python, Terraform, PowerShell), and mentor the team in best practices for testing, validation, and verification.
* Manage the troubleshooting, diagnosis, and resolution of complex system and service issues, overseeing Root Cause Analysis (RCA) and driving continuous improvement.
* Direct system performance analysis and tuning activities, ensuring solutions are efficiently configured and optimized by the team.
* Lead engineering projects and technical processes through the Systems Development Life Cycle (SDLC), ensuring the team meets deliverables, achieves positive outcomes, and stays within scope and budget.
* Oversee the delivery of well\-developed and engineered solutions as deployable packages, ensuring Operations teams can transition solutions to production environments with minimal manual intervention and high success rates.
* Perform additional duties as assigned and needed in a dynamic environment to support evolving business and technical requirements.
**Required Clearance:** 
 TS/SCI with polygraph. (\#ts/sci) (\#polygraph)
**Required Qualifications:** 
 Candidate must have 16 years of experience that can be a combination of work history and education. This equates to a doctorate and 8 years of experience OR a master’s and 10 years OR a bachelor’s and 12 years OR an associate’s and 14 years OR HS and 16 years. Must meet Information Assurance Technical (IAT) Level 2 certification requirements. Additional requirements include:
* Must have at least 5 years of relevant ServiceNow experience that can be a combination of work history, education, and training.
* Must have Certification: ServiceNow Certified System Administrator.
* Must have at least one other advanced ServiceNow certification.
* Team Leadership experience.
* The candidate must be highly motivated. Able to work independently with both local and geographically diverse team members. Using effective time management skills to meet deliverable timelines.
* The candidate must also have experience working within concept, design, engineering, production, and sustainment phases of ServiceNow system development lifecycle.
* Experience with at least one of (Agile, Scrum, SDLC).
* Must be able to work with minimal supervision to perform complex technical tasks and lead others effectively.
* Must be able to process and analyze information and trouble calls submitted by a customer (e.g., system administrator, developer, security specialist), make determinations, and provide and implement solutions.
* Proven experience automating the implementation and configuration of ServiceNow technologies to support large scale enterprise solution deployments and configuration management efforts.
* Hands\-on experience with developing, evaluating, assessing, and refining automated testing, validation, and verifications methods.
* Excellent client\-facing and internal communication skills.
* Exceptional organizational skills, including attention to detail, multitasking and critical thinking skills.
* Skilled in working within a team environment within a professional office setting.
* Skilled in the ability to focus study and research to rapidly solve specific problems.
* Excellent and clear written documentation skills.
* Excellent self\-study to achieve advanced training as required by the team and the program.
* Thrive within a highly dynamic and changing environment while adapting and managing shifting customer priorities.
* Excellent verbal communication skills.
* Working knowledge of Service Now or other ITSM.
* Experience working with Microsoft Office products: Word, Excel, PowerPoint, and Outlook.
* Experience innovating in a collaborative environment.
* Advanced system architecture, design, and integration.
* Experience with databases. Ideally including MariaDB.
* Required Cross platform and integration experience including Windows, Linux, Juniper, and Cisco.
* Demonstrated experience developing and scripting within ServiceNow using languages such as JavaScript, as well as integrating ServiceNow with external systems using Java, Python, Perl, or PowerShell.
**Desired Qualifications:**
* CompTIA Security\+ or equivalent will meet the minimum requirement for the role.
* ISC2 CISSP or equivalent is strongly preferred and exceeds the minimum requirement for this role.
**Ready to join our team? Apply today!**
 Our NMS ServiceNow Software Designer (IT Software Developer III) (Government) earns between $108,000 \- $225,000 yearly.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\*Pro\-rated when working less than 40 hrs/wk.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AT\&amp;T internet (and fiber where available) and AT\&amp;T phone
**Weekly Hours:**
 40
**Time Type:**
 Regular
**Location:**
 Chantilly, Virginia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108">
      <c r="A108" t="inlineStr">
        <is>
          <t>li-4334402265</t>
        </is>
      </c>
      <c r="B108" t="inlineStr">
        <is>
          <t>Senior AI/ML Software Engineer (Remote in Utah)</t>
        </is>
      </c>
      <c r="C108" t="inlineStr">
        <is>
          <t>Rocket Lawyer</t>
        </is>
      </c>
      <c r="D108" t="inlineStr">
        <is>
          <t>linkedin</t>
        </is>
      </c>
      <c r="E108" t="inlineStr"/>
      <c r="F108" t="inlineStr"/>
      <c r="G108" t="inlineStr">
        <is>
          <t>Utah, United States</t>
        </is>
      </c>
      <c r="H108" t="inlineStr"/>
      <c r="I108" t="inlineStr">
        <is>
          <t>**About Rocket Lawyer**
 We believe everyone deserves access to affordable and simple legal services. Founded in 2008, Rocket Lawyer is the largest and most widely used online legal service platform in the world. With offices in North America, South America, and Europe, Rocket Lawyer has helped over 30 million people create over 50 million legal documents, and get their legal questions answered.
 We are in a unique position to enhance and expand the Rocket Lawyer platform to a scale never seen before in the company’s history, to capture audiences worldwide. We are expanding our team to take on this challenge!
**About Your Role**
 Rocket Lawyer is seeking an experienced, passionate Senior AI/ML software engineer for Rocket Copilot, our new AI assistant launched in December 2023\. In this role, you will help our team deeply embed AI features across our platform. You will work in an agile, cross\-functional team, working with multiple product teams as we build out AI features across Rocket Lawyer. You will design, implement, test, release, and maintain new AI features, working closely with product managers, UX designers, data engineers, QA engineers, and others.
 We value a fun, collaborative, team\-oriented work environment, where we celebrate our accomplishments.
**How You Will Make a Difference Day To Day**
* Rapidly prototype product features to explore new AI capabilities, while writing clean, understandable code
* Deliver generative AI features to production
* Mentor junior AI developers
* Create, monitor and troubleshoot backend API services to allow Rocket Lawyer product frontends to interact with ML models
* Work closely with multiple product teams and cross\-functional teammates to quickly integrate AI into existing and new Rocket Lawyer products
* Build, train, fine\-tune, deploy and maintain ML models for AI features
* Keep up\-to\-date with industry trends around generative AI and machine learning
**What You’ll Need**
* 7\+ years of experience writing ML code for launched products
* Experience leading a small team of developers
* Experience writing production features leveraging LLMs and generative AI
* Understanding of the state of the art in generative AI, including RAG, LoRA, RLHF and others
* Experience creating data sets from proprietary anonymized data, and using them to train and fine\-tune ML models
* Strong programming skills in Python
**A plus if you have**
* Experience with Pydantic AI
* Experience with vector databases
* Strong programming skills in NodeJS, Java, Kotlin, or similar languages
* Experience or familiarity with AI model evaluation techniques
* Interest in building user\-facing products
* Understanding of microservices architectures and distributed systems
* Experience with building data pipelines using technologies such as Snowflake or Hive
* Experience with machine learning frameworks like TensorFlow, PyTorch and Scikit\-Learn
* Strong programming skills in SQL
**Benefits \&amp; Perks**
* Comprehensive health plans (including Medical, Dental and Vision insurance for full\-time employees)
* Unlimited PTO
* Competitive salary packages
* Life insurance
* Disability benefits
* Supplemental Optional Life Insurance Benefits
* FSA Options Optional
* HSA with Company Match
* 401k program with Company Match
* Fertility Assistance and Planning options
* Wellhub \&amp; ClassPass fitness platforms
* Comprehensive Pet Insurance options
* Financial Wellbeing \&amp; Student Loan Program access
* Access to additional Mental Health \&amp; Wellbeing resources
* Pre\-tax Commuter/Transit Benefits
* Free Rocket Lawyer account with online access to an extensive legal documents library and brilliant licensed attorneys at discounted rates
**Interview Process**
* Recruiter Phone Screen
* Role Assessment(s)
* Hiring Manager Interview
* Panel Interviews
* Final Interview
*Rocket Lawyer is proudly committed to recruiting and retaining a diverse and inclusive workforce. As an Equal Opportunity Employer, we never discriminate based on race, religion, color, national origin, gender (including pregnancy, childbirth, or related medical conditions), sexual orientation, gender identity, gender expression, age, military or veteran status, status as an individual with a disability, or other applicable legally protected characteristics. We particularly welcome applications from veterans and military spouses.*
*All your information will be kept confidential according to EEO guidelines.*
*You may request reasonable accommodations by sending an email to* 
*hr@rocketlawyer.com* 
*.*
**Compensation**
 Base salary range by location:
* San Francisco Bay Area, CA: $189,000 \- $256,000
* California (outside of San Francisco Bay Area) and Colorado: $160,000 \- $218,000
* Utah, Arizona, and North Carolina: $150,000 \- $205,000
 Actual compensation packages are determined by various factors unique to each candidate, including but not limited to skill set, depth of experience, certifications, specific work location, and performance during the interview process.
 $150,000—$256,000 USD
 By applying for this position, your data will be processed as per Rocket Lawyer Privacy Policy.</t>
        </is>
      </c>
    </row>
    <row r="109">
      <c r="A109" t="inlineStr">
        <is>
          <t>li-4305533857</t>
        </is>
      </c>
      <c r="B109" t="inlineStr">
        <is>
          <t>Staff Software Engineer (K8s)</t>
        </is>
      </c>
      <c r="C109" t="inlineStr">
        <is>
          <t>Crusoe</t>
        </is>
      </c>
      <c r="D109" t="inlineStr">
        <is>
          <t>linkedin</t>
        </is>
      </c>
      <c r="E109" t="inlineStr"/>
      <c r="F109" t="inlineStr"/>
      <c r="G109" t="inlineStr">
        <is>
          <t>San Francisco, CA</t>
        </is>
      </c>
      <c r="H109" t="inlineStr"/>
      <c r="I109" t="inlineStr">
        <is>
          <t>Crusoe's mission is to accelerate the abundance of energy and intelligence. We’re crafting the engine that powers a world where people can create ambitiously with AI — without sacrificing scale, speed, or sustainability.
 Be a part of the AI revolution with sustainable technology at Crusoe. Here, you'll drive meaningful innovation, make a tangible impact, and join a team that’s setting the pace for responsible, transformative cloud infrastructure.
**About This Role:**
 We are looking for a highly skilled engineer with deep experience running Kubernetes at scale. You will help design, build, and operate Crusoe’s next\-generation Kubernetes platform across global datacenters, ensuring performance, reliability, and automation at every layer of the stack.
**What You’ll Be Working On:**
* Architect, implement, and operate scalable and reliable Kubernetes clusters with automated lifecycle management
* Develop and automate tests to ensure the quality and stability of the cluster, and to proactively identify and resolve potential hardware or software issues
* Architect and implement, operate Kubernetes networking including CNI and service mesh
* Identify gaps and develop internal tools, APIs, and command\-line interfaces (CLIs) that enable customers to deploy and effectively monitor internal services
* Establish observability best practices using Prometheus, Grafana, and OpenTelemetry to ensure cluster and control plane reliability
* Implement security best practices by utilizing Kubernetes RBAC, security, and network policies
* Mentor engineers and shaping technical direction for Crusoe’s Kubernetes platform
**What You’ll Bring to the Team:**
* 7\+ years in infrastructure engineering, including 3\+ years operating Medium to Large size Kubernetes Clusters in production
* Strong background in Kubernetes internals and best practices
* Extensive experience in Kubernetes cluster bootstrapping and lifecycle management
* Deep knowledge of Kubernetes networking – CNIs, load balancers, service mesh
* Experience with Linux kernel and container runtime
* Experience with Kubernetes observability
* Experience with PKI, identity, and secrets management
* Experience with infrastructure\-as\-code tools
* Strong programming skills in Go for building operators, and automation tooling
* Excellent debugging skills for complex distributed systems
* Strong communication and collaboration across cross\-functional teams
**Bonus Points:**
* Extensive experience in managing large\-scale Kubernetes clusters
* Contributions to open source Kubernetes or related ecosystem projects
* Familiarity with GPUs, HPC clusters, or large\-scale AI/ML workloads
**Benefits:**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$300 per month
**Compensation:**
 Compensation will be paid in the range of $204,000 \- $247,000 \+ Bonus. Restricted Stock Units are included in all offers. Compensation to be determined by the applicant’s education, experience, knowledge, skills,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row>
    <row r="110">
      <c r="A110" t="inlineStr">
        <is>
          <t>li-4347682840</t>
        </is>
      </c>
      <c r="B110" t="inlineStr">
        <is>
          <t>Staff Software Engineer, Android</t>
        </is>
      </c>
      <c r="C110" t="inlineStr">
        <is>
          <t>Suno</t>
        </is>
      </c>
      <c r="D110" t="inlineStr">
        <is>
          <t>linkedin</t>
        </is>
      </c>
      <c r="E110" t="inlineStr"/>
      <c r="F110" t="inlineStr"/>
      <c r="G110" t="inlineStr">
        <is>
          <t>New York, NY</t>
        </is>
      </c>
      <c r="H110" t="inlineStr"/>
      <c r="I110" t="inlineStr">
        <is>
          <t>**About Suno**
 Suno is a music company built to amplify imagination, where ideas flow into sound and songs become yours. Our core product is powered by the world’s most advanced music\-generation model, enabling anyone, regardless of experience, to create studio\-quality songs with original beats, instruments, and vocals. We’re also building a one\-of\-a\-kind ecosystem of musical experiences: from Suno Studio, our professional toolset for editing and refining audio, to Hooks, a new way to create and share music videos that bring songs to life.
 Founded just two years ago by Harvard alumni with a shared passion for music, Suno has already reached
 **$200 million in subscription revenue** 
 , making us one of the fastest\-growing AI startups in the world. As of November 2025, the company is
 **valued at $2\.45 billion** 
 and has raised
 **$375 million in VC funding** 
 . Today, more than
 **100 million people have created songs** 
 with Suno, and our
 **150 bandmates** 
 collaborate across offices in Boston/Cambridge, Venice Beach, San Francisco, and New York City.
 With over
 **10 million Play Store downloads and a 4\.9 rating** 
 , Suno’s Android team plays a key role in shaping the future of our products and the success of our company.
**About The Role**
 We’re looking for early members of our Android team. You’ll work closely with the founding team and have ownership of a wide variety of technical and design decisions for Suno’s Android app.
 Check out the Suno song we made about this role: https://suno.com/s/oEdmOtkZDLHCopSG
**What You’ll Do**
* Design and build Suno’s Android app for creating, exploring, and listening to music
* Create foundational abstractions and libraries for performant, highly interactive media experiences
* Own feature development from zero to one, and beyond.
* Contribute to design and product decisions across the app
* Optimize the performance, joy, beauty, and feel of our products
**What You’ll Need**
* 7\+ years experience shipping production Android apps
* Advanced expertise in Kotlin
* Experience with modern Android development frameworks and best practices
* Experience building fluid animations, with an eye for translating prototypes into robust code
* A keen sense of what’s unique about Android, and how that can be used in relation to a media application
* Prior experience with exoplayer and media3 is a huge plus
* An obsession with great user experiences, getting the details right, iterating \&amp; learning rapidly, and working hard
* A love of music (listening, exploring, making) is a huge plus
* Bachelor's degree or equivalent required.
**Perks \&amp; Benefits For Full\-Time Employees**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**Additional Notes**
 Applicants must be eligible to work in the US.
**Compensation**
 $200,000 \- $300,000 annual base salary (before equity)
**Life at Suno:** 
 https://suno.com/about
**Series C Announcement:** 
 https://suno.com/blog/series\-c\-announcement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111">
      <c r="A111" t="inlineStr">
        <is>
          <t>li-4356730950</t>
        </is>
      </c>
      <c r="B111" t="inlineStr">
        <is>
          <t>Staff Software Engineer, Storage- Weights &amp; Biases</t>
        </is>
      </c>
      <c r="C111" t="inlineStr">
        <is>
          <t>Weights &amp; Biases</t>
        </is>
      </c>
      <c r="D111" t="inlineStr">
        <is>
          <t>linkedin</t>
        </is>
      </c>
      <c r="E111" t="inlineStr"/>
      <c r="F111" t="inlineStr"/>
      <c r="G111" t="inlineStr">
        <is>
          <t>New York, NY</t>
        </is>
      </c>
      <c r="H111" t="inlineStr"/>
      <c r="I111"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Storage team is responsible for building and operating the platforms that enable our engineers to ship software quickly, reliably, and safely. This team owns the patterns, tools, automation, and release processes that underpin our engineering organization's ability to deliver software to customers in GCP, AWS, Azure, and even self\-hosted environments.
**About The Role**
 We are seeking a highly skilled Staff DevOps Engineer with expertise in both cloud and on\-premises environments. In this role, you will architect, implement, and optimize scalable infrastructure solutions while leading automation, CI/CD, and deployment across hybrid platforms. You’ll mentor engineers, drive adoption of DevOps best practices, and champion a seamless developer experience by streamlining workflows and improving tooling. You will collaborate closely with Solutions Architects, Field Engineers, and product teams to deliver robust, integrated solutions tailored to customer needs.
**Who You Are**
* 10\+ years of DevOps or engineering experience
* Expert in at least one major cloud platform (AWS, Azure, GCP)
* Strong skills in infrastructure as code, automation, and configuration management (Terraform, CloudFormation, Ansible, etc.)
* Proficient in scripting languages (Python, Bash, etc.)
* Experience with containerization (Docker, Kubernetes)
* Deep understanding of database/streaming internals (Cassandra, MySQL, Kafka, etc.)
* Proven leadership and mentoring experience
* Passion for improving developer experience and enabling engineering productivity
**Preferred**
* Cloud certifications (AWS Solutions Architect, Azure Architect, etc.)
* Experience with monitoring tools (Prometheus, Datadog, etc.)
* Familiarity with security best practices in hybrid environments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building scalable infrastructure that supports both cloud and on\-prem environments
* You’re curious about modern DevOps practices and how to improve developer workflows
* You’re an expert in automation, CI/CD, and containerized systems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12">
      <c r="A112" t="inlineStr">
        <is>
          <t>li-4367253830</t>
        </is>
      </c>
      <c r="B112" t="inlineStr">
        <is>
          <t>Lead Software Engineer, Back End (Global Payment Network)</t>
        </is>
      </c>
      <c r="C112" t="inlineStr">
        <is>
          <t>Capital One</t>
        </is>
      </c>
      <c r="D112" t="inlineStr">
        <is>
          <t>linkedin</t>
        </is>
      </c>
      <c r="E112" t="inlineStr"/>
      <c r="F112" t="inlineStr"/>
      <c r="G112" t="inlineStr">
        <is>
          <t>Deerfield, IL</t>
        </is>
      </c>
      <c r="H112" t="inlineStr"/>
      <c r="I11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Java, Scala, Python, Go, or Node.js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3">
      <c r="A113" t="inlineStr">
        <is>
          <t>li-4367249910</t>
        </is>
      </c>
      <c r="B113" t="inlineStr">
        <is>
          <t>Lead Software Engineer, Back End (Global Payment Network)</t>
        </is>
      </c>
      <c r="C113" t="inlineStr">
        <is>
          <t>Capital One</t>
        </is>
      </c>
      <c r="D113" t="inlineStr">
        <is>
          <t>linkedin</t>
        </is>
      </c>
      <c r="E113" t="inlineStr"/>
      <c r="F113" t="inlineStr"/>
      <c r="G113" t="inlineStr">
        <is>
          <t>Deerfield, IL</t>
        </is>
      </c>
      <c r="H113" t="inlineStr"/>
      <c r="I11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Java, Scala, Python, Go, or Node.js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4">
      <c r="A114" t="inlineStr">
        <is>
          <t>li-4367229508</t>
        </is>
      </c>
      <c r="B114" t="inlineStr">
        <is>
          <t>Senior Full Stack Software Engineer (FE leaning) Sales Planning</t>
        </is>
      </c>
      <c r="C114" t="inlineStr">
        <is>
          <t>Jobs via Dice</t>
        </is>
      </c>
      <c r="D114" t="inlineStr">
        <is>
          <t>linkedin</t>
        </is>
      </c>
      <c r="E114" t="inlineStr"/>
      <c r="F114" t="inlineStr"/>
      <c r="G114" t="inlineStr">
        <is>
          <t>Atlanta, GA</t>
        </is>
      </c>
      <c r="H114" t="inlineStr"/>
      <c r="I114"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**\*IN SCHOOL OR GRADUATED WITHIN THE LAST 12 MONTHS? PLEASE VISIT** 
**FUTURE FORCE** 
**FOR OPPORTUNITIES** 
 \*
 The Sales Planning organization at Salesforce is looking for an experienced engineering leader who is passionate about solving complex problems, interfacing with multiple teams, and driving technical excellence. We are building Salesforce's Sales Planning solution, enabling sales teams to bring together disciplines such Territory Carving, Segmentation, and Quota Planning to create agile, accurate sales plans.
 As a Senior Member of Technical Staff (SMTS) on the Sales Planning team , you will be responsible for the day\-to\-day is mainly front\-end developing Vue.js applications on the SFDC platform.
 This is a chance to show off expertise on a new salesforce product and Gartner segment (Sales Performance Management).We are re\-imagining sales planning for the AI era, transforming how businesses design territories, allocate resources, and set quotas to maximize sales productivity and coverage.
 You'll work on the next generation of our Sales Performance Management solutions, leveraging AI, geospatial intelligence from Salesforce Maps, and deep CRM integration to deliver predictive insights and optimized plans. You'll solve complex challenges in areas like territory optimization, capacity modeling, AI\-driven forecasting using modern technologies like Vue.js, ESRI/Mapbox SDKs, and AWS. You'll directly contribute to our customers' ability to achieve ambitious sales targets and drive significant B2B growth.
 This is a Front\-end Software Engineer role with opportunities for Full Stack Development. This is a hybrid work environment to the Atlanta, GA office, 10\+ times/quarter.
**Responsibilities**
* Design, document, and implement integrations with other systems and tools, ensuring data consistency, integrity, and adaptability.
* Create Web Components and applications to drive productivity, engagement, and best\-in\-class user experience.Develop and maintain custom Apex classes, triggers, and controllers as necessary to extend the utilization of the CRM platform.
* Support system performance monitoring, proactively addressing issues and iterating on solutions based on user feedback.
* Collaborate closely with cross\-functional teams such as data operations, analytics, security, and DevOps to ensure alignment with enterprise standards.Support and help manage technical debt, ensuring high reusability of common features.
* Mentor team members on technical standards, best practices, and overall technical excellence.Assist with each release cycle to implement and deploy new/updates to existing applications and code.Perform testing (unit and systems) and debugging.
* Strive towards coding best practices and data quality.
* Contribute to technical documentation.
* Provide technical leadership to a team of Salesforce developers and administrators, guiding them through agile delivery models, and ensuring best practices throughout the solution lifecycle.Drive technical design sessions, architect end\-to\-end solutions, and collaborate closely with business stakeholders, product owners, and QA resources to align technical choices with business goals.
* Translate business requirements into scalable, maintainable Salesforce architectures, and produce detailed technical documentation.
* Oversee and direct the creation of integrations between Salesforce and external systems by leveraging APIs, web services, and point\-to\-point integration techniques.Enforce high code quality standards, optimize for performance and scalability, and uphold Salesforce development best practices through code reviews and continuous process improvement.
* Apply understanding of Salesforce security, sharing, and data model principles, alongside the ability to lead scrum teams by managing sprints, backlogs, and developer assignments.
**Experience And Skills Requirements**
* 3\+ years of professional Front End Application development
* Experience with Vue.JS or React framework
* Experience with java and javascript
* A related technical degree required
**Preferred Experience And Skills**
* Experience in full\-stack development
* Experience with Managed Packages
* Experience with APEX
**Benefits \&amp; Perks**
 Check out our benefits site which explains our various benefits, including wellbeing reimbursement, generous parental leave, adoption assistance, fertility benefits, and more.
**Salesforce Information**
 Check out our Salesforce Engineering Site.
**\*IN SCHOOL OR GRADUATED WITHIN THE LAST 12 MONTHS? PLEASE VISIT** 
**FUTURE FORCE** 
**FOR OPPORTUNITIES** 
 \*
 Unleash Your Potential
 When you join Salesforce, you'll be limitless in all areas of your life. Our benefits and resources support you to find balance and be your best, and our AI agents accelerate your impact so you can do your best.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to the San Francisco Fair Chance Ordinance and the Los Angeles Fair Chance Initiative for Hiring, Salesforce will consider for employment qualified applicants with arrest and conviction records.</t>
        </is>
      </c>
    </row>
    <row r="115">
      <c r="A115" t="inlineStr">
        <is>
          <t>li-4367260668</t>
        </is>
      </c>
      <c r="B115" t="inlineStr">
        <is>
          <t>Lead Software Engineer, Back End (Global Payment Network)</t>
        </is>
      </c>
      <c r="C115" t="inlineStr">
        <is>
          <t>Capital One</t>
        </is>
      </c>
      <c r="D115" t="inlineStr">
        <is>
          <t>linkedin</t>
        </is>
      </c>
      <c r="E115" t="inlineStr"/>
      <c r="F115" t="inlineStr"/>
      <c r="G115" t="inlineStr">
        <is>
          <t>McLean, VA</t>
        </is>
      </c>
      <c r="H115" t="inlineStr"/>
      <c r="I11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Java, Scala, Python, Go, or Node.js
* 2\+ years of experience with AWS, GCP,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Riverwoods, IL: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6">
      <c r="A116" t="inlineStr">
        <is>
          <t>li-4359277557</t>
        </is>
      </c>
      <c r="B116" t="inlineStr">
        <is>
          <t>ML/OPS Lead Software Engineer</t>
        </is>
      </c>
      <c r="C116" t="inlineStr">
        <is>
          <t>U.S. Bank</t>
        </is>
      </c>
      <c r="D116" t="inlineStr">
        <is>
          <t>linkedin</t>
        </is>
      </c>
      <c r="E116">
        <f>HYPERLINK("https://www.linkedin.com/jobs/view/4359277557", "https://www.linkedin.com/jobs/view/4359277557")</f>
        <v/>
      </c>
      <c r="F116">
        <f>HYPERLINK("https://careers.usbank.com/global/en/job/UBNAGLOBAL20260001059EXTERNALENGLOBAL/ML-OPS-Lead-Software-Engineer?utm_source=linkedin&amp;utm_medium=phenom-feeds&amp;urlHash=KUHi", "https://careers.usbank.com/global/en/job/UBNAGLOBAL20260001059EXTERNALENGLOBAL/ML-OPS-Lead-Software-Engineer?utm_source=linkedin&amp;utm_medium=phenom-feeds&amp;urlHash=KUHi")</f>
        <v/>
      </c>
      <c r="G116" t="inlineStr">
        <is>
          <t>Cupertino, CA</t>
        </is>
      </c>
      <c r="H116" t="inlineStr"/>
      <c r="I116"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Be a part of transformational change where integrity matters, success inspires and great teams collaborate and innovate. As the fifth\-largest bank in the United States, we’re one of the country's most respected, innovative, ethical and successful financial institutions. We’re looking for people who want more than just a job – they want to make a difference! U.S. Bank is seeking a Software Engineer who will contribute toward the success of our technology initiatives in our digital transformation journey.
 The Software Engineer is part of the ML/Ops team and will be responsible for the analysis, design, testing, development and maintenance of best\-in\-class software experiences. The candidate is a self\-motivated individual who can collaborate with a team and across the organization. The candidate takes responsibility of the software artifacts produced adhering to U.S. Bank standards to ensure minimal impact to the customer experience. The candidate will be adept with the agile software development lifecycle and DevOps principles.
**Essential Responsibilities:**
* Able to communicate processes and results with all parties involved in the product team, including engineers, product owner, scrum master, third party vendors and customers
* Proficient understanding of algorithms, data structures, architectural design patterns and best practices
* Effective problem\-solving and analytical skills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 Exhibits relentless focus on software reliability engineering standards embedded into development standards
* Embraces emerging technology opportunities and contributes to the best practices in support of the bank’s technology transformation
* Contributes to a culture of innovation, collaboration and continuous improvement
* Reviews tasks critically and ensures they are appropriately prioritized and sized for incremental delivery; anticipates and communicates blockers and delays before they require escalation
**Basic Qualifications:**
* Bachelor’s degree, or equivalent work experience
* 6 plus years of relevant experience
**Required Skills/Experience:**
* Technically proficient and able to define and fulfill solutions requirements for end users
* Expertise with cloud platforms (Azure preferred)
* Exposure to Data Science concepts, model training and deployment processes
* Hands on experience with DevOps/ML/Ops practices
* Previous experience leading a team of engineers to take a project from inception to delivery working in a complex environment, collaborating with multiple enterprise teams
**Preferred Skills/Experience:**
* Adept with agile software development lifecycle and DevOps principles
* Thorough understanding of a feature, the users impacted, the flows impacted and feature's purpose
* Understanding of the team's domain, how work in this domain relates to the team's objectives and deliverables and how it contributes to overall business strategy and how technical strategy maps to this
* Ability to collaborate on all aspects of product development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$126,820\.00 \- $149,200\.00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17">
      <c r="A117" t="inlineStr">
        <is>
          <t>li-4359084039</t>
        </is>
      </c>
      <c r="B117" t="inlineStr">
        <is>
          <t>Senior Software Engineer (Full Stack)</t>
        </is>
      </c>
      <c r="C117" t="inlineStr">
        <is>
          <t>ICF</t>
        </is>
      </c>
      <c r="D117" t="inlineStr">
        <is>
          <t>linkedin</t>
        </is>
      </c>
      <c r="E117">
        <f>HYPERLINK("https://www.linkedin.com/jobs/view/4359084039", "https://www.linkedin.com/jobs/view/4359084039")</f>
        <v/>
      </c>
      <c r="F117" t="inlineStr"/>
      <c r="G117" t="inlineStr">
        <is>
          <t>Reston, VA</t>
        </is>
      </c>
      <c r="H117" t="inlineStr"/>
      <c r="I117" t="inlineStr">
        <is>
          <t>**Description**
**The Team**
 Our Health Engineering Solutions (HES) team works side by side with customers to articulate a vision for success, and then make it happen. We know success doesn't happen by accident. It takes the right team of people, working together on the right solutions for the customer. We are looking for a seasoned Full Stack Engineer who will be a key driver to make this happen.
 Our team supports the vision to improve patient quality care and consumer decision\-making by hospital providers across the country, by collecting, computing, and publicly reporting outcomes\-based hospital quality measure data. This contract will serve to develop a human\-centric reporting system that allows refinement, filtering, and data comparison, as well as the ability to view supplemental information. Leveraging modern technologies, DevOps practices, and cloud\-based infrastructure, our dynamic work environment involves multiple project teams collaborating toward a common vision of delivering an integrated solution.
**The Work**
 We are seeking a Full Stack Engineer to join our dynamic team. In this role, you will be responsible for working with a team of engineers and building enterprise\-level backend solutions using a variety of technologies. You will be working with React, Node, JavaScript, and OpenAPI to develop robust and scalable applications that support the Centers for Medicare and Medicaid Services (CMS) as we develop a next generation reporting and analytics system that directly impacts healthcare quality.
 Your responsibilities will also include leveraging AWS cloud technologies to manage large datasets and create efficient data pipelines.
 The ideal candidate will have a strong understanding of software development principles and a proven track record in backend development. Experience with Agile software development methodologies is a must, as we value collaboration and flexibility in our approach to project management.
 This is an excellent opportunity to work with a team of experienced professionals and contribute to the development of high\-quality software solutions. If you are passionate about technology, eager to learn, and want your work to impact systems that collect healthcare data used by hundreds of thousands of daily users, we want to (virtually) meet you!
**Job Location: Remote; however, this position requires that the job be performed in the United States and there will be travel of approximately 10% to a customer site. If you accept this position, you should note that ICF does monitor employee work locations and blocks access from foreign locations/foreign IP addresses and prohibits personal VPN connections.**
**Technologies**
* React
* Node.js
* AWS cloud technologies
* PostgreSQL
* ECS/Fargate
* Lambda
* Terraform
* Jenkins
* Git and GitHub
* Confluence / Jira
**Key Responsibilities And Job Duties**
* Design and build microservices and serverless applications in the cloud
* Implement web application changes and/or build new web applications using the React framework
* Work with Product Owner and UX design to understand and create solutions for diverse user requirements
* Work with Architects and other Engineers to help create and then implement development best practices
* Work with test engineering team to assure product quality
* Collaborate in a fast\-paced Agile environment
* Participate in team code reviews and design reviews
* Help our support team triage bugs and troubleshoot production issues
* Cooperating with the back\-end developers in the process of building the applications
* Work independently to design, develop, and document solutions, while adhering to all applicable standards (e.g., architectural, coding, security)
* Work with DevOps engineers on CI, CD, and IaC
* Read specs and translate them into test designs and test automation
* Perform code reviews and develop processes for improving code quality
**Required Qualifications**
* Bachelor’s degree in computer science or related field of study. Relevant experience in the field may be considered.
* 3\+ years of experience with modern design patterns and building enterprise\-grade production applications, as well as experience with version control tools, such as Git
* 3\+ years of experience in full stack software development
* 1\+ year of React software engineering experience
* 1\+ year experience Node JS engineering experience
* Candidate must be able to obtain and maintain a Public Trust Clearance
* Candidate must reside in the U.S., be authorized to work in the U.S., and all work must be performed in the U.S.
* Candidate must have lived in the U.S. for three (3\) full years out of the last five (5\) years
**Preferred Qualifications**
* "U.S. Citizenship or Green Card is highly prioritized due to federal contract requirements"
* Master's degree in computer science or related field
**Working at ICF**
 ICF is a global advisory and technology services provider, but we’re not your typical consultants. We combine unmatched expertise with cutting\-edge technology to help clients solve their most complex challenges, navigate change, and shape the future.
 We can only solve the world's toughest challenges by building a workplace that allows everyone to thrive. We are an equal opportunity employer. Together, our employees are empowered to share their expertise and collaborate with others to achieve personal and professional goals. For more information, please read our EEO policy.
 We will consider for employment qualified applicants with arrest and conviction records.
 Reasonable Accommodations are available, including, but not limited to, for disabled veterans, individuals with disabilities, and individuals with sincerely held religious beliefs, in all phases of the application and employment process. To request an accommodation, please email Candidateaccommodation@icf.com and we will be happy to assist. All information you provide will be kept confidential and will be used only to the extent required to provide needed reasonable accommodations.
 Read more about workplace discrimination rights or our benefit offerings which are included in the Transparency in (Benefits) Coverage Act.
**Candidate AI Usage Policy**
 At ICF, we are committed to ensuring a fair interview process for all candidates based on their own skills and knowledge. As part of this commitment, the use of artificial intelligence (AI) tools to generate or assist with responses during interviews (whether in\-person or virtual) is not permitted. This policy is in place to maintain the integrity and authenticity of the interview process.
 However, we understand that some candidates may require accommodation that involves the use of AI. If such an accommodation is needed, candidates are instructed to contact us in advance at candidateaccommodation@icf.com. We are dedicated to providing the necessary support to ensure that all candidates have an equal opportunity to succeed.
**Pay Range** 
 \- There are multiple factors that are considered in determining final pay for a position, including, but not limited to, relevant work experience, skills, certifications and competencies that align to the specified role, geographic location, education and certifications as well as contract provisions regarding labor categories that are specific to the position.
 The pay range for this position based on full\-time employment is:
 $81,499\.00 \- $167,644\.00
 Nationwide Remote Office (US99\)</t>
        </is>
      </c>
    </row>
    <row r="118">
      <c r="A118" t="inlineStr">
        <is>
          <t>li-4367496957</t>
        </is>
      </c>
      <c r="B118" t="inlineStr">
        <is>
          <t>AI Software Engineer</t>
        </is>
      </c>
      <c r="C118" t="inlineStr">
        <is>
          <t>People In AI</t>
        </is>
      </c>
      <c r="D118" t="inlineStr">
        <is>
          <t>linkedin</t>
        </is>
      </c>
      <c r="E118">
        <f>HYPERLINK("https://www.linkedin.com/jobs/view/4367496957", "https://www.linkedin.com/jobs/view/4367496957")</f>
        <v/>
      </c>
      <c r="F118" t="inlineStr"/>
      <c r="G118" t="inlineStr"/>
      <c r="H118" t="inlineStr"/>
      <c r="I118" t="inlineStr">
        <is>
          <t>**Job Title:** 
 AI Software Engineer
**Compensation:** 
 $180,000 \- $200,000 base \+ equity
**Location:** 
 Remote (US)
 This high\-growth startup is building the backbone for high\-assurance Generative AI applications. As GenAI systems become more intricate and business\-critical, engineering teams need transparent, reliable infrastructure to validate performance, monitor behavior, and ensure real\-world reliability. Backed by top\-tier investors, this team is moving fast to build tools that make GenAI development more predictable, trustworthy, and scalable.
**About the Role:** 
 This is a high\-impact opportunity for an experienced full\-stack AI engineer who thrives in fast\-paced, early\-stage environments. You’ll work across the stack \- from UI to backend to AI integrations \- owning feature delivery end\-to\-end. You'll play a key role in shaping the architecture, contributing to core platform capabilities, and bringing new GenAI\-powered features to production.
**What You’ll Do:** 
* Design and ship production\-grade Generative AI capabilities
* Build full\-stack features using TypeScript, React, and Node.js
* Develop observability and AI\-tracing systems for complex AI workflows
* Own feature delivery from requirements to implementation and iteration
* Collaborate cross\-functionally with product, design, and leadership
* Improve performance, reliability, and quality of AI\-driven systems
* Contribute to internal frameworks and reusable components
* Lead and participate in technical discussions and code reviews
**What You’ll Bring:** 
* Ample full\-stack software engineering experience
* Proven experience with LLM\-powered applications, agents, or workflows
* Strong skills in TypeScript, React, and Node.js
* Familiarity with GenAI development patterns (RAG, embeddings, vector search)
* Hands\-on with orchestration tools (LangChain, LangGraph, LlamaIndex, etc.)
* Ability to operate autonomously and make pragmatic technical decisions
* Strong debugging, architecture, and performance tuning skills
**Tech Stack:** 
* TypeScript / React / Node.js
* LLM orchestration tools: LangChain, LangGraph, LlamaIndex
* Observability: OpenTelemetry, custom tracing systems
* GenAI integrations and evaluation frameworks
* Bonus: Python, vector databases, ML infra, open\-source contributions
**Why Join?** 
* Work on real\-world AI systems with a major impact on production reliability
* Join an ambitious, fast\-growing team tackling foundational challenges in GenAI
* Fully remote with flexible hours and generous PTO
* Employee equity and regular team off\-sites
* Big growth potential in a critical emerging space
**About People In AI:** 
 People In AI connects top\-tier talent with the most ambitious companies in artificial intelligence. We work with founders, VCs, and engineering leaders to build world\-class teams shaping the future of machine learning and AI infrastructure.</t>
        </is>
      </c>
    </row>
    <row r="119">
      <c r="A119" t="inlineStr">
        <is>
          <t>li-4367485297</t>
        </is>
      </c>
      <c r="B119" t="inlineStr">
        <is>
          <t>Software Engineer, ML</t>
        </is>
      </c>
      <c r="C119" t="inlineStr">
        <is>
          <t>General Motors</t>
        </is>
      </c>
      <c r="D119" t="inlineStr">
        <is>
          <t>linkedin</t>
        </is>
      </c>
      <c r="E119">
        <f>HYPERLINK("https://www.linkedin.com/jobs/view/4367485297", "https://www.linkedin.com/jobs/view/4367485297")</f>
        <v/>
      </c>
      <c r="F119" t="inlineStr"/>
      <c r="G119" t="inlineStr"/>
      <c r="H119" t="inlineStr"/>
      <c r="I119" t="inlineStr">
        <is>
          <t>**About The Company**
 General Motors (GM) is a globally recognized leader in automotive manufacturing and innovation, dedicated to shaping the future of mobility. With a rich history of technological advancements and a commitment to sustainability, GM strives to deliver safe, reliable, and environmentally friendly transportation solutions. The company fosters a culture of innovation, collaboration, and diversity, aiming to create a world with Zero Crashes, Zero Emissions, and Zero Congestion. Through its cutting\-edge research and development initiatives, GM is at the forefront of autonomous vehicle technology, electric vehicles, and smart mobility solutions, empowering communities and transforming the way people move around the world.
**About The Role**
 The Smart Agents group at GM is seeking a highly skilled Machine Learning Engineer to join our dynamic team dedicated to developing simulation systems for autonomous vehicles. This role involves designing and implementing machine learning models and reinforcement learning policies that simulate realistic interactions among road users, including vehicles, bikers, and pedestrians. The primary focus is on creating sophisticated ML/AI models that control virtual characters within simulation environments, enabling autonomous vehicles to learn and adapt to complex driving scenarios. The successful candidate will collaborate closely with teams specializing in behaviors, perception, and safety engineering to optimize simulation accuracy and efficiency. Responsibilities include developing training loops, streamlining optimization processes, building ML infrastructure, and managing data pipelines for both production deployment and rapid experimentation cycles. Candidates with experience in simulation, robotics, or related fields will be highly valued, especially those from AV or robotics backgrounds rather than solely cloud\-focused companies.
**Qualifications**
* 4\+ years of experience in robotics, autonomous systems, or latency\-sensitive backend services
* Proven expertise in machine learning and classification tasks
* Experience with ML frameworks such as TensorFlow or PyTorch
* Strong programming skills in modern C\+\+ and Python
* Experience profiling CPU and GPU software, process scheduling, and prioritization
* Ability to design and integrate systems across multiple platforms
* Knowledge of reinforcement learning and sequence prediction models
* Ability to investigate complex technical areas and maintain a broad understanding of related systems
* Excellent judgment in balancing coding, design, technical strategy, and mentorship responsibilities
**Responsibilities**
* Develop and refine machine learning and reinforcement learning models to simulate realistic road user behaviors in autonomous vehicle environments
* Create and optimize training loops and algorithms for efficient model learning and deployment
* Streamline system and ML pipeline optimization to enhance simulation performance and scalability
* Build and maintain robust ML infrastructure and data pipelines for production and experimental purposes
* Collaborate with cross\-functional teams including perception, behavior, and safety engineers to ensure simulation fidelity
* Profile and optimize CPU and GPU software to improve computational efficiency
* Investigate and troubleshoot complex technical challenges across multiple systems
* Mentor junior team members and contribute to technical strategy and planning
**Benefits**
* Competitive salary range of $134,000 to $235,900, commensurate with experience and location
* Performance\-based bonus potential
* Comprehensive health and wellbeing benefits including medical, dental, and vision coverage
* Health Savings Account (HSA) and Flexible Spending Accounts (FSA)
* Retirement savings plans
* Sickness and accident benefits, life insurance
* Paid vacation and holidays
* Tuition assistance programs and employee assistance programs
* GM vehicle discounts and other employee perks
 Equal Opportunity
 General Motors is an equal opportunity employer committed to fostering an inclusive environment for all employees. We welcome applications from individuals of diverse backgrounds, including those with disabilities. If you require a reasonable accommodation during the application process or employment, please contact us via email or phone. We believe in creating a workplace where everyone can thrive and contribute to our shared vision of innovative mobility solutions.</t>
        </is>
      </c>
    </row>
    <row r="120">
      <c r="A120" t="inlineStr">
        <is>
          <t>li-4367490035</t>
        </is>
      </c>
      <c r="B120" t="inlineStr">
        <is>
          <t>Software Engineer</t>
        </is>
      </c>
      <c r="C120" t="inlineStr">
        <is>
          <t>FanDuel</t>
        </is>
      </c>
      <c r="D120" t="inlineStr">
        <is>
          <t>linkedin</t>
        </is>
      </c>
      <c r="E120">
        <f>HYPERLINK("https://www.linkedin.com/jobs/view/4367490035", "https://www.linkedin.com/jobs/view/4367490035")</f>
        <v/>
      </c>
      <c r="F120" t="inlineStr"/>
      <c r="G120" t="inlineStr">
        <is>
          <t>New York, NY</t>
        </is>
      </c>
      <c r="H120" t="inlineStr"/>
      <c r="I120" t="inlineStr">
        <is>
          <t>**THE POSITION**
 Our roster has an opening with your name on it
 We're growing our Trader Automation Engineering team that works on some of the coolest software in the industry \- the systems that price betting markets for the major US sports! The team you will join works proactively with other teams across the organization to build best in class trader automation tooling, while proactively identifying opportunities for technical innovation within the Risk and Trading organization. Our stakeholders are the people who establish the odds and prices for the \#1 sports book in America!
 As a Software Engineer within FanDuel’s Trading Solutions team, you will be an essential part of a cross functional agile team that directly impacts our business. You will work collaboratively with a team to implement creative, high\-quality solutions, scope effort and timelines, and balance priorities of our stakeholders and engineering needs. This team will work closely to deliver exceptionally high\-quality software, while taking pride and ownership in testing, deploying, monitoring, and maintaining that software.
 **Our engineers own every part of the software delivery lifecycle** 
 .
 You will work directly with quantitative analysts and sports platform engineering teams at FanDuel to improve the user experience of our trading teams. You will go beyond the software developer role and will be called upon to identify opportunities yourself in the trader automation space to innovate through technology.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and deliver constant improvements to our systems. We want you to be excited about constantly learning and driving your professional development. You should have many of the following skills and be eager to build the skills you don’t!:
* You work in project ideas with stakeholders, and peers
* You own parts of product and technology \&amp; become subject matter experts
* You write simple and extendable code following standards and best practices.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On\-call rotation where required. You provide excellent customer support
* You keep yourself up to date with market standards, open\-source frameworks
* Creative problem\-solving ability
* A passion for learning and always getting better
* Most importantly, you are; humble, pragmatic, self\-managed, thirsty for knowledge, never satisfied and always challenging the norm. Responsible for the state of the code you both inherit and produce
**THE STATS**
 What we're looking for in our next teammate
* Degree in Computer Science, Data Science, Engineering or related discipline.
* 3 or more years of industry experience in an Engineering field.
* Proficient in building services with a modern OOP language (C\# experience is required).
* A fundamental understanding of data structures and algorithms.
* Experience working with CI/CD pipeline tooling (BuildKite and GitHub Actions knowledge is beneficial).
* Experience working with cloud\-based infrastructure and technologies.
* Knowledge of infrastructure as code is nice to have, notably Terraform and Helm.
* Experience interacting and designing relational databases.
* Experience with streaming technologies, like Kafka, is preferable.
* Ability to document code, research, and designs clearly.
* Proficiency in translating requirements into design and developing applications.
* Understanding of containers (e.g. Docker), and orchestration (Kubernetes).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21">
      <c r="A121" t="inlineStr">
        <is>
          <t>li-4367632095</t>
        </is>
      </c>
      <c r="B121" t="inlineStr">
        <is>
          <t>Software Engineer</t>
        </is>
      </c>
      <c r="C121" t="inlineStr">
        <is>
          <t>Octaura</t>
        </is>
      </c>
      <c r="D121" t="inlineStr">
        <is>
          <t>linkedin</t>
        </is>
      </c>
      <c r="E121">
        <f>HYPERLINK("https://www.linkedin.com/jobs/view/4367632095", "https://www.linkedin.com/jobs/view/4367632095")</f>
        <v/>
      </c>
      <c r="F121" t="inlineStr"/>
      <c r="G121" t="inlineStr">
        <is>
          <t>New York, United States</t>
        </is>
      </c>
      <c r="H121" t="inlineStr"/>
      <c r="I121" t="inlineStr">
        <is>
          <t>**It's time to transform markets** 
 Existing workflows within syndicated loan and CLO markets are painful for clients: they are outdated, overcomplicated, and time\-consuming. It’s time for a change.
 Octaura is reimagining the way these markets trade, with efficiency, transparency and simplicity at the heart of what we do. We bring trading capabilities, data and analytics together for the first time on a digitized platform–fundamentally transforming the markets and streamlining workflows like never before.
**At Octaura, everyone belongs** 
 It’s essential that Octaurians are confident in knowing they have the space to use their voice and talents. The world is diverse and we actively want our team to reflect this. We’re a values\-driven company and by engaging, solving and evolving together, we create a culture that is collaborative, transparent, impactful and innovative. And fun!
 **The role in a nutshell** 
 Octaura is building out our tech team and we’re looking for Software Engineers interested in building high performance, next generation technology that will revolutionize the loans industry. This is an environment for those seeking to drive innovation and get charged up working with top engineering talent. We are looking for results\-oriented developers who thrive in a fast\-paced, collaborative environment, and enjoy solving challenging and complex customer problems. This is an exciting time for Octaura as we are rapidly growing and are looking for energetic, collaborative and driven thinkers to join us! Please note this role is based out of our NYC office (at 5 Penn Plaza, 6th Floor, New York, NY 10001\) and our current structure is 4 days in the office (Monday\-Thursday), 1 day from home (Friday).
 **Core responsibilities**
* Work with a team of smart and passionate engineers to build and maintain our proprietary electronic trading platform
* Use modern tools and methods to expand the capabilities of our cloud\-based application
* Help to transition development of our platform to our in\-house team
* Collaborate with product teams to develop solutions for current and future customers
**Desired Experience**
* 8\+ years of experience software engineering and data\-related technologies
* Bachelor’s degree in computer science, engineering, or related field
* Experience in Java (strongly preferred) or other Object\-Oriented languages
* Experience in React, TypeScript desirable
* Experience in CSS, State Management (Redux / Context API), WebSockets desirable
* Experience with Multithreading Design Patterns
* Experience with relational databases and SQL
* Experience building cloud\-based applications
* Effective communication, organizational, and analytical skills
 The base pay range for this position in New York is $180,000 \- $200,000 annually. Pay may vary depending on job\-related knowledge, skills, and experience. Equity and year\-end bonus may be provided as part of the compensation package, in addition to a full range of medical, financial, and other benefits, dependent on the position offered. Applicants should apply via Octaura's internal or external careers site.
**Benefits**
**Octaura Work Perks** 
 At Octaura, our people are our most valuable asset, and we are pleased to offer the following benefits to all full\-time employees:
* Competitive compensation and equity
* Flexible Paid Time Off
* Competitive Parental Leave
* Daily breakfast, coffee and snacks in the office
* 90% company\-paid healthcare
* Onsite gym \&amp; discounted membership
**We’re committed to equal opportunity employment** 
 Octaura is committed to a diverse and inclusive workplace. We are an equal opportunity employer and do not discriminate on the basis of race, national origin, gender, gender identity, sexual orientation, protected veteran status, disability, age, or other legally protected status.</t>
        </is>
      </c>
    </row>
    <row r="122">
      <c r="A122" t="inlineStr">
        <is>
          <t>li-4367620327</t>
        </is>
      </c>
      <c r="B122" t="inlineStr">
        <is>
          <t>Software Engineer II</t>
        </is>
      </c>
      <c r="C122" t="inlineStr">
        <is>
          <t>TheIncLab</t>
        </is>
      </c>
      <c r="D122" t="inlineStr">
        <is>
          <t>linkedin</t>
        </is>
      </c>
      <c r="E122">
        <f>HYPERLINK("https://www.linkedin.com/jobs/view/4367620327", "https://www.linkedin.com/jobs/view/4367620327")</f>
        <v/>
      </c>
      <c r="F122" t="inlineStr"/>
      <c r="G122" t="inlineStr">
        <is>
          <t>Nashville, TN</t>
        </is>
      </c>
      <c r="H122" t="inlineStr"/>
      <c r="I122" t="inlineStr">
        <is>
          <t>****Description****
 As the Software Engineer II, you will be responsible for engineering and developing stellar software solutions. This position will work with a team of engineers, product and QA to build secure and scalable platforms and applications that will be released to internal teams and clients. This position requires full stack knowledge, and a successful candidate will be able to write maintainable code in both the frontend and backend. The ideal candidate will have demonstrated experience working in a software development lifecycle oriented work environment to produce elegant and flexible software products.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Software Engineer II to contribute to the development and maintenance of software applications across desktop, mobile, web, and cloud\-based platforms. We encourage you to apply and take the first step in joining our dynamic and impactful company
****Requirements****
**What will you do?**
* Contribute to the development and maintenance of software applications across desktop, mobile, web, and cloud\-based platforms.
* Translate user stories and technical requirements into working code with guidance from senior engineers.
* Take ownership of assigned features or components, completing work with minimal oversight while seeking support when needed.
* Participate in team meetings, code reviews, and sprint planning activities.
* Assist in writing and maintaining code using TypeScript, React, Node.js, and related technologies.
* Write production\-ready, maintainable code and contribute to project documentation to support long\-term sustainability.
* Develop, execute, and maintain unit tests and contribute to integration and system testing efforts.
* Support QA initiatives by participating in test case reviews, bug triaging, and validation of software against requirements.
* Apply secure coding practices and adhere to project standards.
* Collaborate with QA and DevOps teams to validate functionality and performance of deliverables.
* Integrate software components, troubleshoot integration issues, and validate end\-to\-end system functionality.
* Ask thoughtful questions, actively seek feedback, and contribute ideas during sprint planning and technical discussions.
* Participate in backlog grooming, sprint planning, and retrospectives by helping break down stories and estimating tasks.
* Learn and adapt to new tools, technologies, and development methodologies.
* Adhere to company policies and procedures, and maintain alignment with company culture.
****Requirements****
**Capabilities that will enable your success**
* Bachelor's degree in Computer Science, Software Engineering, or a related STEM field or equivalent professional experience (4\+ years)
* Minimum of 3 years of professional experience in software development.
* Proficiency in TypeScript with exposure to modern frameworks such as React.
* Familiarity with Git, CI/CD practices, and software testing.
* Willingness to collaborate and learn from more experienced team members.
* Strong problem\-solving and communication skills.
* This is a hybrid position requiring three days in\-office (Tuesday to Thursday) at one of our facilities located in Tampa, FL; Nashville, TN; or McLean, VA.
* Ability to travel up to 20% of the time based on company and customer needs.
****Preferred Qualifications****
* Experience working in Agile software development teams.
* Experience in geospatial and/or mission\-focused applications.
* Ability to obtain security clearance.
* Understanding of databases (e.g., SQL or NoSQL)
****Clearance Requirements****
* Applicants must be a U.S. Citizen and willing and eligible to obtain a U.S. Security Clearance at the Secret or Top\-Secret level. Existing clearance is preferred.
****Benefits****
**Benefits**
 At TheIncLab we recognize that innovation thrives when employees are provided with ample support and resources. Our benefits packages reflect that:
* Hybrid and flexible work schedules
* Professional development programs
* Training and certification reimbursement
* Extended and floating holiday schedule
* Paid time off and Paid volunteer time
* Health and Wellness Benefits include options for Medical, Dental, and Vision insurance along with access to Wellness, Mental Health, and Employee Assistance Programs.
* 100% Company Paid Benefits that include STD, LTD, and Basic Life insurance.
* 401(k) Plan Options with employer matching
* Incentive bonuses for eligible clearances, performance, and employee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technological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123">
      <c r="A123" t="inlineStr">
        <is>
          <t>li-4367610797</t>
        </is>
      </c>
      <c r="B123" t="inlineStr">
        <is>
          <t>Software Engineer</t>
        </is>
      </c>
      <c r="C123" t="inlineStr">
        <is>
          <t>CRB</t>
        </is>
      </c>
      <c r="D123" t="inlineStr">
        <is>
          <t>linkedin</t>
        </is>
      </c>
      <c r="E123">
        <f>HYPERLINK("https://www.linkedin.com/jobs/view/4367610797", "https://www.linkedin.com/jobs/view/4367610797")</f>
        <v/>
      </c>
      <c r="F123" t="inlineStr"/>
      <c r="G123" t="inlineStr">
        <is>
          <t>Raleigh, NC</t>
        </is>
      </c>
      <c r="H123" t="inlineStr"/>
      <c r="I123" t="inlineStr">
        <is>
          <t>CRB's over 1,100 expert professionals drive innovative, life\-changing and life\-saving solutions for manufacturers in the life sciences and food and beverage industries. Our mission, vision, and core values put client satisfaction and employee experience at the center of everything we do.
 As an AEC Firm we proudly specialize in industries that inherently carry important social responsibility \- we recognize our impact and influence in the communities we serve and pursue corporate responsibility through the lens of people, community, and planet. From oncology and rare disorders to COVID\-19 or alternative proteins, our design and construction projects are pioneering solutions addressing important issues such as food scarcity and global health.
**Job Description**
 As a Software Engineer, you’ll be part of CRB’s growing Innovation team — a group of engineers, developers, and domain experts building digital tools that enhance the design and delivery of world\-class AEC projects. You’ll work in a hybrid development environment that includes both pro\-code (C\#, Python, ASP.NET) and low\-code (Power Platform, Copilot Studio, Dynamo) technologies.
 You’ll collaborate with project teams, subject matter experts, and leadership to deliver impactful tools that integrate across the AEC project lifecycle. The ideal candidate is a highly curious, hands\-on developer who thrives in applied problem\-solving and values elegant, maintainable solutions over one\-off fixes. This mid\-level position is ideal for developers with 2–5 years of experience who are comfortable owning features end\-to\-end and contributing to collaborative system design discussions. You’ll be empowered to build real\-world solutions while learning how to scale your impact over time.
* Design, develop, and maintain features for firm\-wide engineering and architectural automation platforms, web applications, APIs, AI Agents, and add\-in tools (e.g., Revit, Excel, ACC, Plant3D, Copilot).
* Collaborate with product owners and end users to clarify requirements, provide estimates, and propose technical solutions.
* Build and maintain new and existing full\-stack tools across pro\-code (C\#, Python, ASP.NET) and low\-code (Power Platform, Copilot Studio) environments.
* Write clean, well\-tested, and maintainable code in various tech stacks.
* Participate in code reviews and provide guidance to junior developers to improve code quality and maintainability.
* Contribute to technical planning and system design discussions alongside senior engineers and leads.
* Apply modern development best practices including testing, CI/CD, DevOps automation, and version control.
* Demo and present solutions to stakeholders, communicating solutions clearly to both technical and non\-technical audiences.
* Identify opportunities to improve engineering workflows and propose technical enhancements that support scalability, maintainability, or performance.
**Qualifications**
**Minimum Qualifications**
* Bachelor’s degree in Computer Science, Engineering, or a related technical field (or equivalent experience).
* 2\+ years of professional experience in software development.
* **Proficient in/with:** 
	+ Version Control and DevOps tooling (Git, Azure DevOps, CI/CD pipelines)
	+ Object\-oriented programming (C\#, Python, VBA)
	+ Automated Testing
	+ Developing in/for Excel (VBA, VSTO Add\-Ins, Power Query, Office Scripts, etc.)
	+ Developing in/for AEC software platforms (Revit, AutoCAD, Plant3D, ACC)
	+ Leveraging MCP Servers and Agents for software development.
	+ Integrating with external solutions via REST API and/or GraphQL endpoints.
	+ SQL and NoSQL databases, including schema design and data modeling.
* **Demonstrated ability to:** 
	+ Design and develop solutions with limited instruction.
	+ Learn independently and from others.
	+ Execute both short\-term and long\-term projects following a plan.
	+ Communicate effectively with technical and non\-technical stakeholders.
	+ Collaborate with a growing team of developers with diverse experience levels.
**Preferred Qualifications**
* Experience in the AEC or adjacent industry
* Experience owning full features or tooling modules from requirements through deployment.
* Experience across Microsoft’s development stack (e.g., ASP.NET, Azure, Power Platform, Azure AD).
* Experience with visual scripting tools (Dynamo, Grasshopper, Power Automate).
* Experience with data wrangling and visualization tools (Fabric, Power Query, Power BI, Pandas, Spark).
* Experience with modern full\-stack web\-development frameworks and design patterns.
* Experience building and deploying agentic AI Copilots.
* Experience developing generative design or optioneering tools.
**Additional Information**
 All your information will be kept confidential according to EEO guidelines.
 CRB is committed to hiring and retaining a diverse workforce. We are proud to be an Equal Opportunity Employer and it is our policy to provide equal opportunity to all people without regard to race, color, religion, national origin, ancestry, marital status, veteran status, age, disability, pregnancy, genetic information, citizenship status, sex, sexual orientation, gender identity or any other legally protected category. Employment is contingent on background screening.
 CRB does not accept unsolicited resumes from search firms or agencies. Any resume submitted to any employee of CRB without a prior written search agreement will be considered unsolicited and the property of CRB. Please, no phone calls or emails.
 CRB offers a complete and competitive benefit package designed to meet individual and family needs.
 If you are unable to complete this application due to a disability, contact this employer to ask for an accommodation or an alternative application process.</t>
        </is>
      </c>
    </row>
    <row r="124">
      <c r="A124" t="inlineStr">
        <is>
          <t>li-4367601319</t>
        </is>
      </c>
      <c r="B124" t="inlineStr">
        <is>
          <t>Software Engineer</t>
        </is>
      </c>
      <c r="C124" t="inlineStr">
        <is>
          <t>Google</t>
        </is>
      </c>
      <c r="D124" t="inlineStr">
        <is>
          <t>linkedin</t>
        </is>
      </c>
      <c r="E124">
        <f>HYPERLINK("https://www.linkedin.com/jobs/view/4367601319", "https://www.linkedin.com/jobs/view/4367601319")</f>
        <v/>
      </c>
      <c r="F124" t="inlineStr"/>
      <c r="G124" t="inlineStr">
        <is>
          <t>Mountain View, CA</t>
        </is>
      </c>
      <c r="H124" t="inlineStr"/>
      <c r="I124" t="inlineStr">
        <is>
          <t>**Minimum qualifications:**
* Bachelor’s degree or equivalent practical experience.
* 2 years of experience with software development in one or more programming languages, or 1 year of experience with an advanced degree.
* 2 years of experience building developer tools (e.g., compilers, automated releases, code design and testing, test automation frameworks).
**Preferred qualifications:**
* Master's degree or PhD in Computer Science, or a related technical field.
* Experience using data science or statistical methods to derive insights and solve problems.
* Experience with AI/ML powered feature development and productization.
* Experience building developer tools (e.g., compilers, automated releases, code design and testing, test automation frameworks).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Android Platinum team is dedicated to enhancing the quality of Android releases by establishing and executing critical testing operation on essential devices. The primary mission of Platinum is to implement and maintain a standard for the Android baseline release quality. Furthermore, the team provides Android Engineers with a framework designed to execute critical tests for Critical User Journeys (CUJs). This initiative ensures that builds failing these essential tests are prevented from proceeding to subsequent release phases. Focusing on automation and the development of autonomous agents, the team seeks to significantly improve the efficiency of high\-speed critical testing operations and the overall productivity of Android feature development across various form factors.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Contribute to the design and implementation of scalable, low\-latency tools and infrastructure, responsible for Android releases.
* Write clean and maintainable code using established engineering best practices. Ensure system reliability and security through comprehensive testing and monitoring.
* Serve as a key technical liaison, collaborating closely with multiple internal Google teams.
* Manage ambiguous problems that require strong problem\-solving skills and define technical solutions from high\-level, evolving product requirements.
* Take ownership of key infrastructural components, managing their full lifecycle from design to deployment and operational support.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5">
      <c r="A125" t="inlineStr">
        <is>
          <t>li-4367615371</t>
        </is>
      </c>
      <c r="B125" t="inlineStr">
        <is>
          <t>Software Engineer II</t>
        </is>
      </c>
      <c r="C125" t="inlineStr">
        <is>
          <t>TheIncLab</t>
        </is>
      </c>
      <c r="D125" t="inlineStr">
        <is>
          <t>linkedin</t>
        </is>
      </c>
      <c r="E125">
        <f>HYPERLINK("https://www.linkedin.com/jobs/view/4367615371", "https://www.linkedin.com/jobs/view/4367615371")</f>
        <v/>
      </c>
      <c r="F125" t="inlineStr"/>
      <c r="G125" t="inlineStr">
        <is>
          <t>Tampa, FL</t>
        </is>
      </c>
      <c r="H125" t="inlineStr"/>
      <c r="I125" t="inlineStr">
        <is>
          <t>****Description****
 As the Software Engineer II, you will be responsible for engineering and developing stellar software solutions. This position will work with a team of engineers, product and QA to build secure and scalable platforms and applications that will be released to internal teams and clients. This position requires full stack knowledge, and a successful candidate will be able to write maintainable code in both the frontend and backend. The ideal candidate will have demonstrated experience working in a software development lifecycle oriented work environment to produce elegant and flexible software products.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Software Engineer II to contribute to the development and maintenance of software applications across desktop, mobile, web, and cloud\-based platforms. We encourage you to apply and take the first step in joining our dynamic and impactful company
****Requirements****
**What will you do?**
* Contribute to the development and maintenance of software applications across desktop, mobile, web, and cloud\-based platforms.
* Translate user stories and technical requirements into working code with guidance from senior engineers.
* Take ownership of assigned features or components, completing work with minimal oversight while seeking support when needed.
* Participate in team meetings, code reviews, and sprint planning activities.
* Assist in writing and maintaining code using TypeScript, React, Node.js, and related technologies.
* Write production\-ready, maintainable code and contribute to project documentation to support long\-term sustainability.
* Develop, execute, and maintain unit tests and contribute to integration and system testing efforts.
* Support QA initiatives by participating in test case reviews, bug triaging, and validation of software against requirements.
* Apply secure coding practices and adhere to project standards.
* Collaborate with QA and DevOps teams to validate functionality and performance of deliverables.
* Integrate software components, troubleshoot integration issues, and validate end\-to\-end system functionality.
* Ask thoughtful questions, actively seek feedback, and contribute ideas during sprint planning and technical discussions.
* Participate in backlog grooming, sprint planning, and retrospectives by helping break down stories and estimating tasks.
* Learn and adapt to new tools, technologies, and development methodologies.
* Adhere to company policies and procedures, and maintain alignment with company culture.
****Requirements****
**Capabilities that will enable your success**
* Bachelor's degree in Computer Science, Software Engineering, or a related STEM field or equivalent professional experience (4\+ years)
* Minimum of 3 years of professional experience in software development.
* Proficiency in TypeScript with exposure to modern frameworks such as React.
* Familiarity with Git, CI/CD practices, and software testing.
* Willingness to collaborate and learn from more experienced team members.
* Strong problem\-solving and communication skills.
* This is a hybrid position requiring three days in\-office (Tuesday to Thursday) at one of our facilities located in Tampa, FL; Nashville, TN; or McLean, VA.
* Ability to travel up to 20% of the time based on company and customer needs.
****Preferred Qualifications****
* Experience working in Agile software development teams.
* Experience in geospatial and/or mission\-focused applications.
* Ability to obtain security clearance.
* Understanding of databases (e.g., SQL or NoSQL)
****Clearance Requirements****
* Applicants must be a U.S. Citizen and willing and eligible to obtain a U.S. Security Clearance at the Secret or Top\-Secret level. Existing clearance is preferred.
****Benefits****
**Benefits**
 At TheIncLab we recognize that innovation thrives when employees are provided with ample support and resources. Our benefits packages reflect that:
* Hybrid and flexible work schedules
* Professional development programs
* Training and certification reimbursement
* Extended and floating holiday schedule
* Paid time off and Paid volunteer time
* Health and Wellness Benefits include options for Medical, Dental, and Vision insurance along with access to Wellness, Mental Health, and Employee Assistance Programs.
* 100% Company Paid Benefits that include STD, LTD, and Basic Life insurance.
* 401(k) Plan Options with employer matching
* Incentive bonuses for eligible clearances, performance, and employee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technological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126">
      <c r="A126" t="inlineStr">
        <is>
          <t>li-4367486293</t>
        </is>
      </c>
      <c r="B126" t="inlineStr">
        <is>
          <t>Senior Full Stack Software Engineer</t>
        </is>
      </c>
      <c r="C126" t="inlineStr">
        <is>
          <t>Icarus</t>
        </is>
      </c>
      <c r="D126" t="inlineStr">
        <is>
          <t>linkedin</t>
        </is>
      </c>
      <c r="E126">
        <f>HYPERLINK("https://www.linkedin.com/jobs/view/4367486293", "https://www.linkedin.com/jobs/view/4367486293")</f>
        <v/>
      </c>
      <c r="F126" t="inlineStr"/>
      <c r="G126" t="inlineStr">
        <is>
          <t>Los Angeles, CA</t>
        </is>
      </c>
      <c r="H126" t="inlineStr"/>
      <c r="I126" t="inlineStr">
        <is>
          <t>Icarus was founded on the belief that the Stratosphere is the
 **Forgotten Frontier** 
 and that reclaiming it will define the next era of aerospace and what is possible from the sky. We build solar\-powered aircraft that fly at 60,000 ft for weeks at a time, delivering persistent, affordable, and scalable presence from this layer of the atmosphere.
 Mission
 Re\-establish and maintain dominance in the Stratosphere.
 What you’ll do
* Build and own end\-to\-end software systems that power flight operations, autonomy, and user interaction
* Develop mission\-critical backend services for telemetry, command and control, data ingestion, and analytics
* Build clean, fast frontends for ground control, monitoring, and operator workflows
* Design APIs and data pipelines that connect aircraft, ground stations, and users
* Work closely with embedded, avionics, GNC, RF, and operations teams to ship tightly integrated systems
* Support flight test, field ops, and rapid iteration using real flight data
* Take systems from concept to production with speed and ownership
 What we’re looking for
* 2\+ years building real full\-stack software in production
* Strong backend experience (Python, Go, Rust, or similar)
* Strong frontend experience (React, TypeScript, or similar)
* Experience designing APIs, databases, and distributed systems
* Comfort working close to hardware, real\-time systems, or operational data
* Ability to move fast, own outcomes, and debug under pressure
 Why Icarus
* Meaningful equity
* Top market salary and bonuses
* Health, dental, and vision insurance
* Factory in El Segundo
* Real ownership, real hardware, real flight
* Small team, massive responsibility
* High signal (engineering) to noise (management) culture
* Dream desk setup
* Daily lunch
* Unlimited celsius
 This is not a normal engineering job
* We are pioneers, not corporate managers. Icarus deliberately optimizes for a high signal (engineers) to noise (management) ratio, where engineering, flight, and execution matter more than process, politics, or management overhead
* You will work side by side with the CEO and a small team of world\-class builders. You will own your subsystem end to end. Design it. Build it. Break it. Fix it. Validate it in the desert. Fly it. Then do it again, faster
* We expect full extreme ownership. This is a high\-trust, no\-BS team, and everyone pulls their weight
* We are hiring across the stack: mechanical, aerodynamics, RF, GNC, electrical, avionics, power electronics, energy storage, software, and systems
* We want builders. No hand\-holding. No fluff. No fake projects. No slide decks. No sitting in meetings all day. Just raw engineering, real hardware, and real flight
* You must thrive under pressure, learn fast, troubleshoot in the field, and push hardware to its limits. We move fast. We go to Mojave at 4 am in the morning. We expect results and an obsession with quality and speed
* You will be a core executor of flight systems, taking them from concept to reality and driving rapid iteration loops. You will work across design, integration, testing, and flight. If you want real ownership, real hardware, and real flight milestones, this is it.
 No tourists. No bystanders. Only builders.
 Hiring process
* Technical interview
* One\-on\-one with CEO
* Meet the team in\-person
 US salary range
 $120,000 \- $220,000 USD
 The salary range for this role is an estimate based on a wide range of compensation factors, inclusive of base salary only. Actual salary may vary based on (but not limited to) work experience, education and/or training, critical skills, and/or business considerations. Highly competitive equity grants are considered part of Icarus' total compensation package.
 We’re an equal opportunity employer. We welcome all applicants without attention to race, color, religion, sex, sexual orientation, gender identity, national origin, veteran or disability status.</t>
        </is>
      </c>
    </row>
    <row r="127">
      <c r="A127" t="inlineStr">
        <is>
          <t>li-4367622224</t>
        </is>
      </c>
      <c r="B127" t="inlineStr">
        <is>
          <t>Software Engineer II</t>
        </is>
      </c>
      <c r="C127" t="inlineStr">
        <is>
          <t>TheIncLab</t>
        </is>
      </c>
      <c r="D127" t="inlineStr">
        <is>
          <t>linkedin</t>
        </is>
      </c>
      <c r="E127">
        <f>HYPERLINK("https://www.linkedin.com/jobs/view/4367622224", "https://www.linkedin.com/jobs/view/4367622224")</f>
        <v/>
      </c>
      <c r="F127" t="inlineStr"/>
      <c r="G127" t="inlineStr">
        <is>
          <t>McLean, VA</t>
        </is>
      </c>
      <c r="H127" t="inlineStr"/>
      <c r="I127" t="inlineStr">
        <is>
          <t>****Description****
 As the Software Engineer II, you will be responsible for engineering and developing stellar software solutions. This position will work with a team of engineers, product and QA to build secure and scalable platforms and applications that will be released to internal teams and clients. This position requires full stack knowledge, and a successful candidate will be able to write maintainable code in both the frontend and backend. The ideal candidate will have demonstrated experience working in a software development lifecycle oriented work environment to produce elegant and flexible software products.
**The Mission Starts Here**
 TheIncLab engineers and delivers intelligent digital applications and platforms that revolutionize how our customers and mission\-critical teams achieve success.
 We are where innovation meets purpose; and where your career can meet purpose as well.  We are looking for a Software Engineer II to contribute to the development and maintenance of software applications across desktop, mobile, web, and cloud\-based platforms. We encourage you to apply and take the first step in joining our dynamic and impactful company
****Requirements****
**What will you do?**
* Contribute to the development and maintenance of software applications across desktop, mobile, web, and cloud\-based platforms.
* Translate user stories and technical requirements into working code with guidance from senior engineers.
* Take ownership of assigned features or components, completing work with minimal oversight while seeking support when needed.
* Participate in team meetings, code reviews, and sprint planning activities.
* Assist in writing and maintaining code using TypeScript, React, Node.js, and related technologies.
* Write production\-ready, maintainable code and contribute to project documentation to support long\-term sustainability.
* Develop, execute, and maintain unit tests and contribute to integration and system testing efforts.
* Support QA initiatives by participating in test case reviews, bug triaging, and validation of software against requirements.
* Apply secure coding practices and adhere to project standards.
* Collaborate with QA and DevOps teams to validate functionality and performance of deliverables.
* Integrate software components, troubleshoot integration issues, and validate end\-to\-end system functionality.
* Ask thoughtful questions, actively seek feedback, and contribute ideas during sprint planning and technical discussions.
* Participate in backlog grooming, sprint planning, and retrospectives by helping break down stories and estimating tasks.
* Learn and adapt to new tools, technologies, and development methodologies.
* Adhere to company policies and procedures, and maintain alignment with company culture.
****Requirements****
**Capabilities that will enable your success**
* Bachelor's degree in Computer Science, Software Engineering, or a related STEM field or equivalent professional experience (4\+ years)
* Minimum of 3 years of professional experience in software development.
* Proficiency in TypeScript with exposure to modern frameworks such as React.
* Familiarity with Git, CI/CD practices, and software testing.
* Willingness to collaborate and learn from more experienced team members.
* Strong problem\-solving and communication skills.
* This is a hybrid position requiring three days in\-office (Tuesday to Thursday) at one of our facilities located in Tampa, FL; Nashville, TN; or McLean, VA.
* Ability to travel up to 20% of the time based on company and customer needs.
****Preferred Qualifications****
* Experience working in Agile software development teams.
* Experience in geospatial and/or mission\-focused applications.
* Ability to obtain security clearance.
* Understanding of databases (e.g., SQL or NoSQL)
****Clearance Requirements****
* Applicants must be a U.S. Citizen and willing and eligible to obtain a U.S. Security Clearance at the Secret or Top\-Secret level. Existing clearance is preferred.
****Benefits****
**Benefits**
 At TheIncLab we recognize that innovation thrives when employees are provided with ample support and resources. Our benefits packages reflect that:
* Hybrid and flexible work schedules
* Professional development programs
* Training and certification reimbursement
* Extended and floating holiday schedule
* Paid time off and Paid volunteer time
* Health and Wellness Benefits include options for Medical, Dental, and Vision insurance along with access to Wellness, Mental Health, and Employee Assistance Programs.
* 100% Company Paid Benefits that include STD, LTD, and Basic Life insurance.
* 401(k) Plan Options with employer matching
* Incentive bonuses for eligible clearances, performance, and employee referrals.
* A company culture that values your individual strengths, career goals, and contributions to the team.
****About TheIncLab****
 Founded in 2015, TheIncLab ("TIL") is the first human\-centered artificial intelligence (AI\+X) lab. We engineer complex, integrated solutions that combine cutting\-edge AI technologies with emerging systems\-of\-systems to solve some of the most difficult challenges in the defense and aerospace industries. Our work spans diverse technological landscapes, from rapid ideation and prototyping to deployment.
 At TIL, we foster a culture of relentless optimism. No problem is too hard, no project is too big, and no challenge is too complex to tackle. This is possible due to the positive attitude of our teams. We approach every problem with a "yes" attitude and focus on results. Our motto, "demo or die," encompasses the idea that failure is not an option.
 We do all of this with a work ethic rooted in kindness and professionalism. The positive attitude of our teams is only possible due to the support TIL provides to each individual.
 At TIL, we believe that every challenge is an opportunity for growth and innovation. Our teams are encouraged to think outside the box and come up with creative solutions to complex problems. We understand that the path to success is not always straightforward, but we are committed to persevering and finding a way forward.
 Our culture of relentless optimism is not just about having a positive attitude; it is about taking action and making things happen. We believe in the power of collaboration and teamwork, and we know that by working together, we can achieve great things. Our teams are made up of individuals who are passionate about their work and dedicated to making a difference.
 Learn more about TheIncLab and our job opportunities at www.theinclab.com
* Salary range guidance provided is not a guarantee of compensation. Offers of employment may be at a salary range that is outside of this range and will be based on qualifications, experience, and possible contractual requirements
* This is a direct hire position, and we do not accept resumes from third\-party recruiters or agencies</t>
        </is>
      </c>
    </row>
    <row r="128">
      <c r="A128" t="inlineStr">
        <is>
          <t>li-4367470909</t>
        </is>
      </c>
      <c r="B128" t="inlineStr">
        <is>
          <t>Software Engineer</t>
        </is>
      </c>
      <c r="C128" t="inlineStr">
        <is>
          <t>FanDuel</t>
        </is>
      </c>
      <c r="D128" t="inlineStr">
        <is>
          <t>linkedin</t>
        </is>
      </c>
      <c r="E128">
        <f>HYPERLINK("https://www.linkedin.com/jobs/view/4367470909", "https://www.linkedin.com/jobs/view/4367470909")</f>
        <v/>
      </c>
      <c r="F128" t="inlineStr"/>
      <c r="G128" t="inlineStr">
        <is>
          <t>Atlanta, GA</t>
        </is>
      </c>
      <c r="H128" t="inlineStr"/>
      <c r="I128" t="inlineStr">
        <is>
          <t>**THE POSITION**
 Our roster has an opening with your name on it
 We're growing our Trader Automation Engineering team that works on some of the coolest software in the industry \- the systems that price betting markets for the major US sports! The team you will join works proactively with other teams across the organization to build best in class trader automation tooling, while proactively identifying opportunities for technical innovation within the Risk and Trading organization. Our stakeholders are the people who establish the odds and prices for the \#1 sports book in America!
 As a Software Engineer within FanDuel’s Trading Solutions team, you will be an essential part of a cross functional agile team that directly impacts our business. You will work collaboratively with a team to implement creative, high\-quality solutions, scope effort and timelines, and balance priorities of our stakeholders and engineering needs. This team will work closely to deliver exceptionally high\-quality software, while taking pride and ownership in testing, deploying, monitoring, and maintaining that software.
 **Our engineers own every part of the software delivery lifecycle** 
 .
 You will work directly with quantitative analysts and sports platform engineering teams at FanDuel to improve the user experience of our trading teams. You will go beyond the software developer role and will be called upon to identify opportunities yourself in the trader automation space to innovate through technology.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and deliver constant improvements to our systems. We want you to be excited about constantly learning and driving your professional development. You should have many of the following skills and be eager to build the skills you don’t!:
* You work in project ideas with stakeholders, and peers
* You own parts of product and technology \&amp; become subject matter experts
* You write simple and extendable code following standards and best practices.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On\-call rotation where required. You provide excellent customer support
* You keep yourself up to date with market standards, open\-source frameworks
* Creative problem\-solving ability
* A passion for learning and always getting better
* Most importantly, you are; humble, pragmatic, self\-managed, thirsty for knowledge, never satisfied and always challenging the norm. Responsible for the state of the code you both inherit and produce
**THE STATS**
 What we're looking for in our next teammate
* Degree in Computer Science, Data Science, Engineering or related discipline.
* 3 or more years of industry experience in an Engineering field.
* Proficient in building services with a modern OOP language (C\# experience is required).
* A fundamental understanding of data structures and algorithms.
* Experience working with CI/CD pipeline tooling (BuildKite and GitHub Actions knowledge is beneficial).
* Experience working with cloud\-based infrastructure and technologies.
* Knowledge of infrastructure as code is nice to have, notably Terraform and Helm.
* Experience interacting and designing relational databases.
* Experience with streaming technologies, like Kafka, is preferable.
* Ability to document code, research, and designs clearly.
* Proficiency in translating requirements into design and developing applications.
* Understanding of containers (e.g. Docker), and orchestration (Kubernetes).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29">
      <c r="A129" t="inlineStr">
        <is>
          <t>li-4367485732</t>
        </is>
      </c>
      <c r="B129" t="inlineStr">
        <is>
          <t>Software Engineer</t>
        </is>
      </c>
      <c r="C129" t="inlineStr">
        <is>
          <t>FanDuel</t>
        </is>
      </c>
      <c r="D129" t="inlineStr">
        <is>
          <t>linkedin</t>
        </is>
      </c>
      <c r="E129">
        <f>HYPERLINK("https://www.linkedin.com/jobs/view/4367485732", "https://www.linkedin.com/jobs/view/4367485732")</f>
        <v/>
      </c>
      <c r="F129" t="inlineStr"/>
      <c r="G129" t="inlineStr">
        <is>
          <t>Jersey City, NJ</t>
        </is>
      </c>
      <c r="H129" t="inlineStr"/>
      <c r="I129" t="inlineStr">
        <is>
          <t>**THE POSITION**
 Our roster has an opening with your name on it
 We're growing our Trader Automation Engineering team that works on some of the coolest software in the industry \- the systems that price betting markets for the major US sports! The team you will join works proactively with other teams across the organization to build best in class trader automation tooling, while proactively identifying opportunities for technical innovation within the Risk and Trading organization. Our stakeholders are the people who establish the odds and prices for the \#1 sports book in America!
 As a Software Engineer within FanDuel’s Trading Solutions team, you will be an essential part of a cross functional agile team that directly impacts our business. You will work collaboratively with a team to implement creative, high\-quality solutions, scope effort and timelines, and balance priorities of our stakeholders and engineering needs. This team will work closely to deliver exceptionally high\-quality software, while taking pride and ownership in testing, deploying, monitoring, and maintaining that software.
 **Our engineers own every part of the software delivery lifecycle** 
 .
 You will work directly with quantitative analysts and sports platform engineering teams at FanDuel to improve the user experience of our trading teams. You will go beyond the software developer role and will be called upon to identify opportunities yourself in the trader automation space to innovate through technology.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and deliver constant improvements to our systems. We want you to be excited about constantly learning and driving your professional development. You should have many of the following skills and be eager to build the skills you don’t!:
* You work in project ideas with stakeholders, and peers
* You own parts of product and technology \&amp; become subject matter experts
* You write simple and extendable code following standards and best practices.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On\-call rotation where required. You provide excellent customer support
* You keep yourself up to date with market standards, open\-source frameworks
* Creative problem\-solving ability
* A passion for learning and always getting better
* Most importantly, you are; humble, pragmatic, self\-managed, thirsty for knowledge, never satisfied and always challenging the norm. Responsible for the state of the code you both inherit and produce
**THE STATS**
 What we're looking for in our next teammate
* Degree in Computer Science, Data Science, Engineering or related discipline.
* 3 or more years of industry experience in an Engineering field.
* Proficient in building services with a modern OOP language (C\# experience is required).
* A fundamental understanding of data structures and algorithms.
* Experience working with CI/CD pipeline tooling (BuildKite and GitHub Actions knowledge is beneficial).
* Experience working with cloud\-based infrastructure and technologies.
* Knowledge of infrastructure as code is nice to have, notably Terraform and Helm.
* Experience interacting and designing relational databases.
* Experience with streaming technologies, like Kafka, is preferable.
* Ability to document code, research, and designs clearly.
* Proficiency in translating requirements into design and developing applications.
* Understanding of containers (e.g. Docker), and orchestration (Kubernetes).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30">
      <c r="A130" t="inlineStr">
        <is>
          <t>li-4367614728</t>
        </is>
      </c>
      <c r="B130" t="inlineStr">
        <is>
          <t>Full Stack Engineer - Growth</t>
        </is>
      </c>
      <c r="C130" t="inlineStr">
        <is>
          <t>Pocket Prep</t>
        </is>
      </c>
      <c r="D130" t="inlineStr">
        <is>
          <t>linkedin</t>
        </is>
      </c>
      <c r="E130">
        <f>HYPERLINK("https://www.linkedin.com/jobs/view/4367614728", "https://www.linkedin.com/jobs/view/4367614728")</f>
        <v/>
      </c>
      <c r="F130" t="inlineStr"/>
      <c r="G130" t="inlineStr">
        <is>
          <t>Durham, NC</t>
        </is>
      </c>
      <c r="H130" t="inlineStr"/>
      <c r="I130" t="inlineStr">
        <is>
          <t>Pocket Prep is a leading mobile and web\-based learning platform offering efficient and affordable study solutions for professional certifications. We believe that education should be within everyone’s reach. Professional certification exams are often a stressful and expensive barrier to career advancement \- Pocket Prep strives to prepare our members to pass with confidence.
 The engineering team at Pocket Prep works alongside the product and design teams to develop the technical backbone of our applications. Engineering team members focus on their craft to provide high\-quality, resilient, and accessible products that help studiers of all walks of life achieve their goals. We strive to continuously improve our processes, coding standards, and patterns both as individual engineers and as a team to ensure that we’re always ready for the next challenge. We are an efficient team that enjoys collaboration but also expects to contribute individually and autonomously based on the current project needs.
**About The Role**
 As a full stack engineer on the engineering team, you’ll play a key role in facilitating our growth team’s product focused campaigns and outreach. These campaigns could be ongoing member outreach and engagement or particular one off campaigns. Additionally, you will contribute to our core front end software team and ensure our web Study and CMS products maintain their high level of quality and stability.
 In this role, you won’t just write code — you’ll be on the front lines guiding our members to success. You’ll work closely with talented teammates across marketing, engineering, product, and design to define and rapidly iterate on rough ideas. Your work will likely touch every layer of our stack — making connections with our application server, analytics engine and messaging platform.
 This is an ideal role for someone who is self motivated, thrives on thoughtful problem\-solving and enjoys iterative learning \&amp; testing.
****What You Will Do****
* Connect and track new platforms for member engagement
* Expand our knowledge and capabilities by continually monitoring member response to outreach
* Work closely with fellow engineers to align backend and frontend efforts, solve challenging problems, and ensure seamless cross\-platform functionality
* Pitch in across the stack to ensure our many web \&amp; server clients are well reviewed during employee vacations and significant new releases
* Champion engineering excellence by evolving our internal standards, mentoring peers, and fostering a strong culture of code quality, collaboration, and continuous learning
**About You**
 We’re looking for someone who has the following:
**Required:**
* 4\+ years of professional full stack experience, a majority w/ TypeScript and NodeJS
* Deep knowledge of TypeScript and functional programming patterns
* Experience implementing analytics platforms
* Strong focus on code quality, testing, and documentation
**Preferred:**
* Experience with Vue.js
* Experience with MongoDB or other NoSQL databases
* Experience working on projects from ideation and inception through working prototype
 And exhibits the following qualities:
* An engineer’s mindset \- writing code that will stand the test of time and address the core problems, not just the symptoms
* A desire to collaborate with the team, knowledge share, mentor, and work together to find optimal solutions
* Comfortable being nimble and experimental while recognizing the core functionality can’t be negatively impacted by ‘add on’ efforts
* A love for continued learning individually and as a team, as well as making education more accessible for others
**Benefits**
 Pocket Prep is a leading mobile and web\-based learning platform offering efficient and affordable study solutions for professional certification and licensure. We believe that education should be within everyone’s reach. High\-stakes exams are often a stressful and expensive barrier to career advancement \- Pocket Prep strives to prepare our members to pass with confidence.
 We care about people passing exams because we’ve been there. Co\-founders Ken Gillette and Peter Murphy faced expensive, high\-stakes tests for career\-promoting professional credentials while they were co\-workers at Lockheed Martin. Like tens of thousands of other Americans, they shelled out hundreds of dollars to register and buy the materials they thought would improve their chances of passing. After hauling textbooks, flashcards, and study guides to costly test prep classes, they founded Pocket Prep in 2011 to help people more effectively and inexpensively prepare for important assessments.
 Some of our employee benefits include:
* Stability: We're 12\+ years old, 100% profitable without investor backing and we continue to have year\-over\-year growth.
* Work/Life Balance: Freedom to live your life while accomplishing something awesome for everyone in education. Flexible PTO and a 3\-week company\-wide holiday break from mid\-December through the New Year.
* Competitive Compensation: Generous profit\-sharing program and total compensation that targets the 75th percentile.
* 100% Healthcare: We cover all of our employees' healthcare premiums because we are invested in your well\-being. We also cover 80% of dependents.
* Hybrid Flexibility: You can work where and when you are most effective. We have an office in downtown Durham, North Carolina, and are supportive of hybrid work options.
* Give Back: We are active participants in our communities through volunteer partnerships with local nonprofits. We offer VTO (volunteer time off) for independent engagement with your community.
 Compensation Range: $134\.6K \- $154K</t>
        </is>
      </c>
    </row>
    <row r="131">
      <c r="A131" t="inlineStr">
        <is>
          <t>li-4367475280</t>
        </is>
      </c>
      <c r="B131" t="inlineStr">
        <is>
          <t>Full Stack Engineer</t>
        </is>
      </c>
      <c r="C131" t="inlineStr">
        <is>
          <t>Trade Coffee</t>
        </is>
      </c>
      <c r="D131" t="inlineStr">
        <is>
          <t>linkedin</t>
        </is>
      </c>
      <c r="E131">
        <f>HYPERLINK("https://www.linkedin.com/jobs/view/4367475280", "https://www.linkedin.com/jobs/view/4367475280")</f>
        <v/>
      </c>
      <c r="F131" t="inlineStr"/>
      <c r="G131" t="inlineStr"/>
      <c r="H131" t="inlineStr"/>
      <c r="I131" t="inlineStr">
        <is>
          <t>**About Trade Coffee** 
 Trade Coffee is building the future of specialty coffee at home. We've created the country's largest marketplace of exceptional independent roasters, using personalization technology and deep coffee expertise to match hundreds of thousands of customers with coffees they love. Our platform connects people to 450\+ coffees from America's best roasters. Every bag is roasted fresh to order and shipped direct. We're democratizing access to specialty coffee while empowering small roasters to scale and thrive.
 This new brand is not an extension of Trade.
 It's a completely new business under the same corporate umbrella, with a different go\-to\-market strategy and customer promise. Trade will continue to operate independently under the leadership of its own GM, while this new brand is built and scaled as its own platform.
**Build the technical foundation for a new coffee brand from the ground up** 
 We're building a new business from scratch under the Trade Coffee umbrella. Not a feature. Not a spinoff. A wholly separate product with its own strategy and customer promise.
 You'll be the founding engineer, partnering with our VP of Engineering to build everything: the storefront, the backend, the integrations, the infrastructure, and the AI\-powered systems that let a lean team operate at scale.
 The concept is validated. Now we need to build it.
**What Makes This Different** 
 Greenfield, not legacy. No existing codebase to navigate. No architectural decisions you're stuck with. You'll make the calls collaboratively and live with the results.
 Startup energy, established backing. Trade Coffee has the resources, infrastructure, and operational knowledge of an established company. You get the speed and ownership of a startup without the existential risk.
 AI from day one. We're not bolting on AI later. You'll build the automation and data systems that run the business: internal tools that create signal from noise and tight feedback loops that drive decisions.
 Full\-stack means full\-stack. Frontend to infrastructure. Shopify to AWS. You'll context\-switch constantly and ship across every layer.
**The Work** 
* Early focus: Bootstrap the product. Build customer\-facing features and third\-party integrations that get us to market. Speed matters.
* As we scale: Shift toward infrastructure, automation, and the systems that let a small team punch above its weight.
* Throughout: Build and use AI\-powered tools that automate operations and surface the data that matters.
**Tech Stack** 
* Frontend: React, Preact, Vue, Remix, Shopify Hydrogen, Liquid. Right tool for the job
* Backend: Node.js, TypeScript/JavaScript, REST \&amp; GraphQL; Python/FastAPI a plus
* Shopify: Deep experience required. Hydrogen, Storefront API, Admin API, Liquid themes
* Database: PostgreSQL, relational design, ORMs
* Infrastructure: AWS (Lambda, EventBridge, EC2, Glue), Docker, serverless
* AI/ML: OpenAI, AWS Bedrock, or similar. Building automation, not just chatbots
* CI/CD: GitHub Actions
**What We're Looking For** 
***Experience:***
* 5\+ years building full\-stack web applications. You've owned frontend and backend.
* Deep Shopify experience. You've built production implementations, headless or traditional. This is required, not nice\-to\-have.
***Zero\-to\-One:***
* You've built from scratch before. Early\-stage or fast\-moving environments where you defined the work while doing the work.
* You wear multiple hats. Infrastructure setup one day, frontend polish the next. You fill gaps where needed.
* You ship end\-to\-end. From initial concept through production deployment. Not just your piece, the whole feature.
* You move fast without making a mess. Speed matters, but so does code quality and maintainability.
***Engineering Excellence:***
* Strong architectural judgment. You design systems that scale and make tradeoffs intentionally.
* You establish standards. Testing practices, deployment pipelines, engineering norms. You've set these up before.
* Thoughtful on technical debt. You know when to move fast and when to build it right.
* Security\-aware. Especially for ecommerce and payment systems. You don't ship vulnerabilities.
* Clean, maintainable code. Other engineers can read your work, extend it, and learn from it.
***Mindset:***
* Pragmatic. You focus on delivering customer value, not just elegant code. You make tradeoffs with imperfect information and adjust as you learn.
* High ownership. You build it, you ship it, you support it, you improve it.
* Collaborative. Brainstorm together, write proposals on your own, review together. No unilateral decisions, but you come with a point of view.
* Engaged in debate. You bring pros/cons analysis, defer to data, and gather evidence when the path isn't clear. Silence in disagreements is a red flag.
* Customer\-minded. You care about UX/UI because you care about the people using what you build.
* Clear communicator. You translate technical decisions and tradeoffs for product and design partners.
* Energized by variety. Context\-switching doesn't drain you. Moving between a React component and a database schema in the same day is normal.
* Quick learner. You stay current with modern web development practices and tools.
* Hands\-on always. Even as the team grows. Architecture without implementation isn't the job.
**Not a Fit If** 
* You prefer rigid processes and detailed specs before you start
* You want to work in isolation
* You care about the tech but not the business
* You want to architect without coding
**How We Work** 
 We’re in our Midtown Manhattan office three days a week, with everyone together in person Tuesday through Thursday. Being face\-to\-face is core to how we operate—it allows us to move faster, solve challenges in real time, and generate new ideas through hands\-on teamwork. This is the perfect environment for people who value close collaboration while building something meaningful together.
**What We Offer** 
* The chance to help grow a profitable, mission\- and values\-driven company alongside an experienced leadership team
* The opportunity to deepen your skills and make a lasting impact as the organization scales
* Ongoing mentorship and support from leadership and management
* A competitive salary and unlimited vacation
* $500 a year to spend on amazing coffee
* Best\-in\-class health benefits and a 401(k)
* Twice\-monthly catered lunches
* A pet\-friendly office
* Two paid days of Trade\-sponsored community service each year
**NYC Base Salary Range** 
 $140,000—$200,000
*In addition, Trade offers comprehensive benefits, including company\-paid health, dental, and vision insurance, 401(k), flexible spending account, and paid leave (including vacation time and parental leave) in accordance with applicable plans and policies.*</t>
        </is>
      </c>
    </row>
    <row r="132">
      <c r="A132" t="inlineStr">
        <is>
          <t>li-4367486191</t>
        </is>
      </c>
      <c r="B132" t="inlineStr">
        <is>
          <t>Senior Embedded Software Engineer</t>
        </is>
      </c>
      <c r="C132" t="inlineStr">
        <is>
          <t>Icarus</t>
        </is>
      </c>
      <c r="D132" t="inlineStr">
        <is>
          <t>linkedin</t>
        </is>
      </c>
      <c r="E132">
        <f>HYPERLINK("https://www.linkedin.com/jobs/view/4367486191", "https://www.linkedin.com/jobs/view/4367486191")</f>
        <v/>
      </c>
      <c r="F132" t="inlineStr"/>
      <c r="G132" t="inlineStr">
        <is>
          <t>Los Angeles, CA</t>
        </is>
      </c>
      <c r="H132" t="inlineStr"/>
      <c r="I132" t="inlineStr">
        <is>
          <t>Icarus was founded on the belief that the Stratosphere is the
 **Forgotten Frontier** 
 and that reclaiming it will define the next era of aerospace and what is possible from the sky. We build solar\-powered aircraft that fly at 60,000 ft for weeks at a time, delivering persistent, affordable, and scalable presence from this layer of the atmosphere.
 Mission
 Re\-establish and maintain dominance in the Stratosphere.
 What you’ll do
* Build and ship flight\-critical embedded software for long\-endurance stratospheric aircraft
* Own embedded subsystems end to end: architecture, implementation, bring\-up, debugging, test, and flight validation
* Write firmware for MCU\-based avionics, sensors, actuators, power systems, and comms interfaces
* Integrate sensors and peripherals (IMU, GNSS, air data, magnetometer, servos, radios) and build reliable drivers and middleware
* Design robust telemetry, logging, and health monitoring to support long\-duration autonomous operations
* Build test harnesses, HIL hooks, and automation that makes iteration loops faster
* Support integration, production bring\-up, and flight ops in the desert
 What we’re looking for
* 2\+ years shipping real embedded systems (aerospace, robotics, automotive, defense, or similarly high\-reliability domains)
* Strong C/C\+\+ fundamentals and comfort working close to hardware
* Experience with RTOS or bare\-metal firmware, interrupts, timing, and deterministic systems
* Experience with common embedded interfaces and protocols (SPI, I2C, UART, CAN, Ethernet)
* Strong debugging skills using scopes, logic analyzers, JTAG, and real\-world fault reproduction
* Comfort moving fast, owning outcomes, and troubleshooting in the field
 Why Icarus
* Meaningful equity
* Top market salary and bonuses
* Health, dental, and vision insurance
* Factory in El Segundo
* Real ownership, real hardware, real flight
* Small team, massive responsibility
* High signal (engineering) to noise (management) culture
* Dream desk setup
* Daily lunch
* Unlimited celsius
 This is not a normal engineering job
* We are pioneers, not corporate managers. Icarus deliberately optimizes for a high signal (engineers) to noise (management) ratio, where engineering, flight, and execution matter more than process, politics, or management overhead
* You will work side by side with the CEO and a small team of world\-class builders. You will own your subsystem end to end. Design it. Build it. Break it. Fix it. Validate it in the desert. Fly it. Then do it again, faster
* We expect full extreme ownership. This is a high\-trust, no\-BS team, and everyone pulls their weight
* We are hiring across the stack: mechanical, aerodynamics, RF, GNC, electrical, avionics, power electronics, energy storage, software, and systems
* We want builders. No hand\-holding. No fluff. No fake projects. No slide decks. No sitting in meetings all day. Just raw engineering, real hardware, and real flight
* You must thrive under pressure, learn fast, troubleshoot in the field, and push hardware to its limits. We move fast. We go to Mojave at 4 am in the morning. We expect results and an obsession with quality and speed
* You will be a core executor of flight systems, taking them from concept to reality and driving rapid iteration loops. You will work across design, integration, testing, and flight. If you want real ownership, real hardware, and real flight milestones, this is it.
 No tourists. No bystanders. Only builders.
 Hiring process
* Technical interview
* One\-on\-one with CEO
* Meet the team in\-person
 US salary range
 $120,000 \- $220,000 USD
 The salary range for this role is an estimate based on a wide range of compensation factors, inclusive of base salary only. Actual salary may vary based on (but not limited to) work experience, education and/or training, critical skills, and/or business considerations. Highly competitive equity grants are considered part of Icarus' total compensation package.
 We’re an equal opportunity employer. We welcome all applicants without attention to race, color, religion, sex, sexual orientation, gender identity, national origin, veteran or disability status.</t>
        </is>
      </c>
    </row>
    <row r="133">
      <c r="A133" t="inlineStr">
        <is>
          <t>li-4367473505</t>
        </is>
      </c>
      <c r="B133" t="inlineStr">
        <is>
          <t>Software Engineer, AI</t>
        </is>
      </c>
      <c r="C133" t="inlineStr">
        <is>
          <t>Red Hat</t>
        </is>
      </c>
      <c r="D133" t="inlineStr">
        <is>
          <t>linkedin</t>
        </is>
      </c>
      <c r="E133">
        <f>HYPERLINK("https://www.linkedin.com/jobs/view/4367473505", "https://www.linkedin.com/jobs/view/4367473505")</f>
        <v/>
      </c>
      <c r="F133">
        <f>HYPERLINK("https://www.wiraa.com/job-description/us92F30AEC05DF9C2CACE5F39BA2303552?source=Linkedin&amp;urlHash=gc6f", "https://www.wiraa.com/job-description/us92F30AEC05DF9C2CACE5F39BA2303552?source=Linkedin&amp;urlHash=gc6f")</f>
        <v/>
      </c>
      <c r="G133" t="inlineStr"/>
      <c r="H133" t="inlineStr"/>
      <c r="I133" t="inlineStr">
        <is>
          <t>**About The Company** 
 Red Hat is a globally recognized leader in enterprise open source software solutions, renowned for its innovative approach to delivering high\-performing Linux, cloud, container, and Kubernetes technologies. With a presence in over 40 countries, Red Hat fosters a dynamic and inclusive environment that encourages collaboration, creativity, and continuous learning. The company’s community\-powered model emphasizes transparency, open collaboration, and diverse perspectives, enabling it to drive technological advancements and deliver impactful solutions to organizations worldwide. Red Hat’s commitment to open source principles and its dedication to empowering its employees make it a prime destination for talented professionals seeking to make a meaningful difference in the technology landscape.
**About The Role** 
 Red Hat is seeking a Principal Software Engineer to join our innovative team focused on developing Agentic AI features and solutions. In this strategic role, you will collaborate with a diverse group of highly motivated engineers, product managers, and external partners to design, implement, and integrate cutting\-edge AI technologies within the Red Hat ecosystem. Your expertise will be pivotal in architecting scalable, distributed AI systems, defining multi\-agent system architectures, and advancing open standards for agent communication and workflows. This position offers a unique opportunity to influence the future of open source AI, contribute to industry standards, and develop innovative solutions that leverage hybrid cloud environments, open source frameworks, and advanced AI techniques. You will work on impactful projects, develop technical blueprints, and explore emerging AI capabilities to foster innovation and enhance the software development lifecycle.
**Qualifications** 
* 7\+ years of relevant software engineering experience
* Bachelor’s degree in Computer Science, Software Engineering, or a related technical field, or equivalent practical experience
* Proven experience building agents and tooling frameworks; expertise in LangGraph, PydanticAI, or similar state\-management libraries
* Experience implementing sophisticated RAG, long\-term memory systems, semantic caches, and vector databases
* Expert\-level proficiency in Python or Go, with a focus on resilient, asynchronous distributed systems
* Solid experience with containers and orchestration platforms such as OpenShift or Kubernetes
* Knowledge of inference optimization techniques including model parallelization, quantization, and memory management tools like vLLM, DeepSpeed, or OpenVino
* Experience with AI/ML lifecycle management, GitOps, automation pipelines, and production deployment
* Hands\-on experience with Agent Evaluation frameworks, guardrails, and governance mechanisms to ensure safety and reliability
* Strong collaboration skills and the ability to influence upstream AI/ML communities and standards
**Responsibilities** 
* Lead the development and implementation of scalable, distributed AI solutions that serve Agentic AI functionalities
* Define and implement Multi\-Agent System (MAS) architectures, including orchestration layers, state machines, and resilient routing policies
* Implement and standardize tool/data access protocols such as Model Context Protocol (MCP) and cross\-platform agent communication protocols like A2A or ACP
* Contribute to open\-source AI/ML communities to influence and shape evolving standards for agent workflows and interoperability
* Collaborate with internal teams and external vendors to refine AI strategies and address specific use cases that add value to Red Hat’s offerings
* Develop technical blueprints and multi\-product demonstrations showcasing innovative AI capabilities within the Red Hat AI stack
* Proactively explore emerging AI technologies and incorporate new capabilities into development workflows and tooling
* Drive AI integration within the software development lifecycle, sharing successful use cases and fostering a culture of innovation
* Mentor junior engineers, promote best practices, and ensure engineering excellence across projects
**Benefits** 
* Comprehensive medical, dental, and vision coverage
* Flexible Spending Account (FSA) for healthcare and dependent care expenses
* Health Savings Account (HSA) for high deductible health plans
* Retirement plan with employer matching contributions
* Paid time off and holidays to promote work\-life balance
* Paid parental leave for new parents
* Additional leave benefits including disability, family medical leave, and military leave
* Employee stock purchase plan, tuition reimbursement, family planning support, transportation allowance, and employee assistance programs
 Equal Opportunity
 Red Hat is committed to fostering an inclusive, equitable, and diverse work environment. We are proud to be an equal opportunity employer, and we review all applications without regard to race, color, religion, sex, sexual orientation, gender identity, national origin, ancestry, citizenship, age, veteran status, genetic information, disability, medical condition, marital status, or any other protected characteristic.</t>
        </is>
      </c>
    </row>
    <row r="134">
      <c r="A134" t="inlineStr">
        <is>
          <t>li-4367495808</t>
        </is>
      </c>
      <c r="B134" t="inlineStr">
        <is>
          <t>Software Engineer - React</t>
        </is>
      </c>
      <c r="C134" t="inlineStr">
        <is>
          <t>NetForemost</t>
        </is>
      </c>
      <c r="D134" t="inlineStr">
        <is>
          <t>linkedin</t>
        </is>
      </c>
      <c r="E134">
        <f>HYPERLINK("https://www.linkedin.com/jobs/view/4367495808", "https://www.linkedin.com/jobs/view/4367495808")</f>
        <v/>
      </c>
      <c r="F134" t="inlineStr"/>
      <c r="G134" t="inlineStr">
        <is>
          <t>Pennsylvania, United States</t>
        </is>
      </c>
      <c r="H134" t="inlineStr"/>
      <c r="I134" t="inlineStr">
        <is>
          <t>This is a remote position.
 Role Purpose
 Develop and maintain scalable web applications using React, collaborating with cross\-functional teams across multiple client and internal projects. This evergreen role supports the creation of a reusable frontend talent bench.
**Responsibilities**
* Build and maintain web applications using React and modern frontend practices.
* Work closely with backend, QA, and UI/UX teams to deliver complete features.
* Translate UI/UX designs into functional, reusable components.
* Participate in code reviews and continuous improvement processes.
* Adapt quickly to new projects, requirements, and technical stacks.
**Requirements**
 Core Technical Requirements
* Strong experience developing applications with React.
* Proficiency in JavaScript and/or TypeScript.
* Experience with state management (Redux, Context API, etc.).
* Experience consuming RESTful APIs.
* Proficiency with Git and team\-based development workflows.
 Nice\-to\-Have / Adjacent Skills
* Experience with Angular or Vue.
* Basic backend knowledge (.NET, Node.js).
* Experience with frontend testing frameworks.
* Understanding of performance optimization and web best practices.
**Benefits**
 What We Offer
* Ongoing project opportunities.
* Clear growth paths.
* Fully remote work.
* Long\-term collaboration and stability.</t>
        </is>
      </c>
    </row>
    <row r="135">
      <c r="A135" t="inlineStr">
        <is>
          <t>li-4367627143</t>
        </is>
      </c>
      <c r="B135" t="inlineStr">
        <is>
          <t>Senior Backend Software Engineer</t>
        </is>
      </c>
      <c r="C135" t="inlineStr">
        <is>
          <t>Flexcompute</t>
        </is>
      </c>
      <c r="D135" t="inlineStr">
        <is>
          <t>linkedin</t>
        </is>
      </c>
      <c r="E135">
        <f>HYPERLINK("https://www.linkedin.com/jobs/view/4367627143", "https://www.linkedin.com/jobs/view/4367627143")</f>
        <v/>
      </c>
      <c r="F135" t="inlineStr"/>
      <c r="G135" t="inlineStr">
        <is>
          <t>Watertown, MA</t>
        </is>
      </c>
      <c r="H135" t="inlineStr"/>
      <c r="I135" t="inlineStr">
        <is>
          <t>Flexcompute is leading the transformation of engineering simulation with our revolutionary ultra\-fast simulation technology. Our flagship products, including the industry\-leading Computational Fluid Dynamics (CFD) software Flow360 and electromagnetic simulation software Tidy3D, are reshaping how simulations are conducted across diverse sectors. Founded by visionaries from Stanford and MIT and supported by top\-tier venture capital firms, we are a rapidly growing team dedicated to breaking boundaries and challenging the norms of the multi\-billion\-dollar engineering simulation market.
**Role Overview**
 We are looking for a
 **Backend Software Engineer** 
 to help us design and implement scalable solutions that meet the growing demands of our advanced EM simulation platform.
 The ideal candidate has expertise in high\-performance computing (HPC), infrastructure, web API design, and systems design. Additionally, the candidate will be help us enhance our data management, frontend\-backend API unification, and cloud integration.
**Key Responsibilities**
* Contribute to general software development efforts, such as API unification, simulation data management (e.g., caching, syncing, storage), and scripting improvements.
* Collaborate with EM and infrastructure teams to implement simulation\-specific solutions, including enhancements to back\-end/scheduler integrations and Python front\-end functionality.
* Improve our task pipelines through an innovative design for a web API in a multi\-physical simulation context.
* Develop and maintain hybrid cloud compute and storage solutions, integrating on\-premise HPC systems with modern cloud platforms.
* Optimize and manage high\-performance computing clusters equipped with high\-speed interconnects.
**Requirements**
**Education:** 
 Bachelor’s degree or higher in computer science or computer engineering.
**Technical Skills**
* Proficiency in Python, C\+\+, and Java, with experience in distributed computing environments (e.g., MPI).
* Familiarity with backend API development, documentation, packaging, and deployment.
* Understanding of HPC computing, system administration, and networking.
* Experience compiling and optimizing C\+\+ source code.
* Expertise in cloud computing and storage solutions.
* Proficiency in Linux operating systems, software deployment (e.g., Ansible), and backend security.
* Experience with containerization and orchestration tools (e.g., Docker, Kubernetes, Swarm).
**Innovative Mindset:** 
 Ability to learn quickly, adapt to new challenges, and innovate in a fast\-paced startup environment.
**Bonus Skills**
* Familiarity with electromagnetic physics simulations
* Knowledge of memory, CPU, and GPU resource optimization.
* Familiarity with simulation\-specific tooling and workflows.
* Understanding of simulation GUI and scripting interfaces.
**Example Projects**
* Work with the wider team to merge code into a single repo and then build CI/CD that enforces best\-practices, like protecting the main branch
* Implement docker container usage across the developer workflow, from development to deployment including automated, parameterized image building for on\-premise customers
* Build and deploy a desktop configuration with GUI that connects to a network simulation service and includes licensing controls
* Track, monitor, and improve the end\-to\-end latency of simulation runs across all user traffic
* Manage the sizing and configuration of the high\-performance computing cluster comprised of CPUs and GPUs, and track metrics like utilization and performance
* Collaborate closely with EM team members on the design and optimization of multi\-physics simulation workflows, including using frameworks like Slurm and Dask and redesigning our web API
 Join Us
 By joining Flexcompute, you’ll be at the heart of a movement set to redefine the engineering simulation industry. You will play a key role in shaping the future, where our innovations in simulation technology pave the way for groundbreaking advancements. We are committed to fostering an innovative and collaborative culture where boundaries of possibility are re\-imagined, driven by creativity, expertise, and a shared vision of transforming the technological landscape.
**Benefits**
* Competitive compensation with equity of a fast\-growing startup.
* Medical, dental, and vision health insurance.
* 401(k) Contribution.
* Gym allowance.
* Friendly, thoughtful, and intelligent coworkers.</t>
        </is>
      </c>
    </row>
    <row r="136">
      <c r="A136" t="inlineStr">
        <is>
          <t>li-4356673043</t>
        </is>
      </c>
      <c r="B136" t="inlineStr">
        <is>
          <t>Software Engineer - Backend</t>
        </is>
      </c>
      <c r="C136" t="inlineStr">
        <is>
          <t>PayPal</t>
        </is>
      </c>
      <c r="D136" t="inlineStr">
        <is>
          <t>linkedin</t>
        </is>
      </c>
      <c r="E136">
        <f>HYPERLINK("https://www.linkedin.com/jobs/view/4356673043", "https://www.linkedin.com/jobs/view/4356673043")</f>
        <v/>
      </c>
      <c r="F136" t="inlineStr"/>
      <c r="G136" t="inlineStr">
        <is>
          <t>San Jose, CA</t>
        </is>
      </c>
      <c r="H136" t="inlineStr"/>
      <c r="I13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implements tasks within the Software Development Lifecycle (SDLC), follows internal conventions and procedures, makes technical decisions, collaborates with peers and project leads, and contributes to code and design reviews.
**Job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**Expected Qualifications:**
* Minimum of 2 years of relevant work experience and a Bachelor's degree or equivalent experience.
**Additional Responsibilities And Preferred Qualifications**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$123,500 to $212,850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R0131092</t>
        </is>
      </c>
    </row>
    <row r="137">
      <c r="A137" t="inlineStr">
        <is>
          <t>li-4367298060</t>
        </is>
      </c>
      <c r="B137" t="inlineStr">
        <is>
          <t>Software Engineer, Apple Pay — Wallet, Payments &amp; Commerce (WPC)</t>
        </is>
      </c>
      <c r="C137" t="inlineStr">
        <is>
          <t>Apple</t>
        </is>
      </c>
      <c r="D137" t="inlineStr">
        <is>
          <t>linkedin</t>
        </is>
      </c>
      <c r="E137">
        <f>HYPERLINK("https://www.linkedin.com/jobs/view/4367298060", "https://www.linkedin.com/jobs/view/4367298060")</f>
        <v/>
      </c>
      <c r="F137" t="inlineStr"/>
      <c r="G137" t="inlineStr">
        <is>
          <t>Cupertino, CA</t>
        </is>
      </c>
      <c r="H137" t="inlineStr"/>
      <c r="I137" t="inlineStr">
        <is>
          <t>**Summary**
 Imagine what you could do here! At Apple, great ideas have a way of becoming phenomenal products, services, and customer experiences very quickly. The Wallet, Payments \&amp; Commerce (WPC) team is building the world’s best software for paying, and interacting with the world, from Apple Pay, transit, and event tickets, to digital keys and identity.
 We are looking for engineers who are passionate about their craft, crave the challenge of building systems at scale, and thrive in a fast\-paced environment. If you love solving meaningful problems that impact millions of people, we want to hear from you!
**Description**
 You'll have the opportunity to tackle the intricate challenge of building resilient and reliable distributed software systems at Apple's scale. You will be given flexibility to explore creative solutions, the support of a talented and driven team, and access to diverse technologies. You will have the autonomy and responsibility to take full ownership of your solutions.
 You'll join a nimble team involved in every stage of the product and software development lifecycle and will design, build, test, deliver, and maintain exceptional software that truly makes a difference. In this fast\-paced environment, you'll be hands\-on in all phases, and will actively shape the architecture and design of our platforms and offerings through the experience of operating, monitoring, and providing on\-call support for the software you build.
**Minimum Qualifications**
* Experience building and maintaining complex software systems.
* A solid understanding of distributed systems fundamentals.
* A commitment to continuous learning and improvement, and curiosity for new technologies, techniques, and patterns in pursuit of engineering excellence.
* An ability to communicate thoughtfully and clearly, both verbally and in writing, to discuss complex technical concepts with diverse audiences, including global teams and external partners.
* A track record of building and sustaining healthy long\-term relationships within your team, and beyond its boundaries.
* The tenacity and perseverance to drive a complex project all the way from conception to production.
* No formal degree is required. What matters most is your mindset, your initiative, and your ability to apply your skills to real\-world applications.
**Preferred Qualifications**
* Hands\-on software development experience with Java or Kotlin and Spring.
* Development and operational experience with REST and/or gRPC services (either server\-to\-server or mobile client facing).
* Experience with containerization and orchestration (e.g. Docker, Kubernetes).
* Time spent architecting, building, supporting or otherwise working on cloud\-native (e.g. AWS) applications with resilience as a core feature.
* Familiarity with CI/CD pipelines and infrastructure as code.
* Experience with observability tools (e.g. Prometheus, Grafana, OpenTelemetry, Datadog).
* Understanding of modern networking and experience using traffic tools for tracing.
* An appreciation for, and understanding of security, privacy, and cryptography (e.g. PKI, certificate management, JWT).
* Hands\-on experience with SQL/NoSQL databases (e.g. Aurora, DynamoDB, CockroachDB, Oracle).
* Experience using generative AI tools to produce high\-quality software (e.g. Claude Code).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38">
      <c r="A138" t="inlineStr">
        <is>
          <t>li-4367271127</t>
        </is>
      </c>
      <c r="B138" t="inlineStr">
        <is>
          <t>Software Engineer</t>
        </is>
      </c>
      <c r="C138" t="inlineStr">
        <is>
          <t>Synchro</t>
        </is>
      </c>
      <c r="D138" t="inlineStr">
        <is>
          <t>linkedin</t>
        </is>
      </c>
      <c r="E138">
        <f>HYPERLINK("https://www.linkedin.com/jobs/view/4367271127", "https://www.linkedin.com/jobs/view/4367271127")</f>
        <v/>
      </c>
      <c r="F138" t="inlineStr"/>
      <c r="G138" t="inlineStr">
        <is>
          <t>Austin, Texas Metropolitan Area</t>
        </is>
      </c>
      <c r="H138" t="inlineStr"/>
      <c r="I138" t="inlineStr">
        <is>
          <t>**Position: Software Engineer** 
**Location: Onsite M\-F in Austin, TX** 
**Duration: FTE \- Direct Hire** 
 Our end client is a fast\-growing player in the autonomous mobility and robotics space. They build advanced self\-driving and robotic delivery technologies and are expanding their team.
 We are looking to add an experienced Software Engineer to strengthen their Localization and Mapping group. This engineer will help design and improve both on\-board localization algorithms and cloud\-based mapping solutions. The role will focus on boosting accuracy and reliability and accelerating SLAM\-based LiDAR map generation. This is a high\-impact opportunity for someone who wants to contribute at the cutting edge of robotics and autonomous systems.
**Responsibilities** 
* Develop and enhance cloud mapping pipelines with graph optimization
* Build and refine multi\-sensor fusion systems, integrating LiDAR, GNSS, IMU, and other sources
* Partner with other engineering and operations teams to resolve challenges related to localization
**Qualifications** 
* Bachelor’s degree in Computer Science, Electrical Engineering, Robotics, or a related discipline
* 3\+ years of professional software development experience
* Proficiency in Python or C\+\+
* Strong foundation in algorithms, data structures, and software design principles
**Preferred Experience** 
* Background in robotics with knowledge of calibration, localization methods, EKF, and point cloud algorithms
* Solid mathematics foundation (probability theory, optimization, mechanics) and the ability to turn mathematical models into practical algorithms
* A passion for staying ahead of the latest research and applying new ideas to keep systems state\-of\-the\-art</t>
        </is>
      </c>
    </row>
    <row r="139">
      <c r="A139" t="inlineStr">
        <is>
          <t>li-4367500032</t>
        </is>
      </c>
      <c r="B139" t="inlineStr">
        <is>
          <t>Software Engineer, Apple Pay — Wallet, Payments &amp; Commerce (WPC)</t>
        </is>
      </c>
      <c r="C139" t="inlineStr">
        <is>
          <t>Apple</t>
        </is>
      </c>
      <c r="D139" t="inlineStr">
        <is>
          <t>linkedin</t>
        </is>
      </c>
      <c r="E139">
        <f>HYPERLINK("https://www.linkedin.com/jobs/view/4367500032", "https://www.linkedin.com/jobs/view/4367500032")</f>
        <v/>
      </c>
      <c r="F139" t="inlineStr"/>
      <c r="G139" t="inlineStr">
        <is>
          <t>Austin, TX</t>
        </is>
      </c>
      <c r="H139" t="inlineStr"/>
      <c r="I139" t="inlineStr">
        <is>
          <t>**Summary**
 Imagine what you could do here! At Apple, great ideas have a way of becoming phenomenal products, services, and customer experiences very quickly. The Wallet, Payments \&amp; Commerce (WPC) team is building the world’s best software for paying, and interacting with the world, from Apple Pay, transit, and event tickets, to digital keys and identity.
 We are looking for engineers who are passionate about their craft, crave the challenge of building systems at scale, and thrive in a fast\-paced environment. If you love solving meaningful problems that impact millions of people, we want to hear from you!
**Description**
 You'll have the opportunity to tackle the intricate challenge of building resilient and reliable distributed software systems at Apple's scale. You will be given flexibility to explore creative solutions, the support of a talented and driven team, and access to diverse technologies. You will have the autonomy and responsibility to take full ownership of your solutions.
 You'll join a nimble team involved in every stage of the product and software development lifecycle and will design, build, test, deliver, and maintain exceptional software that truly makes a difference. In this fast\-paced environment, you'll be hands\-on in all phases, and will actively shape the architecture and design of our platforms and offerings through the experience of operating, monitoring, and providing on\-call support for the software you build.
**Minimum Qualifications**
* Experience building and maintaining complex software systems.
* A solid understanding of distributed systems fundamentals.
* A commitment to continuous learning and improvement, and curiosity for new technologies, techniques, and patterns in pursuit of engineering excellence.
* An ability to communicate thoughtfully and clearly, both verbally and in writing, to discuss complex technical concepts with diverse audiences, including global teams and external partners.
* A track record of building and sustaining healthy long\-term relationships within your team, and beyond its boundaries.
* The tenacity and perseverance to drive a complex project all the way from conception to production.
* No formal degree is required. What matters most is your mindset, your initiative, and your ability to apply your skills to real\-world applications.
**Preferred Qualifications**
* Hands\-on software development experience with Java or Kotlin and Spring.
* Development and operational experience with REST and/or gRPC services (either server\-to\-server or mobile client facing).
* Experience with containerization and orchestration (e.g. Docker, Kubernetes).
* Time spent architecting, building, supporting or otherwise working on cloud\-native (e.g. AWS) applications with resilience as a core feature.
* Familiarity with CI/CD pipelines and infrastructure as code.
* Experience with observability tools (e.g. Prometheus, Grafana, OpenTelemetry, Datadog).
* Understanding of modern networking and experience using traffic tools for tracing.
* An appreciation for, and understanding of security, privacy, and cryptography (e.g. PKI, certificate management, JWT).
* Hands\-on experience with SQL/NoSQL databases (e.g. Aurora, DynamoDB, CockroachDB, Oracle).
* Experience using generative AI tools to produce high\-quality software (e.g. Claude Code).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40">
      <c r="A140" t="inlineStr">
        <is>
          <t>li-4367272745</t>
        </is>
      </c>
      <c r="B140" t="inlineStr">
        <is>
          <t>Software Engineer</t>
        </is>
      </c>
      <c r="C140" t="inlineStr">
        <is>
          <t>ProSearch</t>
        </is>
      </c>
      <c r="D140" t="inlineStr">
        <is>
          <t>linkedin</t>
        </is>
      </c>
      <c r="E140">
        <f>HYPERLINK("https://www.linkedin.com/jobs/view/4367272745", "https://www.linkedin.com/jobs/view/4367272745")</f>
        <v/>
      </c>
      <c r="F140" t="inlineStr"/>
      <c r="G140" t="inlineStr"/>
      <c r="H140" t="inlineStr"/>
      <c r="I140" t="inlineStr">
        <is>
          <t>ProSearch is hiring a senior Software Engineer for a remote contract engagement with the intention of becoming a permanent position with a nationally respected client. This is an excellent opportunity for someone experienced with hands\-on coding experience.
**Job Requirements** 
 What you’ll do in this role:
* Write efficient, reliable, maintainable, and defect\-free code. Design and implement software to meet and exceed business objectives.
* Participate and contribute to software development practices such as design spec and code review.
* Collaborate with cross\-functional teams to design and implement scalable and efficient cloud solutions.
* Utilize automated CI/CD pipelines to deploy software packages in a DevOps environment.
* Working knowledge and ability to use tools to assist with user analytics, logging, and monitoring.
* Write and execute unit tests, integration tests, and performance tests.
**Required Qualifications** 
* Bachelor’s degree in computer science or other related field or equivalent work experience.
* 5\+ years’ experience developing complex, intelligent, and secure web applications with modern web technologies, in client side and/or server side.
* Expertise in Angular, TypeScript, ES5/6, HTML, and CSS
* Strong understanding of component\-based development, familiarity with Angular or any other equivalent library/framework.
* Strong background of object\-oriented design principles and design patterns.
* Experience with .NET Development. .NET Core preferred.
* Hands on experience in building scalable systems using AWS serverless technologies and supporting services such as Lambda, Fargate, RDS, and DynamoDB
* Hands on experience with infrastructure\-as\-code technologies such as CloudFormation, CDK, or equivalent
* Experience with RESTFUL APIs and Webservices
* Hands on experience and proficient understanding of automated testing frameworks like cypress or any other equivalent automated system testing tools.
* Familiarity with various tools like Swagger, Postman etc.
* Experience in scrum and agile methodologies.
* Strong communication and collaboration skills
**Apply Now** 
 If you're a seasoned software engineer passionate about building modern, scalable solutions and ready to make an impact with a respected national organization, we want to hear from you. This is your opportunity to join a forward\-thinking team where your skills will be valued and your contributions will help shape the future of innovative technology solutions. Apply today to take the next step in your career with ProSearch.
*ProSearch is proud to be an affirmative action / equal opportunity employer. All qualified applicants will receive consideration without regard to race, creed, gender, sex, marital status, sexual orientation, citizenship status, color, religion, national origin, age, disability, veteran status, or any other protected status under local, state, or federal law.*</t>
        </is>
      </c>
    </row>
    <row r="141">
      <c r="A141" t="inlineStr">
        <is>
          <t>li-4367284574</t>
        </is>
      </c>
      <c r="B141" t="inlineStr">
        <is>
          <t>Software Developer II</t>
        </is>
      </c>
      <c r="C141" t="inlineStr">
        <is>
          <t>Precoa</t>
        </is>
      </c>
      <c r="D141" t="inlineStr">
        <is>
          <t>linkedin</t>
        </is>
      </c>
      <c r="E141">
        <f>HYPERLINK("https://www.linkedin.com/jobs/view/4367284574", "https://www.linkedin.com/jobs/view/4367284574")</f>
        <v/>
      </c>
      <c r="F141" t="inlineStr"/>
      <c r="G141" t="inlineStr">
        <is>
          <t>Portland, OR</t>
        </is>
      </c>
      <c r="H141" t="inlineStr"/>
      <c r="I141" t="inlineStr">
        <is>
          <t>Software Develop
 er II
 Build
 solutions that make a meaningful difference
 You’re the kind of developer who sees more than code, you see the people behind it.
 You love turning complex problems into intuitive, elegant experiences, and you thrive when you can collaborate, debug, iterate, and bring harmony to the workflow.
 Front\-end challenges energize you, and
 your interpersonal strengths help you create
 solutions that
 elevate every project and every teammate around you.
 If you’re
 driven
 by solving unique problems, collaborating with kind and talented teammates, and shipping clean, thoughtful code, this is your opportunity
 !
 What you’ll do (and why
 you’ll love doing it
 )
 At
 Precoa
 , you’ll help create the tools that support families during life’s hardest moment
 s. F
 rom the agent\-facing systems that power meaningful conversations to the web platforms that keep our nationwide network running smoothl
 y,
 you’ll:
* Build and enhance
 the core applications our teams rely on every day
 – tools that help real people support families every single day
 .
* Write clean, thoughtful code
 in coll
 aboration with senior developers,
 contributing
 to new features and debugging efforts to keep our systems resilient.
* Bring your front\-end experti
 se to elevate the user experience across our products
 ,
 on a team that is currently rich in back\-end talent.
* Shape the future of our product ecosystem
 ,
 contributing to our broader software roadmap and improving workflows across marketing, operations and field teams.
 What we offer you as part of
 \#
 PrecoaLife
* Competitive exempt salary based on experience
* 18 days PTO
 and
 10 paid holidays annually
* Minimum
 6\-weeks parental
 leave
* Health, Dental, and Vision benefits
* 401k, with company match
* $
 25
 ,000 AD
 \&amp;
 D
 Policy and
 $
 25
 ,000 Life Insurance Policy
 Skills you may have to make you a success!
* This is a hybrid role, preference for candidates living in the Portland Metro area
* BS in Computer Science or Computer Engineering required
* Two years or more experience in modern web development
* Strength in front\-end frameworks: Vue, React, or Angular preferred
* Experience with JavaScript/TypeScript, HTML5, SQL
 .
* W
 orking knowledge of PHP/Laravel is a bonus!
* Empathy, interpersonal awareness, and a natural ability to create harmony in a team setting — not just code, but connection
 Own your craft. Shape the product. Make a difference.
 For a full job description, please see the
 Drop
 b
 ox link here
 .
 About Precoa
 At Precoa, our people are the heart of our success. Core Employees strive to live our values of kindness, progression, and craftsmanship every day — bringing emotional intelligence, common sense, positivity, and authentic connection to everything they do.
 If you love solving challenges, building real relationships, and driving meaningful results, you’ll feel right at home here.
 We’re a national leader in the preneed industry
 .
 Our passion is helping people plan today so their families can focus on connection when they need it most. Recognized as one of The Oregonian’s
 Top Workplaces for 1
 4
 consecutive years
 , we’re committed to creating a place where you can live a fulfilling life, do meaningful work, grow your potential, and enjoy the journey along the way.
 Headquartered
 in Portland, OR, we’re a team driven to make a difference — every day, through every connection.</t>
        </is>
      </c>
    </row>
    <row r="142">
      <c r="A142" t="inlineStr">
        <is>
          <t>li-4355322092</t>
        </is>
      </c>
      <c r="B142" t="inlineStr">
        <is>
          <t>Junior Software Engineer</t>
        </is>
      </c>
      <c r="C142" t="inlineStr">
        <is>
          <t>BeaconFire Inc.</t>
        </is>
      </c>
      <c r="D142" t="inlineStr">
        <is>
          <t>linkedin</t>
        </is>
      </c>
      <c r="E142">
        <f>HYPERLINK("https://www.linkedin.com/jobs/view/4355322092", "https://www.linkedin.com/jobs/view/4355322092")</f>
        <v/>
      </c>
      <c r="F142" t="inlineStr"/>
      <c r="G142" t="inlineStr">
        <is>
          <t>California, United States</t>
        </is>
      </c>
      <c r="H142" t="inlineStr"/>
      <c r="I142"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43">
      <c r="A143" t="inlineStr">
        <is>
          <t>li-4367491711</t>
        </is>
      </c>
      <c r="B143" t="inlineStr">
        <is>
          <t>Senior Software Engineer</t>
        </is>
      </c>
      <c r="C143" t="inlineStr">
        <is>
          <t>Confluent</t>
        </is>
      </c>
      <c r="D143" t="inlineStr">
        <is>
          <t>linkedin</t>
        </is>
      </c>
      <c r="E143">
        <f>HYPERLINK("https://www.linkedin.com/jobs/view/4367491711", "https://www.linkedin.com/jobs/view/4367491711")</f>
        <v/>
      </c>
      <c r="F143">
        <f>HYPERLINK("https://jobs.ashbyhq.com/confluent/905efbaa-d814-4b16-a377-d417c7d3d772/application?utm_source=M553Wn6824&amp;src=LinkedInJobWrapping&amp;urlHash=PGkv", "https://jobs.ashbyhq.com/confluent/905efbaa-d814-4b16-a377-d417c7d3d772/application?utm_source=M553Wn6824&amp;src=LinkedInJobWrapping&amp;urlHash=PGkv")</f>
        <v/>
      </c>
      <c r="G143" t="inlineStr"/>
      <c r="H143" t="inlineStr"/>
      <c r="I143" t="inlineStr">
        <is>
          <t>We’re not just building better tech. We’re rewriting how data moves and what the world can do with it. With Confluent, data doesn’t sit still. Our platform puts information in motion, streaming in near real\-time so companies can react faster, build smarter, and deliver experiences as dynamic as the world around them.
 It takes a certain kind of person to join this team. Those who ask hard questions, give honest feedback, and show up for each other. No egos, no solo acts. Just smart, curious humans pushing toward something bigger, together.
 One Confluent. One Team. One Data Streaming Platform.
**About The Role**
 We are a team of passionate engineers who love solving complex distributed storage systems and infrastructure problems. Through the Tableflow project, we are building the next generation of storage solutions for Kora, transforming it into a true multi\-modal storage engine. Our goal is to enable streaming data to be consumed both as a table and as a stream seamlessly. If you're interested in learning more about the challenges we are tackling, check out our blog post: Tableflow: The Stream/Table, Kafka/Iceberg Duality.
 As a Senior Software Engineer on the team, you will focus on advancing key layers of the Tableflow project, including its multi\-tenant, highly available compute infrastructure, and the core components responsible for table materialization and background maintenance. You will tackle challenges such as developing strategies for efficient table materialization and maintenance at massive scale across all of Confluent Cloud, ensuring high availability and scalability for background storage tasks.
**What You Will Do**
* Storage Engine Development: Design and implement innovative strategies for table schematization, materialization, and compaction at massive scale.
* Platform Engineering: Build and maintain multi\-tenant, highly available infrastructure that powers background computational tasks for Kora’s long\-term storage. Ensure that the platform is optimized for scalability, reliability, and resilience, in alignment with organizational objectives.
* Cross\-Functional Collaboration: Collaborate with product management, design, and other engineering teams to ensure seamless integration of storage features and infrastructure with the broader organization.
**What You Will Bring**
* BS, MS, or PhD in computer science or a related field, or equivalent work experience
* Excellent communication and collaboration skills, with the ability to influence and guide stakeholders at all levels.
**What Gives You An Edge**
* Familiarity with or has experience contributing to the following open\-source technologies: Apache Kafka, Apache Iceberg, Apache Flink
* Experience/knowledge with public clouds (AWS, Azure or GCP)
**Ready to build what's next? Let’s get in motion.**
**Come As You Are**
 Belonging isn’t a perk here. It’s the baseline. We work across time zones and backgrounds, knowing the best ideas come from different perspectives. And we make space for everyone to lead, grow, and challenge what’s possible.
 We’re proud to be an equal opportunity workplace. Employment decisions are based on job\-related criteria, without regard to race, color, religion, sex, sexual orientation, gender identity, national origin, disability, veteran status, or any other classification protected by law.
 Compensation Range: $182\.1K \- $245\.8K</t>
        </is>
      </c>
    </row>
    <row r="144">
      <c r="A144" t="inlineStr">
        <is>
          <t>li-4355293641</t>
        </is>
      </c>
      <c r="B144" t="inlineStr">
        <is>
          <t>Junior Software Engineer</t>
        </is>
      </c>
      <c r="C144" t="inlineStr">
        <is>
          <t>BeaconFire Inc.</t>
        </is>
      </c>
      <c r="D144" t="inlineStr">
        <is>
          <t>linkedin</t>
        </is>
      </c>
      <c r="E144">
        <f>HYPERLINK("https://www.linkedin.com/jobs/view/4355293641", "https://www.linkedin.com/jobs/view/4355293641")</f>
        <v/>
      </c>
      <c r="F144" t="inlineStr"/>
      <c r="G144" t="inlineStr">
        <is>
          <t>Texas, United States</t>
        </is>
      </c>
      <c r="H144" t="inlineStr"/>
      <c r="I144"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45">
      <c r="A145" t="inlineStr">
        <is>
          <t>li-4354185442</t>
        </is>
      </c>
      <c r="B145" t="inlineStr">
        <is>
          <t>Junior Software Engineer</t>
        </is>
      </c>
      <c r="C145" t="inlineStr">
        <is>
          <t>BeaconFire Inc.</t>
        </is>
      </c>
      <c r="D145" t="inlineStr">
        <is>
          <t>linkedin</t>
        </is>
      </c>
      <c r="E145">
        <f>HYPERLINK("https://www.linkedin.com/jobs/view/4354185442", "https://www.linkedin.com/jobs/view/4354185442")</f>
        <v/>
      </c>
      <c r="F145" t="inlineStr"/>
      <c r="G145" t="inlineStr">
        <is>
          <t>Washington, United States</t>
        </is>
      </c>
      <c r="H145" t="inlineStr"/>
      <c r="I145"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46">
      <c r="A146" t="inlineStr">
        <is>
          <t>li-4367485353</t>
        </is>
      </c>
      <c r="B146" t="inlineStr">
        <is>
          <t>Software Engineer</t>
        </is>
      </c>
      <c r="C146" t="inlineStr">
        <is>
          <t>Goliath Partners</t>
        </is>
      </c>
      <c r="D146" t="inlineStr">
        <is>
          <t>linkedin</t>
        </is>
      </c>
      <c r="E146">
        <f>HYPERLINK("https://www.linkedin.com/jobs/view/4367485353", "https://www.linkedin.com/jobs/view/4367485353")</f>
        <v/>
      </c>
      <c r="F146" t="inlineStr"/>
      <c r="G146" t="inlineStr"/>
      <c r="H146" t="inlineStr"/>
      <c r="I146" t="inlineStr">
        <is>
          <t>We're working with a firm in New York that grew from $4\.5B to $10B in the last 12 months \&amp; scaled 70% in headcount! They are a hedge fund that trades equities and futures and they are looking for a Senior Front End Developer to join their team on a hybrid\-basis (2\-3 days onsite a week).
**Role:** 
 Throwing out an archaic UI \&amp; rebuilding the entire trading UI for a new trading group of 30\~ heads.
 Working as the FE point of contact in a multi\-billion dollar firm.
**Essential skills:** 
 BSCS, Math, Stat, Physics, Fine Arts or similarly related field.
 3\+ years of experience in UI development
 Extensive experience with TypeScript \&amp; Reactjs
 Builder mentality (you want to scale something from scratch).
**Comp:** 
 Our client is targeting $275,000\-400,000 TC and will guarantee your bonus Y1\. If you are forfeiting stock or a bonus paid in Q1 2026, this firm will also cover any losses.</t>
        </is>
      </c>
    </row>
    <row r="147">
      <c r="A147" t="inlineStr">
        <is>
          <t>li-4355322076</t>
        </is>
      </c>
      <c r="B147" t="inlineStr">
        <is>
          <t>Junior Software Engineer</t>
        </is>
      </c>
      <c r="C147" t="inlineStr">
        <is>
          <t>BeaconFire Inc.</t>
        </is>
      </c>
      <c r="D147" t="inlineStr">
        <is>
          <t>linkedin</t>
        </is>
      </c>
      <c r="E147">
        <f>HYPERLINK("https://www.linkedin.com/jobs/view/4355322076", "https://www.linkedin.com/jobs/view/4355322076")</f>
        <v/>
      </c>
      <c r="F147" t="inlineStr"/>
      <c r="G147" t="inlineStr">
        <is>
          <t>Massachusetts, United States</t>
        </is>
      </c>
      <c r="H147" t="inlineStr"/>
      <c r="I147"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48">
      <c r="A148" t="inlineStr">
        <is>
          <t>li-4328491155</t>
        </is>
      </c>
      <c r="B148" t="inlineStr">
        <is>
          <t>Senior Software Engineer, Robotics</t>
        </is>
      </c>
      <c r="C148" t="inlineStr">
        <is>
          <t>Waymo</t>
        </is>
      </c>
      <c r="D148" t="inlineStr">
        <is>
          <t>linkedin</t>
        </is>
      </c>
      <c r="E148">
        <f>HYPERLINK("https://www.linkedin.com/jobs/view/4328491155", "https://www.linkedin.com/jobs/view/4328491155")</f>
        <v/>
      </c>
      <c r="F148" t="inlineStr"/>
      <c r="G148" t="inlineStr">
        <is>
          <t>Mountain View, CA</t>
        </is>
      </c>
      <c r="H148" t="inlineStr"/>
      <c r="I14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The Sensor Foundations Team’s purpose is to provide cleaned\-up sensor data through highly optimized APIs to Perception models, to abstract sensor hardware differences where possible, and to provide low\-level Perception signals either through algorithms or machine learning. Projects on our team typically require a diverse skill set, including robotics, system integration, code optimization, and machine learning. We have a good understanding of the hardware (both sensors and compute) and the overall Perception system. For this role, we are looking for a strong Software Engineer with robotics and machine learning experience, who will help us to accelerate the transition of low\-level Perception tasks from algorithms to machine learning.
 This role follows a hybrid work schedule and reports to the Technical Lead Manager of the Sensor Foundations Team.
**You Will**
* Transition low\-level Perception tasks from algorithms to machine learning
* Work on system integration and optimization
* Evaluate task\-level and system\-level quality, developing new metrics as needed
**You Have**
* Bachelors in Computer Science, Software Engineering, Robotics, or similar technical field of study
* 5\+ years of industry experience
* Strong C/C\+\+ skills
* Proficiency with Python
* Experience with Computer Vision and Machine Learning
* Experience with System Integration
**We Prefer**
* Masters or PhD Degree in Computer Science, Robotics, Machine Learning, or a similar discipline
* Experience with sensor data processing (Lidar, camera, or radar)
* Experience in the AV industry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149">
      <c r="A149" t="inlineStr">
        <is>
          <t>li-4367636278</t>
        </is>
      </c>
      <c r="B149" t="inlineStr">
        <is>
          <t>Senior Software Engineer, Core Data Resilience</t>
        </is>
      </c>
      <c r="C149" t="inlineStr">
        <is>
          <t>Box</t>
        </is>
      </c>
      <c r="D149" t="inlineStr">
        <is>
          <t>linkedin</t>
        </is>
      </c>
      <c r="E149">
        <f>HYPERLINK("https://www.linkedin.com/jobs/view/4367636278", "https://www.linkedin.com/jobs/view/4367636278")</f>
        <v/>
      </c>
      <c r="F149" t="inlineStr"/>
      <c r="G149" t="inlineStr">
        <is>
          <t>Redwood City, CA</t>
        </is>
      </c>
      <c r="H149" t="inlineStr"/>
      <c r="I149" t="inlineStr">
        <is>
          <t>**WHAT IS BOX?**
 Box (NYSE{{ }}BOX)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Core Data at Box powers the most fundamental layer of Box’s content platform, enabling millions of queries per second across a highly available and consistent relational data tier. Within Core Data, the Resilience team ensures that the services stay healthy, performant, and fault\-tolerant \- especially under load.
 We're looking for a Senior Software Engineer to join this Resilience team and help drive system improvements that protect Core Data’s MySQL, Memcached, and Redis\-based data tier and evolve how services like Credence (Core Data’s interface layer) scale and self\-heal. Collaborating with teams across Core Data and across the organization, you will help build resilient features, automate failure handling, and define best practices around some of our hardest load and resilience\-related challenges. You’ll help shape how Box engineers interact with our relational data layer, while supporting our broader technical vision of transforming our relational data tier into a truly self\-contained platform.
 Below are some of the articles describing some facets of Box Core Data that you might find interesting{{ }}
* How We Learned to Stop Worrying and Read from Replicas \[medium.com]
* Strategies Used at Box to Protect MySQL at Scale \[medium.com]
* Cache is the Root of All Evil \[medium.com]
**WHAT YOU'LL DO**
* Build and own scalable infrastructure to help database service and its interface layer remain performant and available under heavy traffic and edge conditions
* Contribute to the design and implementation of new infrastructure components, and help uplift existing systems to meet evolving business needs.
* Improve system resilience by identifying bottlenecks, designing fallback strategies, and evolving load\-routing logic
* Provide input into the broader Core Data’s technical direction through collaboration and execution.
* Work in Scala and Python, with a strong focus on services that interact with our MySQL tier
* Participate in the on\-call rotation and take ownership during incidents related to database load, unavailability, or general SLO breaches.
* Participate in our on\-call rotation, available at all times while on\-call to help respond to and triage any issues that arise.
**WHO YOU ARE**
**Required Skills**
* Bachelor's degree in Computer Science, Mathematics, or a related field
* 4\+ years of professional software development experience
* Proficient in common algorithms, data structures, and code design principles
* Experience developing high\-scale distributed systems
* We are an AI\-first company. This means you approach your work with a growth mindset and find ways to leverage AI to help make faster, smarter decisions that will 10X your impact at Box.
**Preferred Skills**
* Familiarity with MySQL internals a huge plus.
* Experience working with JVM\-based services like Scala
* Passionate about solving scale and performance challenges
* Strong sense of ownership, persistence, and drive
* Excellent communication skills
 Box lives its values, with community and in\-person collaboration being a core part of our culture. Boxers are expected to work from their assigned office a minimum of 3 days per week, with a focus on Tuesdays, Wednesdays, and Thursdays. Your Recruiter will share more about how we work and company culture during the hiring process.
*At Box, we believe unique and diverse experiences benefit our culture, our products, our customers, our company, and our world. We aim to recruit a passionate, high\-performing workforce that reflects the world we live in. If you are head\-over\-heels about this role but unsure if you meet all the requirements, we encourage you to apply!*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 Box, Inc and its related branches will consider for employment, qualified applicants with criminal histories in a manner consistent with the Los Angeles Fair Chair Ordinance. The Fair Chance Ordinance is provided here.
 Notice to applicants in San Francisco{{ }}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
 Box is committed to fair and equitable compensation practices. Actual base salary (or OTE if commissionable role) is dependent upon factors such as{{ }} knowledge, skill level, experience, and work location. This role is also eligible for equity and benefits. For more information on benefits, check out our healthcare benefits and additional Box Benefits \+ Perks. In accordance with OFCCP compliance, here is the Pay Transparency Provision.
 United States Pay Range{{ }} $198,000 USD \- $248,000 USD</t>
        </is>
      </c>
    </row>
    <row r="150">
      <c r="A150" t="inlineStr">
        <is>
          <t>li-4367291159</t>
        </is>
      </c>
      <c r="B150" t="inlineStr">
        <is>
          <t>Full Stack Software Engineer, Reinforcement Learning</t>
        </is>
      </c>
      <c r="C150" t="inlineStr">
        <is>
          <t>Anthropic</t>
        </is>
      </c>
      <c r="D150" t="inlineStr">
        <is>
          <t>linkedin</t>
        </is>
      </c>
      <c r="E150">
        <f>HYPERLINK("https://www.linkedin.com/jobs/view/4367291159", "https://www.linkedin.com/jobs/view/4367291159")</f>
        <v/>
      </c>
      <c r="F150" t="inlineStr"/>
      <c r="G150" t="inlineStr">
        <is>
          <t>San Francisco, CA</t>
        </is>
      </c>
      <c r="H150" t="inlineStr"/>
      <c r="I150"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Anthropic's Reinforcement Learning organization leads the research and development that trains Claude to be capable, reliable, and safe. We've contributed to every Claude model, with significant impacts on the autonomy and coding capabilities of our most advanced models. Our work spans developing systems that enable models to use computers effectively, advancing code generation through reinforcement learning, pioneering fundamental RL research for large language models, and building scalable training methodologies.
 The RL org is organized around four key goals: solving the science of long\-horizon tasks and continual learning, scaling RL data and environments to be comprehensive and diverse, automating software engineering end\-to\-end, and training the frontier production model. We collaborate closely with Anthropic's alignment and safety teams to ensure our systems are both capable and safe.
 Our engineering teams build the environments, evaluation systems, data pipelines, and tooling that make all of this possible: from realistic agentic training environments and scalable code data generation, to human data collection platforms and production training operations.
**About The Role**
 As a Full\-Stack Software Engineer within Reinforcement Learning, you'll build the platforms, tools, and interfaces that power RL environment creation, data collection, and training observability. Our ability to train frontier models depends on generating diverse, high\-quality training data — and the products you build are what make that possible for researchers, vendors, and data labelers alike.
 This is a software engineering role embedded within research teams. You'll own product surfaces end\-to\-end — from backend services and APIs to web UIs that internal researchers, external vendors, and data labelers rely on daily. You don't need a background in ML research — what matters is strong full\-stack engineering skills and the ability to build polished, reliable products in a fast\-moving environment.
**What You'll Do**
* Build and extend web platforms for RL environment creation, management, and quality review — including environment configuration, versioning, and validation workflows
* Develop vendor\-facing interfaces and tooling that enable external partners to create, submit, and iterate on training environments with minimal friction
* Design and implement platforms for human data collection at scale, including labeling workflows, quality assurance systems, and feedback mechanisms
* Build evaluation dashboards and observability UIs that give researchers real\-time insight into environment quality, training run health, and reward signal integrity
* Create backend services and APIs that connect environment authoring tools, data collection systems, and RL training infrastructure
* Build and expand scalable code data generation pipelines, creating diverse programming tasks with robust reward signals across languages and difficulty levels
* Develop onboarding automation and documentation tooling so new vendors and internal users can ramp up quickly
* Collaborate with RL researchers, data operations, and vendor management teams to translate their needs into well\-designed product experiences
**You May Be a Good Fit If You**
* Have strong software engineering fundamentals with full\-stack experience
* Are proficient in Python and modern web frameworks (React, TypeScript, or similar)
* Have experience building and shipping user\-facing products, internal tools, or developer platforms
* Can own a product surface end\-to\-end — backend, frontend, API design, database schema
* Have experience with relational databases, API design patterns, and authentication/authorization systems
* Care about UX and can build interfaces that are intuitive for both technical and non\-technical users
* Communicate clearly with researchers, operations teams, and engineers and can translate ambiguous requirements into well\-scoped work
* Are motivated by building excellent platforms
* Operate with high agency: you identify what needs to be done and drive it forward independently
* Thrive in a fast\-paced environment where priorities shift and new problems emerge regularly
* Care about Anthropic's mission to build safe, beneficial AI and want your work to contribute to that goal
**Strong Candidates May Also Have**
* Experience building data collection, labeling, or annotation platforms
* Background building multi\-tenant platforms with role\-based access and vendor management workflows
* Experience with cloud infrastructure (GCP or AWS), Docker, and CI/CD pipelines
* Familiarity with LLM training, fine\-tuning, or evaluation workflows
* Experience with async Python frameworks (Trio, asyncio) or high\-throughput API design
* Background building dashboards, monitoring, or observability tooling
* Experience working with external vendors or partners on technical integrations
**Representative Projects**
* Building a unified platform for human data collection that integrates labeling workflows, vendor management, and quality assurance for complex agentic tasks
* Developing vendor onboarding automation that handles Docker registry access, API token management, and environment validation
* Creating evaluation and observability dashboards that catch reward hacks, measure environment difficulty, and provide real\-time feedback during production training
* Building environment quality review workflows that allow researchers to browse, grade, and provide feedback on training environments
* Developing automated environment quality pipelines that validate correctness and difficulty calibration before deployment to production training
* Building internal tools for browsing and analyzing training run results, environment statistics, and data collection progress
 The annual compensation range for this role is listed below.
 For sales roles, the range provided is the role’s On Target Earnings ("OTE") range, meaning that the range includes both the sales commissions/sales bonuses target and annual base salary for the role.
**Annual Salary**
 $300,000—$405,000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151">
      <c r="A151" t="inlineStr">
        <is>
          <t>li-4355302916</t>
        </is>
      </c>
      <c r="B151" t="inlineStr">
        <is>
          <t>Full Stack Engineer</t>
        </is>
      </c>
      <c r="C151" t="inlineStr">
        <is>
          <t>BeaconFire Inc.</t>
        </is>
      </c>
      <c r="D151" t="inlineStr">
        <is>
          <t>linkedin</t>
        </is>
      </c>
      <c r="E151">
        <f>HYPERLINK("https://www.linkedin.com/jobs/view/4355302916", "https://www.linkedin.com/jobs/view/4355302916")</f>
        <v/>
      </c>
      <c r="F151" t="inlineStr"/>
      <c r="G151" t="inlineStr">
        <is>
          <t>Indiana, United States</t>
        </is>
      </c>
      <c r="H151" t="inlineStr"/>
      <c r="I151"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52">
      <c r="A152" t="inlineStr">
        <is>
          <t>li-4367272711</t>
        </is>
      </c>
      <c r="B152" t="inlineStr">
        <is>
          <t>Senior Software Engineer</t>
        </is>
      </c>
      <c r="C152" t="inlineStr">
        <is>
          <t>Collibra</t>
        </is>
      </c>
      <c r="D152" t="inlineStr">
        <is>
          <t>linkedin</t>
        </is>
      </c>
      <c r="E152">
        <f>HYPERLINK("https://www.linkedin.com/jobs/view/4367272711", "https://www.linkedin.com/jobs/view/4367272711")</f>
        <v/>
      </c>
      <c r="F152" t="inlineStr"/>
      <c r="G152" t="inlineStr">
        <is>
          <t>Raleigh, NC</t>
        </is>
      </c>
      <c r="H152" t="inlineStr"/>
      <c r="I152" t="inlineStr">
        <is>
          <t>**Joining Collibra’s Data Quality Team**
* You'll have the chance to work with state\-of\-the\-art technologies alongside a team that excels in processing large\-scale data with clarity and intention.
* You will deal with scalability, code efficiency, and beautiful visuals that are at the core of our work, to ensure that our solutions perform optimally while presenting information in an intuitive and visually compelling way,
* You will be part of a collaborative engineering team committed to impactful results and continuous improvement.
 This is a hybrid role based in our Raleigh office. Our hybrid model means you’ll work from the office at least two days each week. This setup helps us stay connected, work more closely together, and keep making progress as a team.
**As a Software Engineer at Collibra, you will be responsible for**
* Actively participating in team meetings and sharing ideas.
* Knowing your own code by preparing for code reviews and being able to justify design patterns used.
* Understand user persons impacted by code with well defined user stories and concrete inputs and outputs.
* Write clear measurable test cases to validate user stories and assert output on positive and negative results.
**You have**
* 6\+ years experience building scalable Java\-based software applications, or 4\+ years of experience and a Master’s degree in Computer Science or related field.
* Building cloud\-native applications in Java \&amp; Spring with an eye towards operability, maintainability, and scaling.
* Experience with microservices architecture and multithreading.
* A bachelor’s degree or equivalent related working experience is required.
**You are**
* Familiar with DevOps practices, including CI/CD pipelines and tools such as Docker, Kubernetes, Jenkins or GitHub Actions, and willing to deepen knowledge in this area.
* Familiar with AI model landscape and deployment modes in software development.
* Passioned about quality, good design, and clean code.
* Willing to share knowledge, to continue expanding your knowledge around new technologies as well as software development best practices.
* You are agile\-minded and open to working in dynamic, iterative development environments.
**Measures of success are**
* Within your first month, you will get familiar with the environment we use, the way we implement software as an organization, participate in virtual stand\-up’s, simple business use cases and submit your first code to production.
* Within your third month, you will implement new user stories with quality and care, and understand what value they will bring to our customers. You will recognize areas for improvement and begin to propose ideas to the team during stand\-up’s.
* Within your sixth month, you will be a key part of the Data Observability Team, regularly delivering quality code, participating in testing, and providing constructive input on the design and approaches taken to improve our software.
**Compensation For This Role**
 The standard base salary range for this position is $140,000\.00 \- $175,000\.00 per year. This position is not eligible for additional commission\-based compensation. Salary offers are based on a combination of factors, including, but not limited to, experience, skills, and location.
 In addition to base salary, we offer a competitive total rewards package, including bonus potential, equity for eligible roles, a Flex Fund monthly stipend, pension/401k plans, and more.
 Benefits at Collibra
 Collibra recognizes and values that everyone has different needs, interests, and life goals. We built our benefits program with flexibility in mind to support you and your loved ones through a diverse range of circumstances and life events. These flexible offerings sit on a foundation of competitive compensation, health coverage, and time off. Learn more about Collibra’s benefits.
 We create inclusion and belonging through how we onboard, meet, connect, engage, and communicate. Learn more about diversity, equity, and inclusion at Collibra.
 At Collibra, we’re proud to be an equal opportunity employer. We realize the key to creating a company with a world\-class culture and employee experience comes from who we hire and creating a workplace that celebrates everyone.
 With this, we proudly consider qualified applicants without regard to race, color, religion, creed, gender, national origin, age, disability, veteran status, sexual orientation, pregnancy, sex, gender identity, gender expression, genetic information, physical or mental disability, HIV status, registered domestic partner status, caregiver status, marital status, veteran or military status, citizenship status or any other legally protected category. If you have a need that requires accommodation, let us know by completing our Accommodations for Applicants form.</t>
        </is>
      </c>
    </row>
    <row r="153">
      <c r="A153" t="inlineStr">
        <is>
          <t>li-4358945591</t>
        </is>
      </c>
      <c r="B153" t="inlineStr">
        <is>
          <t>Full Stack Engineer</t>
        </is>
      </c>
      <c r="C153" t="inlineStr">
        <is>
          <t>Elevate</t>
        </is>
      </c>
      <c r="D153" t="inlineStr">
        <is>
          <t>linkedin</t>
        </is>
      </c>
      <c r="E153">
        <f>HYPERLINK("https://www.linkedin.com/jobs/view/4358945591", "https://www.linkedin.com/jobs/view/4358945591")</f>
        <v/>
      </c>
      <c r="F153">
        <f>HYPERLINK("https://www.teamworkonline.com/multiple-properties/elevate-sport-ventures-careers/elevate-sports-ventures-jobs/full-stack-engineer-2145607?source=LinkedIn&amp;urlHash=KQpd", "https://www.teamworkonline.com/multiple-properties/elevate-sport-ventures-careers/elevate-sports-ventures-jobs/full-stack-engineer-2145607?source=LinkedIn&amp;urlHash=KQpd")</f>
        <v/>
      </c>
      <c r="G153" t="inlineStr">
        <is>
          <t>North Carolina, United States</t>
        </is>
      </c>
      <c r="H153" t="inlineStr"/>
      <c r="I153" t="inlineStr">
        <is>
          <t>**About Elevate**
 Elevate is a full\-service consulting firm that inspires high\-performing organizations to find their limits and push past them. With expertise in brand consulting, sales strategy, data\-driven insights, and talent optimization, Elevate gives its clients a competitive edge in the fight for people’s precious time and attention. Established in 2018, Elevate set out to help sports teams and leagues spark innovation and drive performance. In the years since, the world of sports has transformed, today standing at the convergence of media, entertainment, and consumer brands, with Elevate supporting some of the world’s most ambitious businesses across these sectors. Elevate’s proprietary technology, data sources, and software products combined with our thoughtful insights, and people\-centric approach give clients a 360\-degree view of their customers, underpinning intelligent decision\-making on marketing spend, growth strategy, and more.
 Our team of 400\+ employees spans the globe with in 20 locations worldwide. We value recruiting diverse individuals to our team to bring new perspectives to our company and look forward to learning more about you in the recruitment process. To learn more and see what we’ve been up to, follow Elevate on X, LinkedIn, and Instagram.
**Where you come in**
 Elevate is embarking on an exciting transformation journey from a consulting company to a product\-led organization where our technology will become a primary revenue driver. Join our rapidly growing engineering team that's setting the foundation for this transformation.
 You'll collaborate with talented engineers and product leaders to build and enhance our product platforms. You'll work across the entire stack \- from creating exceptional user experiences to building robust backend services that power our products and integrations. You'll have the opportunity to work on diverse products that serve our clients in sports, entertainment, and consumer brands.
**What You'll Bring**
* Full Stack Expertise: 5\+ years of experience building modern web applications across both frontend and backend technologies
* Frontend Skills: Proficiency with React, TypeScript, and modern frontend development practices including component architecture and responsive design
* Backend Skills: Strong experience with Python and web frameworks like FastAPI or Flask, along with RESTful API design
* Cloud Native Development: Experience building applications on AWS using services like Lambda, ECS, API Gateway, and Aurora PostgreSQL
* Database Knowledge: Proficiency with both relational (PostgreSQL) and NoSQL database systems
* Product Engineering Mindset: Understanding that technology exists to solve customer problems and create business value
* End\-to\-End Ownership: Comfort working across the entire stack to deliver complete solutions from UI to database
* Problem\-Solving Approach: You start with understanding the problem deeply before jumping to solutions
* Experimentation Mindset: You value learning through rapid experimentation and embrace a "progress over perfection" approach
* Outcome Orientation: You measure success by business impact and customer satisfaction, not just by features shipped
* Communication Skills: Ability to clearly articulate technical concepts to both technical and non\-technical stakeholders
* Agency Experience: Experience working effectively with development agency partners is a plus
* Domain Experience: Background in transactional systems or data\-intensive applications is a plus
**How You'll Make An Impact**
* Deliver End\-to\-End Solutions: Take ownership of features from conception to deployment, working across the entire technical stack
* Build Exceptional Experiences: Create intuitive user interfaces while ensuring the backend services that power them are reliable and performant
* Develop Scalable Architecture: Design and implement solutions that work seamlessly across our micro\-frontend architecture and microservices backend
* Bridge Frontend and Backend: Serve as a technical bridge between specialized frontend and backend engineers, ensuring cohesive solutions
* Integrate with Partners: Build and maintain integrations with third\-party services, APIs, and external systems
* Solve Real Customer Problems: Work directly with customers and stakeholders to understand pain points and deliver validated solutions
* Enable Rapid Experimentation: Quickly prototype and iterate on solutions across the stack to validate ideas before full implementation
* Champion Best Practices: Establish patterns for full\-stack development that balance frontend user experience with backend reliability
**Your Journey: First 90 Days**
**First 30 Days**
* Deep dive into our existing architecture across frontend, backend, and infrastructure layers
* Build relationships with your engineering teammates, key stakeholders, and agency partners
* Start contributing code across the stack to understand our systems holistically
* Partner with the team to develop your personal roadmap for impact
**Days 31\-60**
* Lead a significant feature implementation that spans both frontend and backend
* Design and run a product experiment that requires changes across the full stack
* Begin establishing patterns for full\-stack development and cross\-layer testing
**Days 61\-90**
* Represent engineering in cross\-functional planning meetings with a holistic technical perspective
* Drive technical decision\-making for features that require frontend and backend coordination
* Mentor other engineers on full\-stack development practices and cross\-layer thinking
**Why This Role Matters Now**
* Growing Team: Join a talented and expanding engineering team that's building the foundation for Elevate's product\-led future
* Product\-Led Transformation: Drive the shift to a product\-led organization following the playbook of companies like Spotify, Airbnb, and Stripe
* Learning Culture: Grow alongside passionate engineers in an environment that values continuous learning and knowledge sharing
* Significant Impact: Your work will directly enable products that drive millions in revenue for our clients
* Autonomy and Ownership: Lead with significant autonomy while owning outcomes, not just outputs
**The Technology You'll Work With**
* Our technology stack includes:
* Frontend: React, TypeScript, MUI, Redux
* Backend: Python, FastAPI, Flask
* Infrastructure: AWS (Lambda, ECS, API Gateway, Aurora PostgreSQL, SQS)
* Payments: Stripe integration
* Data Processing: AWS Glue, Redshift
* Development Practices: Microservices architecture, micro\-frontends, CI/CD, Infrastructure as Code
**Our Product Engineering Principles**
* Customer Obsession: We start with the customer and work backward. We don't build features; we solve customer and business problems.
* Ownership: Teams own outcomes, not just outputs. Success means business impact and customer delight, not shipping on schedule.
* Simplicity: We choose architectural and product simplicity over complexity. Complex solutions are harder to maintain, evolve, and explain.
* Data\-Driven Decisions: We measure what matters and use data to guide our product development and business decisions.
* Rapid Learning: We implement quick feedback loops, focus on learning through experimentation, and value progress over perfection.
* Transparency: We invite visibility and are transparent with where we're spending our time.
 We're looking for engineers who want to do the best work of their careers while transforming how the sports and entertainment industry operates. At Elevate, you'll have the freedom to solve meaningful problems, the support to grow as a leader, and the satisfaction of seeing your work impact millions of fans. If you're ready to help shape our product\-led future, we'd love to connect.
**Position And Benefits Details**
* Full Time, Exempt
* Medical, Dental, Vision, Life, Short\-Term \&amp; Long\-Term Disability Insurance \+ FSA, HSA, and more
* 401k Employer Match after meeting eligibility requirements
* 14 Paid Holidays
* Unlimited PTO
* Paid Parental Leave
**Working Conditions**
***Travel Requirements***
* Occasional travel may be required
***Physical Demands***
* Extensive work in front of a screen
***Work Environment***
* This role is remote, with the potential for a hybrid work arrangement in the following cities: New York, NY; Santa Clara, CA; Charlotte, NC; Salt Lake City, UT; or Nashville, TN.
*This position is open to all qualified candidates. If you need assistance or an accommodation due to a disability in connection with the application process, you may contact us at* 
 HR@oneelevate.com
*We are proud to be an equal opportunity/veterans/disabled/ LGBT employer. We celebrate diversity and are committed to creating an inclusive environment for all employees. All employment is decided based on qualifications, merit, and business need, without regard to race, color, religion, gender, sexual orientation, national origin, disability status, protected veteran status, genetic information, or any other characteristic protected by applicable law.*</t>
        </is>
      </c>
    </row>
    <row r="154">
      <c r="A154" t="inlineStr">
        <is>
          <t>li-4367617176</t>
        </is>
      </c>
      <c r="B154" t="inlineStr">
        <is>
          <t>Software Engineer I (Full Time) - United States</t>
        </is>
      </c>
      <c r="C154" t="inlineStr">
        <is>
          <t>Cisco</t>
        </is>
      </c>
      <c r="D154" t="inlineStr">
        <is>
          <t>linkedin</t>
        </is>
      </c>
      <c r="E154">
        <f>HYPERLINK("https://www.linkedin.com/jobs/view/4367617176", "https://www.linkedin.com/jobs/view/4367617176")</f>
        <v/>
      </c>
      <c r="F154" t="inlineStr"/>
      <c r="G154" t="inlineStr">
        <is>
          <t>Triangle, NC</t>
        </is>
      </c>
      <c r="H154" t="inlineStr"/>
      <c r="I154"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Join a vibrant community of passionate professionals from around the world, working together in Engineering, IT, Supply Chain, Customer Experience, Security \&amp; Trust, and more. Our team brings diverse perspectives, skills, and backgrounds—united by a shared commitment to innovation and making technology accessible for everyone.
 Here, you’ll collaborate with dedicated colleagues on exciting projects in cloud, mobile, desktop, and security. No matter your role, you’ll have the chance to learn, grow, and make an impact—building solutions that help people connect, learn, and thrive in new ways.
 Together, we’re shaping the future—one idea at a time.
**Your Impact**
 At the heart of our technology, our software engineers shape the digital experiences that power our business and delight our users. In this role, you will create, test, and improve software and tools that support a wide range of impactful platforms—from operating systems and networks to databases and beyond. Your thoughtful approach will help ensure our solutions are intuitive, reliable, and accessible for everyone.
 You’ll collaborate with a diverse, global team, sharing ideas, learning from others, and building relationships across functions. Your strong communication skills and collaborative spirit will enable you to contribute meaningfully, fostering an environment where all voices are heard and respected.
 With a passion for problem\-solving and continuous improvement, you’ll find opportunities to streamline processes and influence technology decisions, including design and hardware compatibility. Your organizational talents and effective time management will help you prioritize, adapt, and deliver high\-quality work that drives our mission forward.
 Join us and bring your unique perspective to build innovative, inclusive software that makes a meaningful difference—both for our company and for communities around the world.
**Minimum Qualifications**
* Completion within the past 3 years, or current enrollment with expected completion within 12 months, of a Bachelor’s degree program. Relevant fields include Computer Science, Computer Engineering, Cybersecurity, or a related program.
* Proficiency in at least one of the following programming or scripting languages: C/C\+\+, Python, or Java, with evidence of recent (within the 12 months) coursework, projects, or work experience.
* Experience in quality assurance (QA), testing, and/or debugging in an academic, project\-based, or work related setting.
* Ability to legally reside and work in the country of application, without the need for visa support or employer sponsorship.
**Preferred Qualifications**
* Knowledge of Linux, Networking concepts, OS fundamentals, Embedded Development, and/or ML
* Experience with Databases, Web Application Development, and Web Services
* Knowledge in Computer Networking and/or Cybersecurity
* Knowledge of Cloud Platforms: AWS, Microsoft Azure, or Google Cloud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55">
      <c r="A155" t="inlineStr">
        <is>
          <t>li-4367601932</t>
        </is>
      </c>
      <c r="B155" t="inlineStr">
        <is>
          <t>Software Developer</t>
        </is>
      </c>
      <c r="C155" t="inlineStr">
        <is>
          <t>Comtello</t>
        </is>
      </c>
      <c r="D155" t="inlineStr">
        <is>
          <t>linkedin</t>
        </is>
      </c>
      <c r="E155">
        <f>HYPERLINK("https://www.linkedin.com/jobs/view/4367601932", "https://www.linkedin.com/jobs/view/4367601932")</f>
        <v/>
      </c>
      <c r="F155" t="inlineStr"/>
      <c r="G155" t="inlineStr">
        <is>
          <t>Albany, NY</t>
        </is>
      </c>
      <c r="H155" t="inlineStr"/>
      <c r="I155" t="inlineStr">
        <is>
          <t>We have a 30 month Remote Software Developer contract that may be extended by our client.
 **Minimum Qualifications**
* 84 months of COBOL programming experience.
* 84 months of JCL experience.
* 84 months of IBM DB2 experience working with databases.
* 60 months of IDMS Database experience.
* 60 months of experience writing technical design specification documents for multifaceted component\-based systems.
* 60 months of system analysis and design experience for multi\-tiered transactional systems.
 Your application will be disqualified if you do not meet all these minimum application requirements.
* Must be a current resident of the United States.
* Must have current work authorization for the United States.
* Must be a direct hire.
 Make sure to check your junk/spam folders as we will use email to reach out to you.</t>
        </is>
      </c>
    </row>
    <row r="156">
      <c r="A156" t="inlineStr">
        <is>
          <t>li-4354265549</t>
        </is>
      </c>
      <c r="B156" t="inlineStr">
        <is>
          <t>Java Full Stack Engineer</t>
        </is>
      </c>
      <c r="C156" t="inlineStr">
        <is>
          <t>BeaconFire Inc.</t>
        </is>
      </c>
      <c r="D156" t="inlineStr">
        <is>
          <t>linkedin</t>
        </is>
      </c>
      <c r="E156">
        <f>HYPERLINK("https://www.linkedin.com/jobs/view/4354265549", "https://www.linkedin.com/jobs/view/4354265549")</f>
        <v/>
      </c>
      <c r="F156" t="inlineStr"/>
      <c r="G156" t="inlineStr">
        <is>
          <t>New York, United States</t>
        </is>
      </c>
      <c r="H156" t="inlineStr"/>
      <c r="I156"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157">
      <c r="A157" t="inlineStr">
        <is>
          <t>li-4347897167</t>
        </is>
      </c>
      <c r="B157" t="inlineStr">
        <is>
          <t>Software Engineer</t>
        </is>
      </c>
      <c r="C157" t="inlineStr">
        <is>
          <t>Cognition</t>
        </is>
      </c>
      <c r="D157" t="inlineStr">
        <is>
          <t>linkedin</t>
        </is>
      </c>
      <c r="E157">
        <f>HYPERLINK("https://www.linkedin.com/jobs/view/4347897167", "https://www.linkedin.com/jobs/view/4347897167")</f>
        <v/>
      </c>
      <c r="F157" t="inlineStr"/>
      <c r="G157" t="inlineStr"/>
      <c r="H157" t="inlineStr"/>
      <c r="I157" t="inlineStr">
        <is>
          <t>**We are an applied AI lab building end\-to\-end software agents.**
 We're the makers of Devin, the first AI software engineer, and Windsurf, the AI\-native IDE. Together, they represent our vision for collaborative AI teammates that enable engineers to focus on more interesting problems and empower teams to strive for more ambitious goals.
 Our team is small and talent\-dense. Among our founding team, we have world\-class competitive programmers, former founders, and leaders from companies at the cutting edge of AI including Scale AI, Palantir, Cursor, Waymo, Tesla, Lunchclub, Modal, Google DeepMind, and Nuro.
 Building Devin and Windsurf is just the first step—our hardest challenges still lie ahead. If you’re excited to solve some of the world’s biggest problems and build AI that can reason on real\-world tasks, apply to join us.</t>
        </is>
      </c>
    </row>
    <row r="158">
      <c r="A158" t="inlineStr">
        <is>
          <t>li-4367479749</t>
        </is>
      </c>
      <c r="B158" t="inlineStr">
        <is>
          <t>AI Software Engineer</t>
        </is>
      </c>
      <c r="C158" t="inlineStr">
        <is>
          <t>Mighty</t>
        </is>
      </c>
      <c r="D158" t="inlineStr">
        <is>
          <t>linkedin</t>
        </is>
      </c>
      <c r="E158">
        <f>HYPERLINK("https://www.linkedin.com/jobs/view/4367479749", "https://www.linkedin.com/jobs/view/4367479749")</f>
        <v/>
      </c>
      <c r="F158" t="inlineStr"/>
      <c r="G158" t="inlineStr">
        <is>
          <t>New York, NY</t>
        </is>
      </c>
      <c r="H158" t="inlineStr"/>
      <c r="I158" t="inlineStr">
        <is>
          <t>**About Mighty:**
 The personal injury system is broken. When everyday people are at their most vulnerable—recovering from an accident, facing medical bills, and missing work—they are forced to navigate a black box designed to favor the powerful. Today, the choice is a catch\-22: handle your personal injury claim alone against billion\-dollar insurers, or give away a third of your recovery to a lawyer even though you may not need legal work.
 Mighty is introducing a third option.
 We believe in a world where every victim can recover fully and fairly without being taken advantage of. We are building the AI advocate for the 99%. Our mission is to become the default starting point after an accident, providing a free, AI\-powered platform that gives consumers the clarity, valuation, and negotiation power they need to realize the full value of their claim.
 This is the definition of "doing well by doing good." We aren't building more profitable tools for law firms; we are building a consumer\-first alternative that l allows everyday people to take control of their personal injury claims.
**The Role: Engineering for Real\-World Impact:**
 We are looking for a product\-minded Engineer who wants to solve messy, high\-stakes human problems with cutting\-edge AI. This isn't a role for building abstract infrastructure or "novelty" features. You will be building the intelligence that helps a parent get their car fixed, a worker pay their medical bills, and a victim find justice without the stress of a lawsuit.
 We are a high\-conviction, in\-person team based in Flatiron in NYC. We believe that when you are building a product that impacts human lives, the high\-bandwidth collaboration of a shared office is essential. You'll be joining our NYC hub , where we whiteboard, debate, and ship in real\-time.
**The Challenge: Applied AI for the Individual:**
**You will focus on building AI that levels the playing field:**
* The Valuation Brain: Develop sophisticated agents that can ingest medical records and police reports to deliver instant, fact\-specific valuations. This gives users the ground truth they need, so they aren't left guessing what's fair.
* Empowered Negotiation: Architect the systems that facilitate communication and negotiation with insurers. You are building software that acts as a world\-class negotiator, ensuring the user is never outmatched.
* Document Intelligence at Scale: Engineer robust pipelines to extract and reason through unstructured data. You'll be turning chaotic paperwork into a clear, strategic roadmap for the user's recovery.
* Responsible \&amp; Reliable AI: In a regulated domain where correctness matters, you will establish the evaluation and monitoring frameworks that ensure our AI outputs are accurate, trustworthy, and empathetic.
**Who You Are:**
* 4\-6 years of software engineering experience. You have a track record of shipping production software and take pride in clean, well\-architected code.
* You are deeply hands\-on with LLMs and generative AI. You know how to take a model beyond a prompt and into a reliable, scalable product feature. You understand RAG, prompt chaining, and model evaluation.
* You are driven by the "Doing Well by Doing Good" philosophy. You want to see your code solve real\-world problems for real people, not just move numbers on a spreadsheet.
* You thrive in an office environment. You value the mentorship, speed, and social connection of a dedicated team. You want to be in the room where the big decisions happen.
**Compensation:** 
 $110,000\-$180,000 DOE
*Please note that at this time, we are not accepting candidates who require relocation.*
**Benefits:**
* 401(k) with a partial company contribution
* Health, Vision, and Dental benefits
* Stock options
* Flexible PTO \- take time when you need it!
* L\&amp;D opportunities
* Lunch provided in\-person at the NYC office
* And more</t>
        </is>
      </c>
    </row>
    <row r="159">
      <c r="A159" t="inlineStr">
        <is>
          <t>li-4367616074</t>
        </is>
      </c>
      <c r="B159" t="inlineStr">
        <is>
          <t>Principal Full-Stack Software Engineer</t>
        </is>
      </c>
      <c r="C159" t="inlineStr">
        <is>
          <t>MOCA Systems, Inc.</t>
        </is>
      </c>
      <c r="D159" t="inlineStr">
        <is>
          <t>linkedin</t>
        </is>
      </c>
      <c r="E159">
        <f>HYPERLINK("https://www.linkedin.com/jobs/view/4367616074", "https://www.linkedin.com/jobs/view/4367616074")</f>
        <v/>
      </c>
      <c r="F159">
        <f>HYPERLINK("https://mocasystems.applytojob.com/apply/H3lQSzq7Bu/Principal-FullStack-Software-Engineer?source=LILI&amp;source=LINKEDIN&amp;urlHash=kT__", "https://mocasystems.applytojob.com/apply/H3lQSzq7Bu/Principal-FullStack-Software-Engineer?source=LILI&amp;source=LINKEDIN&amp;urlHash=kT__")</f>
        <v/>
      </c>
      <c r="G159" t="inlineStr">
        <is>
          <t>Boston, MA</t>
        </is>
      </c>
      <c r="H159" t="inlineStr"/>
      <c r="I159" t="inlineStr">
        <is>
          <t>**Title: Principal Full\-Stack Software Engineer**
**Location: Remote – Boston/New England Area Preferred**
**Salary Range: $175,000 \- $195,000**
**Position Summary**
 Our Touchplan development team seeks an innovative, product\-focused full\-stack developer with expertise developing Angular applications backed by relational and document databases. A successful candidate will have experience building complex cloud\-based web applications designed to serve thousands of users and scale to accommodate the growth of the company.
 This role operates in a small, remote team. We use processes inspired by agile development to build and deliver code frequently.
**Qualifications:**
* Bachelor’s degree in computer science is preferred along with 8 – 15 years of directly related experience
* Relational databases and stored procedures \- Postgres preferred: Expertise
* Typescript: Expertise
* Java: Advanced
* \*Nix experience: Advanced
* Docker (Building, orchestrating): Advanced
* Experience taking an active role in the design and development of a product
* Strong technical documentation skills
* Demonstrated success at building a complex, data\-driven web application involving data manipulation across multiple users simultaneously
* Successful technical leadership: Mentoring team members, setting and maintaining standards, contributing to system design reviews
 A successful candidate will also have experience or interest in:
* Distributed computing utilizing message passing communication
* Google cloud services, including Firebase
* Snowflake / data warehouses
**About MOCA Systems, Inc.**
 MOCA Systems, Inc. (MSI) is a leading services and software provider for the Architecture, Engineering, and Construction industry. MSI delivers innovative solutions to Owners, Engineers, Architects, and Contractors working on some of the world’s largest, most complex construction projects. A profitable firm with offices across the United States and partners around the globe, MSI’s services and technology offerings ensure that projects are delivered on time and on budget and fulfill all Owner expectations. To learn more, visit mocasystems.com.
**Our Solutions:**
**Touchplan®**
 Touchplan is the premier software offering of MOCA Systems, Inc. Used on the most projects, by the most users, to optimize the largest construction volume, Touchplan is the number one production planning and analytics platform. The real\-time, cloud\-based solution uses the collaborative foundation of the Last Planner System® to prevent schedule and budget slippage. It also provides Owners and Contractors the instant insights they need to track progress and anticipate problems on projects. To learn more, visit touchplan.io.
**MOCA Services**
 MOCA Services is a full\-service provider for Owners in the design and construction industry. Our battle\-tested programs help clients make their projects successful from project ideation, through construction, and to occupancy. MOCA Services is relationship\-focused and provides solutions for on time, on budget, and on scope delivery of large, complex, and socially important projects. To learn more, visit mocaservices.com.
**Equal Opportunity Employer Statement:**
 MOCA Systems, Inc. (“MSI”) is an Equal Opportunity Employer and Prohibits Discrimination and Harassment of any kind: MSI is committed to the principle of equal employment opportunity for all employees and to providing employees with a work environment free of discrimination and harassment. All employment decisions at MSI are based on business needs, job requirements and individual qualifications, without regard to race, color, religion or belief, sex, sexual orientation, gender identity, national origin, veteran, disability, or any other status protected by the laws or regulations in the locations where we operate. MSI will not tolerate discrimination or harassment based on any of these characteristics. MSI encourages applicants of all ages.
 Powered by JazzHR
 H3lQSzq7Bu</t>
        </is>
      </c>
    </row>
    <row r="160">
      <c r="A160" t="inlineStr">
        <is>
          <t>li-4367608298</t>
        </is>
      </c>
      <c r="B160" t="inlineStr">
        <is>
          <t>Software Engineer II</t>
        </is>
      </c>
      <c r="C160" t="inlineStr">
        <is>
          <t>Microsoft</t>
        </is>
      </c>
      <c r="D160" t="inlineStr">
        <is>
          <t>linkedin</t>
        </is>
      </c>
      <c r="E160">
        <f>HYPERLINK("https://www.linkedin.com/jobs/view/4367608298", "https://www.linkedin.com/jobs/view/4367608298")</f>
        <v/>
      </c>
      <c r="F160" t="inlineStr"/>
      <c r="G160" t="inlineStr">
        <is>
          <t>Redmond, WA</t>
        </is>
      </c>
      <c r="H160" t="inlineStr"/>
      <c r="I160"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looking for a Software Engineer IIl to joing our team. We are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Azure Cosmos DB is one of the fastest growing Azure services that provides globally distributed, low\-latency, massively scalable, multi\-model cloud database service. It is designed to enable developers to build planet\-scale applications.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"OpenAI relies on Cosmos DB to dynamically scale their ChatGPT service – one of the fastest\-growing consumer apps ever – enabling high reliability and low maintenance." – Satya Nadella
 Here’s a quick glance at the vision, opportunities, culture in our team:
* Goal : Deliver 99\.999% availability across all regions of Cosmos DB
* Collaboration Opportunities : You get to work closely with many partner teams in Service Fabric, Cosmos DB SDK, Cosmos DB Control Plane, Store \&amp; DR teams, Backup/Restore, etc.
* Learnings : Building niche Cloud Database development skills (Provisioning, Replication, Failover, Consistency Levels, Database Recovery, etc.)
* Team \&amp; Org Culture : The team \&amp; org culture fosters learning, innovation, and collaboration. We have recurring bi\-weekly Lunch N Learn series where teams come together to share knowledge (most recently we had sessions about Vector Search using Disk ANN in Cosmos DB)
 We do not just value differences or different perspectives. We seek them out and invite them in so we can tap into the collective power of everyone in the company. As a result, our customers are better served.
**Responsibilities**
* Design, implement and ship distributed database management system offerings effectively providing customer value in terms of security, performance, reliability, usability and manageability while ensuring business goals are met.
* Collaborate effectively with the team, make appropriate systems tradeoffs in design and implementation, and ensure customer success in their use of the product.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 C, C\+\+, C\#, Java, JavaScript, or Python
+ OR equivalent experience.
* Experience working in distributed systems development
 \#azdat \#azuredat \#azuredata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1">
      <c r="A161" t="inlineStr">
        <is>
          <t>li-4367491838</t>
        </is>
      </c>
      <c r="B161" t="inlineStr">
        <is>
          <t>Full Stack Engineer</t>
        </is>
      </c>
      <c r="C161" t="inlineStr">
        <is>
          <t>Best Job Tool</t>
        </is>
      </c>
      <c r="D161" t="inlineStr">
        <is>
          <t>linkedin</t>
        </is>
      </c>
      <c r="E161">
        <f>HYPERLINK("https://www.linkedin.com/jobs/view/4367491838", "https://www.linkedin.com/jobs/view/4367491838")</f>
        <v/>
      </c>
      <c r="F161" t="inlineStr"/>
      <c r="G161" t="inlineStr"/>
      <c r="H161" t="inlineStr"/>
      <c r="I161" t="inlineStr">
        <is>
          <t>**About The Company**
 Eon Systems PBC is a forward\-thinking technology company dedicated to delivering innovative software solutions that empower businesses to optimize their operations and achieve their strategic goals. With a strong commitment to excellence and a customer\-centric approach, Eon Systems PBC leverages cutting\-edge technologies and industry best practices to develop products that drive efficiency, scalability, and growth. As a Public Benefit Corporation, the company is committed to balancing profit with social and environmental responsibility, fostering a workplace culture that values diversity, inclusion, and continuous learning. Eon Systems PBC prides itself on its collaborative environment, where talented professionals work together to solve complex challenges and make a meaningful impact in the technology landscape.
**About The Role**
 We are seeking a highly motivated and detail\-oriented Software Engineer to join our dynamic team at Eon Systems PBC. In this role, you will be instrumental in designing, developing, and maintaining innovative software solutions that meet the evolving needs of our clients. The ideal candidate will possess a strong foundation in software development principles, excellent problem\-solving skills, and the ability to work effectively within a collaborative team environment. This position offers an exciting opportunity to contribute to impactful projects, utilize the latest technologies, and grow professionally within a company committed to excellence and social responsibility.
**Qualifications**
 The ideal candidate should possess a bachelor’s degree in Computer Science, Software Engineering, or a related field. Proven experience in software development, preferably with experience in full\-stack development, cloud computing, or data management, is highly desirable. Strong proficiency in programming languages such as Java, Python, or JavaScript is required. Familiarity with modern development frameworks, version control systems, and agile methodologies is essential. Excellent communication skills, a proactive attitude, and the ability to adapt to changing priorities are also important. Candidates should demonstrate a passion for technology, innovation, and a commitment to continuous learning and professional growth.
**Responsibilities**
 As a Software Engineer at Eon Systems PBC, your responsibilities will include designing, coding, testing, and deploying scalable software solutions that align with business objectives. You will collaborate closely with cross\-functional teams, including product managers, designers, and other developers, to understand requirements and deliver high\-quality features. Maintaining and improving existing applications, troubleshooting issues, and ensuring optimal performance and security are key aspects of the role. Additionally, you will participate in code reviews, contribute to documentation, and stay updated on emerging technologies to recommend innovative solutions. Your role will also involve actively engaging in Agile development processes, contributing to sprint planning, and continuously seeking ways to enhance development workflows and product quality.
**Benefits**
 Eon Systems PBC offers a comprehensive benefits package designed to support the well\-being and professional growth of our employees. This includes competitive salary packages, health insurance coverage, and retirement savings plans. We also provide opportunities for ongoing training and development, including workshops, certifications, and conferences. Our flexible work arrangements promote work\-life balance, and we foster an inclusive environment that values diversity and collaboration. Employees have access to wellness programs, paid time off, and various employee engagement initiatives aimed at promoting a positive and productive workplace culture. Joining Eon Systems PBC means becoming part of a company that values your contributions and invests in your future.
 Equal Opportunity
 Eon Systems PBC is an equal opportunity employer. We are committed to creating an inclusive environment where all employees and applicants are treated with respect and fairness, regardless of race, color, religion, gender, sexual orientation, gender identity or expression, national origin, age, disability, or any other protected characteristic. We believe diversity enriches our workplace and drives innovation, and we actively seek to attract, retain, and develop a diverse talent pool. Our hiring and employment practices are designed to promote fairness and equal opportunity for all candidates and employees.</t>
        </is>
      </c>
    </row>
    <row r="162">
      <c r="A162" t="inlineStr">
        <is>
          <t>li-4367622797</t>
        </is>
      </c>
      <c r="B162" t="inlineStr">
        <is>
          <t>Software Engineer</t>
        </is>
      </c>
      <c r="C162" t="inlineStr">
        <is>
          <t>General Motors</t>
        </is>
      </c>
      <c r="D162" t="inlineStr">
        <is>
          <t>linkedin</t>
        </is>
      </c>
      <c r="E162">
        <f>HYPERLINK("https://www.linkedin.com/jobs/view/4367622797", "https://www.linkedin.com/jobs/view/4367622797")</f>
        <v/>
      </c>
      <c r="F162">
        <f>HYPERLINK("https://generalmotors.wd5.myworkdayjobs.com/Careers_GM/job/Austin-Texas-United-States-of-America/Software-Engineer_JR-202601524?source=LinkedIn&amp;urlHash=yuB7", "https://generalmotors.wd5.myworkdayjobs.com/Careers_GM/job/Austin-Texas-United-States-of-America/Software-Engineer_JR-202601524?source=LinkedIn&amp;urlHash=yuB7")</f>
        <v/>
      </c>
      <c r="G162" t="inlineStr">
        <is>
          <t>Austin, TX</t>
        </is>
      </c>
      <c r="H162" t="inlineStr"/>
      <c r="I162" t="inlineStr">
        <is>
          <t>**Job Description**
 Sponsorship: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Hybrid: This position allows flexibility utilizing our hybrid\-work appropriately model where team members can work at the GM Global Technical Center or Austin IT Innovation Center North or off\-site, requiring the team member be onsite to support project needs. At GM, we believe work\-life harmonization is essential to a team member’s success and job satisfaction
 The Role:
 The Full Stack Software Engineer for Product Development Business Solutions is responsible for developing software applications that support the Global Document Management Application. The ideal candidate for this role will be comfortable working with applications that involve complex data requirements and will provide solutions using proven, industry\-standard methodologies and have expertise in SOLR. You will be directly involved in writing software or solutions based on detailed requirements and system specifications. Additionally, you will oversee development activities to ensure delivery of world\-class capabilities aligned with GM’s corporate and business objectives for a greenfield application.
 What You'll Do
* Developing enterprise\-grade applications using Kubernetes/Docker, Quarkus, SOLR, Java, Angular, and PostgreSQL, among other tools.
* Proactively engage in the identification / remediation of software issues such as code quality, pattern mismatch, and security issues related to the code or solution/configuration.
* Collaborate with cross\-functional teams to lead GM’s transition to cloud technologies.
* Ability to navigating complex corporate environments and processes to remove project roadblocks.
* Understands code quality analysis results and remediation mechanisms.
* Strong Knowledge of maintaining and debugging live software systems.
* Experience in implementing various branching strategies and sharing that expertise with your team.
* Advanced CI/CD knowledge including automated builds and deployments and developing pipelines with GitHub Actions.
* Stays abreast of new technology and competitive products and defines GM direction.
* Possess excellent verbal and written communication skills.
* Document software solutions and ensure that technical documentation meets GM standards.
**Your Skills \&amp; Abilities (Required Qualifications)**
* Bachelor’s degree in Computer Science, Engineering, or a related field, or equivalent professional experience
* 3\+ years of hands\-on experience building full\-stack applications using Java/JEE and Angular
* 3\+ years of experience working with containerized applications (Kubernetes, Docker), Quarkus, and cloud platforms such as AWS, Azure, or GCP
* Strong experience writing and optimizing complex SQL queries, functions, and stored procedures
* Experience working in an Agile/SCRUM development methodology
**What Will Give You A Competitive Edge (Preferred Qualifications)**
* Master’s Degree in Computer Science, Engineer or related field
* Proven experience in migrations to Azure cloud including complex data requirements
* Experience designing global, scalable enterprise level systems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63">
      <c r="A163" t="inlineStr">
        <is>
          <t>li-4367477933</t>
        </is>
      </c>
      <c r="B163" t="inlineStr">
        <is>
          <t>Senior Java Software Engineer</t>
        </is>
      </c>
      <c r="C163" t="inlineStr">
        <is>
          <t>Grid Dynamics</t>
        </is>
      </c>
      <c r="D163" t="inlineStr">
        <is>
          <t>linkedin</t>
        </is>
      </c>
      <c r="E163">
        <f>HYPERLINK("https://www.linkedin.com/jobs/view/4367477933", "https://www.linkedin.com/jobs/view/4367477933")</f>
        <v/>
      </c>
      <c r="F163" t="inlineStr"/>
      <c r="G163" t="inlineStr"/>
      <c r="H163" t="inlineStr"/>
      <c r="I163" t="inlineStr">
        <is>
          <t>**Description:** 
 We are seeking a strong Senior Java Developer with good technical expertise, to be responsible for the backend development distributed platform for one of the largest world\-leading retailers. You will be working as a key member of this collaborative team with a group of experts recognized around the world. This is an excellent opportunity to play a role as a key contributor in creating the next generation of network\-centric distributed and scalable architectures. We work with bleeding\-edge technologies, including J2EE, building microservices, variety of cloud platforms such as AWS, Google cloud platform etc., OO Programming, using Agile Development Methodology and much more.
**Responsibilities:** 
* Design and implement server\-side logic for backend services.
* Develop and maintain APIs to support frontend and external integrations.
* Manage and optimize databases for performance and reliability.
* Monitor server health and troubleshoot application issues.
* Ensure high availability and scalability of backend systems.
* Collaborate with cross\-functional teams to improve system architecture.
**Min requirements:** 
* Strong proficiency in Java, Dropwizard, and Spring Boot frameworks.
* Bachelor’s degree required, preferably in Computer Science or a related field.
* Expertise in Oracle database, SQL, Snowflake, and Liquibase.
* Knowledge of JavaScript and React framework.
* Familiarity with Kafka consumer configuration.
* Experience with AWS services (EC2, S3, ECR) and RESTful API design principles.
* Proficiency in Git, Docker, and Gradle.
**We offer:** 
* Opportunity to work on bleeding\-edge projects
* Work with a highly motivated and dedicated team
* Competitive salary
* Flexible schedule
* Benefits package \- medical insurance, sports
* Corporate social events
* Professional development opportunities
* Well\-equipped office
**About us:** 
 Grid Dynamics (NASDAQ: GDYN) is a leading provider of technology consulting, platform and product engineering, AI, and advanced analytics services. Fusing technical vision with business acumen, we solve the most pressing technical challenges and enable positive business outcomes for enterprise companies undergoing business transformation. A key differentiator for Grid Dynamics is our 8 years of experience and leadership in
 enterprise AI
 , supported by profound expertise and ongoing investment in
 data
 ,
 analytics
 ,
 cloud \&amp; DevOps
 ,
 application modernization
 and
 customer experience
 . Founded in 2006, Grid Dynamics is headquartered in Silicon Valley with offices across the Americas, Europe, and India.</t>
        </is>
      </c>
    </row>
    <row r="164">
      <c r="A164" t="inlineStr">
        <is>
          <t>li-4367276752</t>
        </is>
      </c>
      <c r="B164" t="inlineStr">
        <is>
          <t>Senior Software Engineer, Ad-Tech</t>
        </is>
      </c>
      <c r="C164" t="inlineStr">
        <is>
          <t>Genius Sports</t>
        </is>
      </c>
      <c r="D164" t="inlineStr">
        <is>
          <t>linkedin</t>
        </is>
      </c>
      <c r="E164">
        <f>HYPERLINK("https://www.linkedin.com/jobs/view/4367276752", "https://www.linkedin.com/jobs/view/4367276752")</f>
        <v/>
      </c>
      <c r="F164" t="inlineStr"/>
      <c r="G164" t="inlineStr">
        <is>
          <t>New York, United States</t>
        </is>
      </c>
      <c r="H164" t="inlineStr"/>
      <c r="I164" t="inlineStr">
        <is>
          <t>*By bringing together next\-gen technology and the finest live data available, Genius Sports is enabling a new era of sports for fans worldwide, delivering experiences that are more immersive, interactive and personalized than ever before.* 
*Learn more at geniussports.com.* 
**About The Role**
 We are looking for a Senior Software Engineer who is hungry to learn continuously and take ownership of the tools and products that they work on in accordance with best practices for Agile Software Development. We believe that a good engineer can move from one project to another and can learn new skills effortlessly if they are motivated by what they do. Don't let the language or framework you know now be a barrier to applying for the role you would like!
 We will lean on your technical expertise and your pragmatic approach to problem solving; working in a team that prioritizes the principles of Agile delivery and continuous improvement. You will have a Data\-driven, evidence\-based mentality, comfortable with the principles of continuous experimentation and validation.
**Key Responsibilities**
* Design, develop, and maintain scalable and robust data pipelines for extraction, transformation, and loading (ETL) of large datasets.
* Optimize data processing jobs and database queries for maximum performance and efficiency.
* Implement and manage data storage solutions, including data warehouses, data lakes, and other distributed systems.
* Write clean, maintainable, and efficient code for data ingestion, processing, and analysis.
* Troubleshoot and debug data pipeline issues, ensuring data quality and integrity.
* Stay up\-to\-date with emerging data engineering technologies, tools, and best practices.
* Mentor and support other team members in data engineering principles and practices.
**Qualifications**
* Proficiency in Java, Python, Kotlin, or Scala.
* Experience with big data technologies such as Spark, Hadoop, and Kafka.
* Familiarity with workflow orchestration tools like Apache Airflow.
* Experience with streaming data platforms like Kafka, Pulsar, Flink
* Experience with building data pipelines and assets, deployed on AWS services such as EMR, EMR Serverless, and AWS Glue
* Experience with relational and NoSQL databases.
* Familiarity with version control systems (e.g., Git).
* Excellent problem\-solving skills and attention to detail.
* Ability to work independently and as part of a team.
* Strong communication skills.
**Preferred Qualifications**
* Experience working with big data technologies (e.g., Spark, Hadoop, Flink).
* Knowledge of modern data pipelines and orchestration tools (e.g., Airflow, Dagster).
* Familiarity with Agile development methodologies.
* Experience with data quality and testing frameworks.
*The salary for this role is based on an annualized range of $180,000 \- $220,000 USD. This role will also be eligible to take part in Genius Sports Group's benefits plan.*
*We enjoy an ‘office\-first’ culture and maximize opportunities to collaborate, connect and learn together. Our hybrid working models differ depending on your role and location. Occasional travel may be required.*
*As well as a competitive salary and range of benefits, we’re committed to supporting employee wellbeing and helping you grow your skills, experience and career. Learn more about how rewarding life at Genius can be at* 
*Reward \| Genius Sports.* 
*One team, being brave, driving change*
*We strive to create an inclusive working environment, where everyone feels a sense of belonging and the ability to make a difference. Learn more about our values and culture at* 
*Culture \| Genius Sports.*
*Let us know when you apply if you need any assistance during the recruiting process due to a disability.*</t>
        </is>
      </c>
    </row>
    <row r="165">
      <c r="A165" t="inlineStr">
        <is>
          <t>li-4356781591</t>
        </is>
      </c>
      <c r="B165" t="inlineStr">
        <is>
          <t>Senior Software Engineer, Agentic</t>
        </is>
      </c>
      <c r="C165" t="inlineStr">
        <is>
          <t>Robinhood</t>
        </is>
      </c>
      <c r="D165" t="inlineStr">
        <is>
          <t>linkedin</t>
        </is>
      </c>
      <c r="E165">
        <f>HYPERLINK("https://www.linkedin.com/jobs/view/4356781591", "https://www.linkedin.com/jobs/view/4356781591")</f>
        <v/>
      </c>
      <c r="F165">
        <f>HYPERLINK("https://boards.greenhouse.io/robinhood/jobs/7489731?t=gh_src%3D&amp;gh_jid=7489731&amp;gh_src=ed898e781us&amp;urlHash=yAil", "https://boards.greenhouse.io/robinhood/jobs/7489731?t=gh_src%3D&amp;gh_jid=7489731&amp;gh_src=ed898e781us&amp;urlHash=yAil")</f>
        <v/>
      </c>
      <c r="G165" t="inlineStr">
        <is>
          <t>Menlo Park, CA</t>
        </is>
      </c>
      <c r="H165" t="inlineStr"/>
      <c r="I165"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Business Systems team empowers our workforce through secure, scalable, and innovative technology solutions! As a Senior Software Engineer, Agentic you’ll help build Agentic AI solutions supporting Finance, Compliance \&amp; Legal, and HR \&amp; Recruiting. Your work will shape internal platforms that unlock efficiency and drive innovation across these essential business areas.
 The Agentic team at Robinhood is building the foundation for AI agents that power the next generation of AI financial products and internal tools. Our mission is to empower teams across the company to rapidly build, evaluate, and deploy high\-performance AI agents through intuitive tooling, production\-grade infrastructure, and continuous optimization support. We’re creating a platform that makes it easy for engineers to experiment, ship, and scale agents reliably.
 This role is based in our Menlo Park, CA and Bellevue, WA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Build and maintain tools and workflows for agent development that support rapid prototyping
* Develop platform components for scalable experimentation and automated evaluation of AI agents
* Collaborate with engineering partners and business stakeholders to identify friction points, gather requirements, and drive platform improvements.
* Contribute to platform governance and observability, ensuring reliability and compliance by default
* Stay engaged with ML/AI advancements and help translate research into production\-grade tools
**What You Bring**
* 5\+ years of software engineering experience, ideally in Machine Learning or Generative AI contexts
* Experience working with LLMs and building agentic solutions
* Familiarity with prompt engineering, RAG patterns, and multi\-agent architectures
* Strong programming skills in Python, Golang, C\+\+, or similar languages
* A collaborative mindset with a focus on delivering robust platforms that support broad impact
**What We Offer**
* Challenging, high\-impact work to grow your career.
* Performance\-driven compensation with multipliers for outsized impact, bonus programs, equity ownership, and 401(k) matching.
* Best\-in\-class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$157,000—$185,000 USD
 Zone 2 (Denver, CO; Westlake, TX; Chicago, IL)
 $139,000—$163,000 USD
 Zone 3 (Lake Mary, FL; Clearwater, FL; Gainesville, FL)
 $122,000—$144,000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66">
      <c r="A166" t="inlineStr">
        <is>
          <t>li-4367491016</t>
        </is>
      </c>
      <c r="B166" t="inlineStr">
        <is>
          <t>Full Stack Engineer</t>
        </is>
      </c>
      <c r="C166" t="inlineStr">
        <is>
          <t>The QTI Group</t>
        </is>
      </c>
      <c r="D166" t="inlineStr">
        <is>
          <t>linkedin</t>
        </is>
      </c>
      <c r="E166">
        <f>HYPERLINK("https://www.linkedin.com/jobs/view/4367491016", "https://www.linkedin.com/jobs/view/4367491016")</f>
        <v/>
      </c>
      <c r="F166">
        <f>HYPERLINK("https://www.qtigroup.com/find-a-job/details/senior-full-stack-engineer/NM9196071230&amp;urlHash=FSJ-", "https://www.qtigroup.com/find-a-job/details/senior-full-stack-engineer/NM9196071230&amp;urlHash=FSJ-")</f>
        <v/>
      </c>
      <c r="G166" t="inlineStr">
        <is>
          <t>Wisconsin, United States</t>
        </is>
      </c>
      <c r="H166" t="inlineStr"/>
      <c r="I166" t="inlineStr">
        <is>
          <t>Build the future of learning! The QTI Group is partnering with a start\-up organization that is on a mission to redefine how companies train, educate, and engage their teams and customers. We are recruiting for a
 **Senior Full Stack Engineer.** 
 Our client’s AI\-powered platform delivers dynamic learning experiences through avatars, intelligent workflows, and next\-gen personalization. The company is scaling fast and needs exceptional talent to help lead the way in the space. This is your chance to join a high\-impact team and shape a platform that transforms enterprise learning and how people consume information.
**Location** 
 : Fully Remote (Pacific or Central Time Zone preferred) with quarterly team meetups.
**Compensation** 
 : $130,000\-135,000 \+ 10% target bonus and possibility for equity.
**Responsibilities:** 
* Lead the development of secure, scalable APIs and microservices, robust front ends that support intelligent content delivery, and build integrations that connect with customer platforms and endpoints.
* Build and scale the company’s creator\-centric platform for video, interactive AI agents, and multi\-step learning experiences.
* Deliver clean, high\-performance Next.js (React) and Python/Django code with a focus on usability, accessibility, and interaction design.
* Design data pipelines for AI\-driven workflows and interface with technologies for real\-time collaboration (Liveblocks, CMS).
* Architect secure, scalable APIs and microservices.
* Develop tools for creators and builders, including editor components, real\-time collaboration, timeline interactions, multimodal content generation, and AI\-assisted creation workflows.
* Collaborate with a growing in\-house team (CTO, Director of Platform Engineering, AI Engineer) and offshore developers to coordinate workstreams and ensure consistent quality across time zones.
* Serve as a mentor to the in\-house team as the team expands.
**Qualifications** 
 :
* 4\+ years full stack development, building scalable, production\-grade applications.
* Expertise in Python, Django, and JavaScript, as well as Next.js (React).
* Deep understanding of the SDLC, including version control, code review processes, etc.
* Experience using AI to work more efficiently and thoughtfully incorporating it into products you build.
* Experience developing for event streaming/processing in AWS or other microservices, as well as learning management system (LMS) integrations.
* Familiarity with content creation tools (Canva, Figma) and light interaction design is a plus!
* Database design (SQL) and familiarity with data privacy
* Self\-sufficient, curious, and ready to thrive in a fast\-paced, early\-stage environment.
* Must be authorized to work in the United States without requiring sponsorship now or in the future.
***Additional Information: Candidates must be eligible to work without sponsorship; no C2C or agency submissions.***</t>
        </is>
      </c>
    </row>
    <row r="167">
      <c r="A167" t="inlineStr">
        <is>
          <t>li-4356655063</t>
        </is>
      </c>
      <c r="B167" t="inlineStr">
        <is>
          <t>Java Software Engineer</t>
        </is>
      </c>
      <c r="C167" t="inlineStr">
        <is>
          <t>BeaconFire Inc.</t>
        </is>
      </c>
      <c r="D167" t="inlineStr">
        <is>
          <t>linkedin</t>
        </is>
      </c>
      <c r="E167">
        <f>HYPERLINK("https://www.linkedin.com/jobs/view/4356655063", "https://www.linkedin.com/jobs/view/4356655063")</f>
        <v/>
      </c>
      <c r="F167" t="inlineStr"/>
      <c r="G167" t="inlineStr">
        <is>
          <t>East Windsor, NJ</t>
        </is>
      </c>
      <c r="H167" t="inlineStr"/>
      <c r="I167" t="inlineStr">
        <is>
          <t>**Job Responsibilities:** 
* Develop applications using Java 8/JEE (and higher), Angular 2\+, React.js, SQL, Spring, HTML5, CSS, JavaScript, and TypeScript, among other tools.
* Write scalable, secure, and maintainable code that powers our clients’ platforms.
* Create, deploy, and maintain automated system tests.
* Work with Testers to understand defects and resolve them in a timely manner.
* Support continuous improvement by investigating alternatives and technologies, and presenting these for architectural review.
* Collaborate effectively with other team members to accomplish shared user story and sprint goals.
**Requirement:** 
* Experience in programming languages: Java and JavaScript
* Decent understanding of the software development life cycle
* Basic programming skills using object\-oriented programming (OOP) languages, with in\-depth
* knowledge of common APIs and data structures like Collections, Maps, Lists, Sets, etc.
* Knowledge of relational databases (e.g., SQL Server, Oracle) and basic SQL query language skills
**Preferred Qualifications:** 
* Master’s Degree in Computer Science (CS)
* 0–1 year of practical experience in Java coding
* Experience using Spring, Maven, Angular frameworks, HTML, and CSS
* Knowledge of other contemporary Java technologies (e.g., WebLogic, RabbitMQ, Tomcat)
* Familiarity with JSP, J2EE, and JDBC</t>
        </is>
      </c>
    </row>
    <row r="168">
      <c r="A168" t="inlineStr">
        <is>
          <t>li-4362442509</t>
        </is>
      </c>
      <c r="B168" t="inlineStr">
        <is>
          <t>Software Engineer - GenAI</t>
        </is>
      </c>
      <c r="C168" t="inlineStr">
        <is>
          <t>Aeris</t>
        </is>
      </c>
      <c r="D168" t="inlineStr">
        <is>
          <t>linkedin</t>
        </is>
      </c>
      <c r="E168">
        <f>HYPERLINK("https://www.linkedin.com/jobs/view/4362442509", "https://www.linkedin.com/jobs/view/4362442509")</f>
        <v/>
      </c>
      <c r="F168" t="inlineStr"/>
      <c r="G168" t="inlineStr">
        <is>
          <t>San Jose, CA</t>
        </is>
      </c>
      <c r="H168" t="inlineStr"/>
      <c r="I168" t="inlineStr">
        <is>
          <t>At Aeris, we are at the forefront of the IoT revolution, connecting more than 90 million cellular IoT devices globally in our IoT Platform Services via our telecom operator partners and enterprise customers, providing cutting\-edge SaaS solutions that enable businesses to harness the power of connected devices. Our largest industry segments are Automotive, Utilities and Transport \&amp; Logistics, using eSIM technologies. With offices around the world, Aeris is the preeminent IoT software company globally powering critical projects across energy, connected vehicles, transportation, retail, healthcare and more.
 Aeris provides a SaaS based connectivity management platform for mobile operators and enterprises. It enables organizations to realize new revenue streams from a vast variety of devices while simplifying the process and reducing the cost of connecting them to benefit from economies of scale. The platform provides access to key functionality including subscription management, eSIM/eUICC management via world class APIs and operator and enterprise self\-service portals. This is built on core tenants of cloud computing and intelligence (AI/ML). And thanks to our deep expertise and our extensive trusted partner network, we are the go\-to destination for those wishing to roll\-out high quality global IoT deployment.
 As Aeris continues to expand and we are seek an experienced Software Engineer to join our team. In this critical role, you will be responsible for the design, development, and progression of the agentic aspect of our platform and services. You will be at the forefront of our AI transformation journey, architecting and implementing advanced AI solutions that drive our organization from operational AI toward fully autonomous business processes and decision\-making capabilities. This role presents a unique opportunity to shape our AI\-first culture and establish our position as an industry leader in AI innovation, working with real\-world applications and enterprise data to deliver tangible business outcomes. Your work will directly contribute to evolving our platform's intelligence from assisted decision\-making to increasingly autonomous operations that create sustainable competitive advantages.
**About You:** 
* Passionate, innovative, likes to explore and continuously challenge yourself and your team, strong analytical and problem solving skills
* MINIMALLY six years of professional working experience. Ideally six to ten years experience developing SaaS/PaaS oriented product is PREFERRED.
* Proficiency in at least one modern programming languages (Java, Go, or Python) with ability to quickly learn new ones.
* Excellent communication skills (written and verbal).
* Communicates proactively and effectively with product and engineering management and project stakeholders in a highly agile environment
* At least a bachelor’s degree in Computer Science, Software Engineering or equivalent discipline. Knowledge in electrical engineering experience is a plus
* RELOCATION assistance IS NOT available. This position will be located at our offices in San Jose, CA.
**Bonus Points** 
* Familiarity with Large Language Models (LLMs) and their applications.
* Experience with AI agent frameworks (e.g., Langchain, AutoGPT).
* Knowledge of Retrieval Augmented Generation (RAG) techniques.
* Experience with cloud computing platforms (e.g., AWS, Azure, GCP).
* Contributions to open\-source projects in the AI/ML space.
*The below range reflects the range of possible compensation for this role at the time of this posting. We may ultimately pay more or less than the posted range. This range may also be modified in the future. An employee’s position within the salary range will be based on several factors including, but not limited to: relevant education, qualifications, certifications, experience, skills, seniority, geographic location, performance, shift, travel requirements, sales or revenue\-based metrics, any collective bargaining agreements, and business or organizational needs.* 
*The salary range for this role is $150,000 to $205,000\.* 
*Aeris offers a comprehensive package of benefits including paid time off, medical / dental / vision insurance, and 401(k) to eligible employees.* 
*As part of our hiring process, Aeris may conduct background checks to verify the information provided in your application and assess your suitability for the role. The scope and type of checks will comply with the applicable laws and regulations of the country where the position is based. Additional detail will be provided via the formal application process.* 
*Aeris walks the walk on diversity. We are a brilliant mix of varying ethnicities, backgrounds, religions, cultures, sexual orientations, gender identities, ages and professional/personal/military experiences – and that’s by design. Different perspectives are essential to our culture, innovative process and competitive edge. Aeris is proud to be an equal opportunity employer.*</t>
        </is>
      </c>
    </row>
    <row r="169">
      <c r="A169" t="inlineStr">
        <is>
          <t>li-4356663960</t>
        </is>
      </c>
      <c r="B169" t="inlineStr">
        <is>
          <t>Software Engineer in Test - (Mobile)</t>
        </is>
      </c>
      <c r="C169" t="inlineStr">
        <is>
          <t>Venmo</t>
        </is>
      </c>
      <c r="D169" t="inlineStr">
        <is>
          <t>linkedin</t>
        </is>
      </c>
      <c r="E169">
        <f>HYPERLINK("https://www.linkedin.com/jobs/view/4356663960", "https://www.linkedin.com/jobs/view/4356663960")</f>
        <v/>
      </c>
      <c r="F169">
        <f>HYPERLINK("https://paypal.eightfold.ai/careers?domain=paypal.com&amp;sort_by=relevance&amp;query=R0134871&amp;Codes=W-LINKEDIN&amp;urlHash=f5Mk", "https://paypal.eightfold.ai/careers?domain=paypal.com&amp;sort_by=relevance&amp;query=R0134871&amp;Codes=W-LINKEDIN&amp;urlHash=f5Mk")</f>
        <v/>
      </c>
      <c r="G169" t="inlineStr">
        <is>
          <t>Austin, TX</t>
        </is>
      </c>
      <c r="H169" t="inlineStr"/>
      <c r="I16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implements tasks within the Software Development Lifecycle (SDLC), follows internal conventions and procedures, makes technical decisions, collaborates with peers and project leads, and contributes to code and design reviews.
**Job Description:**
**Essential Responsibilities:**
* Implements tasks within the Software Development Lifecycle (SDLC), receiving structure and oversight from more experienced staff
* Follows well\-established internal conventions and standard procedures
* Understands internal standards \&amp; processes an applies them to make technical decisions
* Collaborates with peers, manager, and project lead to gain understanding of tasks and review solutions
* May contribute to code \&amp; design reviews
**Minimum Qualifications:**
* 1\+ years relevant experience and a Bachelor’s degree OR Any equivalent combination of education and experience.
**Additional Responsibilities And Preferred Qualifications**
* Additional Responsibilities \&amp; Preferred Qualifications
+ Experience with mobile test automation for Android and iOS platforms.
+ Hands\-on knowledge of testing frameworks such as Appium, Espresso, and XCTest.
+ Programming experience in Python, NodeJS, Kotlin, or Swift.
+ Familiarity with CI/CD tools such as Jenkins, GitHub Actions, or similar.
+ Strong problem\-solving skills with the ability to clearly communicate findings and collaborate with cross\-functional teams.
 The base pay for this role will depend on where you work and the relevant experience and expertise you bring. The expected range of pay for this role by location is:
 Primary Location : Pay Range:
 San Jose, California : ($116,500\-$173,250\)
 Additional Locations
 Austin, TX : ($106,000\-$157,300\)
 Additional compensation for this role may include an annual performance bonus, equity, or other incentive compensation, as applicable
**About The Team**
 The Venmo team builds products that make moving and managing money simple, social, and trusted for millions of people. We operate at the intersection of consumer experience and financial technology, delivering highly reliable, scalable, and intuitive solutions that people use every day.
 Our team is highly collaborative and cross\-functional, partnering closely with product, design, risk, and platform teams to ship features that balance innovation, performance, and security. We value thoughtful engineering, strong ownership, and continuous learning, and we encourage team members to contribute ideas, improve processes, and grow their skills as we evolve the Venmo platform.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R0134871</t>
        </is>
      </c>
    </row>
    <row r="170">
      <c r="A170" t="inlineStr">
        <is>
          <t>li-4367493589</t>
        </is>
      </c>
      <c r="B170" t="inlineStr">
        <is>
          <t>Software Engineer II</t>
        </is>
      </c>
      <c r="C170" t="inlineStr">
        <is>
          <t>CNH</t>
        </is>
      </c>
      <c r="D170" t="inlineStr">
        <is>
          <t>linkedin</t>
        </is>
      </c>
      <c r="E170">
        <f>HYPERLINK("https://www.linkedin.com/jobs/view/4367493589", "https://www.linkedin.com/jobs/view/4367493589")</f>
        <v/>
      </c>
      <c r="F170" t="inlineStr"/>
      <c r="G170" t="inlineStr">
        <is>
          <t>Oak Brook, IL</t>
        </is>
      </c>
      <c r="H170" t="inlineStr"/>
      <c r="I170" t="inlineStr">
        <is>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**Overview**
 As a
 **Software Engineer II** 
 , you will be responsible to design, develop, and evaluate software from concept through production stage, and make modifications as needed, to meet customer needs and fit within the capabilities of both new and legacy systems.
**Responsibilities**
* Research, develop, and maintain a C\+\+ and Qt based project for embedded in\-vehicle operator interface.
* Create and maintain software architecture/design and public interface documentation for internal teams.
* Work with internal application software teams on deployment/troubleshooting, guidelines and best practices.
* System level thinking and problem solving, ability to connect software design with system constraints and customer scenarios.
* Determine purpose, application, estimate scope and feasibility of new or enhancement of existing software.
* Coordinate engineering efforts and provide general engineering assistance to internal teams or external customers.
* May provide or assist with demo or training needs as it relates to new or existing software.
* Demonstrates support for company culture in their daily actions and behaviors.
**Experience And Qualifications**
* Minimum of 2 years of experience, with Bachelors' degree. (Minimum of 1 year of experience with Master's degree.) Or equivalent combination of education and experience.
* 1\+ years of experience with C\+\+, preferably in an Linux embedded system.
* Strong proficiency with modern C\+\+ is required (e.g. C\+\+17 standard).
* Software configuration CI/CD and build experience is a plus.
* Experience with CAN/J1939 or other automotive communication protocols is a plus.
* Experience in an Agile software development environment is preferred.
* Thorough knowledge of software product development and procedures.
* Solid software development fundamentals such as unit testing, build automation, branch based development, and modern documentation practices.
* Good understanding of CMake.
* Fluent in English, both written and verbal.
* Travel is likely 1\-3 weeks per year.
**Pay Transparency**
 The annual salary for this role is $84,375 \- $112,500 plus any applicable bonus
 *(Actual salaries will vary and will be based on various factors, such as skill, experience and qualification for the role.)*
**What We Offer**
 At CNH, our people are at the heart of everything we do. That’s why we offer a comprehensive benefits program designed to support your health, well\-being, and long\-term success. From competitive compensation to flexible work arrangements and opportunities for continuous development, our benefits reflect our commitment to creating an environment where employees feel supported and empowered—both personally and professionally. We believe that when you’re given the tools to thrive, you can drive meaningful impact. At CNH, you’ll not only find the resources to succeed today—you’ll find the foundation to grow a career and build a future.
 Click here to learn more about our benefits offerings! (US only)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"Know Your Rights" poster here. CNH Industrial participates in E\-Verify and will provide the federal government with your Form I\-9 information to confirm that you are authorized to work in the U.S. You can view additional information here.
 Canada applicants: CNH Industrial is an equal opportunity employer. This company considers candidates regardless of race, color, religion, sex, sexual orientation, gender identity, nationality, place of origin, disability, marital status, family status, age, or any other ground prohibited by applicable provincial human rights legislation.
 If you need reasonable accommodation with the application process, please contact us at narecruitingmailbox@cnhind.com.</t>
        </is>
      </c>
    </row>
    <row r="171">
      <c r="A171" t="inlineStr">
        <is>
          <t>li-4367253277</t>
        </is>
      </c>
      <c r="B171" t="inlineStr">
        <is>
          <t>Software Engineer</t>
        </is>
      </c>
      <c r="C171" t="inlineStr">
        <is>
          <t>Apexon</t>
        </is>
      </c>
      <c r="D171" t="inlineStr">
        <is>
          <t>linkedin</t>
        </is>
      </c>
      <c r="E171">
        <f>HYPERLINK("https://www.linkedin.com/jobs/view/4367253277", "https://www.linkedin.com/jobs/view/4367253277")</f>
        <v/>
      </c>
      <c r="F171" t="inlineStr"/>
      <c r="G171" t="inlineStr">
        <is>
          <t>Lansing, MI</t>
        </is>
      </c>
      <c r="H171" t="inlineStr"/>
      <c r="I171" t="inlineStr">
        <is>
          <t>We are seeking a skilled
 **ESB (IIB \&amp; ITX) Developer** 
 with strong expertise in
 **IBM Integration Bus (IIB) / App Connect Enterprise (ACE)** 
 and
 **IBM Transformation Extender (ITX)** 
 , along with hands\-on experience in
 **healthcare integrations** 
 using
 **HL7, HIPAA, and FHIR** 
 standards.
 This role involves designing, developing, and maintaining
 **integration workflows, EDI mappings, and secure API solutions** 
 to support healthcare systems and ensure regulatory compliance.
**Role:** 
 ESB (IIB \&amp; ITX) Developer – Healthcare Integration Specialist
**Location:** 
 Lansing, MI 48933
**Key Responsibilities** 
* Design and support healthcare integrations using
 **HL7 v2, FHIR, REST, and SOAP APIs**
* Develop and maintain
 **IBM ITX / WTX maps** 
 for
 **EDI ↔ JSON** 
 transformations
* Work with healthcare EDI transactions (
 **837P/I, 834, 835, 997** 
 ) with HIPAA compliance validation
* Troubleshoot message parsing, routing, and data integrity issues
* Build secure
 **RESTful and SOAP APIs** 
 using
 **IBM IIB/ACE and API Connect**
* Perform data transformations across
 **XML, JSON, and EDI** 
 formats with encryption and authentication
* Provide guidance on
 **HL7 implementations, Rhapsody configuration, and ITX REST mapping**
* Participate in Agile ceremonies and contribute to technical estimates
* Collaborate with QA and Operations teams to ensure smooth deployments
* Resolve complex integration issues across distributed environments
**Required Skills \&amp; Qualifications** 
* Bachelor’s degree in Computer Science, Information Systems, or equivalent experience
* 2\+ years of experience as an
 **EDI / Integration Developer** 
 in
 **healthcare IT**
* Strong hands\-on experience with
 **IBM IIB/ACE and IBM ITX**
* Deep understanding of
 **HL7 v2/v3, CDA, FHIR, and HIPAA**
* Experience with
 **EDI healthcare transactions** 
 and compliance checks
* Proficiency in
 **SOA, Web Services, XML, Java, SQL, and Databases**
* Knowledge of
 **SNIP Level 7 validation**
**Nice to Have** 
* **Rhapsody Integration Engine Certification**
* Experience integrating systems for
 **hospitals, clinics, and labs**
* Knowledge of
 **HITECH Act, Meaningful Use, and clinical terminology**</t>
        </is>
      </c>
    </row>
    <row r="172">
      <c r="A172" t="inlineStr">
        <is>
          <t>li-4367615913</t>
        </is>
      </c>
      <c r="B172" t="inlineStr">
        <is>
          <t>Senior Software Engineer</t>
        </is>
      </c>
      <c r="C172" t="inlineStr">
        <is>
          <t>BHG Financial</t>
        </is>
      </c>
      <c r="D172" t="inlineStr">
        <is>
          <t>linkedin</t>
        </is>
      </c>
      <c r="E172">
        <f>HYPERLINK("https://www.linkedin.com/jobs/view/4367615913", "https://www.linkedin.com/jobs/view/4367615913")</f>
        <v/>
      </c>
      <c r="F172" t="inlineStr"/>
      <c r="G172" t="inlineStr"/>
      <c r="H172" t="inlineStr"/>
      <c r="I172" t="inlineStr">
        <is>
          <t>Are you ready to join a growing team that puts a premium on productivity and has an award\-winning culture centered around transforming talented employees into effective business leaders? Then BHG Financial is the place for you.
 In 2001, we started with an idea, an opportunity, and $25,000\. Back then, our focus was strictly  on serving those in the medical industry. With healthcare in our heritage, we soon expanded  to serve high\-earning professionals in many  other industries, providing all with leading\-edge financial solutions, including our extensive network of community banks.
 Today, BHG Financial has firmly established  its legacy as a leader in the financial services space. Founded on the philosophy of a better way to borrow, we are dedicated to helping accomplished professionals, small businesses, and institutions build upon their success through innovative financial solutions, a hassle\-free process, and personalized concierge service.
 Our relentless commitment to the success of our customers is part of what has made BHG Financial thrive. We take a 360\-degree view of our customers to tailor the best solutions for their financial aspirations. Today's professionals have multiple sources of income, not just their paycheck. Therefore, it is essential to factor those in when making responsible lending decisions. Our continued focus on data, analytics, and proprietary modeling has enabled faster funding for our customers.
 From business to personal loans to relationships with community banks, the country’s top professionals and business owners rely on us for our exceptional financial solutions and concierge service to continue their success and legacy.
**Who You Are**
 You are a motivated Software Development professional passionate about NET/Azure development and integrations. You excel at software development and have experience in C\#, .NET, Angular(or React), SQL, API, and Eventing. You are optimistic, proactive, analytical, and innovative, and you thrive in a fast\-paced environment where you can enhance and create high\-value, customer\-facing systems.
**What You'll Do**
* The Full\-stack Software Engineer will build the work needed to implement functionality from the product backlog
* Tests deliverables against a user story’s acceptance tests and unit tests;
* The Full\-stack Software Engineer will execute necessary documentation as directed or needed
* Works closely with other team members to ensure that features meet business
* Analyze and decompose complex user stories and epics into manageable tasks
* Collaborate with project managers and team members to plan and estimate sprint tasks
* Offer expertise in architectural and design decisions, as a subject matter expert in SQL, C\#, .NET, REST, JSON, and Angular(or React) technologies
* Guide and mentor junior developers, fostering their growth and understanding of industry best practices
* Craft high\-quality, scalable, and secure code
* Conduct thorough code reviews (PRs) to uphold code quality and adherence to design principles
* Identify, troubleshoot, and enhance existing software solutions
* Collaborate closely with engineers, product managers, and stakeholders to maintain clear communication and streamline workflows
* Communicate technical concepts effectively to non\-technical team members
* Facilitate team code reviews, training, and planning sessions
* Operate effectively in high\-stress environments, managing multiple priorities concurrently
* Quickly adapt to changes in requirements or technologies
* Maintain composure and clarity of thought under pressure
**What You'll Need**
* Degree in an Engineering/Technology discipline or equivalent experience;
* The full\-stack Software Engineer must have expert knowledge of REST \+ JSON;
* Experience with C\#
* Experience with .NET Core
* Experience with SQL Server
* Experience with Terraform
* Experience with Kafka
* Experience with Kubernetes
* Experience with Redis and caching solutions
* Experience Azure, APIM, and KeyVaults
* Experience with ArgoCD
* Experience with SignalR and real\-time communication
* Experience with NoSQL, MongoDB a plus
* Experience with CI/CD and git is a strong plus!
* Experience with relevant AI tools and development is a strong plus!
* Design and develop consumer\-driven APIs that follow API\-first design principles
* Bachelor’s degree with an emphasis in a related field or equivalent experience
* The Full\-stack Software Engineer should have 5\+ years of developer experience
* Work independently on multiple projects while meeting the timely needs of the customer
* Ability to quickly adapt and learn new technologies and systems
* The Full\-stack Software Engineer must have In\-depth programming knowledge
* Preferred experience performing orchestrations and transformations across multiple backend systems using REST\-based protocols
* Strong customer service focus and sense of urgency
* Appreciation of API\-first design and API frameworks
* Demonstrates the capability to resolve complex problems within a system or process
* Ability to thrive and produce results with little or no supervision in a fast\-paced, entrepreneurial environment
* Advanced analytical and problem\-solving abilities
* Exceptional communication and leadership skills
* Capacity to mentor and elevate the team’s technical prowess
* High resilience and ability to perform optimally under pressure
**Life at BHG Financial**
 At BHG Financial, we work hard and aren’t afraid to take risks. Since the beginning, our core values of PMA (positive mental attitude), team player, and loyalty have been the driving force behind every interaction we have between each other and our customers. We have a healthy respect for the daily grind, yet we value work/life balance. We believe that all employees should have the opportunity to lead and that good ideas can come from anyone. From the top down, our leaders are actively involved not only in strategic oversight and running the business, but also in the well\-being and growth of all employees. We consider people our \#1 asset, and help employees realize their full potential, set and exceed their goals, and explore new opportunities for personal and professional development.
**Why You Should Join BHG Financial**
 We strive to offer amenities, opportunities, events, and programming that support the interests of our teams, while furthering the culture that makes us Great Place to Work® certified. Some of the benefits you can expect when you join BHG Financial include:
* Medical/Rx/Dental/Vision coverage for employees and their eligible family members
* Competitive PTO and vacation policies
* 1 Friday off each month for Wellness Weekends
* Company 401(k) plan with employer contributions after one year
* Company\-sponsored training and certification opportunities
* Quarterly award ceremonies where top achievers are celebrated and receive additional bonuses
* Ongoing volunteer opportunities to give back to the community through our BHG Cares program
 If you’re ready for a career where you can exercise your passions, be surrounded by co\-workers who are relentlessly committed to service, and have a team\-player mindset, apply today!
 BHG Financial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BHG Financial is an equal opportunity employer; committed to a community of inclusion, and an environment free from discrimination, harassment, and retaliation.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3">
      <c r="A173" t="inlineStr">
        <is>
          <t>li-4367615336</t>
        </is>
      </c>
      <c r="B173" t="inlineStr">
        <is>
          <t>Software Engineer</t>
        </is>
      </c>
      <c r="C173" t="inlineStr">
        <is>
          <t>Object Oriented Search</t>
        </is>
      </c>
      <c r="D173" t="inlineStr">
        <is>
          <t>linkedin</t>
        </is>
      </c>
      <c r="E173">
        <f>HYPERLINK("https://www.linkedin.com/jobs/view/4367615336", "https://www.linkedin.com/jobs/view/4367615336")</f>
        <v/>
      </c>
      <c r="F173" t="inlineStr"/>
      <c r="G173" t="inlineStr">
        <is>
          <t>Charlotte, NC</t>
        </is>
      </c>
      <c r="H173" t="inlineStr"/>
      <c r="I173" t="inlineStr">
        <is>
          <t>The ideal candidate will be responsible for developing high\-quality .NET applications. They will also be responsible for designing and implementing testable and scalable code with C\# and ASP.NET Core.
**Responsibilities** 
* Develop quality software and web applications
* Analyze and maintain existing software applications
* Design highly scalable, testable code
* Discover and fix programming bugs
* Participate in the complete software development lifecycle from documenting requirements through implementation and testing
**Qualifications** 
* Bachelor's degree or equivalent experience in Computer Science or related field
* Proficient in C\# and ASP.NET MVC
* Proficient in web API with ASP.NET Core
* Proficient with HTML, JavaScript and CSS
* SQL database or relational database skills
* 2\+ Years of professional development experience
**Other Benefits:** 
* Medical, dental, vision, short\-term disability, long\-term disability, life insurance benefits on day 1 of employment
* 401K with company match
* Professional Growth and Career Advancement
* 20 days of PTO
* 5 Sick days</t>
        </is>
      </c>
    </row>
    <row r="174">
      <c r="A174" t="inlineStr">
        <is>
          <t>li-4367494778</t>
        </is>
      </c>
      <c r="B174" t="inlineStr">
        <is>
          <t>Software Engineer, Backend - Platform (Core Automation)</t>
        </is>
      </c>
      <c r="C174" t="inlineStr">
        <is>
          <t>Coinbase</t>
        </is>
      </c>
      <c r="D174" t="inlineStr">
        <is>
          <t>linkedin</t>
        </is>
      </c>
      <c r="E174">
        <f>HYPERLINK("https://www.linkedin.com/jobs/view/4367494778", "https://www.linkedin.com/jobs/view/4367494778")</f>
        <v/>
      </c>
      <c r="F174">
        <f>HYPERLINK("https://grnh.se/w1f8egg81us?gh_src=20687b321us&amp;urlHash=BbaH", "https://grnh.se/w1f8egg81us?gh_src=20687b321us&amp;urlHash=BbaH")</f>
        <v/>
      </c>
      <c r="G174" t="inlineStr"/>
      <c r="H174" t="inlineStr"/>
      <c r="I174"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The Core Automation Team is a highly driven and innovative group dedicated to developing AI infrastructure and automation solutions that enhance productivity, foster innovation, and create meaningful customer impact across Coinbase. Our mission is to streamline operations for customer support and compliance teams while delivering exceptional customer experiences. As a Software Engineer on our team, you will play a key role in this transformation, utilizing state\-of\-the\-art AI models, frameworks, and tools, along with diverse and extensive data sources, including blockchain data. Your work will focus on breaking down barriers to cryptocurrency adoption and shaping the future of AI\-powered customer interactions.
**What you’ll be doing (ie. job duties)** 
 :
* Explore and apply advanced GenAI techniques, including large language models (LLMs) and Agentic AI, to solve complex challenges across the organization.
* Excel at project execution by managing priorities, deadlines, and deliverables, leveraging your technical expertise.
* Write high\-quality, well\-tested code in Python and Golang to address critical product and business needs.
* Build scalable, secure systems using modern cloud technologies and industry best practices.
* Debug complex technical issues to enhance system reliability, scalability, and ease of operation.
* Review and ensure the security, scalability, and architectural integrity of feature designs across teams.
* Build pipelines to integrate with third\-party vendors and streamline workflows.
**What we look for in you (ie. job requirements)** 
 :
* 2\+ years of experience in software engineering.
* Proven expertise in designing, building, scaling, and maintaining production services, with a strong understanding of micro\-services architecture.
* Ability to write high\-quality, well\-tested code that meets customer needs.
* Deep understanding of what high\-quality code and software engineering processes look like, and the ability to foster an environment that promotes them.
* Strong technical skills in system design and coding.
* Passion for building an open financial system that unites the world.
* Excellent written and verbal communication skills, with a preference for open and transparent cultural practices.
 **Nice to haves:** 
* Experience navigating rapid company growth (e.g., from startup to mid\-size).
* Familiarity with GenAI frameworks/tools, Python, GoLang, Docker, Postgres, MongoDB.
* Background in AI/LLM infrastructure is a strong plus.
 Job \#: P74154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$152,405 USD \- $179,300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75">
      <c r="A175" t="inlineStr">
        <is>
          <t>li-4331945468</t>
        </is>
      </c>
      <c r="B175" t="inlineStr">
        <is>
          <t>Senior Fullstack Software Engineer (Nova)</t>
        </is>
      </c>
      <c r="C175" t="inlineStr">
        <is>
          <t>Iterable</t>
        </is>
      </c>
      <c r="D175" t="inlineStr">
        <is>
          <t>linkedin</t>
        </is>
      </c>
      <c r="E175">
        <f>HYPERLINK("https://www.linkedin.com/jobs/view/4331945468", "https://www.linkedin.com/jobs/view/4331945468")</f>
        <v/>
      </c>
      <c r="F175">
        <f>HYPERLINK("https://job-boards.greenhouse.io/iterable/jobs/7467990&amp;urlHash=HTcg", "https://job-boards.greenhouse.io/iterable/jobs/7467990&amp;urlHash=HTcg")</f>
        <v/>
      </c>
      <c r="G175" t="inlineStr">
        <is>
          <t>Atlanta, GA</t>
        </is>
      </c>
      <c r="H175" t="inlineStr"/>
      <c r="I175"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**Position Overview:**
 We are looking for a
 **Senior Full\-Stack Engineer** 
 to join the team building Nova’s agentic experiences within the Iterable platform. This team is responsible for the full end\-to\-end development of conversational and agent\-driven workflows, including the interaction surfaces, orchestration layers, and core platform integrations that make these experiences seamless and intuitive for users.
 In this role, you will work across the stack to build both frontend and backend components that bring agentic capabilities to life. You will collaborate closely with design, product, and engineering partners to deliver high\-quality, user\-centered features. This position is well\-suited for someone who enjoys solving complex product and technical problems, can navigate ambiguity, and brings a strong sense of ownership to their work.
**Responsibilities:**
* Build and iterate on the frontend and backend components that power agentic user experiences.
* Collaborate with design and product teams to create intuitive, conversational interaction patterns.
* Work across the stack to integrate frontend workflows with backend services, platform APIs, and internal tooling.
* Contribute to the evolution of underlying frameworks, including agent workflows and supporting infrastructure.
* Participate in architectural and design discussions to ensure solutions are scalable, maintainable, and aligned with product goals.
* Write high\-quality, well\-tested code and help refine engineering standards and best practices.
* Debug production issues, improve observability, and contribute to system reliability.
* Partner with other engineers to deliver features from concept to production, including technical design, implementation, testing, and rollout.
**Qualifications:**
* 5\+ years of experience building full\-stack applications in production environments.
* Strong proficiency with TypeScript and experience working across both frontend and backend systems.
* Experience with modern frontend frameworks (React preferred) and backend application development.
* Ability to design clean, maintainable APIs and internal interfaces.
* Strong collaboration skills and comfort working closely with product and design.
* Ability to operate independently, manage ambiguity, and drive work to completion.
* Interest in building intelligent, agent\-driven experiences, even without prior LLM experience.
**Bonus Points**
* Experience contributing to or building internal frameworks or developer tooling.
* Familiarity with agent frameworks, agentic patterns, or LLM tool\-calling workflows.
* Strong intuition for UI/UX quality in interactive interfaces.
* Experience with observability, performance tuning, or production debugging at scale.
* Experience with event\-driven or distributed systems.
* Prior experience working in remote\-first engineering environments.
**Perks \&amp; Benefits:**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$133,500 \- $212,000\.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176">
      <c r="A176" t="inlineStr">
        <is>
          <t>li-4367289643</t>
        </is>
      </c>
      <c r="B176" t="inlineStr">
        <is>
          <t>Software Engineer, Apple Pay — Wallet, Payments &amp; Commerce (WPC)</t>
        </is>
      </c>
      <c r="C176" t="inlineStr">
        <is>
          <t>Apple</t>
        </is>
      </c>
      <c r="D176" t="inlineStr">
        <is>
          <t>linkedin</t>
        </is>
      </c>
      <c r="E176">
        <f>HYPERLINK("https://www.linkedin.com/jobs/view/4367289643", "https://www.linkedin.com/jobs/view/4367289643")</f>
        <v/>
      </c>
      <c r="F176" t="inlineStr"/>
      <c r="G176" t="inlineStr">
        <is>
          <t>Cary, NC</t>
        </is>
      </c>
      <c r="H176" t="inlineStr"/>
      <c r="I176" t="inlineStr">
        <is>
          <t>**Summary**
 Imagine what you could do here! At Apple, great ideas have a way of becoming phenomenal products, services, and customer experiences very quickly. The Wallet, Payments \&amp; Commerce (WPC) team is building the world’s best software for paying, and interacting with the world, from Apple Pay, transit, and event tickets, to digital keys and identity.
 We are looking for engineers who are passionate about their craft, crave the challenge of building systems at scale, and thrive in a fast\-paced environment. If you love solving meaningful problems that impact millions of people, we want to hear from you!
**Description**
 You'll have the opportunity to tackle the intricate challenge of building resilient and reliable distributed software systems at Apple's scale. You will be given flexibility to explore creative solutions, the support of a talented and driven team, and access to diverse technologies. You will have the autonomy and responsibility to take full ownership of your solutions.
 You'll join a nimble team involved in every stage of the product and software development lifecycle and will design, build, test, deliver, and maintain exceptional software that truly makes a difference. In this fast\-paced environment, you'll be hands\-on in all phases, and will actively shape the architecture and design of our platforms and offerings through the experience of operating, monitoring, and providing on\-call support for the software you build.
**Minimum Qualifications**
* Experience building and maintaining complex software systems.
* A solid understanding of distributed systems fundamentals.
* A commitment to continuous learning and improvement, and curiosity for new technologies, techniques, and patterns in pursuit of engineering excellence.
* An ability to communicate thoughtfully and clearly, both verbally and in writing, to discuss complex technical concepts with diverse audiences, including global teams and external partners.
* A track record of building and sustaining healthy long\-term relationships within your team, and beyond its boundaries.
* The tenacity and perseverance to drive a complex project all the way from conception to production.
* No formal degree is required. What matters most is your mindset, your initiative, and your ability to apply your skills to real\-world applications.
**Preferred Qualifications**
* Hands\-on software development experience with Java or Kotlin and Spring.
* Development and operational experience with REST and/or gRPC services (either server\-to\-server or mobile client facing).
* Experience with containerization and orchestration (e.g. Docker, Kubernetes).
* Time spent architecting, building, supporting or otherwise working on cloud\-native (e.g. AWS) applications with resilience as a core feature.
* Familiarity with CI/CD pipelines and infrastructure as code.
* Experience with observability tools (e.g. Prometheus, Grafana, OpenTelemetry, Datadog).
* Understanding of modern networking and experience using traffic tools for tracing.
* An appreciation for, and understanding of security, privacy, and cryptography (e.g. PKI, certificate management, JWT).
* Hands\-on experience with SQL/NoSQL databases (e.g. Aurora, DynamoDB, CockroachDB, Oracle).
* Experience using generative AI tools to produce high\-quality software (e.g. Claude Code).
**Pay \&amp; Benefits**
 At Apple, base pay is one part of our total compensation package and is determined within a range. This provides the opportunity to progress as you grow and develop within a role. The base pay range for this role is between $139,500 and $258,100,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77">
      <c r="A177" t="inlineStr">
        <is>
          <t>li-4367273801</t>
        </is>
      </c>
      <c r="B177" t="inlineStr">
        <is>
          <t>Software Engineer</t>
        </is>
      </c>
      <c r="C177" t="inlineStr">
        <is>
          <t>RemoteHunter</t>
        </is>
      </c>
      <c r="D177" t="inlineStr">
        <is>
          <t>linkedin</t>
        </is>
      </c>
      <c r="E177">
        <f>HYPERLINK("https://www.linkedin.com/jobs/view/4367273801", "https://www.linkedin.com/jobs/view/4367273801")</f>
        <v/>
      </c>
      <c r="F177" t="inlineStr"/>
      <c r="G177" t="inlineStr"/>
      <c r="H177" t="inlineStr"/>
      <c r="I177" t="inlineStr">
        <is>
          <t>About the Opportunity:
 This organization provides a nonprofit fundraising and CRM platform that enables mission\-driven organizations to raise more funds, reduce costs, and enhance giving. The platform consolidates multiple tools for fundraisers, events, donation forms, donor management, and communications into a single solution with a transparent tip\-or\-fee model. The role involves joining an engineering team to build tools supporting nonprofits in their fundraising and engagement efforts.
 Responsibilities:
 • Design and implement full stack features using PHP/Laravel, React, and TypeScript for fundraising, donor management, financial, and growth products.
 • Build scalable systems handling millions of users, high\-volume transactions, and seasonal traffic spikes.
 • Integrate with APIs, third\-party services, and payment systems to create seamless nonprofit experiences.
 • Collaborate with product, design, and engineering teams to develop user\-friendly solutions.
 • Participate in code reviews and improve engineering standards and best practices.
 • Contribute to technical initiatives, including experimentation frameworks and tooling.
 • Participate in support rotation to triage and resolve production issues during business hours.
 Requirements:
 • 3\+ years of software development experience, preferably with full\-stack exposure and strong backend skills.
 • Proficiency with PHP/Laravel or a similar backend framework.
 • Experience building frontend interfaces using React, TypeScript, and modern JavaScript (ES6\+).
 • Strong knowledge of relational databases such as MySQL or PostgreSQL, including query optimization.
 • Experience with RESTful APIs, third\-party integrations, and data import/export processes.
 • Familiarity with state management tools (e.g., TanStack Query, SWR, Zustand, Redux).
 • Understanding of frontend architecture, component design, and build tools (Vite, Webpack).
 • Strong debugging and performance tuning skills across the stack.
 • Excellent collaboration, communication, and documentation skills.
 Nice to Have:
 • Experience with payment systems, financial APIs, or fintech product development.
 • Familiarity with experimentation platforms or A/B testing tools.
 • Experience with accessibility standards.
 Benefits \&amp; Perks:
 • Autonomy in work with minimal meetings and flexible scheduling.
 • Fully automated continuous integration and deployment processes.
 • Opportunity to work on mission\-driven projects supporting nonprofits globally.
 • Inclusive engineering culture valuing equal contributions and open discussions.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78">
      <c r="A178" t="inlineStr">
        <is>
          <t>li-4366633435</t>
        </is>
      </c>
      <c r="B178" t="inlineStr">
        <is>
          <t>Senior Software Developer</t>
        </is>
      </c>
      <c r="C178" t="inlineStr">
        <is>
          <t>CACI International Inc</t>
        </is>
      </c>
      <c r="D178" t="inlineStr">
        <is>
          <t>linkedin</t>
        </is>
      </c>
      <c r="E178">
        <f>HYPERLINK("https://www.linkedin.com/jobs/view/4366633435", "https://www.linkedin.com/jobs/view/4366633435")</f>
        <v/>
      </c>
      <c r="F178">
        <f>HYPERLINK("https://careers.caci.com/global/en/job/CACIGLOBAL321519EXTERNALENGLOBAL/Senior-Software-Developer?utm_source=linkedin&amp;utm_medium=phenom-feeds&amp;urlHash=sLAT", "https://careers.caci.com/global/en/job/CACIGLOBAL321519EXTERNALENGLOBAL/Senior-Software-Developer?utm_source=linkedin&amp;utm_medium=phenom-feeds&amp;urlHash=sLAT")</f>
        <v/>
      </c>
      <c r="G178" t="inlineStr">
        <is>
          <t>Bethesda, MD</t>
        </is>
      </c>
      <c r="H178" t="inlineStr"/>
      <c r="I178" t="inlineStr">
        <is>
          <t>Job Title: Senior Software Developer
 Job Category: Information Technology
 Time Type: Full time
 Minimum Clearance Required to Start: TS/SCI with Polygraph
 Employee Type: Regular
 Percentage of Travel Required: None
 Type of Travel: None
 \* \* \*
**Description**
 CACI is seeking a highly motivated and independent Expert Software Developer for our Intelligence Community (IC) contract supporting a customer looking to gain efficiencies for cross\-IC sharing code. This unique role combines the challenges of working autonomously and thinking outside the box how to solve problems using code, with the opportunity to apply agile methodologies in a high\-stakes environment.
**Responsibilities**
* Independently managing all aspects of the application, from bug fixes to feature enhancements
* Designing, developing, and modifying software systems, with a focus on Enterprise Software and User Interface
* Application Development
* Producing detailed specifications and writing high\-quality, efficient code
* Reverse engineering existing code to understand system functionality
* Implementing updates and patches to ensure continued operation
* Documenting processes and system architecture for future reference
* Providing user support and troubleshooting issues as they arise
* Evaluating potential modernization or replacement options for the long\-term
* Designs and develops visually pleasing, content rich, user\-friendly interfaces with intuitive navigation
* Analyzes and studies customer requirements to determine the most effective software technologies to satisfy them
* needs
* Designs, creates, tests, and maintains software\-based applications to satisfy customer requirements
* Provides software process management and configuration management throughout the software development lifecycle
* Resolves problems with software and responds to suggestions for improvements and enhancements
* Supports software architecture development, requirements analysis, process execution and evaluation, selection and
* evaluation of COTS/GOTS tools, and integration (with both new and legacy systems)
**Qualifications**
 Required:
* TS/SCI w/Poly clearance
* Bachelor’s degree and 8\+ years of experience. In lieu of a bachelor’s degree 10 years of experience if AA/AS, or 12 and HS Diploma
* Must have experience with Agile
* Excellent problem\-solving skills and the ability to work autonomously
* Versatility to handle multiple aspects of software development and support
* Strong communication skills to liaise with stakeholders and users
* Experience producing high\-quality work independently while adapting agile principles to a solo development environment
* Experience providing software demonstrations once a quarter to the customer
* LINQ and entity framework Object Relationship Mapping (ORM)
* Python
* JavaScript
* CSS
* SQL/MySQL Server
* Visual Studio workstations and some Eclipse
* ISS Web Servers hosting
* XML and PDF generation
* Must remain on the client site during Program core hours of 0900\-1500\.
 Desired
* Jira or ServiceNow Agile
* Git
* SMTP
* AWS (EC2, S3, RDS Object Storage)
* SharePoint
* PostgreSQL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$103,800 \- $218,100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79">
      <c r="A179" t="inlineStr">
        <is>
          <t>li-4367263559</t>
        </is>
      </c>
      <c r="B179" t="inlineStr">
        <is>
          <t>Sr. Software Engineer</t>
        </is>
      </c>
      <c r="C179" t="inlineStr">
        <is>
          <t>Robert Half</t>
        </is>
      </c>
      <c r="D179" t="inlineStr">
        <is>
          <t>linkedin</t>
        </is>
      </c>
      <c r="E179">
        <f>HYPERLINK("https://www.linkedin.com/jobs/view/4367263559", "https://www.linkedin.com/jobs/view/4367263559")</f>
        <v/>
      </c>
      <c r="F179" t="inlineStr"/>
      <c r="G179" t="inlineStr">
        <is>
          <t>Chicago, IL</t>
        </is>
      </c>
      <c r="H179" t="inlineStr"/>
      <c r="I179" t="inlineStr">
        <is>
          <t>The ideal candidate is a self\-motivated, multi\-tasker, and demonstrated team\-player. You will be a lead developer responsible for the development of new software products and enhancements to existing products. You should excel in working with large\-scale applications and frameworks and have outstanding communication and leadership skills.
**Responsibilities** 
* Writing clean, high\-quality, high\-performance, maintainable code
* Develop and support software including applications, database integration, interfaces, and new functionality enhancements
* Coordinate cross\-functionally to insure project meets business objectives and compliance standards
* Support test and deployment of new products and features
* Participate in code reviews
 This role is open due to growth and expansion. They will be reporting to the Director of Engineering. Day to day this candidate will be involved with integrating systems, particularly focusing on backend development and linking various vendors. The split is about 70% backend and 30% frontend. A key objective is to connect the Business Development team and facilitate the creation of an ecommerce dashboard\-style product. The development tech stack is flexible as long as they have extensive knowledge with C\#, SQL, and react. AWS is what their team is using right now so they must be well versed in that. The newest addition will need to have at least some exposure to AI. They must understand how Retrieval augmented generation works as this person will be the leading individual when it comes to anything AI related.
**Top Requirements:** 
* SQL, C\#
* React
* AWS
* 2\+ Years experience with AI Systems (Anything under the RAG umbrella)</t>
        </is>
      </c>
    </row>
    <row r="180">
      <c r="A180" t="inlineStr">
        <is>
          <t>li-4356155607</t>
        </is>
      </c>
      <c r="B180" t="inlineStr">
        <is>
          <t>Senior Software Engineer (TypeScript / React / LLM Systems) / Fintech / $250,000 / Hybrid (2 days) / New York, NY</t>
        </is>
      </c>
      <c r="C180" t="inlineStr">
        <is>
          <t>Open Talent</t>
        </is>
      </c>
      <c r="D180" t="inlineStr">
        <is>
          <t>linkedin</t>
        </is>
      </c>
      <c r="E180">
        <f>HYPERLINK("https://www.linkedin.com/jobs/view/4356155607", "https://www.linkedin.com/jobs/view/4356155607")</f>
        <v/>
      </c>
      <c r="F180" t="inlineStr"/>
      <c r="G180" t="inlineStr">
        <is>
          <t>New York, NY</t>
        </is>
      </c>
      <c r="H180" t="inlineStr"/>
      <c r="I180" t="inlineStr">
        <is>
          <t>**Senior Software Engineer (TypeScript / React / LLM Systems)** 
**AI Infrastructure • $160,000 \- $240,000 W\-2 • Hybrid (2 days/week) • New York, NY** 
***Must be based in NYC \&amp; the role requires
 US Citizenship
 due to regulatory constraints. No sponsorship/visas/Green Card.***
**About the Role** 
 We’re hiring a Senior Software Engineer to help build production\-grade LLM\-powered systems used in high\-impact, real\-world workflows.
 This is a true SWE \+ ML role. You’ll sit at the intersection of frontend UX, backend systems, and applied machine learning \- owning features end to end. That includes React\-heavy user interfaces, TypeScript services, and the pipelines that power LLM reasoning, retrieval and fine\-tuning behind the scenes.
 You’ll work closely with product, design and ML engineers to ship tools where reliability, clarity and user experience matter just as much as model quality.
**Why You’ll Love It:** 
**Own real systems:** 
 From UX flows to LLM pipelines running in production.
**Engineering\-first culture:** 
 Practical ML, not research theatre. Everything ships.
**High\-impact UX:** 
 Build interfaces used daily by technical and non\-technical users.
**Move fast:** 
 Small teams, short cycles, minimal process overhead.
**Serious problems:** 
 Latency, hallucination control, evaluation, observability and scale.
**What You’ll Do** 
* Design and build TypeScript services that power LLM workflows including RAG pipelines, prompt orchestration and fine\-tuning flows.
* Develop rich, intuitive React interfaces for AI\-driven products \- heavy focus on UX, clarity and usability.
* Implement retrieval systems using vector databases, hybrid search and structured data sources.
* Work hands\-on with LLM APIs and open\-source models (OpenAI, Anthropic, open\-weight models).
* Collaborate with ML engineers on evaluation, fine\-tuning strategies and production rollout.
* Own backend architecture across Node.js services, async pipelines and model\-facing APIs.
* Improve system reliability through logging, monitoring, tracing and failure handling.
* Mentor engineers and contribute to design and architecture decisions across the platform.
**Tech Stack** 
**Frontend:** 
 React, TypeScript, Next.js, Tailwind CSS, Storybook
**Backend:** 
 Node.js, TypeScript, REST, GraphQL
**LLM Systems:** 
 RAG pipelines, fine\-tuning workflows, prompt orchestration
**Data \&amp; Retrieval:** 
 PostgreSQL, Vector DBs (Pinecone, Weaviate, pgvector), Redis
**Infrastructure:** 
 AWS, Docker, Kubernetes, Terraform
**Observability:** 
 OpenTelemetry, Prometheus, Grafana, Sentry
**Nice to Have** 
* Experience building production LLM systems beyond prototypes
* Hands\-on fine\-tuning experience (LoRA, adapters, evaluation pipelines)
* Background in ML engineering or applied NLP
* Experience designing complex frontend UX for data\-heavy or AI\-driven products
* Familiarity with model evaluation, guardrails and hallucination mitigation
**Interview Process** 
1. Intro Call with Open Talent (30 mins)
2. Technical Deep\-Dive (TypeScript / React \+ LLM systems, 60 mins)
3. System Design \&amp; Architecture (45 mins)
4. Leadership Chat with CTO (30 mins) → Offer
**What We Offer** 
**Comp:** 
 $160K\-$240K W\-2 (\+ meaningful equity)
**Benefits:** 
 Health, dental, vision, 401(k)
**Time Off:** 
 Flexible PTO \+ company holidays
**Growth:** 
 Conference budget, learning allowance
**Environment:** 
 Hybrid (2 days NYC office), flexible notice period
***Equal Opportunity***
 We're hiring for an Equal Opportunity Employer.
 Due to strong market interest, please apply early or email
 **sufy@opentalent.uk** 
 to avoid missing out.
***All NYC roles posted here first:***
 linkedin.com/in/sufyanbashir/</t>
        </is>
      </c>
    </row>
    <row r="181">
      <c r="A181" t="inlineStr">
        <is>
          <t>li-4356761722</t>
        </is>
      </c>
      <c r="B181" t="inlineStr">
        <is>
          <t>Senior Principal Software Engineer</t>
        </is>
      </c>
      <c r="C181" t="inlineStr">
        <is>
          <t>BlueCrest</t>
        </is>
      </c>
      <c r="D181" t="inlineStr">
        <is>
          <t>linkedin</t>
        </is>
      </c>
      <c r="E181">
        <f>HYPERLINK("https://www.linkedin.com/jobs/view/4356761722", "https://www.linkedin.com/jobs/view/4356761722")</f>
        <v/>
      </c>
      <c r="F181" t="inlineStr"/>
      <c r="G181" t="inlineStr">
        <is>
          <t>Danbury, CT</t>
        </is>
      </c>
      <c r="H181" t="inlineStr"/>
      <c r="I181" t="inlineStr">
        <is>
          <t>BlueCrest is a global, innovative leader in enterprise print, mail and customer communications. Our products include printers, inserters, and sorters —and a renewed commitment to innovative software and vote\-by\-mail solutions. We are proud to be an industry and market leader in the mail space.
 Although our manufacturing headquarters is based in Danbury, Connecticut, we are a global company with clients and team members in over 15 countries worldwide, including an expansive field service team comprised of over eight\-hundred specialized field service technicians.
 Advancing our clients’ operations to meet the demands of the future takes a great team and hard work.
 We move quickly to creatively solve problems and implement change. Most of all we cherish our role as a trusted and innovative technology partner. We provide a supportive and inclusive working environment for employees where individuals can thrive, and teams can flourish.
 Our BlueCrest culture is reflected by our core behaviors: Innovation, Collaboration, Accountability, Resourcefulness and Enthusiasm (I CARE). It is with these behaviors in mind that we approach every customer, every idea, every product, and every employee, every day.
 It is the essence of how we interact and work—it’s how things get done at BlueCrest.
 We are seeking a Senior Principal Software Engineer to join our highly dynamic team developing machine control solutions for our high\-performance mailing solutions. We are looking for high energy team players with strong initiative and a can\-do attitude. Candidates must have good project management skills and be able to prioritize, multitask and collaborate effectively in a fast paced, multidisciplinary group environment.
 CORE RESPONSIBILITIES
 · Work as part of or lead multidisciplinary teams of engineers to gather requirements, architect, design, implement and deploy real\-time software to control high speed mail processing equipment
 · Coordination of deliverables that affect multiple projects or products.
 · Define, perform or guide all aspects of system level testing and utilize results to improve solution performance
 · Capable of leading cross functional project teams on high\-risk projects to success against critical deadlines
 · Plan and maintain project schedules, ensure solutions meet all requirements and are delivered within specified timeframes and budget allocations
 · Collaborate closely with project team members, product management and internal and external partners
 KEY RELATIONSHIPS
 The Senior Principal Software Engineer will collaborate closely with cross\-functional engineering teams, product and project managers, and senior leadership, while also interfacing with manufacturing, customer support, and external partners to deliver high\-performance machine control solutions.
 QUALIFICATIONS (SKILLS, EXPERIENCE, EDUCATION AND CERTIFICATIONS)
 MINIMUM:
 · 10 years of experience with large scale, object\-oriented software design \&amp; development over the full life cycle process
 · 8 years software development with strong C\+\+ programming skills
 · Experience designing software controls for mechatronic systems
 · Experience with real\-time operating systems, such as RTX
 · Proficiency using a systems level approach to developing solutions
 · Superior analytical and creative problem\-solving skills
 · Proven troubleshooting skills and the ability to resolve complex system level problems, including mechanical and electrical issues under tight timeframes
 · Experience working with Agile development methodologies
 · Experience in software quality assurance and testing
 · Excellent communication and interpersonal skills, including the ability to converse with engineers and non\-engineers of diverse backgrounds and present to senior management
 · BS or MS Degree in Computer Science or related discipline
 PREFERRED
 · · Experience with Java, C\#, .NET, ASP.net
 · · Knowledge of web based service architecture and application development
 · · Experience with database technologies including SQLServer and Oracle
 · · Knowledge of network protocols, hardware and standards
 · · Experience with motion control and servo motor control
 · · Knowledge of mailing and paper handling applications</t>
        </is>
      </c>
    </row>
    <row r="182">
      <c r="A182" t="inlineStr">
        <is>
          <t>li-4367611554</t>
        </is>
      </c>
      <c r="B182" t="inlineStr">
        <is>
          <t>Backend  Software Developer (TS / SCI )</t>
        </is>
      </c>
      <c r="C182" t="inlineStr">
        <is>
          <t>Aperio Global</t>
        </is>
      </c>
      <c r="D182" t="inlineStr">
        <is>
          <t>linkedin</t>
        </is>
      </c>
      <c r="E182">
        <f>HYPERLINK("https://www.linkedin.com/jobs/view/4367611554", "https://www.linkedin.com/jobs/view/4367611554")</f>
        <v/>
      </c>
      <c r="F182">
        <f>HYPERLINK("https://aperioglobal.com/career/job-openings-2/?gh_jid=5103109008&amp;gns=LinkedIn%2BCorporate%2BAccount&amp;urlHash=SQ42", "https://aperioglobal.com/career/job-openings-2/?gh_jid=5103109008&amp;gns=LinkedIn%2BCorporate%2BAccount&amp;urlHash=SQ42")</f>
        <v/>
      </c>
      <c r="G182" t="inlineStr">
        <is>
          <t>Washington, DC</t>
        </is>
      </c>
      <c r="H182" t="inlineStr"/>
      <c r="I182" t="inlineStr">
        <is>
          <t>**Backend Software Developer C\# / .NET** 
 (TS/SCI)
 Location: Washington, DC
 Clearance: Active Top Secret (TS / SCI )
 Employment Type: Full\-Time
**Your Mission:**
 Support DoD systems that protect national leadership, critical infrastructure, and federal operations. This role contributes directly to mission\-critical, high\-availability applications operating in secure environments.
**Responsibilities:**
 Design, develop, and maintain secure backend services using C\# and .NET (.NET Core)
 Build and support RESTful APIs and service\-oriented architectures used across DHS/USSS systems
 Implement data access layers and business logic using SQL Server or PostgreSQL
 Ensure applications comply with federal security standards (e.g., secure coding, auditing, logging)
 Collaborate with cleared engineers, cybersecurity teams, and government stakeholders
 Participate in system integration, testing, deployment, and operational support in classified environments
 Develop and maintain technical documentation required for government systems
**Required Qualifications:**
**Active Top Secret/ SCI clearance at time of hire**
 5\+ years of experience developing backend applications with
 **C\# and .NET**
 Experience building secure APIs and enterprise backend systems
 Familiarity with working in classified or regulated federal environments
 Ability to work onsite in Washington, DC
**Preferred Qualifications:**
 Experience supporting DoD or Law Enforcement programs
 Cloud experience in AWS GovCloud or Azure Government
 Familiarity with CI/CD pipelines, DevSecOps, and containerized deployments
 Experience with high\-availability or mission\-critical systems
**Salary Range: 160\-190**
**Benefits**
 At Aperio Global, we understand the value of investing in our most important asset—our employees. That's why we have crafted a comprehensive benefits package designed to help you make the best decision for yourself, your family and your lifestyle. For additional details, contact our talent acquisition team.
* Health Care Plan (Medical, Dental \&amp; Vision)
* Retirement Plan (401k, IRA)
* Life Insurance (Basic, Voluntary \&amp; AD\&amp;D)
* Paid Time Off (Vacation, Sick \&amp; Public Holidays)
* Short Term \&amp; Long Term Disability
* (and much more)
*Aperio Global is committed to providing equal employment opportunities (EEO) to all employees and applicants. Employment decisions are made without discrimination or harassment, in accordance with applicable federal, state, and local laws. We adhere to all legal requirements prohibiting discrimination based on race, color, religion, sex, national origin, age, disability, genetic information, veteran status, or any other characteristic protected by law.*</t>
        </is>
      </c>
    </row>
    <row r="183">
      <c r="A183" t="inlineStr">
        <is>
          <t>li-4367495485</t>
        </is>
      </c>
      <c r="B183" t="inlineStr">
        <is>
          <t>Senior Software Engineer</t>
        </is>
      </c>
      <c r="C183" t="inlineStr">
        <is>
          <t>Storm2</t>
        </is>
      </c>
      <c r="D183" t="inlineStr">
        <is>
          <t>linkedin</t>
        </is>
      </c>
      <c r="E183">
        <f>HYPERLINK("https://www.linkedin.com/jobs/view/4367495485", "https://www.linkedin.com/jobs/view/4367495485")</f>
        <v/>
      </c>
      <c r="F183" t="inlineStr"/>
      <c r="G183" t="inlineStr">
        <is>
          <t>Chicago, IL</t>
        </is>
      </c>
      <c r="H183" t="inlineStr"/>
      <c r="I183" t="inlineStr">
        <is>
          <t>⚡ Senior Software Engineer (Full Stack, 4\+ YoE \- Typescript)
 🌎 Chicago\-based Payments Start\-up
 💲 $150,000 \- $210,000 Base \+ Equity \+ Full Benefits
 A recently funded Series A fintech start\-up based in Chicago is looking to hire a senior software engineer (full stack) to help build their AI\-powered SaaS platform for payments and business management. They are looking to disrupt the $100B\+ rental industry by building an end\-to\-end product that will help businesses improve and facilitate their payments, operations, marketing and accounting processes.
 This role would allow you to have a great impact on the company by making business\-minded decisions and providing you with full ownership of the products and features you will be building. You will report directly to the CTO and will be part of a sociable team, focused on collaboration. The ideal candidate is someone willing to work hybrid, 3 days a week in Chicago, with strong full stack experience and previous success in an early\-stage start\-up environment.
**Responsibilities:**
* Build, design and develop new products and features from the ground up
* Collaborate within the engineering team to produce and deliver the right solutions
* Have a user\-centric mindset, looking for constant feedback from clients and reflecting that into the products
* Make daily business\-minded decisions, impacting the architecture and integrations to improve delivery and functionality
* Constantly optimize a fast\-moving process that will consistently be iterated and developed
**Requirements:**
* 4\+ years of software engineering experience in a full stack position
* Strong experience with Typescript (Next.js, React)
* Previous experience at an early\-stage start\-up
* Experience with payments and accounting technology is strongly preferred
* Actively using AI tools to work quicker and experience integrating AI into product workflows
* Excellent written and verbal communication skills
* Excited to gain ownership over a product and looking to have a strong impact on the company
* Ability to work in a fast\-paced environment, focused on rapid growth and adaptability to change
**Why Apply?**
* Join a fast\-growing and well\-funded start\-up in the fintech space
* Built a SaaS platform that will disrupt a $100B\+ industry and work with the biggest names in that industry
* Have huge impact on the company and full ownership of the product you are building
* Be part of an exciting team environment, focused on growth and collaboration which is in\-office 3 days a week
* Full health, dental and vision insurance \+ Flexible PTO
* Located in the heart of Chicago
 📧 Interested? Click 'Easy Apply' or email me at tudor.simionescu@storm2\.com
 ⚡ Storm2 is a specialist FinTech recruitment firm with clients across North America. To explore open roles or discuss your career, visit storm2\.com or follow our LinkedIn page for updates.</t>
        </is>
      </c>
    </row>
    <row r="184">
      <c r="A184" t="inlineStr">
        <is>
          <t>li-4366669808</t>
        </is>
      </c>
      <c r="B184" t="inlineStr">
        <is>
          <t>Senior Software Engineer</t>
        </is>
      </c>
      <c r="C184" t="inlineStr">
        <is>
          <t>CACI International Inc</t>
        </is>
      </c>
      <c r="D184" t="inlineStr">
        <is>
          <t>linkedin</t>
        </is>
      </c>
      <c r="E184">
        <f>HYPERLINK("https://www.linkedin.com/jobs/view/4366669808", "https://www.linkedin.com/jobs/view/4366669808")</f>
        <v/>
      </c>
      <c r="F184">
        <f>HYPERLINK("https://careers.caci.com/global/en/job/CACIGLOBAL321505EXTERNALENGLOBAL/Senior-Software-Engineer?utm_source=linkedin&amp;utm_medium=phenom-feeds&amp;urlHash=o8AD", "https://careers.caci.com/global/en/job/CACIGLOBAL321505EXTERNALENGLOBAL/Senior-Software-Engineer?utm_source=linkedin&amp;utm_medium=phenom-feeds&amp;urlHash=o8AD")</f>
        <v/>
      </c>
      <c r="G184" t="inlineStr">
        <is>
          <t>Denver, CO</t>
        </is>
      </c>
      <c r="H184" t="inlineStr"/>
      <c r="I184" t="inlineStr">
        <is>
          <t>Job Title: Senior Software Engineer
 Job Category: Engineering
 Time Type: Full time
 Minimum Clearance Required to Start: None
 Employee Type: Regular
 Percentage of Travel Required: Up to 10%
 Type of Travel: Continental US
 Anticipated Posting End: 5/25/2026
**The Opportunity**
* Join the CASTViz program to build cutting\-edge geospatial information systems
* Work on mission\-critical platforms supporting law enforcement with tens of thousands of users
* Develop software that directly impacts public safety and operational decision\-making
* Freedom to work at all levels of the software stack and take pride in what you build
**Responsibilities**
* Design, develop, deploy, and sustain software systems
* Work across the full software stack, from backend services to web\-based user interfaces
* Troubleshoot complex system issues and drive problems to resolution
* Collaborate with engineers and stakeholders to deliver reliable, scalable solutions
* Take technical ownership for code quality, performance, and maintainability
**Qualifications**
*Required:*
* Bachelor’s degree in Computer Science or a related field
* 15\+ years of professional software development experience
* Strong experience with Java or Java\-like languages (e.g., Kotlin, C\#, Scala)
* Full\-stack web development experience with modern web technologies
* Strong understanding of algorithms, data structures, and relational database systems (RDBMS)
* Experience working in command\-line environments on POSIX\-compliant systems
* Strong troubleshooting and problem\-solving skills
* Understand and implement CI/CD processes
* Working knowledge of user\-driven design principles
* And have solid automated and manual software testing experience
**Desired**
* Strong background in geospatial information systems (GIS)
* Experience with React or similar modern frontend frameworks
* Experience with embedded or lightweight databases such as H2
* Experience deploying or operating systems in AWS
* Experience building or maintaining multi\-user systems
* Familiarity with Windows, linux and macOS
* Ability to mentor other engineers and influence technical direction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$126,100 \- 277,300 USD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85">
      <c r="A185" t="inlineStr">
        <is>
          <t>li-4367279663</t>
        </is>
      </c>
      <c r="B185" t="inlineStr">
        <is>
          <t>Frontend Engineer</t>
        </is>
      </c>
      <c r="C185" t="inlineStr">
        <is>
          <t>RemoteHunter</t>
        </is>
      </c>
      <c r="D185" t="inlineStr">
        <is>
          <t>linkedin</t>
        </is>
      </c>
      <c r="E185">
        <f>HYPERLINK("https://www.linkedin.com/jobs/view/4367279663", "https://www.linkedin.com/jobs/view/4367279663")</f>
        <v/>
      </c>
      <c r="F185" t="inlineStr"/>
      <c r="G185" t="inlineStr"/>
      <c r="H185" t="inlineStr"/>
      <c r="I185" t="inlineStr">
        <is>
          <t>About the Opportunity:
 The organization is a venture\-backed company focused on enabling responsible AI development, adoption, procurement, and usage at scale. It provides a platform for context\-driven AI governance, risk assessment, and compliance with regulations and standards to ensure fair, auditable, and compliant AI deployment. The goal is to make responsible AI development a standard practice by helping organizations integrate governance practices and collaborating with regulators to establish ecosystem incentives.
 Responsibilities:
 • Design and implement scalable, efficient, and reliable front\-end systems.
 • Communicate technical challenges and solutions clearly across teams.
 • Collaborate with engineers and product managers to deliver high quality UI/UX.
 • Explore and integrate new technologies and programming languages into development.
 • Maintain AI fluency or demonstrate willingness to learn AI concepts.
 • Continuously adapt to new technical challenges, focusing on backend development practices.
 Requirements:
 • 3\-5 years of experience developing high\-quality, maintainable, and robust software for enterprise applications.
 • Proficiency with HTML5, CSS3, JavaScript (ES6\+), and familiarity or interest in learning TypeScript.
 • Experience with frameworks/libraries such as React, Angular, Vue.js, or Next.js.
 • Knowledge of styling tools including SASS, CSS\-in\-JS, Tailwind CSS, or Bootstrap.
 • Experience with testing tools like Jest, Mocha, Cypress, or Jasmine.
 • Proficient in version control systems such as Git, GitHub, or GitLab.
 • Familiarity with APIs including REST, GraphQL, Swagger/OpenAPI, and Postman.
 • Experience with responsive web design, accessibility, and design systems is a plus.
 • Experience with Storybook, Docker, CI/CD, and authentication flows is a plus.
 • Strong communication skills for explaining complex technical issues.
 • Highly motivated to learn new technologies and frameworks.
 Compensation:
 • Expected base salary range is $160,000 to $180,000 USD.
 • Salary ranges depend on role, level, location, skills, experience, and education.
 • The posted range reflects minimum and maximum targets for new hires at the specified location.
 Benefits \&amp; Perks:
 • Competitive salary and equity.
 • Health, dental, and vision coverage.
 • Ergonomic benefit for equipment costs supporting health while working remotely or in office.
 • Coverage for coworking spaces and in\-person meetups.
 • Unlimited paid time off.
 • Up to 12 weeks of paid parental leave.
 • 401(k) plan available for US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86">
      <c r="A186" t="inlineStr">
        <is>
          <t>li-4293081844</t>
        </is>
      </c>
      <c r="B186" t="inlineStr">
        <is>
          <t>System Software Engineer</t>
        </is>
      </c>
      <c r="C186" t="inlineStr">
        <is>
          <t>Broadcom</t>
        </is>
      </c>
      <c r="D186" t="inlineStr">
        <is>
          <t>linkedin</t>
        </is>
      </c>
      <c r="E186">
        <f>HYPERLINK("https://www.linkedin.com/jobs/view/4293081844", "https://www.linkedin.com/jobs/view/4293081844")</f>
        <v/>
      </c>
      <c r="F186">
        <f>HYPERLINK("https://broadcom.wd1.myworkdayjobs.com/External_Career/job/USA-CA-San-Jose-Innovation-Drive/System-Software-Engineer_R023643?source=LinkedIn&amp;urlHash=4eGw", "https://broadcom.wd1.myworkdayjobs.com/External_Career/job/USA-CA-San-Jose-Innovation-Drive/System-Software-Engineer_R023643?source=LinkedIn&amp;urlHash=4eGw")</f>
        <v/>
      </c>
      <c r="G186" t="inlineStr">
        <is>
          <t>San Jose, CA</t>
        </is>
      </c>
      <c r="H186" t="inlineStr"/>
      <c r="I186" t="inlineStr">
        <is>
          <t>**Job Description:**
 Ethernet NIC product portfolio is designed for high performance computing and networking applications including AI and ML. This is driven by the growing need for high server bandwidth, highest throughput and lowest latency networks. The NIC team is involved in the development of the next generation of Ethernet NIC solutions for AI/ML and High performance computing applications. We are looking for excellent software and firmware engineers to join the NIC product development team.
 As a Software Engineer, you will be responsible for designing and development of the RDMA protocol features for the Ethernet NIC. You will work cross functionally with marketing, architects, silicon development and the QA teams to design, implement, document and test high quality software, drivers and the firmware components.
 Responsibilities:
* Design and development of the RDMA protocol features for the Ethernet NIC products, preferably in QoS and congestion control domains.
* Work closely with the architecture teams, silicon design teams and other software / firmware teams to architect, design and implement scalable and high performance applications.
* Author and contribution in software design, development, validation, and documentation to deliver high quality, high performance and functionally excellent products.
* Work with the QA team to define high quality test cases, review the test plans and provide support through the release development cycle.
* Work closely with the customer support engineers on any customer field issues and provide timely resolutions.
 Requirements:
* BS/MS in Computer Science, Electronics \&amp; Communications or equivalent with minimum 12\+ years of experience.
* Significant experience in RDMA protocol, QoS, Packet Classifications, Linux Systems programming, Linux kernel, Linux Network Drivers, Linux Kernel Networking, Virtual Switching and Data center Networking, Firmware development.
* A good understanding of the RDMA protocol is a must have. Hands\-on experience with RDMA is highly desired.
* Experience in writing test scripts to verify NIC behavior is highly desired.
* Deep knowledge of Linux kernel and Linux kernel networking is an added advantage.
* Experience analyzing and tuning performance for a variety of HPC workloads.
* Excellent programming skills in C, C\+\+ and Python. Proficiency in developing optimized code in both x86 and ARM64 compiler toolchains.
* Strong analytical, problem solving and debugging skills in a combined software and hardware environments.
* Excellent written and verbal communication skills, ability to efficiently collaborate with multiple teams across geographically diverse areas.
**Additional Job Description:**
**Compensation And Benefits**
 The annual base salary range for this position is $141,300 \- $226,000
 This position is also eligible for a discretionary annual bonus in accordance with relevant plan documents, and equity in accordance with equity plan documents and equity award agreements.
 Broadcom offers a competitive and comprehensive benefits package: Medical, dental and vision plans, 401(K) participation including company matching, Employee Stock Purchase Program (ESPP), Employee Assistance Program (EAP), company paid holidays, paid sick leave and vacation time. The company follows all applicable laws for Paid Family Leave and other leaves of absence.
 R023643</t>
        </is>
      </c>
    </row>
    <row r="187">
      <c r="A187" t="inlineStr">
        <is>
          <t>li-4367623648</t>
        </is>
      </c>
      <c r="B187" t="inlineStr">
        <is>
          <t>Senior Software Engineer</t>
        </is>
      </c>
      <c r="C187" t="inlineStr">
        <is>
          <t>Anduril Industries</t>
        </is>
      </c>
      <c r="D187" t="inlineStr">
        <is>
          <t>linkedin</t>
        </is>
      </c>
      <c r="E187">
        <f>HYPERLINK("https://www.linkedin.com/jobs/view/4367623648", "https://www.linkedin.com/jobs/view/4367623648")</f>
        <v/>
      </c>
      <c r="F187">
        <f>HYPERLINK("https://boards.greenhouse.io/andurilindustries/jobs/5037473007?gh_jid=5037473007&amp;urlHash=wPlg", "https://boards.greenhouse.io/andurilindustries/jobs/5037473007?gh_jid=5037473007&amp;urlHash=wPlg")</f>
        <v/>
      </c>
      <c r="G187" t="inlineStr">
        <is>
          <t>Seattle, WA</t>
        </is>
      </c>
      <c r="H187" t="inlineStr"/>
      <c r="I187"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Anduril’s Tactical Recon \&amp; Strike (TRS) is a division with two missions: 1\) build highly capable autonomous drones, and 2\) build solid rocket motors at scale. We transform products like Ghost, Anvil, Bolt, and Altius from early concepts into fully operational capabilities by partnering closely with specialist engineering, operations, and production teams. Through our Anduril Rocket Motor Systems (RMS) team, we design and manufacture solid rocket motors using advanced materials, proprietary formulations, and high\-volume production methods—delivering safe, reliable propulsion systems that support a wide range of mission requirements. TRS hires software engineers \&amp; hardware engineers, who are excited to build across a diverse and powerful portfolio—from autonomous aerial systems to high\-performance solid rocket motors. Our teams contribute to highly capable autonomous robotics systems and propulsion products that operate reliably in the most demanding mission environment.
**About The Job**
 As a Robotics Software Engineer on our TRS team, you'll be at the forefront of cutting\-edge autonomous systems development. You'll tackle diverse challenges in autonomy, systems integration, robotics, and networking, making critical engineering decisions that directly impact mission success. Your role will be pivotal in ensuring Anduril's products work seamlessly together to achieve a variety of crucial outcomes. You'll develop innovative solutions for complex robotics problems, balance pragmatic engineering trade\-offs with mission\-critical requirements, and collaborate across teams to integrate software with hardware systems. Contributing to the entire product lifecycle, from concept to deployment, you'll rapidly prototype and iterate on software solutions. We're looking for someone who thrives in a fast\-paced environment and isn't afraid to tackle ambiguous problems. Your "Whatever It Takes" mindset will be key in executing tasks efficiently, scalably, and pragmatically, always keeping the mission at the forefront of your work. This role offers the opportunity to make a significant impact on next\-generation defense technology, working with state\-of\-the\-art robotics and autonomous systems. You'll be part of a team that values innovation, quick iteration, and delivering high\-quality solutions that meet real\-world needs.
*Must be eligible to obtain and maintain an active U.S. Secret security clearance.*
**What You'll Do**
* Develop and maintain core robotics libraries, including frame transformations, targeting, and guidance systems, that will be utilized across all Anduril robotics platforms
* Lead the development and implementation of major features for our products, such as designing and building Software\-in\-the\-Loop simulators for advanced systems like Altius
* Optimize performance of existing products, primarily focused on our Altius Drone product line
* Collaborate closely with hardware and manufacturing teams throughout the product development lifecycle, providing timely feedback to influence and enhance final hardware designs
* Troubleshoot and resolve complex issues in deployed systems, ensuring optimal performance in the field
* Contribute to the design and implementation of multi\-agent coordination systems for UAVs
* Participate in the full software development lifecycle, from concept and design through testing and deployment
* Stay current with emerging technologies and industry trends, recommending and implementing innovations to improve our products and processes
**Required Qualifications**
* Bachelor's degree in Robotics, Computer Science, or related field
* 3\+ years of professional software development experience
* Strong proficiency in C\+\+ or Rust, with experience in Linux development environments
* Demonstrated expertise in data structures, algorithms, concurrency, and code optimization
* Proven experience troubleshooting and analyzing remotely deployed software systems
* Hands\-on experience working with and testing electrical and mechanical systems
* Ability to collaborate effectively with cross\-functional teams, including hardware and manufacturing
* Strong problem\-solving skills and a "Whatever It Takes" mindset
* Excellent communication skills, both written and verbal
* Eligible to obtain and maintain an active U.S. Secret security clearance
* Willingness to relocate to Seattle, WA
**Preferred Qualifications**
* Master's or Ph.D. in a relevant field (e.g., Robotics, Computer Science, Electrical Engineering)
* Expertise in one or more advanced robotics areas: motion planning, perception, localization, mapping, or controls
* Experience with performance optimization and metrics for complex robotic systems
* Proficiency in Python, Rust, and/or Go, in addition to C\+\+
* Hands\-on experience programming for embedded systems and physical devices
* Background in multi\-agent coordination, particularly with UAVs
* Demonstrated ability to solve complex frame transformation problems (e.g., target localization, multi\-degree\-of\-freedom robotic arms)
* Experience with real\-time operating systems and distributed computing
* Familiarity with machine learning and AI applications in robotics
* Knowledge of sensor fusion techniques and implementation
* Understanding of aerodynamics and flight dynamics as applied to UAV systems
* Experience with simulation environments for robotics testing and development
* Track record of contributions to open\-source robotics projects or relevant publications
 US Salary Range
 $220,000—$292,000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88">
      <c r="A188" t="inlineStr">
        <is>
          <t>li-4367623149</t>
        </is>
      </c>
      <c r="B188" t="inlineStr">
        <is>
          <t>Software Engineer II</t>
        </is>
      </c>
      <c r="C188" t="inlineStr">
        <is>
          <t>Truist</t>
        </is>
      </c>
      <c r="D188" t="inlineStr">
        <is>
          <t>linkedin</t>
        </is>
      </c>
      <c r="E188">
        <f>HYPERLINK("https://www.linkedin.com/jobs/view/4367623149", "https://www.linkedin.com/jobs/view/4367623149")</f>
        <v/>
      </c>
      <c r="F188" t="inlineStr"/>
      <c r="G188" t="inlineStr">
        <is>
          <t>Raleigh, NC</t>
        </is>
      </c>
      <c r="H188" t="inlineStr"/>
      <c r="I188"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
**Essential Duties And Responsibilities**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May oversee the work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four to seven years of experience or equivalent education and software engineering training or experience
* In\-depth knowledge in information systems and ability to identify, apply, and implement IT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 College degree in Computer Science, math or related field of study1\. Bachelor’s degree in computer science, computer engineering or related degree and eight years of experience or an equivalent combination of education and work experience
* Knowledge of specific applications, technology platforms, programming languages, systems, or business segments
* Banking or financial services experience. Knowledge of one or more of the following: Solid foundation in data structures, algorithms, and software design with strong analytical and debugging skills
* Professional experience building high\-quality apps or services from the ground up and scaling at an enterprise level
* Experience with Open Source tools and frameworks
* Experience with cloud technologies, such as AWS, Azure, or GCP
* Strong understanding of SOA and/or Open API methodologies and service architectures
* Experience using web servers, application containers, caching technologies
* Solid knowledge of relational database design and development (SQL, stored procedures, data modeling)
* Experience with messaging systems (i.e., MQ and JMS)
* Experience with build tools, such as Git, Maven, and Jenkins. Proven ability to write comprehensive unit and integration tests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89">
      <c r="A189" t="inlineStr">
        <is>
          <t>li-4358750356</t>
        </is>
      </c>
      <c r="B189" t="inlineStr">
        <is>
          <t>Sr. Software Engineer (Workday Finance)</t>
        </is>
      </c>
      <c r="C189" t="inlineStr">
        <is>
          <t>U.S. Bank</t>
        </is>
      </c>
      <c r="D189" t="inlineStr">
        <is>
          <t>linkedin</t>
        </is>
      </c>
      <c r="E189">
        <f>HYPERLINK("https://www.linkedin.com/jobs/view/4358750356", "https://www.linkedin.com/jobs/view/4358750356")</f>
        <v/>
      </c>
      <c r="F189">
        <f>HYPERLINK("https://careers.usbank.com/global/en/job/UBNAGLOBAL20250029155EXTERNALENGLOBAL/Sr-Software-Engineer-Workday-Finance?utm_source=linkedin&amp;utm_medium=phenom-feeds&amp;urlHash=kXmX", "https://careers.usbank.com/global/en/job/UBNAGLOBAL20250029155EXTERNALENGLOBAL/Sr-Software-Engineer-Workday-Finance?utm_source=linkedin&amp;utm_medium=phenom-feeds&amp;urlHash=kXmX")</f>
        <v/>
      </c>
      <c r="G189" t="inlineStr">
        <is>
          <t>San Francisco, CA</t>
        </is>
      </c>
      <c r="H189" t="inlineStr"/>
      <c r="I189"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**Job Description**
 The Workday PRISM ETL Engineer will be responsible for designing, developing, and maintaining ETL processes to support data integration within the Workday PRISM Analytics platform. This role involves working closely with various stakeholders to ensure data accuracy, consistency, and accessibility, enabling effective data\-driven decision\-making.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Five to six years of relevant experience
**Preferred Skills/Experience**
* Hands on experience with working with Workday Integrations (EIB/API/Connectors/Studio/Orchestrate/Extend)
* Familiarity with scripting languages (e.g., Python, Shell scripting) is a plus.
* Experience with CI/CD pipeline, GitHub, and UDeploy
* Working experience in SaaS data warehousing, data lakes, data engineering applications like Snowflake
* Proven experience as an ETL Engineer, Data Integration Specialist, or similar role
* Hands\-on experience with Workday PRISM Analytics, Accounting Center and Workday integrations: Studio/Orchestrate/APIs.
* Familiarity with Workday Extend development
* Strong knowledge of data modeling, data warehousing, and data integration, developing and implementing applications
* Proficient in Excel, PowerPoint, Visio
* Familiarity with cloud services (AWS, Azure (preferred), Google Cloud)
* Demonstrating knowledge of Agile methodologies such as Scrum, XP, and Kanban
* Understanding of Agile tools such as JIRA/Practitest/DragonBoat
* Comfortable engaging with 3rd parties such as upstream or downstream application teams, business line SME’s, cross\-functional workstreams, etc. as appropriate to uncover any dependencies, risks, and coordinate testing scenarios/plans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190">
      <c r="A190" t="inlineStr">
        <is>
          <t>li-4367614884</t>
        </is>
      </c>
      <c r="B190" t="inlineStr">
        <is>
          <t>Senior Software Developer</t>
        </is>
      </c>
      <c r="C190" t="inlineStr">
        <is>
          <t>Virtual Service Operations</t>
        </is>
      </c>
      <c r="D190" t="inlineStr">
        <is>
          <t>linkedin</t>
        </is>
      </c>
      <c r="E190">
        <f>HYPERLINK("https://www.linkedin.com/jobs/view/4367614884", "https://www.linkedin.com/jobs/view/4367614884")</f>
        <v/>
      </c>
      <c r="F190">
        <f>HYPERLINK("https://recruiting.paylocity.com/Recruiting/Jobs/Details/3567645&amp;urlHash=Nncv", "https://recruiting.paylocity.com/Recruiting/Jobs/Details/3567645&amp;urlHash=Nncv")</f>
        <v/>
      </c>
      <c r="G190" t="inlineStr"/>
      <c r="H190" t="inlineStr"/>
      <c r="I190" t="inlineStr">
        <is>
          <t>**Description**
 Are you looking to take the next steps in your career as a Software Developer? Let's chat and see if we are a good match!
**Opportunity:**
 Virtual Service Operations is searching for a Senior Software Developer to join our dynamic team. In this role, you will serve as a high\-level technical expert on the FRIS modernization project, leading the design, development, coding, testing, and debugging of new software and significant enhancements to existing applications using Power Platform (model\-driven apps, Dataverse, Power Automate) and/or Azure Integration Services (Logic Apps, Gateway); this resource will also work closely with technical staff to define specifications, resolve complex issues, and provide guidance to junior developers, with all roles performed remotely and Public Trust clearance preferred for certain use cases.
**Qualifications:**
 Required Skills:
* Power Platform – model\-driven app development
* Microsoft Dataverse
* Power Automate (Flows)
 Preferred Skills:
* Azure Logic Apps
* Azure Gateway integration
**Requirements**
* 5 \- 7 years of relevant, professional experience
* Must be eligible for Public Trust clearance (Active Public Trust is preferred)
* Please note that pursuant to a government contract, this specific position requires U.S. citizenship status
**What is Important to Us:**
* You are an excellent communicator in writing and speaking.
* You have the ability to work independently but also value teamwork.
* Your problem\-solving skills are excellent.
* You are looking for a job where performance appraisals occur regularly, and you look forward to advancing your career.
* You seek a community of virtue\-centered co\-workers and clients.
**What we offer you:** 
 As part of the VSO company, you will be part of a virtue\-centered team who value their work and teammates.
 *This is a no\-jerk zone* 
 . We provide ongoing learning and development opportunities to foster continuous growth. We offer competitive salaries, health benefits, and flexible work arrangements.
**More About VSO** 
 : VSO is a hybrid cloud and managed services consulting firm. Much of VSO’s success can be attributed to our deep partnerships with IT services industry leaders such as AWS, IBM, Microsoft and others. VSO leverages numerous other partner relationships so as to provide our customers with optimal support. Additionally, we take pride in taking care of our employees. We offer a wide variety of benefits for eligible employees related to health, retirement, professional development, and more! For more information, please visit our website at https://vso\-inc.com/careers
 Salary Description
 $128,000\-$145,000 per year</t>
        </is>
      </c>
    </row>
    <row r="191">
      <c r="A191" t="inlineStr">
        <is>
          <t>li-4324331869</t>
        </is>
      </c>
      <c r="B191" t="inlineStr">
        <is>
          <t>Software Engineer</t>
        </is>
      </c>
      <c r="C191" t="inlineStr">
        <is>
          <t>Recruiting from Scratch</t>
        </is>
      </c>
      <c r="D191" t="inlineStr">
        <is>
          <t>linkedin</t>
        </is>
      </c>
      <c r="E191">
        <f>HYPERLINK("https://www.linkedin.com/jobs/view/4324331869", "https://www.linkedin.com/jobs/view/4324331869")</f>
        <v/>
      </c>
      <c r="F191" t="inlineStr"/>
      <c r="G191" t="inlineStr">
        <is>
          <t>New York, United States</t>
        </is>
      </c>
      <c r="H191" t="inlineStr"/>
      <c r="I191" t="inlineStr">
        <is>
          <t>**Who is Recruiting from Scratch:**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
 https://www.recruitingfromscratch.com/
**Title of Role:** 
 Full\-Stack Software Engineer (Backend\-Leaning)
**Location:** 
 New York, NY (Hybrid – 4 days onsite)
**Company Stage of Funding:** 
 Series A (High\-Growth Venture\-Backed Startup)
**Office Type:** 
 Hybrid (Primarily Onsite)
**Salary:** 
 $125,000 – $260,000 \+ Competitive Equity
**Company Description** 
 Our client is a rapidly scaling, venture\-backed healthcare technology startup transforming how medical reviews are conducted across the U.S. They build AI\-driven platforms that empower clinicians and healthcare organizations to deliver safer, higher\-quality, and compliant patient care. Their software is already used by hundreds of thousands of providers nationwide, and they continue to evolve quickly as they expand their platform and customer base.
 This is an opportunity to join a high\-velocity engineering team where your work will directly influence how life\-changing healthcare decisions are made in real time.
**What You Will Do** 
* Partner closely with Product and cross\-functional teams to translate complex business requirements into scalable technical solutions.
* Design and build systems end\-to\-end—spanning backend services, data pipelines, and user\-facing components.
* Ship high\-quality features at speed while maintaining clean, maintainable, and well\-tested code.
* Contribute to architectural discussions and help shape engineering best practices as the team scales.
* Collaborate in a fast\-moving, high\-ownership environment where your work has immediate impact.
* *(For Senior Candidates)* 
 Mentor junior engineers through code reviews, design guidance, and technical leadership.
**Ideal Candidate Background** 
* Proven experience in a fast\-paced startup environment (early or growth stage preferred).
* Strong proficiency with
 **Python, TypeScript, and AWS infrastructure** 
 .
* Experience designing and building production\-grade systems end\-to\-end.
* Strong communication skills and the ability to work closely with cross\-functional partners.
* Ability to thrive in a high\-velocity environment with evolving priorities.
* Interest in or exposure to healthcare, life sciences, or regulated industries (preferred but not required).
**Preferred Qualifications** 
* Background working with or adjacent to healthcare, life sciences, or compliance\-driven applications.
* Familiarity with modern ML or NLP concepts.
* Experience building scalable distributed systems.
* Prior experience mentoring engineers or leading major technical initiatives.
* Experience contributing to both backend and frontend systems in a full\-stack capacity.
**Compensation, Benefits \&amp; Other Details** 
* **Base Salary:** 
 $125,000 – $260,000, depending on level and experience.
* **Equity:** 
 Competitive equity packages available.
* **Work Environment:** 
 Hybrid schedule with 4 days per week onsite in New York City.
* **Employment Type:** 
 Full\-time.
* **Headcount:** 
 Hiring multiple engineers across levels (SWE I, SWE II, Senior SWE).</t>
        </is>
      </c>
    </row>
    <row r="192">
      <c r="A192" t="inlineStr">
        <is>
          <t>li-4367474818</t>
        </is>
      </c>
      <c r="B192" t="inlineStr">
        <is>
          <t>Embedded Software Engineer</t>
        </is>
      </c>
      <c r="C192" t="inlineStr">
        <is>
          <t>ALTEN Technology USA</t>
        </is>
      </c>
      <c r="D192" t="inlineStr">
        <is>
          <t>linkedin</t>
        </is>
      </c>
      <c r="E192">
        <f>HYPERLINK("https://www.linkedin.com/jobs/view/4367474818", "https://www.linkedin.com/jobs/view/4367474818")</f>
        <v/>
      </c>
      <c r="F192" t="inlineStr"/>
      <c r="G192" t="inlineStr">
        <is>
          <t>Auburn Hills, MI</t>
        </is>
      </c>
      <c r="H192" t="inlineStr"/>
      <c r="I192" t="inlineStr">
        <is>
          <t>We're ALTEN Technology USA, an engineering company helping clients bring groundbreaking ideas to life—from advancing space exploration and life\-saving medical devices to building autonomous electric vehicles. With 3,000\+ experts across North America, we partner with leading companies in aerospace, medical devices, robotics, automotive, commercial vehicles, EVs, rail, and more.
 As part of the global ALTEN Group—57,000\+ engineers in 30 countries—we deliver across the entire product development cycle, from consulting to full project outsourcing.
 When you join ALTEN Technology USA, you'll collaborate on some of the world's toughest engineering challenges, supported by mentorship, career growth opportunities, and comprehensive benefits. We take pride in fostering a culture where employees feel valued, supported, and inspired to grow.
**Job Summary**
* We are looking for an experienced Embedded Software Engineer with strong expertise in high\-performance SoC platforms to support BSP development, low\-level driver customization, and HW/SW debugging activities.
 Key Responsibilities
* Work on embedded projects using high\-performance SoCs such as Qualcomm or Renesas
* Develop, customize, and maintain BSP and low\-level drivers (I2C, SPI, Camera, Display, etc.)
* Bring\-up and debug embedded platforms running Linux or QNX
* Perform HW/SW debugging, including software flashing, JTAG debugging, and root\-cause analysis
* Read and interpret hardware schematics
* Perform electrical measurements using multimeter and oscilloscope
* Collaborate with hardware, validation, and system teams to resolve integration issues
**Required Skills \&amp; Qualifications**
* Strong experience with Qualcomm or Renesas SoCs
* Hands\-on experience with Linux or QNX embedded operating systems
* Proven expertise in BSP and low\-level driver development
* Experience with JTAG debugging and software flashing tools
* Ability to read schematics and perform board\-level debugging
* Strong problem\-solving and debugging skills
 Nice to Have (Bonus Skills)
* **Android platform** 
 experience
* **Python scripting** 
 for automation or debugging
 ALTEN Technology is an Equal Opportunity Employer. Our Policy is to extend opportunities to qualified applicants and employees on an equal basis regardless of an individual's age, race, color, sex, religion, national origin, disability, sexual orientation, gender identity/expression or veteran status.
***Please beware of job seeker scams and see this important notice on our careers page for more information about our recruiting process.***
**Compliance Notice:** 
 Alten USA is a federal contractor subject to the requirements of the Vietnam Era Veterans' Readjustment Assistance Act (VEVRAA) and Executive Order 11246\. We are an Equal Opportunity Employer and consider all qualified applicants without regard to race, color, religion, sex, sexual orientation, gender identity, national origin, disability, or veteran status.
**Drug Screening Requirement:** 
 As a federal contractor, Alten USA maintains a drug\-free workplace. All candidates selected for employment will be required to successfully complete a pre\-employment drug screening as a condition of hire.</t>
        </is>
      </c>
    </row>
    <row r="193">
      <c r="A193" t="inlineStr">
        <is>
          <t>li-4330148514</t>
        </is>
      </c>
      <c r="B193" t="inlineStr">
        <is>
          <t>Full Stack Engineer</t>
        </is>
      </c>
      <c r="C193" t="inlineStr">
        <is>
          <t>Recruiting from Scratch</t>
        </is>
      </c>
      <c r="D193" t="inlineStr">
        <is>
          <t>linkedin</t>
        </is>
      </c>
      <c r="E193">
        <f>HYPERLINK("https://www.linkedin.com/jobs/view/4330148514", "https://www.linkedin.com/jobs/view/4330148514")</f>
        <v/>
      </c>
      <c r="F193" t="inlineStr"/>
      <c r="G193" t="inlineStr"/>
      <c r="H193" t="inlineStr"/>
      <c r="I193" t="inlineStr">
        <is>
          <t>**Who is Recruiting from Scratch:** 
 Recruiting from Scratch is a specialized talent firm dedicated to helping companies build exceptional teams. We partner closely with our clients to deeply understand their needs, then connect them with top\-tier candidates who are not only highly skilled but also the right fit for the company’s culture and vision. Our mission is simple: place the best people in the right roles to drive long\-term success for both clients and candidates.
 https://www.recruitingfromscratch.com/
**Title of Role** 
 : Full Stack Engineer (AI Focus)
**Location** 
 : Remote (U.S.)
**Company Stage of Funding** 
 : Profitable, Growth\-Stage Company
**Office Type** 
 : Remote, Full\-Time
**Salary** 
 : $150,000 – $220,000 (based on experience)
**Company Description:** 
 We’re representing a
 **profitable, high\-growth consumer technology company** 
 that has established itself as the leading matchmaking service in the U.S. The company has connected millions of clients through a personalized, human\-first approach — and is now doubling down on technology and AI to power its next chapter.This is a unique opportunity to join a company with a proven business model, an energized team, and a bold vision to redefine how people find meaningful relationships using
 **AI\-driven experiences** 
 .What You Will DoAs a
 **Full Stack Engineer with AI experience** 
 , you’ll play a key role in building the company’s next\-generation matchmaking platform and its new product line. You will:
* Contribute to a full
 **rewrite of the core application** 
 , working closely with product and matchmaking teams.
* Design, develop, and deploy new features across the stack — from modern, responsive frontends to robust, scalable backends.
* Integrate
 **AI\-driven capabilities** 
 that enhance customer experience and operational efficiency.
* Collaborate with engineers, designers, and matchmakers to deliver impactful solutions quickly.
* Write clean, maintainable, and well\-tested code following modern engineering best practices.
* Contribute to a supportive, feedback\-driven, and transparent engineering culture.
**Ideal Background** 
* 5\+ years of professional experience with
 **TypeScript** 
 .
* 3\+ years as a
 **Full Stack Developer** 
 , with strong understanding of modern web architecture.
* 1\+ year of experience building or integrating
 **AI\-powered features** 
 (e.g., LLMs, recommendations, personalization, or generative AI).
* Strong proficiency across the stack:
* **Frontend** 
 : Next.js, React, TailwindCSS, tRPC
* **Backend** 
 : NestJS, Prisma, PostgreSQL
* **Cloud** 
 : AWS or GCP
* Collaborative mindset, strong communication skills, and a bias toward ownership and delivering business value.
**Preferred** 
* Prior experience with
 **consumer or marketplace products** 
 .
* Experience scaling products that combine
 **AI with human services or matching systems** 
 .
* Excitement for building products that make a tangible impact on people’s lives.
 Compensation and Benefits and Other Things
* **Salary** 
 :
* Mid\-Level: $150,000 – $180,000
* Senior: $180,000 – $220,000
* **Equity** 
 : Competitive equity package
* **Work Setup** 
 : Fully remote within the U.S.
* Collaborative, feedback\-oriented culture
* High\-impact environment with autonomy and ownership
* Opportunity to help define the AI and product architecture for a market\-leading company
**This is an ideal opportunity for engineers who love clean code, move fast, and want to build meaningful technology that brings people together — combining full stack development with real\-world AI applications**</t>
        </is>
      </c>
    </row>
    <row r="194">
      <c r="A194" t="inlineStr">
        <is>
          <t>li-4367629775</t>
        </is>
      </c>
      <c r="B194" t="inlineStr">
        <is>
          <t>Senior Software Developer</t>
        </is>
      </c>
      <c r="C194" t="inlineStr">
        <is>
          <t>RBC</t>
        </is>
      </c>
      <c r="D194" t="inlineStr">
        <is>
          <t>linkedin</t>
        </is>
      </c>
      <c r="E194">
        <f>HYPERLINK("https://www.linkedin.com/jobs/view/4367629775", "https://www.linkedin.com/jobs/view/4367629775")</f>
        <v/>
      </c>
      <c r="F194">
        <f>HYPERLINK("https://jobs.rbc.com/ca/en/job/RBCAA0088R0000152492EXTERNALENCA/Senior-Software-Developer?utm_source=LinkedIn&amp;utm_medium=phenom-feeds&amp;utm_campaign=rbc_linkedin&amp;urlHash=51rs", "https://jobs.rbc.com/ca/en/job/RBCAA0088R0000152492EXTERNALENCA/Senior-Software-Developer?utm_source=LinkedIn&amp;utm_medium=phenom-feeds&amp;utm_campaign=rbc_linkedin&amp;urlHash=51rs")</f>
        <v/>
      </c>
      <c r="G194" t="inlineStr">
        <is>
          <t>Minneapolis, MN</t>
        </is>
      </c>
      <c r="H194" t="inlineStr"/>
      <c r="I194" t="inlineStr">
        <is>
          <t>**Job Description**
**What is the opportunity?**
 Advisor Desktop Salesforce technology team is looking for a Sr Salesforce developer to work on large cross\-divisional and transformational programs with multiple applications and/or 3rd party vendors. In this role you will be partner with IT and with assigned business line(s) to assess, research, and analyze business, technical and system needs to resolve business systems issues by recommending technology solutions that meet sponsor/stakeholder needs.
**What will you do?**
**Technical Direction and Consulting**
* Consultant on technical and management direction for strategic projects within the Advisor Desktop (Salesforce).
* Research emerging trends/best practices and determines implications of proposed solutions on meeting business unit strategy.
**Testing \&amp; Documentation**
* Manages all aspects of testing and verification ensuring all tasks are performed for all interfaces.
* Ensures adequate technical documentation and training.
**Planning, Implementation \&amp; Support**
* Manages all aspects of implementation planning \&amp; coordination.
* Develops accurate estimates for the design, build, implement and stabilize phases of the project.
**Relationships \&amp; Communication**
* Acts as primary IT liaison with multiple interfacing applications, 3rd party vendors, IT Executive and/or Project Managers.
* Develops criteria to evaluate 3rd party vendors and software as well as due diligence exercises. For very complex projects, conducts due diligence; for less complex projects, oversees the process.
**Development \&amp; Coaching**
* Provides direction, expertise, feedback, coaching and development to build the capability of more junior staff.
* Continually enhances skills and builds knowledge in all aspects of the organization, the business and information systems.
**What do you need to succeed?**
**Must Have**
* BS or MS degree in a technology related field.
* 3\+ years Salesforce Developer experience (org size over 2000 users)
* Strong background in Apex, Java Script and Lightning Web Components.
* Experience with salesforce dev and deployment process using SFDX or similar.
* Hands on experience with Salesforce Automation tools Flows and Approval Processes.
* Integration tools \&amp; techniques (SOA, XML, JSON, SOAP, REST, etc.)
* IT Standards, Methodologies, Agile Development.
* Salesforce development experience in SalesCloud, Service Cloud and Experience Cloud.
* Certifications \- Salesforce Certified Admin, Salesforce Certified Platform Developer.
**Nice to Have**
* Experience in a matrix environment, such as a large, publicly traded corporation.
* Knowledge and experience with MuleSoft.
* Strategic thinker with excellent interpersonal skills to work across functions and businesses.
* Strong knowledge of Financial Services domain.
**What’s in it for you?**
 We thrive on the challenge to be our best, progressive thinking to keep growing, and working together to deliver trusted advice to help our clients thrive and communities prosper. We care about each other, reaching our potential, making a difference to our communities, and achieving success that is mutual.
* A comprehensive Total Rewards Program including bonuses and flexible benefits, competitive compensation, commissions, and stock where applicable
* Leaders who support your development through coaching and managing opportunities
* Ability to make a difference and lasting impact
* Work in a dynamic, collaborative, progressive, and high\-performing team
* A world\-class training program in financial services
* Opportunities to do challenging work
* Opportunities to take on progressively greater accountabilities
* Opportunities to building close relationships with clients
* Access to a variety of job opportunities across business and geographies
 The expected salary range for this position is $80,000\-$140,000, depending on your experience, skills, and registration status, market conditions and business needs.
 You have the potential to earn more through RBC’s discretionary variable compensation program which gives you an opportunity to increase your total compensation, provided the business meets its performance targets and you meet your individual goals.
 RBC’s compensation philosophy and principles recognize the importance of a highly qualified global workforce and plays a critical role in attracting, engaging and retaining talent that:
* Drives RBC’s high\-performance culture.
* Enables collective achievement of our strategic goals.
* Generates sustainable shareholder returns and above market shareholder value.
 \#TECHPJ
**Job Skills**
 Application Development, Application Testing, Critical Thinking, Detail\-Oriented, Group Problem Solving, Multi\-Level Communication, Standard Operating Procedure (SOP), System Applications, System Integration Testing (SIT), Technical Writing
**Additional Job Details**
**Address:**
 250 NICOLLET MALL:MINNEAPOLIS
**City:**
 Minneapolis
**Country:**
 United States of America
**Work hours/week:**
 40
**Employment Type:**
 Full time
**Platform:**
 TECHNOLOGY AND OPERATIONS
**Job Type:**
 Regular
**Pay Type:**
 Salaried
**Posted Date:**
 2026\-01\-30
**Application Deadline:**
 2026\-02\-20
**Note** 
**:** 
*Applications will be accepted until 11:59 PM on the day prior to the application deadline date above*
**I** 
****nclusion** 
 and Equal Opportunity Employment**
 At RBC, we believe an inclusive workplace that has diverse perspectives is core to our continued growth as one of the largest and most successful banks in the world. Maintaining a workplace where our employees feel supported to perform at their best, effectively collaborate, drive innovation, and grow professionally helps to bring our Purpose to life and create value for our clients and communities. RBC strives to deliver this through policies and programs intended to foster a workplace based on respect, belonging and opportunity for all.
**Join our Talent Community**
 Stay in\-the\-know about great career opportunities at RBC. Sign up and get customized info on our latest jobs, career tips and Recruitment events that matter to you.
 Expand your limits and create a new future together at RBC. Find out how we use our passion and drive to enhance the well\-being of our clients and communities at jobs.rbc.com\&lt;/a/span\&gt;
 RBC is presently inviting candidates to apply for this existing vacancy. Applying to this posting allows you to express your interest in this current career opportunity at RBC. Qualified applicants may be contacted to review their resume in more detail.</t>
        </is>
      </c>
    </row>
    <row r="195">
      <c r="A195" t="inlineStr">
        <is>
          <t>li-4367628135</t>
        </is>
      </c>
      <c r="B195" t="inlineStr">
        <is>
          <t>Software Engineer II</t>
        </is>
      </c>
      <c r="C195" t="inlineStr">
        <is>
          <t>Truist</t>
        </is>
      </c>
      <c r="D195" t="inlineStr">
        <is>
          <t>linkedin</t>
        </is>
      </c>
      <c r="E195">
        <f>HYPERLINK("https://www.linkedin.com/jobs/view/4367628135", "https://www.linkedin.com/jobs/view/4367628135")</f>
        <v/>
      </c>
      <c r="F195">
        <f>HYPERLINK("https://careers.truist.com/us/en/job/TBJTBFUSR0108251EXTERNALENUS/Software-Engineer-II?utm_source=linkedin&amp;utm_medium=phenom-feeds&amp;source=LinkedIn&amp;urlHash=SLTg", "https://careers.truist.com/us/en/job/TBJTBFUSR0108251EXTERNALENUS/Software-Engineer-II?utm_source=linkedin&amp;utm_medium=phenom-feeds&amp;source=LinkedIn&amp;urlHash=SLTg")</f>
        <v/>
      </c>
      <c r="G195" t="inlineStr">
        <is>
          <t>Richmond, VA</t>
        </is>
      </c>
      <c r="H195" t="inlineStr"/>
      <c r="I195"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
**Essential Duties And Responsibilities**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May oversee the work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four to seven years of experience or equivalent education and software engineering training or experience
* In\-depth knowledge in information systems and ability to identify, apply, and implement IT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 College degree in Computer Science, math or related field of study1\. Bachelor’s degree in computer science, computer engineering or related degree and eight years of experience or an equivalent combination of education and work experience
* Knowledge of specific applications, technology platforms, programming languages, systems, or business segments
* Banking or financial services experience. Knowledge of one or more of the following: Solid foundation in data structures, algorithms, and software design with strong analytical and debugging skills
* Professional experience building high\-quality apps or services from the ground up and scaling at an enterprise level
* Experience with Open Source tools and frameworks
* Experience with cloud technologies, such as AWS, Azure, or GCP
* Strong understanding of SOA and/or Open API methodologies and service architectures
* Experience using web servers, application containers, caching technologies
* Solid knowledge of relational database design and development (SQL, stored procedures, data modeling)
* Experience with messaging systems (i.e., MQ and JMS)
* Experience with build tools, such as Git, Maven, and Jenkins. Proven ability to write comprehensive unit and integration tests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196">
      <c r="A196" t="inlineStr">
        <is>
          <t>li-4367617822</t>
        </is>
      </c>
      <c r="B196" t="inlineStr">
        <is>
          <t>Senior Software Engineer – Conversational AI &amp; Messaging</t>
        </is>
      </c>
      <c r="C196" t="inlineStr">
        <is>
          <t>General Motors</t>
        </is>
      </c>
      <c r="D196" t="inlineStr">
        <is>
          <t>linkedin</t>
        </is>
      </c>
      <c r="E196">
        <f>HYPERLINK("https://www.linkedin.com/jobs/view/4367617822", "https://www.linkedin.com/jobs/view/4367617822")</f>
        <v/>
      </c>
      <c r="F196">
        <f>HYPERLINK("https://generalmotors.wd5.myworkdayjobs.com/Careers_GM/job/Warren-Michigan-United-States-of-America/Senior-Software-Engineer\u002d\u002d-Conversational-AI\u002d\u002d-Messaging_JR-202521280-1?source=LinkedIn&amp;urlHash=ymE0", "https://generalmotors.wd5.myworkdayjobs.com/Careers_GM/job/Warren-Michigan-United-States-of-America/Senior-Software-Engineer\u002d\u002d-Conversational-AI\u002d\u002d-Messaging_JR-202521280-1?source=LinkedIn&amp;urlHash=ymE0")</f>
        <v/>
      </c>
      <c r="G196" t="inlineStr">
        <is>
          <t>Warren, MI</t>
        </is>
      </c>
      <c r="H196" t="inlineStr"/>
      <c r="I196" t="inlineStr">
        <is>
          <t>**Job Description**
**Work Arrangement:**
 Hybrid: This role is categorized as hybrid. This means the successful candidate is expected to report to Austin, TX, or Warren, MI three times per week.
**The Role**
 The Messaging and Conversational AI team is seeking a driven Senior Software Engineer to lead the development of next\-generation, customer\-facing AI chat solutions. In this critical role, you will bridge the gap between advanced Artificial Intelligence and practical customer assistance, designing virtual assistants that serve General Motors customers globally.
 As a technical leader, you will be responsible for the architecture and implementation of conversational experiences. You will exercise independent judgment to solve complex, non\-standard problems in the Natural Language Understanding (NLU) and Generative AI space. You will work closely with product managers and other engineers to deliver performant, production\-grade systems that transform how GM interacts with its customers.
**What You’ll Do:**
* Architect, develop, and deploy scalable, customer\-facing AI chat solutions and virtual assistants, serving as the technical subject matter expert for the team.
* Leverage Large Language Model (LLM) technologies to create natural, context\-aware, and helpful customer interactions.
* Design and implement robust integrations between chat interfaces (Web, SMS, Apple Messages for Business) and internal GM backend APIs/services to enable self\-service capabilities.
* Serve as a mentor to junior engineers, providing code reviews, architectural guidance, and fostering a culture of technical excellence and "One Team" collaboration.
* Identify broad technical challenges in the customer support domain and devise innovative solutions based on limited precedent, aligning technical outcomes with business goals.
* Partner with cross\-functional teams (Service Cloud, Data Science, Vehicle Engineering) to ensure a seamless customer journey from chat to live agent handoff.
**Your Skills \&amp; Abilities (Required Qualifications):**
* 7\+ years of experience in software engineering with strong fluency in Python, Java, or JavaScript/TypeScript.
* Proven ability to lead technical design discussions, make architectural decisions for distributed systems, and drive projects from concept to production.
* Extensive experience designing and consuming RESTful APIs and microservices.
* Understanding of AI chat solution concepts, including NLU/NLP, intent recognition, entity extraction, and dialog management (e.g., Dialogflow, Einstein, or similar).
* Familiarity with CI/CD pipelines, testing frameworks, and monitoring tools.
* Excellent problem\-solving skills and the ability to work in a collaborative environment.
* Bachelor’s degree in Computer Science or equivalent professional experience.
**What Will Give You A Competitive Edge (Preferred Qualifications):**
* Direct experience with Salesforce Service Cloud, specifically implementing or configuring Salesforce Messaging for In\-App and Web (MIAW).
* Hands\-on experience specifically with the Google Cloud Platform (GCP) AI stack, including Vertex AI, Agent Builder, or Dialogflow CX.
* Experience implementing RAG (Retrieval\-Augmented Generation) architectures to ground LLM responses in enterprise data.
* Excellent verbal and written communication skills, with the ability to explain complex AI concepts to non\-technical stakeholders.
 Additional Information:
**Additional Information:**
**This job may be eligible for relocation benefits.**
 GM DOES NOT PROVIDE IMMIGRATION\-RELATED SPONSORSHIP FOR THIS ROLE. DO NOT APPLY FOR THIS ROLE IF YOU WILL NEED GM IMMIGRATION SPONSORSHIP (e.g., H\-1B, TN, STEM OPT, etc.) NOW OR IN THE FUTURE.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197">
      <c r="A197" t="inlineStr">
        <is>
          <t>li-4367284722</t>
        </is>
      </c>
      <c r="B197" t="inlineStr">
        <is>
          <t>Senior Software Engineer, Payments</t>
        </is>
      </c>
      <c r="C197" t="inlineStr">
        <is>
          <t>RemoteHunter</t>
        </is>
      </c>
      <c r="D197" t="inlineStr">
        <is>
          <t>linkedin</t>
        </is>
      </c>
      <c r="E197">
        <f>HYPERLINK("https://www.linkedin.com/jobs/view/4367284722", "https://www.linkedin.com/jobs/view/4367284722")</f>
        <v/>
      </c>
      <c r="F197" t="inlineStr"/>
      <c r="G197" t="inlineStr"/>
      <c r="H197" t="inlineStr"/>
      <c r="I197" t="inlineStr">
        <is>
          <t>About the Opportunity:
 This team is focused on redefining access to financial services in a digital world by combining blockchain technology with simple user experiences to make digital currencies accessible and usable. The organization operates the largest network of cryptocurrency kiosks nationwide and provides infrastructure for businesses to launch crypto capabilities quickly through a modular, API\-first Crypto\-as\-a\-Service platform. The Senior Software Engineer, Payments role is to enable the organization and its customers to manage the flow of funds by building software and integrations supporting fiat and crypto transactions.
 Responsibilities:
 • Design solutions for complex technical and business problems
 • Develop software systems and components for a rapidly growing business
 • Write performant, maintainable code while iterating and shipping rapidly
 • Work within backend architecture and technology stack including Java 17\+, Project Reactor, Spring Boot, CQRS, Event Sourcing, microservices, RESTful APIs, event\-driven design, webhooks, server\-sent events, Axon Framework, Kafka, Kubernetes, Helm, Argo, MySQL, MongoDB, and AWS
 • Author and maintain unit and integration tests
 • Collaborate with Scrum team to plan sprints and deliver features
 • Drive engineering excellence, operational stability, and security across platform layers
 • Participate in design and architecture discussions
 • Collaborate with cross\-functional stakeholders to execute and deliver features
 • Work with Engineering Leadership to promote best practices in development, testing, and production operations
 • Mentor other engineers and support their career growth
 • Contribute to recruiting efforts
 Requirements:
 • Bachelor’s degree in Computer Science, Software Engineering, or equivalent experience
 • 5\+ years of software development experience
 • Experience building scalable services and distributed systems in Java or similar object\-oriented language
 • Experience leading technical designs within a team
 • Ability to write readable, scalable, and instrumented code
 • Experience in a fast\-paced Agile environment
 • Effective communication with users, technical teams, and product for requirements and designs
 • Passion for cryptocurrency and blockchain technology
 • Proficiency in Java and Spring Boot
 • Experience with microservice environments
 • Experience with Kafka, RabbitMQ, ActiveMQ, or similar technologies
 • Experience developing RESTful APIs for synchronous flows
 • Experience with MySQL and MongoDB or similar NoSQL databases
 • Experience with Kubernetes or cloud development platforms
 Benefits \&amp; Perks:
 No specific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8">
      <c r="A198" t="inlineStr">
        <is>
          <t>li-4352717455</t>
        </is>
      </c>
      <c r="B198" t="inlineStr">
        <is>
          <t>Senior Software Engineer (Application Development)</t>
        </is>
      </c>
      <c r="C198" t="inlineStr">
        <is>
          <t>LTS</t>
        </is>
      </c>
      <c r="D198" t="inlineStr">
        <is>
          <t>linkedin</t>
        </is>
      </c>
      <c r="E198">
        <f>HYPERLINK("https://www.linkedin.com/jobs/view/4352717455", "https://www.linkedin.com/jobs/view/4352717455")</f>
        <v/>
      </c>
      <c r="F198">
        <f>HYPERLINK("https://job-boards.greenhouse.io/lts/jobs/4092859009?gh_src=e43hhdte9us&amp;urlHash=gl4f", "https://job-boards.greenhouse.io/lts/jobs/4092859009?gh_src=e43hhdte9us&amp;urlHash=gl4f")</f>
        <v/>
      </c>
      <c r="G198" t="inlineStr">
        <is>
          <t>Washington, DC</t>
        </is>
      </c>
      <c r="H198" t="inlineStr"/>
      <c r="I198" t="inlineStr">
        <is>
          <t>**Location: Washington, D.C.**
**Salary Range: 151K \- 161K (DOE)**
**Clearance Requirement: NACI**
**LTS** 
 is seeking a dynamic and results\-oriented
 **Senior** 
**Software Engineer (Application Development)** 
 to join our team and drive the architecture, design, and implementation of mission\-critical systems that are foundational to the Department of Commerce’s mission. We are seeking elite, first\-principles thinkers who thrive on solving complex programs that will take complete, end\-to\-end ownership of projects, transforming ambiguous ideas into robust, scalable, and globally deployed services.
 ***\*U.S. Citizenship is required\****
**What You'll Do**
* Architect, build, and scale end\-to\-end systems, owning the technical strategy and execution for major product initiatives.
* Take complete ownership of mission\-critical features, defining project roadmaps, setting technical direction, and executing with extreme velocity.
* Partner with the Commerce team to translate complex project goals into concrete technical proposals and world\-class implementations.
* Champion engineering excellence across the organization, driving best practices in code quality, system reliability, and operational readiness.
* Lead technical deep\-dives and architectural reviews, shaping the long\-term technical vision.
* Diagnose and solve challenging production issues, building resilient, observable systems that prevent failures at scale.
* Analyze functional business applications and design specifications for functional areas such as finance, accounting, personnel, manpower, logistics, and contracts.
* Develop block diagrams and logic flow charts to guide development.
* Translate detailed designs into computer software; test, debug, and refine as needed.
* Enhance software to improve efficiency and reduce operating time.
* Provide technical guidance to programmers to ensure deliverables meet deadlines.
* Contribute to system design, including application programming on large\-scale DBMS and development of complex software to meet design objectives.
**What We're Looking For**
* Master's degree or PhD in Computer Science, Information Technology, Engineering, or a related technical.
* Minimum of 5\+ years of experience in software development.
* S. Citizenship is required to obtain a successfully adjudicated National Check w/ Inquiries (NACI).
* Must have a proven track record of designing, building, and operating complex, large\-scale distributed systems in production.
* Familiar with a variety of field concepts, practices, and procedures.
* Expertise in both operating and modernizing infrastructure as well as designing secure cloud architectures to support the OCIO’s shift from IaaS toward PaaS and SaaS.
* Possess deep expertise in one or more of the following domains: distributed databases, real\-time data processing, machine learning infrastructure, or performance optimization at massive scale.
* Extensive experience building sophisticated, performant user interfaces with modern frameworks like React or Next.js.
* Possess mastery of a major cloud ecosystem (AWS, GCP) and infrastructure\-as\-code principles (e.g., Terraform, Kubernetes).
* Hands\-on experience leading ambiguous, cross\-functional projects from inception to successful global launch.
* Strong ability to deconstruct complex technical problems and communicate solutions clearly and concisely.
* Strong analytical and problem\-solving abilities with a focus on innovative solutions.
* Ability to manage multiple priorities, adapt to changing requirements, and deliver under tight deadlines.
* Leadership qualities with a track record of mentoring junior team members and fostering team collaboration.
* Detail\-oriented, with a commitment to producing high\-quality, reliable software.
* Self\-motivated and proactive, with the ability to take initiative in ambiguous situations.
* Excellent communication and interpersonal skills to collaborate effectively with technical and non\-technical stakeholders.
**What’s In It for You?**
* The opportunity to support high visibility federal missions in IT and healthcare
* A culture that values innovation, growth, collaboration, and quality
* Access to cutting\-edge tools and technologies
* Comprehensive benefits for you and your family
* A career path that rewards ambition and performance
 If you’re ready to push boundaries, sharpen your skills, and join a team that is passionate about building what’s next, we’d love to meet you. Apply today and let’s build a future together!
 Pay Range
 $151,000 \- $161,000 USD
**LTS** 
 shares salary ranges to promote transparency. Compensation ranges are provided for informational purposes, and final compensation may vary based on experience, skills, location, and role requirements.
**LTS** 
 is committed to offering eligible employees comprehensive benefits that will provide them with options intended to meet their needs and the needs of their family.</t>
        </is>
      </c>
    </row>
    <row r="199">
      <c r="A199" t="inlineStr">
        <is>
          <t>li-4356751265</t>
        </is>
      </c>
      <c r="B199" t="inlineStr">
        <is>
          <t>Senior Staff Software Engineer</t>
        </is>
      </c>
      <c r="C199" t="inlineStr">
        <is>
          <t>The Hartford</t>
        </is>
      </c>
      <c r="D199" t="inlineStr">
        <is>
          <t>linkedin</t>
        </is>
      </c>
      <c r="E199">
        <f>HYPERLINK("https://www.linkedin.com/jobs/view/4356751265", "https://www.linkedin.com/jobs/view/4356751265")</f>
        <v/>
      </c>
      <c r="F199">
        <f>HYPERLINK("https://www.jointhehartford.com/apply/1738/senior-staff-software-engineer-information-technology-us-nc-charlotte/?source=LinkedIn&amp;urlHash=afPa", "https://www.jointhehartford.com/apply/1738/senior-staff-software-engineer-information-technology-us-nc-charlotte/?source=LinkedIn&amp;urlHash=afPa")</f>
        <v/>
      </c>
      <c r="G199" t="inlineStr">
        <is>
          <t>Charlotte, NC</t>
        </is>
      </c>
      <c r="H199" t="inlineStr"/>
      <c r="I199" t="inlineStr">
        <is>
          <t>Senior Staff Software Engineer \- IE07HE
 We’re determined to make a difference and are proud to be an insurance company that goes well beyond coverages and policies. Working here means having every opportunity to achieve your goals – and to help others accomplish theirs, too. Join our team as we help shape the future.
 This position is for a Senior Staff Software Engineer in Personal Lines IT organization. The Personal Lines development team is passionate for technology and strives to build well architected and innovative solutions for the business. Personal Lines has adopted Scrum \&amp; development methodology and core agile engineering practices such as continuous integration and test\-driven development.
 This position will have the overall end\-to\-end technical accountabilities for a sub value stream. The role requires frequent leadership functions that demands strong planning, estimating, collaboration, and application design / development and communication skills. You will lead design teams and development of technology solutions to address Personal Lines business needs. You will help develop the next generation of systems for various value stream.
**Responsibilities**
* Hands\-on technical lead for one or more Scrum teams, accountable for technical deliverables on invest and maintenance projects through the software development life cycle, including validating the completeness of estimates, quality, and accuracy of technical designs, build and implementation.
* Proactively address technical issues and risks that could impact project schedule and/or integrity of the application environment.
* Work closely with stakeholders to design and document solutions that align with the business needs and also consistent with the architectural vision.
* Mentor and train project team members (including Sourcing Partners) to enforce development guidelines and best practices.
* Coordinate between multiple disciplines (Architects, Business Analysts, Project Managers, and Customers) and developers to design, develop, implement, and support complex business solutions.
* Perform detailed technical reviews including code review to ensure the quality of the deliverables is high.
* Must have a strong working experience as Designer/Developer of REST API, SOAP Web services, both as consumer \&amp; provider.
* Experience creating APIs with XML/JSON data structure is a must
* Experience defining and negotiating XML/JSON based contracts with various Stake holders
* Hands on experience with developing XSLT style sheets\-based transformations.
* Perform hands\-on development work as needed using .NET, ASP.NET, C\#, HTML, XML, Java, JavaScript, Angular, JSON and SQL
* Prior Experience with DuckCreek Suite of Products Policy, Billing, Insights implemented on “DuckCreek on Demand Cloud” and integrations experience with ‘OnPrem’ applications strongly Preferred.
* Thorough understanding and experience using relational databases preferably SQL Server and/or Oracle
**Leadership Functions**
* Leads IT Design and Development teams to implement solutions.
* Ensures technical and business requirements for applications are in compliance with Enterprise Reference Architecture.
* Ability to support multiple work streams and constantly prioritize work for self, as well as for the team.
* Identifies and resolves gaps in skills, processes, and resources.
* Sets deadlines, assigns responsibilities, mentors, and monitors progress of the team.
* Works with stakeholders and technical areas to identify nonfunctional requirements.
* Develops guidelines for capturing technical and business requirements.
* Identify and resolves gaps in skills, processes, and resources.
* Lead IT Development team to implement enterprise solutions.
**Minimum Requirements**
* Advanced degree in Computer Science or related discipline with a minimum of 10\-12 years of work experience in Application development
* 7\+ years of experience in driving Application designing including, converting business needs into solutions, Lead solution option analysis by providing/evaluating multiple options and creating roadmaps for solution delivery.
* Working experience with Cloud (AWS Preferred) hosted application and integrating with non AWS based applications.
* Working experience with DuckCreek Products Policy, Billing and Data Insights preferred.
* Experience with continuous integration and DevOps methodologies, preferred tools such as GitHub, Jenkins, Rally, SonarQube etc.,
* Experience with Agile development frameworks like ‘Scaled Agile’, Scrum, Kanban.
* Experience in designing \&amp; developing high performing application that has high concurrency supporting over 2000\+ concurrent users.
* Experience using Microsoft SSIS \&amp; SSRS tools strongly preferred.
* Experience in front end web technologies and frameworks: HTML5, JavaScript, CSS, Ajax, Angular/React ASP.NET, C\#.
* Knowledge of P\&amp;C (Property \&amp; Casualty) Insurance is a plus.
* Knowledge of implementing solutions through Gen AI (Artificial Intelligence) is a plus.
*This role will have a Hybrid work schedule, with the expectation of working in an office 3 days a week*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$126,160 \- $189,240
 Equal Opportunity Employer/Sex/Race/Color/Veterans/Disability/Sexual Orientation/Gender Identity or Expression/Religion/Age</t>
        </is>
      </c>
    </row>
    <row r="200">
      <c r="A200" t="inlineStr">
        <is>
          <t>li-4358484203</t>
        </is>
      </c>
      <c r="B200" t="inlineStr">
        <is>
          <t>Sr. Software Engineer (Workday Finance)</t>
        </is>
      </c>
      <c r="C200" t="inlineStr">
        <is>
          <t>U.S. Bank</t>
        </is>
      </c>
      <c r="D200" t="inlineStr">
        <is>
          <t>linkedin</t>
        </is>
      </c>
      <c r="E200">
        <f>HYPERLINK("https://www.linkedin.com/jobs/view/4358484203", "https://www.linkedin.com/jobs/view/4358484203")</f>
        <v/>
      </c>
      <c r="F200" t="inlineStr"/>
      <c r="G200" t="inlineStr">
        <is>
          <t>Earth City, MO</t>
        </is>
      </c>
      <c r="H200" t="inlineStr"/>
      <c r="I200"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**Job Description**
 The Workday PRISM ETL Engineer will be responsible for designing, developing, and maintaining ETL processes to support data integration within the Workday PRISM Analytics platform. This role involves working closely with various stakeholders to ensure data accuracy, consistency, and accessibility, enabling effective data\-driven decision\-making.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Five to six years of relevant experience
**Preferred Skills/Experience**
* Hands on experience with working with Workday Integrations (EIB/API/Connectors/Studio/Orchestrate/Extend)
* Familiarity with scripting languages (e.g., Python, Shell scripting) is a plus.
* Experience with CI/CD pipeline, GitHub, and UDeploy
* Working experience in SaaS data warehousing, data lakes, data engineering applications like Snowflake
* Proven experience as an ETL Engineer, Data Integration Specialist, or similar role
* Hands\-on experience with Workday PRISM Analytics, Accounting Center and Workday integrations: Studio/Orchestrate/APIs.
* Familiarity with Workday Extend development
* Strong knowledge of data modeling, data warehousing, and data integration, developing and implementing applications
* Proficient in Excel, PowerPoint, Visio
* Familiarity with cloud services (AWS, Azure (preferred), Google Cloud)
* Demonstrating knowledge of Agile methodologies such as Scrum, XP, and Kanban
* Understanding of Agile tools such as JIRA/Practitest/DragonBoat
* Comfortable engaging with 3rd parties such as upstream or downstream application teams, business line SME’s, cross\-functional workstreams, etc. as appropriate to uncover any dependencies, risks, and coordinate testing scenarios/plans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201">
      <c r="A201" t="inlineStr">
        <is>
          <t>li-4367631664</t>
        </is>
      </c>
      <c r="B201" t="inlineStr">
        <is>
          <t>CyberSecurity Software Engineer</t>
        </is>
      </c>
      <c r="C201" t="inlineStr">
        <is>
          <t>General Motors</t>
        </is>
      </c>
      <c r="D201" t="inlineStr">
        <is>
          <t>linkedin</t>
        </is>
      </c>
      <c r="E201">
        <f>HYPERLINK("https://www.linkedin.com/jobs/view/4367631664", "https://www.linkedin.com/jobs/view/4367631664")</f>
        <v/>
      </c>
      <c r="F201">
        <f>HYPERLINK("https://generalmotors.wd5.myworkdayjobs.com/Careers_GM/job/Warren-Michigan-United-States-of-America/CyberSecurity-Software-Engineer_JR-202601729-1?source=LinkedIn&amp;urlHash=0rdE", "https://generalmotors.wd5.myworkdayjobs.com/Careers_GM/job/Warren-Michigan-United-States-of-America/CyberSecurity-Software-Engineer_JR-202601729-1?source=LinkedIn&amp;urlHash=0rdE")</f>
        <v/>
      </c>
      <c r="G201" t="inlineStr">
        <is>
          <t>Mountain View, CA</t>
        </is>
      </c>
      <c r="H201" t="inlineStr"/>
      <c r="I201" t="inlineStr">
        <is>
          <t>**Job Description**
**The Role** 
 :
 We're looking for a seasoned Security Software Engineer to join our IAM team (Identity Access Management) to help develop, architect and advance our suite of applications and services. You will contribute primarily to developing novel IAM technology for GM while also advancing and optimizing our SaaS services. Serve as an internal subject matter expert on architecture, implementation, management, and industry best practices for identity strategy.
***What You'll Do** 
 :*
* Design and develop security\-focused software solutions, tools, and automation frameworks
* Integrate security into CI/CD pipelines and cloud\-native environments
* Collaborate with infrastructure and application teams to embed security into system architecture
* Conduct code reviews and threat modeling to identify and remediate vulnerabilities
* Build and maintain systems for monitoring, logging, and alerting on security events
* Develop and maintain APIs and microservices that support security operations
* Participate in incident response and forensic investigations as needed
* Stay current with emerging threats, vulnerabilities, and security technologies
***Your Skills \&amp; Abilities (Required Qualifications):***
* Bachelor’s degree in Computer Science, Cybersecurity, or related field (or equivalent experience).
* 9\+ years of experience in the administration, configuration, and support of IAM products including: EntraID, SailPoint or other similar products.
* Advanced proficiency in one or more programming languages (e.g., Python, Go, Java, C\+\+).
* Experience with cloud platforms (AWS, Azure, GCP) and containerization (Docker, Kubernetes)
* Strong understanding of authentication, authorization, encryption, and secure coding practices.
* Experience working with security and audit teams
* Ability to self\-manage time and maintain an excellent work ethic in an Agile environment
* Able to convey identity requirements and concepts across different levels of users
* Strong verbal and written communication skills
***What Will Give You A Competitive Edge (Preferred Qualifications):***
* Exposure to contractor heavy and partner collaboration driving identity systems
* Project experience modeling and deploying external identity architectures
* Experience working with Databricks, Microsoft, or Google products
* Experience with CASB security integrations
* Experience with front\-end application development
***Compensation***
 :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$160,000\-$230,000\.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based remotely, but if the selected candidate lives within a specific mile radius of a GM hub, they will be expected to report to the location three times a week {or other frequency dictated by your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2">
      <c r="A202" t="inlineStr">
        <is>
          <t>li-4367620759</t>
        </is>
      </c>
      <c r="B202" t="inlineStr">
        <is>
          <t>CyberSecurity Software Engineer</t>
        </is>
      </c>
      <c r="C202" t="inlineStr">
        <is>
          <t>General Motors</t>
        </is>
      </c>
      <c r="D202" t="inlineStr">
        <is>
          <t>linkedin</t>
        </is>
      </c>
      <c r="E202">
        <f>HYPERLINK("https://www.linkedin.com/jobs/view/4367620759", "https://www.linkedin.com/jobs/view/4367620759")</f>
        <v/>
      </c>
      <c r="F202" t="inlineStr"/>
      <c r="G202" t="inlineStr">
        <is>
          <t>Mountain View, CA</t>
        </is>
      </c>
      <c r="H202" t="inlineStr"/>
      <c r="I202" t="inlineStr">
        <is>
          <t>**Job Description**
**The Role** 
 :
 We're looking for a seasoned Security Software Engineer to join our IAM team (Identity Access Management) to help develop, architect and advance our suite of applications and services. You will contribute primarily to developing novel IAM technology for GM while also advancing and optimizing our SaaS services. Serve as an internal subject matter expert on architecture, implementation, management, and industry best practices for identity strategy.
***What You'll Do** 
 :*
* Design and develop security\-focused software solutions, tools, and automation frameworks
* Integrate security into CI/CD pipelines and cloud\-native environments
* Collaborate with infrastructure and application teams to embed security into system architecture
* Conduct code reviews and threat modeling to identify and remediate vulnerabilities
* Build and maintain systems for monitoring, logging, and alerting on security events
* Develop and maintain APIs and microservices that support security operations
* Participate in incident response and forensic investigations as needed
* Stay current with emerging threats, vulnerabilities, and security technologies
***Your Skills \&amp; Abilities (Required Qualifications):***
* Bachelor’s degree in Computer Science, Cybersecurity, or related field (or equivalent experience).
* 9\+ years of experience in the administration, configuration, and support of IAM products including: EntraID, SailPoint or other similar products.
* Advanced proficiency in one or more programming languages (e.g., Python, Go, Java, C\+\+).
* Experience with cloud platforms (AWS, Azure, GCP) and containerization (Docker, Kubernetes)
* Strong understanding of authentication, authorization, encryption, and secure coding practices.
* Experience working with security and audit teams
* Ability to self\-manage time and maintain an excellent work ethic in an Agile environment
* Able to convey identity requirements and concepts across different levels of users
* Strong verbal and written communication skills
***What Will Give You A Competitive Edge (Preferred Qualifications):***
* Exposure to contractor heavy and partner collaboration driving identity systems
* Project experience modeling and deploying external identity architectures
* Experience working with Databricks, Microsoft, or Google products
* Experience with CASB security integrations
* Experience with front\-end application development
***Compensation***
 :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$160,000\-$230,000\.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based remotely, but if the selected candidate lives within a specific mile radius of a GM hub, they will be expected to report to the location three times a week {or other frequency dictated by your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3">
      <c r="A203" t="inlineStr">
        <is>
          <t>li-4356791314</t>
        </is>
      </c>
      <c r="B203" t="inlineStr">
        <is>
          <t>Lead Consulting Software Developer</t>
        </is>
      </c>
      <c r="C203" t="inlineStr">
        <is>
          <t>Oracle</t>
        </is>
      </c>
      <c r="D203" t="inlineStr">
        <is>
          <t>linkedin</t>
        </is>
      </c>
      <c r="E203">
        <f>HYPERLINK("https://www.linkedin.com/jobs/view/4356791314", "https://www.linkedin.com/jobs/view/4356791314")</f>
        <v/>
      </c>
      <c r="F203" t="inlineStr"/>
      <c r="G203" t="inlineStr"/>
      <c r="H203" t="inlineStr"/>
      <c r="I203" t="inlineStr">
        <is>
          <t>**Job Description**
 As a Lead Consulting Software Developer, you will drive analytics strategy and collaborate proactively across global, cross\-functional teams and customer organizations to deliver unified, scalable, and standardized analytics solutions tailored to diverse customer needs.
 You will provide strategic and technical leadership in developing and executing the analytics vision for Patient Accounting, ensuring alignment with evolving industry trends, customer requirements, and best practices. Collaborating across global, cross\-functional teams, you will drive analytics strategy and the custom development of scalable, standardized data\-driven solutions to optimize customer workflows and achieve organizational objectives. You will work closely with product management and engineering to modernize analytics platforms, establish unified data/AI governance frameworks, and create opportunities for standard integration across Oracle and partner solutions. As a thought leader, you will foster innovation, promote best practices, and mentor teams to deliver high\-quality, customer\-focused analytics projects. You will also leverage a deep range of coding languages to maintain data integrity, quality, privacy, and compliance. Throughout the sales cycle, you will provide technical guidance, participate in customer presentations, and ensure solutions are designed for long\-term success, standardization, and interoperability.
**Responsibilities**
**Qualifications:**
* 15\+ years of experience working with complex healthcare data, with deep expertise in hospital\-specific workflows and custom integration solutions.
* 15\+ years of hands\-on experience with a range of database languages such as PSQL, MSQL with a strong emphasis on governance, data modeling, and the development of analytical solutions—ideally within healthcare or enterprise\-scale environments.
* Demonstrated experience in leading analytics strategy and custom solution development, with a proven ability to set direction and manage execution across global, cross\-functional teams.
* Track record of standardizing and modernizing analytics platforms while developing custom solutions for scalable and broad customer use.
* Strong understanding of Patient Accounting workflows and the latest healthcare analytics trends.
* Extensive experience architecting and implementing custom integration solutions to address unique requirements within hospital and healthcare environments.
* Proven ability to influence trends and engage stakeholders at all levels.
* Highly organized, adaptable, and able to manage multiple high\-priority projects in a dynamic environment.
* Demonstrated experience collaborating with pre\-sales and sales teams to define, document, and refine project scope, objectives, and deliverables based on customer requirements.
* Strong understanding of sales cycles and the ability to clearly articulate the impact of scope changes on project timelines, costs, and resource needs.
* Skilled at facilitating scope workshops with customers, sales, and delivery teams to ensure alignment between technical capabilities and customer expectations.
* Highly organized with the ability to manage multiple projects simultaneously.
* Strong presentation skills required.
**Preferred Qualifications:**
* Demonstrated experience collaborating with pre\-sales and sales teams to define, document, and refine project scope, objectives, and deliverables based on customer requirements.
* Strong understanding of sales cycles and the ability to clearly articulate the impact of scope changes on project timelines, costs, and resource needs.
* Skilled at facilitating scope workshops with customers, sales, and delivery teams to ensure alignment between technical capabilities and customer expectations.
* Highly organized with the ability to manage multiple projects simultaneously.
* Strong presentation skills required.
* At least 10\+ years of experience and a solid understanding of database technologies
* Deep understanding of AI trends.
* Strong presentation skills to effectively communicate complex information to customers and stakeholders.
**Expectations:**
* Perform other responsibilities as assigned.
* Willing to travel up to 25% as needed.
* Willing to work additional or irregular hours as needed and allowed by local regulations.
* Work in accordance with corporate and organizational security policies and procedures, understand personal role in safeguarding corporate and customer assets, and take appropriate action to prevent and report any compromises of security within scope of position. Willing to work additional or irregular hours as needed and allowed by local regulations.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04">
      <c r="A204" t="inlineStr">
        <is>
          <t>li-4356692072</t>
        </is>
      </c>
      <c r="B204" t="inlineStr">
        <is>
          <t>Staff Software Engineer, Backend Java</t>
        </is>
      </c>
      <c r="C204" t="inlineStr">
        <is>
          <t>PayPal</t>
        </is>
      </c>
      <c r="D204" t="inlineStr">
        <is>
          <t>linkedin</t>
        </is>
      </c>
      <c r="E204">
        <f>HYPERLINK("https://www.linkedin.com/jobs/view/4356692072", "https://www.linkedin.com/jobs/view/4356692072")</f>
        <v/>
      </c>
      <c r="F204" t="inlineStr"/>
      <c r="G204" t="inlineStr">
        <is>
          <t>San Jose, CA</t>
        </is>
      </c>
      <c r="H204" t="inlineStr"/>
      <c r="I20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acts as a project leader, coordinating the activities of other engineers, determining technical tasks, and improving existing structures and processes. It involves making technical decisions, collaborating with management to set standards, and representing the company to external partners.
**Job Description:**
**Essential Responsibilities:**
* Acts as a project or system leader, coordinating the activities of other engineers on the project or within the system
* Determines the technical tasks that other engineers will follow
* Actions result in the achievement of customer, operational, program or service objectives
* Proactively improves existing structures \&amp; processes
* Exercises judgement in reconciling diverse and competing priorities (time, quality, complexity risk) to identify optimal solutions to problems
* Notices patterns and condenses repetition into densely meaningful generalized solutions
* Collaborates with management to set/improve standards for engineering rigor
* Trusted to represent PayPal, Inc to the outside world via interactions with partners, customers, or industry organizations
**Expected Qualifications:**
* 5\+ years relevant experience and a Bachelor’s degree OR Any equivalent combination of education and experience.
**Additional Responsibilities And Preferred Qualifications**
**Meet Your Team**
 Core Platforms builds and delivers PayPal’s foundational capabilities across compliance, privacy, identity, risk, customer servicing, and shared platform services that protect, engage, and power PayPal’s global ecosystem. The team provides secure, scalable, and composable platforms that enable faster time\-to\-market, seamless end\-to\-end customer journeys, and trusted experiences that drive growth across PayPal’s business.
**Your way to impact**
 At PayPal, Backend Software Engineers are the architects of our global payment platform. You'll design, develop, and optimize core systems that power millions of transactions daily, directly impacting on our customers' experiences and our company's success.
**Your day\-to\-day:**
 As a Software Engineer, Backend Java
 **,** 
 you'll define the technical roadmap and drive innovation. You'll collaborate with product and engineering leadership to deliver impactful solutions.
* Strong analytical skills to analyze requirements and transform into scalable software designs.
* Strong advocate of code craftsmanship, good coding standards and use of tools that will improve the quality of the delivered code
* Define and execute the backend technology strategy.
* Drive innovation and experimentation.
* Collaborate with cross\-functional teams to deliver business outcomes
**What do you need to bring:**
* Bachelor's degree in Computer Science or related field.
* 5\+ years of backend development experience.
* Proficiency in at least one backend language (Java)
* Expert in back\-end development using Java EE technologies (e.g. Java language, application servers, servlet containers, JMS, JPA, Spring MVC, Hibernate)
* Leadership in designing and architecting scalable backend systems with a focus on cloud\-native solutions, microservices, and serverless architectures.
* Expertise in architecting and developing large\-scale backend systems using Java EE, with extensive experience in Spring MVC or Hibernate.
* Proven ability to lead and influence cross\-functional teams, drive technical roadmaps, and ensure alignment with business objectives.
* Expertise in designing and implementing fault\-tolerant systems with a focus on high availability and disaster recovery.
* Experience with advanced security practices, including secure coding, encryption, and access control.
* Proven ability to influence and mentor engineering teams, fostering a culture of innovation and continuous improvement.
* Deep expertise in backend technologies and architecture.
**Preferred Qualifications:**
* Experience with using Agile/Scrum methodology for software development
* Experience with large\-scale, high\-performance systems.
* Knowledge of the payment processing industry and relevant regulations.
* Experience with cloud platforms (AWS, GCP, Azure).
* Contributions to open\-source projects.
 The base pay for this role will depend on where you work and the relevant experience and expertise you bring. The expected range of pay for this role by location is:
**Primary Location : Pay Range:**
 San Jose, California : ($176,500\-$262,350Salary)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R0134866</t>
        </is>
      </c>
    </row>
    <row r="205">
      <c r="A205" t="inlineStr">
        <is>
          <t>li-4356851127</t>
        </is>
      </c>
      <c r="B205" t="inlineStr">
        <is>
          <t>Staff Software Engineer</t>
        </is>
      </c>
      <c r="C205" t="inlineStr">
        <is>
          <t>The Hartford</t>
        </is>
      </c>
      <c r="D205" t="inlineStr">
        <is>
          <t>linkedin</t>
        </is>
      </c>
      <c r="E205">
        <f>HYPERLINK("https://www.linkedin.com/jobs/view/4356851127", "https://www.linkedin.com/jobs/view/4356851127")</f>
        <v/>
      </c>
      <c r="F205">
        <f>HYPERLINK("https://www.jointhehartford.com/apply/1716/staff-software-engineer-information-technology-us-ct-hartford/?source=LinkedIn&amp;urlHash=QEj_", "https://www.jointhehartford.com/apply/1716/staff-software-engineer-information-technology-us-ct-hartford/?source=LinkedIn&amp;urlHash=QEj_")</f>
        <v/>
      </c>
      <c r="G205" t="inlineStr">
        <is>
          <t>Hartford, CT</t>
        </is>
      </c>
      <c r="H205" t="inlineStr"/>
      <c r="I205"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searching for a Staff Software Engineer within the Personal Lines organization that will have end\-to\-end technical accountabilities in application development for personal lines portfolio in a highly distributed, integrated, multi\-platform environment. This team is passionate for technology and strives to build well architected and innovative solutions for the business as well as Fundamentally treats IT Operations as Software Engineering and adopted Scrum development methodology and core agile engineering practices such as continuous integration and test\-driven development.
**Responsibilities**
* Technical Leadership: Provide technical leadership, enforcing the vision of the application architecture and integrity of the application environment in alliance with architects and other tech leads.
* Hands\-On Coding: Lead teams while also performing hands\-on coding to stay connected with the technical aspects of the projects.
* Code Quality: Conducting code reviews to maintain high standards in coding and reliability.
* Mentorship: Guiding junior engineers to enhance team capabilities and foster growth,
* Communicate Effectively: Proactively communicate risks, issues, and mitigations to stakeholders.
* Embrace Future Technologies: Lead innovation efforts, leveraging modern technologies to solve customer problems. Knowledge of implementing solutions through Gen AI (Artificial Intelligence) is a plus.
**Qualifications**
* Experience: 5\+ years in application software development.
* Technical Skills: Strong understanding of Object\-Oriented design, Java or .NET frameworks, front\-end technologies (HTML, CSS, JavaScript, AJAX, JSON, Angular/React, XML, XSLT, SQL), and cloud platforms (preferably AWS). Must have a strong working experience as Designer/Developer of REST/SOAP API services, both as consumer \&amp; provider.
* DevOps Knowledge: Experience with continuous integration and DevOps tools (GitHub, Jenkins, Rally, SonarQube).
* Tech Savvy: Passionate about staying current with technology trends, experimenting with modern technologies, and participating in internal tech communities.
* Agile Practitioner: Experience with agile or scrum methodologies.
* Soft Skills: Excellent analytical, problem\-solving, interpersonal, verbal, and written communication skills.
* Industry Knowledge: Knowledge of P\&amp;C Insurance and low coding platforms (Duck Creek,) is a plus.
* Education: Bachelor’s degree in computer science or related field preferred.
***This role will have a Hybrid work arrangement, with the expectation of working in an office 3 days a week (Tuesday through Thursday).***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$114,720 \- $172,080
 Equal Opportunity Employer/Sex/Race/Color/Veterans/Disability/Sexual Orientation/Gender Identity or Expression/Religion/Age</t>
        </is>
      </c>
    </row>
    <row r="206">
      <c r="A206" t="inlineStr">
        <is>
          <t>li-4356831072</t>
        </is>
      </c>
      <c r="B206" t="inlineStr">
        <is>
          <t>Sr. Staff Software Engineer (Java/Gen AI/AWS)</t>
        </is>
      </c>
      <c r="C206" t="inlineStr">
        <is>
          <t>The Hartford</t>
        </is>
      </c>
      <c r="D206" t="inlineStr">
        <is>
          <t>linkedin</t>
        </is>
      </c>
      <c r="E206">
        <f>HYPERLINK("https://www.linkedin.com/jobs/view/4356831072", "https://www.linkedin.com/jobs/view/4356831072")</f>
        <v/>
      </c>
      <c r="F206" t="inlineStr"/>
      <c r="G206" t="inlineStr">
        <is>
          <t>Columbus, OH</t>
        </is>
      </c>
      <c r="H206" t="inlineStr"/>
      <c r="I206" t="inlineStr">
        <is>
          <t>Senior Staff Software Engineer \- IE07HE
 We’re determined to make a difference and are proud to be an insurance company that goes well beyond coverages and policies. Working here means having every opportunity to achieve your goals – and to help others accomplish theirs, too. Join our team as we help shape the future.
 Hartford’s Employee Benefits IT Team is seeking a highly motivated, experienced IT professional who is responsible for leading engineering teams to successfully drive the transformation of Employee Benefits application landscape.
 This is a hands\-on technical leadership role, that will be part of an EB IT team partnering with value stream business to drive and achieve outcomes on a multiyear transformational program.
 Successful candidates will be expected to demonstrate strong technical and leadership skills, excellent partnership, proven experience in delivering quality technical solutions as well as setting and executing on a strategic technical vision to ensure the systems are stable, performant, secure and scalable.
**Job Description**
* Develop applications with Java and J2EE technologies, use Micro Services, JMS, XML, JSON, JDBC etc. Along with experience of Web Services (SOAP and Rest) using Java Springboot or Apache Camel.
* Identifies, drives and leads in the implementation of standards and best practices on how we deploy applications in AWS. Designs reusable architectures and services that can be leveraged by agile teams across the program to improve development velocity.
* Ability to design and implement new software architecture patterns in Cloud that are scalable, secure and cost efficient, adhering industry standards such as multi region support with fault tolerance and data replication strategies.
* Use shift left approach to do security, testing and performance in dev cycle. Full stack Engineering Mindset
* Very good experience with Sonar, unit testing frameworks, using copilot (GEN AI tools) for app development, infrastructure development.
* Develops Infrastructure as Code (IaC) using CloudFormation templates, YAML files, build specifications, and Python Lambda functions to have a completely automated build and release process for all AWS resource infrastructure and code artifacts.
* Highly knowledgeable with hands on experience of Amazon Web Services including but not limited to Lambda, CloudWatch, ECS, EKS, RDS, DMS, CDC, S3, IAM, SNS, SQS, EventBridge, Service Catalog.
* Working knowledge of software development practices including DevOps and CI/CD tool chains ( GitHub, Jenkins, Docker, K8s etc.)
* Implements proactive monitoring and observability to predict and detect abnormal system behaviors, with timely alerts avoiding system impacts.
* Mentor junior Cloud and Software Engineers.
* Present new ideas to leadership and present on topics to improve the learning of others.
* Communicate clearly and professionally both in speech and in writing.
* Experience with AWS Flink is a nice to have.
**Minimum Qualifications**
* Bachelor’s degree in computer science, Math, or any Engineering
* 10\+ years of hands\-on experience with Java and J2EE technologies, such as, Java Web Services, JMS, JSP, XML, JSON, JDBC etc. Along with experience with Web Services (SOAP and Rest) using Java Springboot or Apache Camel.
* 5\+ years software architecture and systems design experience
* Infrastructure as Code experience, like CloudFormation, Terraform, CDK, etc.
* Strong software development knowledge
* Strong technical knowledge of AWS relating to application development and certifications are plus.
* Ability to communicate at all levels within an organization and influence leadership.
* Proven ability to work with cross functional teams and translate requirements between business, project management and technical projects or programs.
*This role will have a Hybrid work schedule, with the expectation of working in an office 3 days a week*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$126,160 \- $189,240
 Equal Opportunity Employer/Sex/Race/Color/Veterans/Disability/Sexual Orientation/Gender Identity or Expression/Religion/Age</t>
        </is>
      </c>
    </row>
    <row r="207">
      <c r="A207" t="inlineStr">
        <is>
          <t>li-4356711283</t>
        </is>
      </c>
      <c r="B207" t="inlineStr">
        <is>
          <t>Staff Software Engineer</t>
        </is>
      </c>
      <c r="C207" t="inlineStr">
        <is>
          <t>The Hartford</t>
        </is>
      </c>
      <c r="D207" t="inlineStr">
        <is>
          <t>linkedin</t>
        </is>
      </c>
      <c r="E207">
        <f>HYPERLINK("https://www.linkedin.com/jobs/view/4356711283", "https://www.linkedin.com/jobs/view/4356711283")</f>
        <v/>
      </c>
      <c r="F207" t="inlineStr"/>
      <c r="G207" t="inlineStr">
        <is>
          <t>Columbus, OH</t>
        </is>
      </c>
      <c r="H207" t="inlineStr"/>
      <c r="I207"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searching for a Staff Software Engineer within the Personal Lines organization that will have end\-to\-end technical accountabilities in application development for personal lines portfolio in a highly distributed, integrated, multi\-platform environment. This team is passionate for technology and strives to build well architected and innovative solutions for the business as well as Fundamentally treats IT Operations as Software Engineering and adopted Scrum development methodology and core agile engineering practices such as continuous integration and test\-driven development.
**Responsibilities**
* Technical Leadership: Provide technical leadership, enforcing the vision of the application architecture and integrity of the application environment in alliance with architects and other tech leads.
* Hands\-On Coding: Lead teams while also performing hands\-on coding to stay connected with the technical aspects of the projects.
* Code Quality: Conducting code reviews to maintain high standards in coding and reliability.
* Mentorship: Guiding junior engineers to enhance team capabilities and foster growth,
* Communicate Effectively: Proactively communicate risks, issues, and mitigations to stakeholders.
* Embrace Future Technologies: Lead innovation efforts, leveraging modern technologies to solve customer problems. Knowledge of implementing solutions through Gen AI (Artificial Intelligence) is a plus.
**Qualifications**
* Experience: 5\+ years in application software development.
* Technical Skills: Strong understanding of Object\-Oriented design, Java or .NET frameworks, front\-end technologies (HTML, CSS, JavaScript, AJAX, JSON, Angular/React, XML, XSLT, SQL), and cloud platforms (preferably AWS). Must have a strong working experience as Designer/Developer of REST/SOAP API services, both as consumer \&amp; provider.
* DevOps Knowledge: Experience with continuous integration and DevOps tools (GitHub, Jenkins, Rally, SonarQube).
* Tech Savvy: Passionate about staying current with technology trends, experimenting with modern technologies, and participating in internal tech communities.
* Agile Practitioner: Experience with agile or scrum methodologies.
* Soft Skills: Excellent analytical, problem\-solving, interpersonal, verbal, and written communication skills.
* Industry Knowledge: Knowledge of P\&amp;C Insurance and low coding platforms (Duck Creek,) is a plus.
* Education: Bachelor’s degree in computer science or related field preferred.
***This role will have a Hybrid work arrangement, with the expectation of working in an office 3 days a week (Tuesday through Thursday).***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$114,720 \- $172,080
 Equal Opportunity Employer/Sex/Race/Color/Veterans/Disability/Sexual Orientation/Gender Identity or Expression/Religion/Age</t>
        </is>
      </c>
    </row>
    <row r="208">
      <c r="A208" t="inlineStr">
        <is>
          <t>li-4367267969</t>
        </is>
      </c>
      <c r="B208" t="inlineStr">
        <is>
          <t>Staff Backend Engineer</t>
        </is>
      </c>
      <c r="C208" t="inlineStr">
        <is>
          <t>Piper Companies</t>
        </is>
      </c>
      <c r="D208" t="inlineStr">
        <is>
          <t>linkedin</t>
        </is>
      </c>
      <c r="E208">
        <f>HYPERLINK("https://www.linkedin.com/jobs/view/4367267969", "https://www.linkedin.com/jobs/view/4367267969")</f>
        <v/>
      </c>
      <c r="F208" t="inlineStr"/>
      <c r="G208" t="inlineStr">
        <is>
          <t>Durham, NC</t>
        </is>
      </c>
      <c r="H208" t="inlineStr"/>
      <c r="I208" t="inlineStr">
        <is>
          <t>Piper Companies is seeking a Staff Backend Engineer to join a leading organization in the education technology industry. The Staff Backend Engineer will play a critical role in shaping the services that power mobile and web platforms, directly impacting the experience of students, educators, and partners worldwide.
 **The Staff Backend Engineer role is a direct placement with the company and requires you to sit on site in Durham, NC several days per week.**
**Responsibilities of the Staff Backend Engineer:**
* Design and implement robust, scalable APIs and backend services to support mobile and web platforms.
* Ensure consistent service delivery across multiple clients and maintain alignment with overall system architecture.
* Collaborate with engineering, product, and design teams to translate requirements into elegant backend solutions.
* Optimize integrations for enterprise partners and manage assessment data efficiently.
* Participate in technical design sessions, lead kickoffs, and advocate for best practices in backend development.
* Contribute to long\-term strategic decisions, including evaluating and prototyping next\-gen server infrastructure in modern languages such as Go or Rust.
* Mentor team members, conduct thoughtful code reviews, and foster a culture of engineering excellence.
**Requirements of the Staff Backend Engineer:**
* 8\+ years of professional backend engineering experience, with strong expertise in API design and development.
* Proficiency in modern backend technologies and frameworks (Node.js, TypeScript preferred).
* Experience with database systems (SQL and NoSQL) and scalable architecture patterns.
* Strong focus on code quality, testing, and documentation.
**Compensation for the Staff Backend Engineer includes:**
* $150,000 \- $170,000 base salary
* Full Comprehensive Benefits: Health, Vision, Dental, PTO, Paid Holiday and Sick Leave if Required by law
**Keywords:**
 Backend engineering, API development, Node.js, TypeScript, scalable architecture, cloud infrastructure, Go, Rust, SQL, NoSQL, containerization, AWS, Kubernetes, mentoring, code quality, education technology, hybrid role, server optimization, technical leadership.
 This job opens for applications on 1/29/2026 Applications for this job will be accepted for at least 30 days from the posting date.
 \#HYBRID</t>
        </is>
      </c>
    </row>
    <row r="209">
      <c r="A209" t="inlineStr">
        <is>
          <t>li-4367296346</t>
        </is>
      </c>
      <c r="B209" t="inlineStr">
        <is>
          <t>Lead Product Software Engineer</t>
        </is>
      </c>
      <c r="C209" t="inlineStr">
        <is>
          <t>Wolters Kluwer Tax &amp; Accounting US</t>
        </is>
      </c>
      <c r="D209" t="inlineStr">
        <is>
          <t>linkedin</t>
        </is>
      </c>
      <c r="E209">
        <f>HYPERLINK("https://www.linkedin.com/jobs/view/4367296346", "https://www.linkedin.com/jobs/view/4367296346")</f>
        <v/>
      </c>
      <c r="F209">
        <f>HYPERLINK("https://wk.wd3.myworkdayjobs.com/External/job/USA\u002d\u002d-Coppell-TX/Lead-Product-Software-Engineer_R0054384-2?source=Linkedin&amp;urlHash=xZvE", "https://wk.wd3.myworkdayjobs.com/External/job/USA\u002d\u002d-Coppell-TX/Lead-Product-Software-Engineer_R0054384-2?source=Linkedin&amp;urlHash=xZvE")</f>
        <v/>
      </c>
      <c r="G209" t="inlineStr">
        <is>
          <t>Coppell, TX</t>
        </is>
      </c>
      <c r="H209" t="inlineStr"/>
      <c r="I209" t="inlineStr">
        <is>
          <t>**Company Description** 
 Wolters Kluwer is a global leader in professional information services. Professionals in the areas of legal, business, tax, accounting, finance, audit, risk, compliance, and healthcare rely on Wolters Kluwer's market leading information\-enabled tools and software solutions to manage their business efficiently, deliver results to their clients, and succeed in an ever more dynamic world.  Wolters Kluwer combines deep domain knowledge with specialized technology. Our portfolio offers software tools coupled with content and services that customers need to make decisions with confidence. Every day, our customers make critical decisions to help save lives, improve the way we do business, and build better judicial and regulatory systems. We help them get it right.
**Role Description** 
 As Lead Product Software Engineer, you’ll own the long\-term technical vision and ensure architectural decisions align with product strategy, scalability, performance, cost efficiency, and security standards. You’ll influence technical direction across multiple teams, build consensus, and guide decision\-making using clear communication and data\-driven tradeoffs.
**Key Responsibilities:** 
* Translate business and product strategy into actionable technical roadmaps
* Drive operational excellence and system reliability
* Provide architectural leadership across teams and integration points
* Champion modern engineering practices and deliver high\-quality solutions
* Lead an Agile engineering team supporting mission\-critical 24/7/365 cloud\-based applications
* Guide the design, development, and delivery of scalable SaaS applications using Microsoft technologies
* Collaborate closely with Product Management to ensure engineering decisions drive measurable customer outcomes
* Mentor engineers and promote a high\-performing, supportive culture
* Optimize developer experience and strengthen CI/CD workflows
* Govern engineering standards and reusable components
* Collaborate with adjacent product and platform teams
* Stay current with emerging tools, technologies, and best practices
* Apply Agile and SAFe practices for predictable delivery
**Qualifications:** 
* Bachelor’s degree in computer science or related field
* 5\+ years of professional .NET/C\# development experience
* Experience with modern web technologies (.NET Core, ASP.NET Web API/MVC, JavaScript, JSON, RESTful services)
* 3\+ years building customer\-facing applications
* Frontend framework experience (React or Angular)
* Proficiency in software architecture principles (OOP, SOLID, microservices)
* Hands\-on experience with Azure cloud services
* Experience with modernization and container\-based hosting
* Quality\-first engineering mindset and DevOps practices
* Strong communication skills
* Experience in the Tax and Accounting domain (preferred)</t>
        </is>
      </c>
    </row>
    <row r="210">
      <c r="A210" t="inlineStr">
        <is>
          <t>li-4366097488</t>
        </is>
      </c>
      <c r="B210" t="inlineStr">
        <is>
          <t>Atlas Software Developer</t>
        </is>
      </c>
      <c r="C210" t="inlineStr">
        <is>
          <t>Jobs via Dice</t>
        </is>
      </c>
      <c r="D210" t="inlineStr">
        <is>
          <t>linkedin</t>
        </is>
      </c>
      <c r="E210">
        <f>HYPERLINK("https://www.linkedin.com/jobs/view/4366097488", "https://www.linkedin.com/jobs/view/4366097488")</f>
        <v/>
      </c>
      <c r="F210">
        <f>HYPERLINK("https://click.appcast.io/t/wV6tu_Dvi7OCeR-_uG2zjLe-Cqk9c3JJpuNFL38PSP0=&amp;urlHash=p19y", "https://click.appcast.io/t/wV6tu_Dvi7OCeR-_uG2zjLe-Cqk9c3JJpuNFL38PSP0=&amp;urlHash=p19y")</f>
        <v/>
      </c>
      <c r="G210" t="inlineStr">
        <is>
          <t>Silver Spring, MD</t>
        </is>
      </c>
      <c r="H210" t="inlineStr"/>
      <c r="I210" t="inlineStr">
        <is>
          <t>The ATLAS Team is seeking a skilled ESRI developer to join our dynamic group. In this role, you will collaborate closely with the product owner, fellow developers, and test engineers to deliver high\-quality software that drives business value and adheres to established design patterns and processes. You should be able to independently develop, code, modify, test, and debug application programs of varying complexity.
 We are looking for a highly motivated individual eager to grow their career in a fast\-paced environment. Success in this role requires extensive knowledge of programming languages and the software development life cycle.
 The ideal candidate will excel at prioritizing tasks, communicating clearly, and consistently delivering results with excellent software engineering skills. We value creative engineering that is balanced with high quality and a strong customer focus. You must be able to work across multiple facets of a project and manage several responsibilities simultaneously, demonstrating strong analytical capabilities and the ability to create innovative solutions.
 If this sounds like the ideal career opportunity for you, please continue reading.
**Responsibilities will be:**
* Create feature class and publish on ARCGIS server
* Work with business users to develop and implement acceptance tests to ensure that product meets customer requirements and expectations
* Actively engage in process improvement initiatives
* Perform task using Oracle and SQL database systems
* Use the best development practices, and appropriate patterns to develop required software solutions
* Create and maintain technical documentation, including user manuals and guides
* Formulate and define system scope and objectives, based on the individual needs of each user
* Analyze and revise existing system logic difficulties and ensure that technical knowledge of all phases of application systems is maintained
* Prepare and install solutions by determining and designing system specifications, standards and programming
* Improve operations by conducting systems analysis\= recommending changes in policies and procedures
* Protect operations by keeping confidential information
* Provide information by collecting, analyzing and summarizing development and service issues
* Support and develop software engineers by providing advice, coaching and educational opportunities
* Collaborate with team to brainstorm and create new products in order to achieve team goals
* Make informed decisions quickly and take ownership of services and applications at scale
* Remain cool and collective during crisis
* Passionate about great technologies, especially open source
**Basic Qualifications:**
* Experience in full software lifecycle development with .NET, full stack development, Soap Web Services
* BS degree and 5 \+ years of prior relevant experience or master's with 3 \+ years of prior relevant experience (Additional yrs of experience may be considered in lieu of a degree)
* Experience in parallel development environment managing overlapping efforts impacting same function
* Excellent verbal and written communication skills, including experience working directly with customers to discuss their requirements and objectives
* Experience with Subversion/Git, JIRA, Confluence, Bitbucket
* Deep understanding of software lifecycle
* Working knowledge of Agile Development and continuous integration and continuous delivery methodologies and tools
* Ability to complete tasks independently with minimal direct supervision
* Ability to work and collaborate effectively within a multi\-disciplined engineering team.
* Experience working with languages (Python, C\#, ArcGIS Pro, . Net SDK, REST service, ArcGIS Server, ArcGIS Pro, Enterprise Geodatabase, Database Replica).
* Experience working with multiple operating systems (Windows, LINUX, UNIX etc.).
* Experience working with at least one Relational Database Management System (Oracle, MySQL, SQL Server, etc.).
* Ability to obtain a Public Trust Security Clearance Suitability
**Preferred Qualifications:**
 Expertise in ESRI Development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23,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211">
      <c r="A211" t="inlineStr">
        <is>
          <t>li-4356861065</t>
        </is>
      </c>
      <c r="B211" t="inlineStr">
        <is>
          <t>Staff Software Engineer</t>
        </is>
      </c>
      <c r="C211" t="inlineStr">
        <is>
          <t>The Hartford</t>
        </is>
      </c>
      <c r="D211" t="inlineStr">
        <is>
          <t>linkedin</t>
        </is>
      </c>
      <c r="E211">
        <f>HYPERLINK("https://www.linkedin.com/jobs/view/4356861065", "https://www.linkedin.com/jobs/view/4356861065")</f>
        <v/>
      </c>
      <c r="F211">
        <f>HYPERLINK("https://www.jointhehartford.com/apply/1755/staff-software-engineer-information-technology-us-ct-hartford/?source=LinkedIn&amp;urlHash=TBlS", "https://www.jointhehartford.com/apply/1755/staff-software-engineer-information-technology-us-ct-hartford/?source=LinkedIn&amp;urlHash=TBlS")</f>
        <v/>
      </c>
      <c r="G211" t="inlineStr">
        <is>
          <t>Hartford, CT</t>
        </is>
      </c>
      <c r="H211" t="inlineStr"/>
      <c r="I211" t="inlineStr">
        <is>
          <t>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searching for a Staff Software Engineer within the Personal Lines organization that will have end\-to\-end technical accountabilities in application development for personal lines portfolio in a highly distributed, integrated, multi\-platform environment. This team is passionate for technology and strives to build well architected and innovative solutions for the business as well as Fundamentally treats IT Operations as Software Engineering and adopted Scrum development methodology and core agile engineering practices such as continuous integration and test\-driven development.
**Responsibilities** 
* Technical Leadership: Provide technical leadership, enforcing the vision of the application architecture and integrity of the application environment in alliance with architects and other tech leads.
* Hands\-On Coding: Lead teams while also performing hands\-on coding to stay connected with the technical aspects of the projects.
* Code Quality: Conducting code reviews to maintain high standards in coding and reliability.
* Mentorship: Guiding junior engineers to enhance team capabilities and foster growth,
* Communicate Effectively: Proactively communicate risks, issues, and mitigations to stakeholders.
* Embrace Future Technologies: Lead innovation efforts, leveraging modern technologies to solve customer problems. Knowledge of implementing solutions through Gen AI (Artificial Intelligence) is a plus.
**Qualifications** 
* Experience: 5\+ years in application software development.
* Technical Skills: Strong understanding of Object\-Oriented design, Java or .NET frameworks, front\-end technologies (HTML, CSS, JavaScript, AJAX, JSON, Angular/React, XML, XSLT, SQL), and cloud platforms (preferably AWS). Must have a strong working experience as Designer/Developer of REST/SOAP API services, both as consumer \&amp; provider.
* DevOps Knowledge: Experience with continuous integration and DevOps tools (GitHub, Jenkins, Rally, SonarQube).
* Tech Savvy: Passionate about staying current with technology trends, experimenting with modern technologies, and participating in internal tech communities.
* Agile Practitioner: Experience with agile or scrum methodologies.
* Soft Skills: Excellent analytical, problem\-solving, interpersonal, verbal, and written communication skills.
* Industry Knowledge: Knowledge of P\&amp;C Insurance and low coding platforms (Duck Creek,) is a plus.
* Education: Bachelor’s degree in computer science or related field preferred.
***This role will have a Hybrid work arrangement, with the expectation of working in an office 3 days a week (Tuesday through Thursday).***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$114,720 \- $172,080
 Equal Opportunity Employer/Sex/Race/Color/Veterans/Disability/Sexual Orientation/Gender Identity or Expression/Religion/Age</t>
        </is>
      </c>
    </row>
    <row r="212">
      <c r="A212" t="inlineStr">
        <is>
          <t>li-4367278421</t>
        </is>
      </c>
      <c r="B212" t="inlineStr">
        <is>
          <t>Software Engineer</t>
        </is>
      </c>
      <c r="C212" t="inlineStr">
        <is>
          <t>Jobs via Dice</t>
        </is>
      </c>
      <c r="D212" t="inlineStr">
        <is>
          <t>linkedin</t>
        </is>
      </c>
      <c r="E212">
        <f>HYPERLINK("https://www.linkedin.com/jobs/view/4367278421", "https://www.linkedin.com/jobs/view/4367278421")</f>
        <v/>
      </c>
      <c r="F212" t="inlineStr"/>
      <c r="G212" t="inlineStr">
        <is>
          <t>Austin, TX</t>
        </is>
      </c>
      <c r="H212" t="inlineStr"/>
      <c r="I212" t="inlineStr">
        <is>
          <t>Dice is the leading career destination for tech experts at every stage of their careers. Our client, Smart TechLink Solutions Inc., is seeking the following. Apply via Dice today!
 Hi,
 Hope you are doing well!
 Please review the Job description below and let me know your interest. If interested, Please do share your updated resume and let me current location and hourly rate.
 Job Title : Software Engineer
 Location : Austin, TX(Onsite)
 Client Interview : Yes
 Study Level : Bachelor's Degree
 Skill Cluster : DA\-WebCyprssPlywrght.
 Primary Skill : JavaScript, Cypress, TypeScript
 Job Duration : 3\-6 Months
 Job Description :
 Mandatory Skills: Strong programming skills in JavaScript/TypeScript (or Java). Hands\-on experience with Playwright for web automation. Experience with API testing (REST/GraphQL). Familiarity with CI/CD tools (Jenkins, GitHub Actions, Azure DevOps). Knowledge of SQL and database testing. Solid understanding of OOP concepts and design patterns. Experience in Agile/Scrum environments. Education: Bachelor's degree in Computer Science, Engineering, or related field.
**Thanks \&amp; Regards**
**Alamgir Ansari \| Technical Recruiter**
**\|**
**LinkedIn:** 
**/**
 Smart TechLink Solutions Inc. firmly opposes e\-mail "spamming". This electronic mail (including any attachments) may contain information that is privileged, confidential, and/or otherwise protected from disclosure to anyone other than its intended recipient(s). Any dissemination or use of this electronic mail or its contents (including any attachments) by persons other than the intended recipient(s) is strictly prohibited. We apologize to those who do not wish to receive this e\-mail and to those who have accidentally received it again. Please reply with REMOVE in the subject listing, with all aliases email addresses that you would want to be removed, and any inconvenience caused is highly regretted. Please then delete the original message (including any attachments) in its entirety. We appreciate your patience and cooperation.</t>
        </is>
      </c>
    </row>
    <row r="213">
      <c r="A213" t="inlineStr">
        <is>
          <t>li-4356741307</t>
        </is>
      </c>
      <c r="B213" t="inlineStr">
        <is>
          <t>Staff Software Engineer</t>
        </is>
      </c>
      <c r="C213" t="inlineStr">
        <is>
          <t>The Hartford</t>
        </is>
      </c>
      <c r="D213" t="inlineStr">
        <is>
          <t>linkedin</t>
        </is>
      </c>
      <c r="E213">
        <f>HYPERLINK("https://www.linkedin.com/jobs/view/4356741307", "https://www.linkedin.com/jobs/view/4356741307")</f>
        <v/>
      </c>
      <c r="F213" t="inlineStr"/>
      <c r="G213" t="inlineStr">
        <is>
          <t>Charlotte, NC</t>
        </is>
      </c>
      <c r="H213" t="inlineStr"/>
      <c r="I213" t="inlineStr">
        <is>
          <t>Staff Software Engineer \- IE07IE
 We’re determined to make a difference and are proud to be an insurance company that goes well beyond coverages and policies. Working here means having every opportunity to achieve your goals – and to help others accomplish theirs, too. Join our team as we help shape the future.
 The Hartford is searching for a Staff Software Engineer within the Personal Lines organization that will have end\-to\-end technical accountabilities in application development for personal lines portfolio in a highly distributed, integrated, multi\-platform environment. This team is passionate for technology and strives to build well architected and innovative solutions for the business as well as Fundamentally treats IT Operations as Software Engineering and adopted Scrum development methodology and core agile engineering practices such as continuous integration and test\-driven development.
**Responsibilities**
* Technical Leadership: Provide technical leadership, enforcing the vision of the application architecture and integrity of the application environment in alliance with architects and other tech leads.
* Hands\-On Coding: Lead teams while also performing hands\-on coding to stay connected with the technical aspects of the projects.
* Code Quality: Conducting code reviews to maintain high standards in coding and reliability.
* Mentorship: Guiding junior engineers to enhance team capabilities and foster growth,
* Communicate Effectively: Proactively communicate risks, issues, and mitigations to stakeholders.
* Embrace Future Technologies: Lead innovation efforts, leveraging modern technologies to solve customer problems. Knowledge of implementing solutions through Gen AI (Artificial Intelligence) is a plus.
**Qualifications**
* Experience: 5\+ years in application software development.
* Technical Skills: Strong understanding of Object\-Oriented design, Java or .NET frameworks, front\-end technologies (HTML, CSS, JavaScript, AJAX, JSON, Angular/React, XML, XSLT, SQL), and cloud platforms (preferably AWS). Must have a strong working experience as Designer/Developer of REST/SOAP API services, both as consumer \&amp; provider.
* DevOps Knowledge: Experience with continuous integration and DevOps tools (GitHub, Jenkins, Rally, SonarQube).
* Tech Savvy: Passionate about staying current with technology trends, experimenting with modern technologies, and participating in internal tech communities.
* Agile Practitioner: Experience with agile or scrum methodologies.
* Soft Skills: Excellent analytical, problem\-solving, interpersonal, verbal, and written communication skills.
* Industry Knowledge: Knowledge of P\&amp;C Insurance and low coding platforms (Duck Creek,) is a plus.
* Education: Bachelor’s degree in computer science or related field preferred.
***This role will have a Hybrid work arrangement, with the expectation of working in an office 3 days a week (Tuesday through Thursday).***
***Candidates must be authorized to work in the US without company sponsorship. The company will not support the STEM OPT I\-983 Training Plan endorsement for this position.***
**Compensation**
 The listed annualized base pay range is primarily based on analysis of similar positions in the external market. Actual base pay could vary and may be above or below the listed range based on factors including but not limited to performance, proficiency and demonstration of competencies required for the role. The base pay is just one component of The Hartford’s total compensation package for employees. Other rewards may include short\-term or annual bonuses, long\-term incentives, and on\-the\-spot recognition. The annualized base pay range for this role is:
 $114,720 \- $172,080
 Equal Opportunity Employer/Sex/Race/Color/Veterans/Disability/Sexual Orientation/Gender Identity or Expression/Religion/Age</t>
        </is>
      </c>
    </row>
    <row r="214">
      <c r="A214" t="inlineStr">
        <is>
          <t>li-4367616834</t>
        </is>
      </c>
      <c r="B214" t="inlineStr">
        <is>
          <t>Senior Software Engineer- Quality Risk Mgmt</t>
        </is>
      </c>
      <c r="C214" t="inlineStr">
        <is>
          <t>General Motors</t>
        </is>
      </c>
      <c r="D214" t="inlineStr">
        <is>
          <t>linkedin</t>
        </is>
      </c>
      <c r="E214">
        <f>HYPERLINK("https://www.linkedin.com/jobs/view/4367616834", "https://www.linkedin.com/jobs/view/4367616834")</f>
        <v/>
      </c>
      <c r="F214" t="inlineStr"/>
      <c r="G214" t="inlineStr">
        <is>
          <t>Austin, TX</t>
        </is>
      </c>
      <c r="H214" t="inlineStr"/>
      <c r="I214" t="inlineStr">
        <is>
          <t>**Job Description**
**The Role:**
 The Senior Full Stack Software Engineer for Quality Risk Management is responsible for developing software applications that support the Failure Mode and Effects Analysis (FMEA) business process, spanning the product development lifecycle from Design through Production. The ideal candidate for this role will be comfortable working with applications that involve complex data requirements and will provide solutions using proven, industry\-standard methodologies. You will be directly involved in writing software solutions based on detailed requirements and system specifications.
 Additionally, you will oversee development activities to ensure delivery of world\-class capabilities aligned with GM’s corporate and business objectives for a greenfield Quality application. This role offers the opportunity to advise, coach, and mentor software engineers, while making a significant impact on this new application.
**Key Impact:**
 This role offers the opportunity to contribute to mission\-critical systems that transmit data to federal regulators under strict legal mandates. You will work across the full technology stack, building efficient data workflows to manage sensitive and regulated information. Your work will directly support GM’s ability to meet mandatory reporting deadlines, maintain data integrity, and uphold compliance standards.
**What You’ll Do (Responsibilities):**
* Design and implement responsive front\-end web applications using modern frameworks such as Angular or React.
* Develop and maintain RESTful APIs leveraging Java with Spring Boot or Quarkus.
* Produce clean, maintainable, and well\-documented code while mentoring team members on best practices.
* Conduct thorough code reviews and perform unit and integration testing to ensure quality.
* Diagnose, troubleshoot, and resolve issues in applications and data pipelines.
* Optimize systems for scalability, security, and high performance.
* Automate unit and end\-to\-end testing to enhance software quality and maintainability.
* Collaborate with business stakeholders to address data\-related technical challenges and define requirements for effective data management solutions.
**Your Skills \&amp; Abilities (Required Qualifications):**
* Bachelor's degree in Computer Science or related field; or equivalent professional experience in lieu of degree will be considered.
* 7\+ years of hands\-on software development experience with Java for back\-end development and proficiency with modern front\-end frameworks.
* 5\+ years practical experience with SQL and working with relational databases (e.g., PostgreSQL, Oracle).
* 3\+ years of experience building front\-end applications using Angular or React.
* 3\+ years of experience designing and implementing RESTful APIs with Java and frameworks such as Spring Boot or Quarkus.
* Deep understanding of REST architecture, microservices design principles, and API security best practices.
* Familiarity with version control systems (Git) and CI/CD pipeline implementation.
* Ability to identify opportunities for automation and implement effective solutions.
* Strong grasp of networking and distributed computing concepts.
* Responsible for defining, maintaining, and ensuring compliance with technical and operational metadata standards, data movement patterns, ETL standards, and best practices.
* Comprehensive knowledge of the Software Development Lifecycle (SDLC) and experience working in Agile environments using the Scrum framework.
**People Skills:**
* Proven ability to lead development initiatives, overseeing planning and execution of deliverables within collaborative team environments.
* Independent, self\-driven, and quick to learn, with strong problem\-solving skills to address challenges efficiently and thoroughly.
* Highly organized and adept at managing multiple priorities in fast\-paced, dynamic work settings.
* Exceptional verbal and written communication skills, with the ability to clearly convey ideas, translate feedback into actionable solutions, and engage effectively with diverse stakeholders.
**What Will Give You a Competitive Edge (Preferred Qualifications):**
* Proficient in Azure Cloud services and infrastructure management.
* Skilled in Infrastructure as Code (IaC) using Terraform for automated deployments.
* Hands\-on experience with Databricks and DBX job orchestration for data engineering workflows.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This role is categorized as hybrid. This means the selected candidate is expected to report to a specific location at least 3 times a week {or other frequency dictated by their manager}.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15">
      <c r="A215" t="inlineStr">
        <is>
          <t>li-4367270813</t>
        </is>
      </c>
      <c r="B215" t="inlineStr">
        <is>
          <t>Staff Backend Engineer</t>
        </is>
      </c>
      <c r="C215" t="inlineStr">
        <is>
          <t>Piper Companies</t>
        </is>
      </c>
      <c r="D215" t="inlineStr">
        <is>
          <t>linkedin</t>
        </is>
      </c>
      <c r="E215">
        <f>HYPERLINK("https://www.linkedin.com/jobs/view/4367270813", "https://www.linkedin.com/jobs/view/4367270813")</f>
        <v/>
      </c>
      <c r="F215" t="inlineStr"/>
      <c r="G215" t="inlineStr">
        <is>
          <t>Raleigh, NC</t>
        </is>
      </c>
      <c r="H215" t="inlineStr"/>
      <c r="I215" t="inlineStr">
        <is>
          <t>Piper Companies is hiring a
 **Staff Backend Engineer** 
 for a full‑time permanent opportunity with a rapidly growing digital learning organization based in the Raleigh–Durham, NC area. This hybrid role will play a key part in designing and maintaining backend services that power the company’s mobile and web platforms. The position requires strong TypeScript and Node.js experience, familiarity with modern backend tooling, and the ability to collaborate across engineering, product, and design teams.
**Key Responsibilities for the Staff Backend Engineer:**
* Design, build, and maintain robust backend services in a TypeScript/Node.js environment with a focus on performance, reliability, and test coverage
* Collaborate cross‑functionally with product, design, and engineering teams to develop APIs and backend infrastructure supporting new mobile and web features
* Lead and contribute to technical planning activities, helping define project scope, assess complexity, and architect scalable long‑term solutions
* Work closely with other engineers to align backend and frontend efforts and ensure seamless cross‑platform functionality
* Monitor system health, optimize MongoDB performance, debug production issues, and work with cloud hosting providers
* Promote engineering excellence through mentorship, code reviews, and contributions to evolving coding standards and best practices
**Requirements for the Staff Backend Engineer:**
* 7\+ years of backend development experience, primarily with TypeScript
* Strong understanding of the Node.js ecosystem
* Experience with MongoDB or similar NoSQL databases
* Familiarity with APM tools (Elastic preferred)
* Experience with CI/CD pipelines
* Experience working with Render or similar hosting platforms
* Proficiency using Visual Studio Code or equivalent development tools
**Preferred skills:**
* Experience designing or optimizing RESTful APIs
* Background in Go or Rust development
* Experience optimizing database performance (indexing, tuning, query optimization)
* Experience contributing to projects from ideation through release and maintenance
* Prior mentoring or engineering leadership experience
**Compensation \&amp; Benefits for the Staff Backend Engineer:**
* Salary range: 165K \- 190K
* Benefits include: Health, Dental, Vision, 401(k), PTO, Paid Holidays, and Sick Leave (as required by law)
 Applications for this role open immediately on 1/9 and will remain active for at least 30 days from the posting date.
**Keywords**
 TypeScript, Node.js, Backend Engineering, API Development, MongoDB, NoSQL, Render, CI/CD, Elastic APM, Software Architecture, Cloud Infrastructure, Go, Rust, System Scalability, Mobile/Web Platforms, Code Quality, Technical Leadership, Digital Learning, Pocket Prep</t>
        </is>
      </c>
    </row>
    <row r="216">
      <c r="A216" t="inlineStr">
        <is>
          <t>li-4367253834</t>
        </is>
      </c>
      <c r="B216" t="inlineStr">
        <is>
          <t>Senior Software Engineer, Back End (Global Payment Network)</t>
        </is>
      </c>
      <c r="C216" t="inlineStr">
        <is>
          <t>Capital One</t>
        </is>
      </c>
      <c r="D216" t="inlineStr">
        <is>
          <t>linkedin</t>
        </is>
      </c>
      <c r="E216">
        <f>HYPERLINK("https://www.linkedin.com/jobs/view/4367253834", "https://www.linkedin.com/jobs/view/4367253834")</f>
        <v/>
      </c>
      <c r="F216" t="inlineStr"/>
      <c r="G216" t="inlineStr">
        <is>
          <t>Deerfield, IL</t>
        </is>
      </c>
      <c r="H216" t="inlineStr"/>
      <c r="I21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17">
      <c r="A217" t="inlineStr">
        <is>
          <t>li-4367252914</t>
        </is>
      </c>
      <c r="B217" t="inlineStr">
        <is>
          <t>Senior Software Engineer, Back End (Global Payment Network)</t>
        </is>
      </c>
      <c r="C217" t="inlineStr">
        <is>
          <t>Capital One</t>
        </is>
      </c>
      <c r="D217" t="inlineStr">
        <is>
          <t>linkedin</t>
        </is>
      </c>
      <c r="E217">
        <f>HYPERLINK("https://www.linkedin.com/jobs/view/4367252914", "https://www.linkedin.com/jobs/view/4367252914")</f>
        <v/>
      </c>
      <c r="F217">
        <f>HYPERLINK("https://dsp.prng.co/SGb1jEb&amp;urlHash=FG2r", "https://dsp.prng.co/SGb1jEb&amp;urlHash=FG2r")</f>
        <v/>
      </c>
      <c r="G217" t="inlineStr">
        <is>
          <t>Deerfield, IL</t>
        </is>
      </c>
      <c r="H217" t="inlineStr"/>
      <c r="I21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18">
      <c r="A218" t="inlineStr">
        <is>
          <t>li-4367262630</t>
        </is>
      </c>
      <c r="B218" t="inlineStr">
        <is>
          <t>Senior Lead Software Engineer, Back End</t>
        </is>
      </c>
      <c r="C218" t="inlineStr">
        <is>
          <t>Capital One</t>
        </is>
      </c>
      <c r="D218" t="inlineStr">
        <is>
          <t>linkedin</t>
        </is>
      </c>
      <c r="E218">
        <f>HYPERLINK("https://www.linkedin.com/jobs/view/4367262630", "https://www.linkedin.com/jobs/view/4367262630")</f>
        <v/>
      </c>
      <c r="F218">
        <f>HYPERLINK("https://dsp.prng.co/tL2aRnb&amp;urlHash=ULbF", "https://dsp.prng.co/tL2aRnb&amp;urlHash=ULbF")</f>
        <v/>
      </c>
      <c r="G218" t="inlineStr">
        <is>
          <t>McLean, VA</t>
        </is>
      </c>
      <c r="H218" t="inlineStr"/>
      <c r="I21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**Preferred Qualifications:**
* Master’s Degree
* 9\+ years of experience in at least one of the following: Java, Scala, Go, C, C\+\+ or Rust
* 3\+ years of experience with AWS, GCP, Azure, or another cloud service
* 2\+ years of experience with Kubernetes
* 2\+ years of experience on Platform Engineering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Lead Software Engineer
 New York, NY: $250,800 \- $286,200 for Sr. Lead Software Engineer
 San Francisco, CA: $250,800 \- $286,200 for Sr. Lead Software Engineer
 San Jose, CA: $250,800 \- $286,200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19">
      <c r="A219" t="inlineStr">
        <is>
          <t>li-4367283238</t>
        </is>
      </c>
      <c r="B219" t="inlineStr">
        <is>
          <t>Embedded Software Engineer – Telematics Testing (Entry–Mid Level)</t>
        </is>
      </c>
      <c r="C219" t="inlineStr">
        <is>
          <t>Jobs via Dice</t>
        </is>
      </c>
      <c r="D219" t="inlineStr">
        <is>
          <t>linkedin</t>
        </is>
      </c>
      <c r="E219">
        <f>HYPERLINK("https://www.linkedin.com/jobs/view/4367283238", "https://www.linkedin.com/jobs/view/4367283238")</f>
        <v/>
      </c>
      <c r="F219">
        <f>HYPERLINK("https://click.appcast.io/t/_yMuHKK5oo0rS1gCV3gdtL5OyPDVGPWmwB-Hn7ea96o=&amp;urlHash=c6as", "https://click.appcast.io/t/_yMuHKK5oo0rS1gCV3gdtL5OyPDVGPWmwB-Hn7ea96o=&amp;urlHash=c6as")</f>
        <v/>
      </c>
      <c r="G219" t="inlineStr">
        <is>
          <t>Mossville, IL</t>
        </is>
      </c>
      <c r="H219" t="inlineStr"/>
      <c r="I219" t="inlineStr">
        <is>
          <t>Dice is the leading career destination for tech experts at every stage of their careers. Our client, Purple Hires, is seeking the following. Apply via Dice today!
 Job Title: Embedded Software Engineer – Telematics Testing (Entry–Mid Level)
**Location:** 
 Peoria, IL (Onsite – up to 100%)
**Employment Type:** 
 Contract
**Experience Level:** 
 Early Career (0–3 years)
**Industry:** 
 Embedded Systems / Telematics / Industrial Equipment
**Job Summary**
 The Embedded Software Engineer will support Client’s
 **End\-to\-End Telematics Testing Team** 
 , contributing to the verification and validation of embedded software systems across machine\-level and back\-office connectivity platforms. This role focuses on
 **software testing, troubleshooting, validation, and test automation** 
 , using both simulation and
 **Hardware\-in\-the\-Loop (HIL)** 
 environments.
 The engineer will work closely with a global team to ensure high\-quality releases, investigate field issues, and improve validation efficiency for Caterpillar’s Digital and Connectivity solutions.
 Key Responsibilities
 Embedded Software \&amp; System Testing
* Design, implement, and execute embedded software tests from requirements through production deployment
* Perform end\-to\-end system validation using simulation tools and HIL setups with physical ECUs
* Analyze test results, identify defects, and document findings with full traceability
* Execute release testing and support issue resolution through completion
 Validation \&amp; Quality Engineering
* Clarify product requirements and align with stakeholders
* Assist in creating validation plans and acceptance criteria
* Evaluate existing test procedures and controls for risk mitigation
* Track product development issues and validation gaps
 Technical Analysis \&amp; Automation
* Analyze system efficiency, stability, and scalability
* Support test automation initiatives (Python preferred)
* Troubleshoot software and hardware integration issues
* Innovate to improve test efficiency and coverage
 Collaboration \&amp; Reporting
* Communicate technical findings to cross\-functional teams
* Generate validation status reports and present results
* Collaborate within a global, Agile\-oriented engineering team
 Team \&amp; Work Environment
* Team Size: 13 members (4 leads, 9 testers)
* Role: Individual contributor (tester)
* Work Environment: Onsite engineering lab with HIL equipment
* Relocation: Local support / relocation to Peoria area required
**Required Qualifications**
 Education \&amp; Experience
* Bachelor’s degree in Computer Engineering, Electrical Engineering, Computer Science, or related field
+ 1–3 years of experience OR
* Master’s degree with 0–2 years of experience in embedded systems or electronics controls
**Note:**
* No 2\-year degrees accepted
* Mechanical Engineering backgrounds are not a fit
* Internships do not count toward required experience
**Required Technical Skills (Top 3\)**
* HIL system testing and hardware setup/maintenance
* Experience testing service tools and remote product configuration
* Software coding experience (C / C\+\+ preferred)
****Required****
 Additional Technical Skills
* Solid programming experience in C or C\+\+
* Understanding of embedded systems software lifecycle
* Ability to read schematics and component datasheets
* Basic knowledge of computer hardware and operating systems
****Preferred****
* Test automation development using Python
* Knowledge of machine and engine ECUs
* Familiarity with software update processes
* Basic understanding of Machine Datalink architecture (SAE J1939\)
 Soft Skills
****Required****
* Strong verbal and written communication skills
* Problem\-solving and analytical mindset
* Ability to work independently and within a team</t>
        </is>
      </c>
    </row>
    <row r="220">
      <c r="A220" t="inlineStr">
        <is>
          <t>li-4367255808</t>
        </is>
      </c>
      <c r="B220" t="inlineStr">
        <is>
          <t>Senior Lead Software Engineer, Full Stack</t>
        </is>
      </c>
      <c r="C220" t="inlineStr">
        <is>
          <t>Capital One</t>
        </is>
      </c>
      <c r="D220" t="inlineStr">
        <is>
          <t>linkedin</t>
        </is>
      </c>
      <c r="E220">
        <f>HYPERLINK("https://www.linkedin.com/jobs/view/4367255808", "https://www.linkedin.com/jobs/view/4367255808")</f>
        <v/>
      </c>
      <c r="F220" t="inlineStr"/>
      <c r="G220" t="inlineStr">
        <is>
          <t>Plano, TX</t>
        </is>
      </c>
      <c r="H220" t="inlineStr"/>
      <c r="I22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Plano, TX: $209,000 \- $238,500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21">
      <c r="A221" t="inlineStr">
        <is>
          <t>li-4367476296</t>
        </is>
      </c>
      <c r="B221" t="inlineStr">
        <is>
          <t>Principal Software Engineer</t>
        </is>
      </c>
      <c r="C221" t="inlineStr">
        <is>
          <t>Liberty Mutual Insurance</t>
        </is>
      </c>
      <c r="D221" t="inlineStr">
        <is>
          <t>linkedin</t>
        </is>
      </c>
      <c r="E221">
        <f>HYPERLINK("https://www.linkedin.com/jobs/view/4367476296", "https://www.linkedin.com/jobs/view/4367476296")</f>
        <v/>
      </c>
      <c r="F221">
        <f>HYPERLINK("https://searchjobs.libertymutualgroup.com/careers/job/618515043195?utm_source=linkedin&amp;domain=libertymutual.com&amp;utm_source=Job+Board&amp;utm_campaign=LinkedIn+Jobs&amp;extcmp=bof-paid-text-lkin-aljb&amp;urlHash=F008", "https://searchjobs.libertymutualgroup.com/careers/job/618515043195?utm_source=linkedin&amp;domain=libertymutual.com&amp;utm_source=Job+Board&amp;utm_campaign=LinkedIn+Jobs&amp;extcmp=bof-paid-text-lkin-aljb&amp;urlHash=F008")</f>
        <v/>
      </c>
      <c r="G221" t="inlineStr">
        <is>
          <t>Indianapolis, IN</t>
        </is>
      </c>
      <c r="H221" t="inlineStr"/>
      <c r="I221" t="inlineStr">
        <is>
          <t>**Description**
 Do you have the skills—and drive—to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principal software engineer at Liberty Mutual, you’ll consult on highly complex projects and solve technical problems, while working in an agile environment that has the creative energy of a start\-up—and the full backing and comprehensive benefits of a Fortune 100 company.
 This role is hybrid requiring 2 days in the office a week in one of our tech hubs: Plano, TX, Boston, MA, Portsmouth, NH, Indianapolis, IN, and Columbus, OH
 We encourage you to apply and bring your expertise if you’re a:
* Technical problem solver: Going far beyond simply developing error\-free source code, test scripts, components and system architectures, you’ll document and build deployment guides aimed at maintaining robust, relevant software
* Customer\-centric engineer: Putting clients’ needs first, you’ll translate customer requirements into technical applications and support the implementation of new software
* Motivated mentor: Exercise your technical chops while coaching and collaborating with junior software engineers.
* Forward thinker: Merely fixing a problem isn’t enough – using your proactive mindset and initiative, you’ll also identify opportunities to enhance performance, quality and efficiency
**Job Introduction**
* We are looking for a Principal software engineer to join our Small Commercial Service team in Service Experience portfolio within USRM Technology organization. If selected, you will have the opportunity to leverage your skills to build tools and solutions used to enable Customer and Agent Service Support for our Small Commercial business USRM. The Small Commercial Digitization activity is growing rapidly, and this role offers an exciting opportunity to help shape that journey.
**Qualifications**
* Strong foundation in data structures, algorithms, and software engineering principles, with proficiency in languages like Python or Java.
* Proficiency in software engineering languages and tools, including Java, React, Node.js, Spring Boot, AWS and RESTful services, RDS.
* A self\-starter mindset with strong self\-learning capabilities and the ability to move fast and adapt in an ever\-evolving AI environment.
* Highly independent and proactive, with a strong ability to learn, execute, manage priorities and create initiatives.
* Creativity and initiative able to pitch and prototype ideas with minimal oversight.
**Experience**
* Eight or more years of software engineering experience
* Strong background in business operations and strategies, including global technology and financial services trends
* Hands\-on involvement with layered systems architectures, designs and shared software concepts
* Familiarity with functional and system integration testing
* Experience working in an agile environment
**Skills**
* Excellent negotiation, facilitation and consensus\-building capabilities
* Openness and adaptability to respond to fast\-moving circumstances
* Proficiency in multiple object\-oriented programming languages and tools
* Excellent oral and written communication skills
* Aptitude for working in teams
**Knowledge**
* In\-depth knowledge of diverse and emerging technologies, architectural concepts and principles
* A deep understanding of layered solutions and designs
* Awareness of policies regarding security and privacy
* Understanding of backlog tracking, burndown metrics and incremental delivery
**Education**
* A bachelor’s or master’s degree in a technical or business discipline, or equivalent experience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222">
      <c r="A222" t="inlineStr">
        <is>
          <t>li-4366430851</t>
        </is>
      </c>
      <c r="B222" t="inlineStr">
        <is>
          <t>Senior Software Engineer - Warehouse Automation &amp; Robotics</t>
        </is>
      </c>
      <c r="C222" t="inlineStr">
        <is>
          <t>Jobs via Dice</t>
        </is>
      </c>
      <c r="D222" t="inlineStr">
        <is>
          <t>linkedin</t>
        </is>
      </c>
      <c r="E222">
        <f>HYPERLINK("https://www.linkedin.com/jobs/view/4366430851", "https://www.linkedin.com/jobs/view/4366430851")</f>
        <v/>
      </c>
      <c r="F222">
        <f>HYPERLINK("https://click.appcast.io/t/Usgz5kCx7nCdOeI9b-6lAfLWzAUpVzuX3UrEl_5qLc0=&amp;urlHash=gMWv", "https://click.appcast.io/t/Usgz5kCx7nCdOeI9b-6lAfLWzAUpVzuX3UrEl_5qLc0=&amp;urlHash=gMWv")</f>
        <v/>
      </c>
      <c r="G222" t="inlineStr">
        <is>
          <t>Coppell, TX</t>
        </is>
      </c>
      <c r="H222" t="inlineStr"/>
      <c r="I222" t="inlineStr">
        <is>
          <t>**Sr Software Engineer for Warehouse Automation \&amp; Robotics \- If you want your code to leave the screen and shape how a warehouse actually runs, this role provides that impact!**
 This Jobot Job is hosted by: Liz Valdez
 Are you a fit? Easy Apply now by clicking the "Apply Now" button and sending us your resume.
 Salary: $150,000 \- $172,000 per year
**A bit about us:**
 We are a distribution organization actively expanding our automation footprint and launching a new, highly automated facility. This role offers hands\-on ownership of software that controls real\-world material flow, exposure to greenfield automation projects, and close collaboration with operations to deliver systems that scale.
 You'll join a team that values hands\-on problem solving, pragmatic engineering, and close collaboration between IT and operations, with long\-term investment in modern automation, cloud and edge technologies, and continuous improvement. If you want your code to leave the screen and shape how a warehouse actually runs, this role provides that impact.
**Why join us?**
* Comprehensive Health benefits \+ EAP
* 401k, Profit Sharing Retirement Plan
* Tuition Reimbursement Program
* HSA, FSA, Dependent Care Flex Spending Acct
* Life, AD\&amp;D, \&amp; AFLAC Plans
* Paid Vacation/Holidays/Sick Leave
**Job Details**
 Senior Software Engineer \- Warehouse Automation \&amp; Robotics
 Location: Remote
 Industry: Distribution / Supply Chain Automation
 Technical Environment : This role blends enterprise software engineering with industrial automation.
 This role offers the opportunity to work on greenfield automation tied to a new distribution center launch, with ownership across system design, integration, and go\-live\-not just post\-implementation support. Engineers in this role have a direct voice in how automation is architected, how workflows are optimized, and how technology evolves as the operation scales. We are seeking a Senior Software Engineer with deep experience in warehouse automation, material handling systems, and WMS\-integrated software to help design, build, and optimize the systems that physically move product through the facility.
 What You'll Be Doing
 This role sits at the intersection of software, automation, and operations.
 You will:
 Design and develop backend services that control and coordinate warehouse automation, including conveyors, scanners, labeling equipment, and routing logic
 Build software that reads scan data, applies business rules, and directs cartons to the correct lanes or destinations
 Evaluate existing automation workflows and re\-engineer processes to improve speed, accuracy, and system reliability
 Integrate enterprise WMS platforms (SAP EWM) with automation systems using APIs, messaging, and industrial protocols
 Support the buildout and go\-live of a new North Carolina distribution center, including testing, commissioning, and stabilization
 Troubleshoot automation issues in live environments and perform root\-cause analysis across software and physical systems
 Partner closely with operations, controls engineers, and IT to align software design with real\-world warehouse workflows
 Core Development
 Go (Golang) \- primary backend language
 SQL (PostgreSQL, SQL Server, MySQL)
 Linux \&amp; Windows environments
 REST APIs, event\-driven and message\-based systems
 Automation \&amp; Integration
 SAP EWM / WMS integrations (APIs, IDocs, RFCs)
 Conveyor systems, scanners, print\-and\-apply labeling equipment
 PLCs and robotics exposure (Allen\-Bradley, Siemens preferred)
 Industrial / IoT protocols: MQTT, CIP, Modbus (or similar)
 DevOps \&amp; Infrastructure
 CI/CD pipelines (Jenkins, GitLab CI, Azure DevOps)
 Docker, Kubernetes
 Hybrid cloud \+ edge computing (AWS, Azure, or Google Cloud Platform)
 Monitoring and observability tools (Prometheus, Grafana, ELK)
 Who This Role Is For:
 Have hands\-on experience supporting automation in warehouses or manufacturing environments
 Understand how software decisions impact physical flow, uptime, and throughput
 Are comfortable being on\-site during system launches and critical cutovers
 Enjoy solving problems where software meets machinery
**Required**
 5\+ years backend software development with automation, WMS, or industrial system integration
 OR 7\+ years backend development with significant automation/PLC/robotics exposure
 Experience supporting or leading multi\-site rollouts or new facility launches
 Willingness to participate in rotating on\-call support for mission\-critical systems
**Preferred**
 Distribution, manufacturing, life sciences, or high\-volume fulfillment environments
 SAP EWM\-integrated automation projects
 PLCs, robotics, or industrial IoT
 Cloud \+ edge architecture experience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2026-01-30T21:09:33Z</dcterms:created>
  <dcterms:modified xsi:type="dcterms:W3CDTF">2026-01-30T21:09:33Z</dcterms:modified>
</cp:coreProperties>
</file>