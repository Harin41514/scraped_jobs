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in-a3484afa1c2da047</t>
        </is>
      </c>
      <c r="B2" t="inlineStr">
        <is>
          <t>Senior Data Engineer, Data Products</t>
        </is>
      </c>
      <c r="C2" t="inlineStr">
        <is>
          <t>The Hershey Company</t>
        </is>
      </c>
      <c r="D2" t="inlineStr">
        <is>
          <t>indeed</t>
        </is>
      </c>
      <c r="E2" t="inlineStr"/>
      <c r="F2" t="inlineStr"/>
      <c r="G2" t="inlineStr">
        <is>
          <t>Dallas, TX, US</t>
        </is>
      </c>
      <c r="H2" s="2" t="n">
        <v>46051</v>
      </c>
      <c r="I2" t="inlineStr">
        <is>
          <t>Job Location: Dallas, TX  
This position can be based in Dallas in our Frisco office or at 19E in Hershey, PA
**Summary**  
The Senior Data Engineer, Data Products, plays a critical role in designing, building, and operating enterprise grade data products that power analytics, reporting, and AI across Hershey’s business domains. This role ensures data pipelines, models, and foundational components are scalable, performant, governed, and reusable — enabling consistent access to trusted data at enterprise scale.
Senior Data Engineers work closely with Data Product Managers, Architects, Domain SMEs, and Platform Engineering to translate business requirements into robust technical solutions using modern data engineering patterns and cloud\-native tooling. The role supports the end\-to\-end lifecycle of data products, from ingestion and modeling to certification, documentation, and sustainable operations.
This role is foundational to Hershey’s long\-term data strategy. By contributing to reusable, governed, and durable data products, the Senior Data Engineer helps establish the enterprise system of record for analytics, enabling efficiency, consistency, and innovation across the company.
**What We Are Building for Hershey**
This role contributes directly to Hershey’s enterprise data strategy by engineering durable, reusable, and governed data products that become the system of record for analytics and future AI innovation. These data products are designed to scale across domains, reduce duplication, increase trust, and accelerate enterprise decision\-making.
By applying engineering rigor, governance\-by\-design practices, and modern cloud\-native architecture, the Senior Data Engineer helps transition Hershey from one\-off data solutions to long lived, production\-grade assets that fuel efficiency, growth, and innovation across the enterprise.
**Major Duties \&amp; Responsibilities**  
**Data Product Engineering \&amp; Delivery:**  
* Partner with business stakeholders to translate business requirements into technical designs and acceptance criteria.
* Design, build, and maintain scalable and reusable data pipelines and transformations using Azure and Databricks.
* Implement robust ingestion frameworks, standardized patterns, and repeatable workflows aligned to enterprise engineering practices.
* Build and optimize physical and semantic data models supporting analytics, reporting, and AI/ML use cases.
**Technical \&amp; Architectural Implementation**  
* Apply best practices related to performance tuning, cost optimization, security, and reliability.
* Ensure alignment with enterprise architecture, including shared infrastructure, canonical models, and platform standards.
* Implement efficient data processing patterns (e.g., Delta Lake, medallion architecture, orchestration frameworks).
**Governance, Quality, \&amp; Operations**  
* Embed governance\-by\-design principles including lineage, metadata, documentation, and certification standards.
* Implement data quality rules, monitoring, and automated checks to ensure accuracy, completeness, and trust.
**Collaboration Across Domains**  
* Work closely with business domain teams to validate that data products meet end\-user needs and match business definitions.
* Partner with Platform Engineering on pipeline frameworks, infrastructure patterns, and optimization.
* Collaborate with Data Operations \&amp; Enablement to ensure strong documentation, certification, and governance coverage.
**Minimum Knowledge, Skills, and Abilities**  
* Data Engineering \&amp; Pipelines: Strong experience with ETL/ELT design, distributed processing, pipeline optimization, and enterprise scale data workflows.
* Cloud \&amp; Platform Expertise: Hands\-on experience with Databricks and cloud data platforms such as Azure (preferred) or AWS, including data lakes, orchestration, and scalable compute.
* Programming \&amp; Development: Proficient in Python, SQL, modular coding, APIs, source control, and automation tools.
* Data Modeling \&amp; Architecture: Skilled in dimensional and semantic modeling, database design, and building performant, governed analytics\-ready structures.
* Data Quality, Metadata \&amp; Curation: Capable of cleansing, transforming, and validating data; familiar with lineage, cataloging, and data quality frameworks.
* Collaboration \&amp; Communication: Able to translate business needs into technical solutions and clearly communicate technical concepts in cross\-functional settings.
**Experience and Education**  
* Bachelor's/Master's in Data Science, Engineering, or a related field.
* 5 – 7 years of experience in data, analytics, or engineering roles
* Proficiency in one or more general\-purpose programming languages (e.g., Java, C/C\+\+, C\#, Python, JavaScript).
* Working knowledge of SQL\-based and NoSQL technologies (e.g., PostgreSQL, MySQL, MongoDB)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3">
      <c r="A3" t="inlineStr">
        <is>
          <t>in-e73596fb79bbcd8e</t>
        </is>
      </c>
      <c r="B3" t="inlineStr">
        <is>
          <t>Data Engineer</t>
        </is>
      </c>
      <c r="C3" t="inlineStr">
        <is>
          <t>The Hershey Company</t>
        </is>
      </c>
      <c r="D3" t="inlineStr">
        <is>
          <t>indeed</t>
        </is>
      </c>
      <c r="E3" t="inlineStr"/>
      <c r="F3" t="inlineStr"/>
      <c r="G3" t="inlineStr">
        <is>
          <t>Dallas, TX, US</t>
        </is>
      </c>
      <c r="H3" s="2" t="n">
        <v>46051</v>
      </c>
      <c r="I3" t="inlineStr">
        <is>
          <t>Job Location: Dallas, TX  
This position can be based in Dallas in our Frisco office or at 19E in Hershey, PA
**Summary:**  
The Data Engineer, Data Products supports the design, build, and operation of data pipelines and models that power Hershey’s enterprise data products. Working within established architectures and with guidance from Senior Data Engineers and Architects, this role develops reliable, scalable data transformations that enable analytics, reporting, and AI across Hershey’s business domains.  
Data Engineers collaborate closely with Senior Data Engineers, Architects, Platform Engineering, and domain teams to translate defined business requirements into high quality technical solutions using modern cloud\-native tools such as Azure and Databricks. They contribute to key stages of the data product lifecycle, including ingestion, transformation, modeling, documentation, and operational support.  
By helping build reusable and well engineered data assets, the Data Engineer strengthens Hershey’s broader data strategy—improving data quality, consistency, and accessibility while supporting the development of trusted, long\-term data products.
**What We Are Building for Hershey**  
This role contributes to Hershey’s enterprise data strategy by engineering reusable, governed data assets that scale across domains and reduce duplication. By applying engineering discipline and governance\-by\-design, Data Engineers help evolve one\-off solutions into durable, production\-grade data products that improve trust and speed of decision\-making.
**Major Duties \&amp; Responsibilities**  
**Data Product Engineering \&amp; Delivery:**  
* Build and maintain scalable data ingestion and transformation pipelines on Azure and Databricks; develop curated/semantic models for analytics and AI.
* Translate requirements into technical designs and acceptance criteria with Product Managers.
Technical \&amp; Architectural Implementation  
* Apply best practices for performance, cost, security, and reliability; follow enterprise standards and shared infrastructure.
* Implement efficient patterns such as Delta Lake, medallion architecture, and orchestration frameworks.
Governance, Quality \&amp; Operations  
* Embed governance\-by\-design including metadata, lineage, documentation, certification, and automated data quality checks.
* Operate and troubleshoot production pipelines; contribute improvements to standards and automation.
Collaboration Across Domains  
* Partner with domain teams to validate definitions and ensure products meet business needs.
* Work with Platform Engineering on pipeline frameworks and optimization; coordinate with Data Ops \&amp; Enablement on documentation and certification.
**Minimum Knowledge, Skills, and Abilities**  
* Data Engineering \&amp; Pipelines: ETL/ELT development, distributed processing, and workflow optimization.
* Cloud \&amp; Platforms: Hands\-on with Databricks and Azure (preferred) or AWS data platforms.
* Programming \&amp; Development: Proficient in Python and SQL; experience with modular coding, APIs, automation, and source control.
* Data Modeling \&amp; Quality: Dimensional/semantic modeling; familiarity with data quality, metadata, lineage, and catalog tools.
* Collaboration \&amp; Communication: Ability to translate business needs into technical solutions and communicate effectively across teams.
**Experience \&amp; Education**  
* Bachelor’s degree in Computer Science, Engineering, Information Systems, Data Science, or related field
* 2–5 years in data engineering or analytics engineering roles.
* Experience building pipelines and models in Azure/Databricks or equivalent AWS tooling.
* Working knowledge of SQL and NoSQL data stores (PostgreSQL, MySQL, MongoDB).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4">
      <c r="A4" t="inlineStr">
        <is>
          <t>in-7098261c7ba520a0</t>
        </is>
      </c>
      <c r="B4" t="inlineStr">
        <is>
          <t>AWS Data Engineer with Data Modeler Exp.</t>
        </is>
      </c>
      <c r="C4" t="inlineStr"/>
      <c r="D4" t="inlineStr">
        <is>
          <t>indeed</t>
        </is>
      </c>
      <c r="E4" t="inlineStr"/>
      <c r="F4" t="inlineStr"/>
      <c r="G4" t="inlineStr">
        <is>
          <t>Boston, MA, US</t>
        </is>
      </c>
      <c r="H4" s="2" t="n">
        <v>46052</v>
      </c>
      <c r="I4" t="inlineStr">
        <is>
          <t>We are seeking a **Senior Data \&amp; Cloud Engineer** responsible for building and optimizing AWS\-based data pipelines, SQL\-driven analytics, and scalable integrations to support Life Sciences data workflows in collaboration with cross‑functional global teams
**Mandatory skills**
* Experience Level 8\+ years of experience in cloud engineering or data engineering roles.
* AWS Services: Lambda, EC2, S3, Glue, RDS, Redshift, Step Functions (or equivalent combinations).
* DBD (Database Design / Data Build Development): Strong data modelling \&amp; relational design skills.
* SQL Expertise: Advanced querying, performance tuning, and data validation. Experience building cloud\-native ETL pipelines or distributed data systems.
* Understanding of healthcare data (preferred but not mandatory).
**Roles and Responsibilities**
* Cloud \&amp; Data Engineering Design, develop, and maintain AWS\-based data engineering pipelines, including ingestion, transformation, and validation workflows.
* Build and optimize data models, DBD components, and SQL\-based processing for Life Sciences datasets. Support secure and scalable integration with other companies tools, APIs, and data\-sharing frameworks.
* Design robust data validation structures to ensure accuracy, completeness, and auditability across all data flows.
* Collaboration \&amp; Stakeholder Interaction Work directly with onsite team members (Mexico/US) for real\-time clarification and delivery coordination.
* Participate in requirement\-gathering sessions and ensure solution alignment with Life Sciences workflows. Quality, Optimization \&amp; Delivery Contribute to API design, ETL optimization, and scalable architecture patterns.
* Assist in documenting workflows, data lineage, dev standards, and deployment procedures. Troubleshoot production issues and implement preventative improvements</t>
        </is>
      </c>
    </row>
    <row r="5">
      <c r="A5" t="inlineStr">
        <is>
          <t>in-9bcbe2a7b0d52711</t>
        </is>
      </c>
      <c r="B5" t="inlineStr">
        <is>
          <t>GIS Data Engineer</t>
        </is>
      </c>
      <c r="C5" t="inlineStr">
        <is>
          <t>URBANIZE</t>
        </is>
      </c>
      <c r="D5" t="inlineStr">
        <is>
          <t>indeed</t>
        </is>
      </c>
      <c r="E5" t="inlineStr"/>
      <c r="F5" t="inlineStr"/>
      <c r="G5" t="inlineStr">
        <is>
          <t>San Antonio, TX, US</t>
        </is>
      </c>
      <c r="H5" s="2" t="n">
        <v>46052</v>
      </c>
      <c r="I5" t="inlineStr">
        <is>
          <t>Company Overview
Urbanize Inc. is a technology company focused on accelerating equitable and sustainable housing development through advanced geospatial intelligence. Our mission is to empower developers, investors, and policymakers with precise, data\-driven insights that make affordable housing development faster, more transparent, and more efficient. We combine expertise in GIS, data engineering, and urban planning to deliver an integrated platform that aggregates parcel\-level, zoning, environmental, and market data, enabling users to identify high\-opportunity sites for affordable housing with confidence.
By developing cutting\-edge data infrastructure, Urbanize transforms complex geospatial datasets into actionable intelligence that supports Low\-Income Housing Tax Credit (LIHTC) project analysis, site scoring, and investment strategy. Our team is committed to rigorous data quality, innovation, and the belief that better spatial information leads to more equitable and sustainable communities.
Position Summary
We seek a GIS Data Engineer to serve as a cornerstone of our technical team, responsible for the comprehensive management of geospatial parcel data that powers our LIHTC development platform. This position demands expertise in extracting, cleaning, harmonizing, and generating geospatial data at scale—focusing on parcel\-level information that supports affordable housing development decisions.
The successful candidate will architect and maintain robust data processing pipelines that integrate diverse spatial datasets, implement sophisticated spatial analysis methodologies, and deliver reliable, high\-quality data products. The ideal candidate thrives in a fast\-paced environment, demonstrates exceptional problem\-solving skills, and maintains an unwavering commitment to data accuracy, performance, and scalability.
Core Responsibilities
Data Architecture and Pipeline Development
* Design and implement scalable ETL workflows capable of processing parcel data from public, purchased, and web\-scraped sources.
* Develop automated pipelines integrating APIs such as OpenStreetMap, Google Places, and Mapbox with data harmonization workflows.
* Build and maintain robust PostGIS database architectures optimized for spatial query performance and data integrity.
* Establish version control systems for geospatial data and implement backup and recovery procedures ensuring business continuity.
Spatial Analysis and Methodology Development
* Develop advanced spatial methodologies for LIHTC project evaluation based on Qualified Allocation Plan (QAP) scoring criteria.
* Implement proximity, isochrone, and buffer\-based analysis methods for assessing access to amenities, employment centers, and services.
* Create algorithms that convert spatial relationships into quantitative metrics used for project ranking and investment prioritization.
* Integrate zoning, census, and environmental datasets into unified analytical frameworks supporting affordable housing policy analysis.
Data Quality and Control Systems
* Implement robust quality assurance and validation systems to detect spatial inconsistencies, coordinate errors, and data anomalies.
* Develop visualization tools to verify spatial calculations and ensure transparency in methodology for stakeholders and clients.
* Create repeatable error correction workflows enabling rapid issue resolution and continuous improvement of data accuracy.
* Establish cross\-validation systems to verify coordinate systems, projections, and calculated metrics across datasets.
Performance Optimization and Scalability
* Continuously optimize data pipelines to improve efficiency and scalability using distributed frameworks such as Apache Spark.
* Develop caching mechanisms, batch processing strategies, and asynchronous workflows to maximize processing speed and reliability.
* Monitor and resolve performance bottlenecks, balancing system cost and throughput across cloud and on\-premise infrastructure.
* Apply parallel processing techniques and performance tuning strategies for geospatial datasets exceeding millions of records.
Technical Requirements
The GIS Data Engineer must possess strong technical expertise across data management, programming, and geospatial analysis domains. This includes mastery of PostGIS for spatial database administration, advanced Python scripting for automation, and experience with modern ETL frameworks.
* Spatial Databases, Expert: PostGIS, PostgreSQL
* Programming Languages, Expert: Python, SQL
* GIS Software, Advanced: ArcGIS, QGIS
* Data Processing, Advanced: ETL Workflows, batch processing
* Web APIs, Intermediate: Google Places, Mapbox API, OpenStreetMap
* Version control, Intermediate: Git, Github
Preferred Technical Skills
* Experience with distributed computing frameworks such as Apache Spark.
* Familiarity with cloud platforms (AWS, GCP, Azure) for scalable data infrastructure.
* Knowledge of Docker or containerized environments for reproducible deployments.
* Experience with web scraping tools and techniques for automated data collection.
* Familiarity with data visualization libraries or frameworks for spatial QA and analytics.
Domain Knowledge Requirements
LIHTC Program Understanding
* Comprehensive understanding of the Low\-Income Housing Tax Credit (LIHTC) program, including Qualified Allocation Plans (QAPs).
* Familiarity with state housing finance agency processes and affordable housing regulatory frameworks.
* Knowledge of site selection, zoning compliance, and community impact considerations in project development.
* Understanding of affordable housing policy, financing mechanisms, and stakeholder relationships.
Geospatial Analysis Expertise
* Deep understanding of spatial operations including proximity analysis, buffering, overlay analysis, and spatial joins.
* Knowledge of coordinate systems, map projections, and reference systems for ensuring accuracy in multi\-source integration.
* Experience translating geospatial data into business intelligence, dashboards, and analytical reports.
* Understanding of demographic, economic, and zoning data relevant to urban development and planning.
Qualifications and Experience
Educational Background
A Bachelor's degree in Computer Science, Geography, Engineering, Urban Planning, or a related field is required. A Master's degree in Geographic Information Systems, Geospatial Technology, or a related discipline is highly desirable. Certifications in GIS, database administration, or cloud platforms (AWS, GCP, Azure) are advantageous.
Professional Experience
At least three years of experience in GIS data engineering, spatial database management, or similar technical roles. Experience working with large\-scale spatial datasets, especially in real estate, environmental analysis, or public sector data, is highly valuable. Proven success in building production\-level ETL pipelines, API integrations, and geospatial automation tools is essential.
Performance Expectations and Success Metrics
* Maintain data quality standards that ensure accuracy, completeness, and reliability across all spatial products.
* Implement processing optimizations that increase throughput and reduce latency without compromising quality.
* Contribute innovative methodologies that enhance spatial analysis, visualization, and decision support capabilities.
* Demonstrate proactive problem\-solving, leadership in data\-driven initiatives, and commitment to continuous improvement.
Working Environment and Expectations
* Collaborate closely with developers, analysts, and business stakeholders to deliver data\-driven insights.
* Communicate complex spatial and technical concepts clearly to non\-technical audiences.
* Adapt effectively to shifting priorities, emerging technologies, and changing project requirements.
* Operate efficiently under tight deadlines while maintaining high standards for data accuracy and performance.
Compensation and Benefits
* Competitive salary and equity package based on experience and qualifications.
* Comprehensive professional development support including training, certifications, and conferences.
* Flexible work arrangements promoting work\-life balance and team collaboration.
* A mission\-driven, innovative, and collaborative company culture focused on impact and excellence.
Job Type: Full\-time
Pay: $15\.00 \- $25\.00 per hour
Benefits:
* Health insurance
* Paid time off
Work Location: In person</t>
        </is>
      </c>
    </row>
    <row r="6">
      <c r="A6" t="inlineStr">
        <is>
          <t>in-0e2cfe2663b5e67d</t>
        </is>
      </c>
      <c r="B6" t="inlineStr">
        <is>
          <t>Associate Data Engineer, Data Governance</t>
        </is>
      </c>
      <c r="C6" t="inlineStr">
        <is>
          <t>Inmar</t>
        </is>
      </c>
      <c r="D6" t="inlineStr">
        <is>
          <t>indeed</t>
        </is>
      </c>
      <c r="E6" t="inlineStr"/>
      <c r="F6" t="inlineStr"/>
      <c r="G6" t="inlineStr">
        <is>
          <t>Winston-Salem, NC, US</t>
        </is>
      </c>
      <c r="H6" s="2" t="n">
        <v>46051</v>
      </c>
      <c r="I6" t="inlineStr">
        <is>
          <t>The Data Governance team provides enterprise\-wide oversight and enablement to ensure data is properly classified, documented, trusted, secure, and used responsibly. Acting as a bridge across business, engineering, privacy, and security teams, the team develops and operationalizes policies, standards, tooling, and metrics that reduce risk, improve data quality, enable AI, and drive cost accountability.
PRIMARY ACCOUNTABILITIES  
As an Associate Data Engineer on the Data Governance team, you will support the implementation and day\-to\-day execution of Inmar’s Data Governance program. This is a hands\-on role focused on building, operating, and improving governance\-related data engineering capabilities under the guidance of senior engineers.  
Governance Enablement \&amp; Automation* Assist in building and maintaining automated, repeatable processes that implement data governance policies and standards.
* Support enforcement of required metadata, tagging, and ownership standards across cloud and on\-prem data environments.
* Help embed governance controls into pipelines and platforms rather than relying on manual or ad hoc processes.
Metadata, Cataloging \&amp; Lineage* Publish and maintain datasets in the enterprise metadata catalog, ensuring required fields such as owner, description, classification, and lineage are captured.
* Assist with lineage documentation and validation for critical datasets and pipelines.
* Participate in metadata audits and help track adoption and compliance metrics.
Data Classification \&amp; Sensitive Data Controls* Help run and validate sensitive data scans (e.g., PII, PHI, PCI) using approved tools and scripts.
* Apply and verify data classification and asset tagging standards in alignment with enterprise policies.
* Support remediation efforts when gaps or inconsistencies are identified.
Access Controls \&amp; Cost Transparency* Support audits and reporting related to data access, ownership, and least\-privilege enforcement.
* Assist with tagging and ownership initiatives that enable cloud cost visibility and accountability.
* Help maintain dashboards and reports that surface governance KPIs for technical and business stakeholders.
Team Execution \&amp; Collaboration* Follow established Data Governance team standards for communication, documentation, code reviews, releases, and handoffs.
* Participate in daily standups, Jira updates, PR reviews, and knowledge\-sharing activities.
* Work closely with Data Governance, Data Quality, Privacy, Security, and Data Engineering partners.
EDUCATION / QUALIFICATIONS / EXPERIENCE  
Required* B.S. in Computer Science, Information Systems, Data Engineering, or a related field or equivalent practical experience (1\-3 years).
* Experience with Python or another scripting language.
* Working knowledge of SQL and experience querying large datasets.
* Familiarity with ETL/ELT processes and workflow management tools (Airflow, dbt, etc).
* Familiarity with cloud platforms (GCP or AWS preferred; Azure acceptable).
* Understanding of core data governance concepts (metadata, quality, classification, access, lineage).
* Strong attention to detail, organization, and follow\-through.
* Clear written and verbal communication skills.
Preferred / Nice to Have* Exposure to data governance, metadata, or cataloging tools (e.g., Dataplex, Data Catalog, DLP, BigID).
* Experience with relational databases (e.g., MySQL, SQL Server, PostgreSQL).
* Exposure to NoSQL databases.
* Experience with structured and semi\-structured data formats (e.g., JSON, Parquet, Avro).
* Familiarity with Git/Github, and CI/CD concepts.
* Experience with troubleshooting, performance tuning, or optimization
* Interest in data privacy, compliance, and secure data handling practices.
At Inmar, we put people first and that means empowering our associates to thrive at every stage of life and career. Our comprehensive and competitive benefits package is thoughtfully designed to support a wide range of lifestyles and life stages.
Eligible associates have access to:* Medical, Dental, and Vision insurance
* Basic and Supplemental Life Insurance options
* 401(k) retirement plans with company match
* Health Spending Accounts (HSA/FSA)
We also offer:* Flexible time off and 11 paid holidays
* Family\-building benefits, including Maternity, Adoption, and Parental Leave
* Tuition Reimbursement and certification support, reflecting our commitment to lifelong learning
* Wellness and Mental Health counseling services
* Concierge and work/life support resources
* Adoption Assistance Reimbursement
* Perks and discount programs
Please note that eligibility for some benefits may depend on your job classification and length of employment. Benefits are subject to change and may be governed by specific plan or program terms.
At Inmar, compensation reflects our belief in integrity, transparency, and the value of individual contributions. The hiring range for this position is:
57,287\.25 \- 95,478\.75 USD Annual
The final offer may vary based on factors such as geographic location, job\-related skills, education, certifications, work experience, and other relevant considerations.
Depending on the job level and role, it may include:* Annual discretionary bonuses through our Core Company Performance Bonus Plan
* Equity grants, sign\-on bonuses, and other tailored incentive opportunities
* Additional discretionary compensation, such as:
	+ Growing Revenue Incentives
	+ Corporate or VIP Bonuses
	+ Deferred compensation opportunities
The actual annualized salary offered at the time of hire will be communicated in the candidate’s offer letter. We remain committed to fairness and transparency across all locations. Where required, including for remote\-eligible roles, local pay ranges are disclosed in accordance with applicable laws and regulations.
We are an Equal Opportunity Employer, including disability/vets.
Recruitment Fraud Notice: Recruitment fraud is an increasingly common scam where individuals pose as employers to offer fictitious job opportunities. Scammers sometimes impersonate Inmar recruiters on LinkedIn and other channels. We will never ask for payment or sensitive personal information during the hiring process. Verify any role on our official Workday Careers site and learn how to spot scams in our full notice.
This position is not eligible for student visa sponsorship, including F\-1 OPT or CPT. Candidates must have authorization to work in the U.S. without the need for employer sponsorship now or in the future.</t>
        </is>
      </c>
    </row>
    <row r="7">
      <c r="A7" t="inlineStr">
        <is>
          <t>in-62305980fdc8729b</t>
        </is>
      </c>
      <c r="B7" t="inlineStr">
        <is>
          <t>Data Engineer III with TS/SCI Eligibility</t>
        </is>
      </c>
      <c r="C7" t="inlineStr">
        <is>
          <t>Sancorp Consulting</t>
        </is>
      </c>
      <c r="D7" t="inlineStr">
        <is>
          <t>indeed</t>
        </is>
      </c>
      <c r="E7" t="inlineStr"/>
      <c r="F7" t="inlineStr"/>
      <c r="G7" t="inlineStr">
        <is>
          <t>Arlington, VA, US</t>
        </is>
      </c>
      <c r="H7" s="2" t="n">
        <v>46051</v>
      </c>
      <c r="I7" t="inlineStr">
        <is>
          <t>Data Engineer III \- Top Secret, SCI Eligible \- MUST HAVE SECURITY CLEARANCE \- PLEASE DO NOT APPLY UNLESS YOU HOLD A TS WITH SCI ELIGIBILITY
**Position Summary:**
Position Description:
Data Engineer III
Location:
National Capital Region
Work Posture:
On\-site
Travel:
Occasional
Deployment:
No
Drug screening:
Yes
Security Clearance:
Citizenship:
Top Secret, SCI Eligible \- MUST HAVE SECURITY CLEARANCE
Must be a U.S. Citizen
Education
Bachelor’s Degree
Required Experience
* 10\+ years in the field of Data Science or Data Engineering.
* 3\+ years designing and deploying full\-stack web services. environments to include NIPR, SIPR, and JWICS.
* 10\+ years of technical experience supporting DoD/IC data systems and enterprise architecture.
* Proven ability to design, model, and engineer data architectures across multi\-classification environments.
* Experience supporting compartmented/SAP analytical platforms, operational reporting systems, and system accreditation efforts.
* Skilled in cataloging, storing, and maintaining sensitive data, including multi\-sensor and multi\-level UAP reporting.
* Experience supporting RDT\&amp;E oversight, data\-source integration, and DoD/IC data\-sharing requirements.
* Familiarity with applying AI/ML technologies to improve data management, analytics, and mission support.
* Strong background in technical advising, weekly coordination, and daily system development support.
Salary:
Commensurate with experience
 **Responsibilities:**
SANCORP is seeking a Data Engineer III to provide Administrative, Analytic, Scientific, Information Technology and Subject Matter Expertise Support Services in direct support to Research, Development, Test \&amp; Evaluation Activities within Office of the Under Secretary of War for Intelligence and Security (OUSW(I\&amp;S)). The following are examples of responsibilities:
* Serve as the data architecture, knowledge management focal point, and Senior advisor responsible for creating, coordinating and managing diverse information systems up to and including information requiring compartment and special access protection.
* Provide daily technical expertise, advice, and support for the development and delivery of enterprise data architecture strategies including data modeling, design, data engineering and implementation solutions to meet enterprise level data architecture challenges.
* Provide technical expertise, advice, and support for the design, coordination, management and implementation, and oversight of a common analytical platform capable of using compartmented and special access information, to include DoD\-wide efforts to gain system accreditation.
* Provide technical expertise, advice, and support for the design, coordination, management, implementation, operation, and oversight of a common operational reporting system.
* Provide technical expertise, advice, and support required to ensure that UAP incident reporting is appropriately cataloged, stored, curated, and maintained, to include sensor data from multiple platforms and data at multiple classification levels.
* In total, the provision of technical expertise, advice, and support would entail attending weekly meetings to coordinate efforts and advise, assisting in coding on a weekly basis, and identifying key areas needed for development on a daily review basis.
* Support the technical oversight of OUSW(I\&amp;S) sponsored RDT\&amp;E projects and activities on a monthly basis.
* Support the identification of disparate data\-sources and data sharing requirements necessary to coordinate data import and exchange with DoD Components, the Intelligence Community, and NDFDAs on a monthly basis.
* Provide technical expertise, advice, and support required to identify, recommend, and implement Artificial Intelligence/Machine Learning (AI/ML) technologies to improve data management and analysis support for the OUSW(I\&amp;S) mission. Assist government lead in developing and preparing documentation for procurement packages, such as Statements of Work (SOW) and Performance Work Statements (PWS), Sole Source Justifications and Brand Name Justifications, Market Analysis and Research, Reviewing Cost Estimates and Quality Assurance Plans to ensure accuracy, completeness, and consistency.
* General Support: Provide advice, recommendations, and document preparation support to multiple offices across various disciplines, ensuring seamless acquisition processes and compliance with regulatory requirements. Develop and coordinate OSD staff packages, including for time\-sensitive requirements, for DIR OUSW(I\&amp;S) review and decision.
Sancorp Consulting LLC shall, in its discretion, modify or adjust the position to meet Sancorp’s changing needs. This job description is not a contract and may be adjusted as deemed appropriate at Sancorp’s sole discretion.
Sancorp Consulting, LLC, is an SDVOSB and SBA 8(a) company seeking highly motivated and qualified professionals and offer an attractive salary and benefits package that includes: Medical, Dental, life and Disability Insurance; 401K, and holidays to ensure the highest quality of life for our employees. Please visit our website for more information at www.sancorpconsulting.com.
Sancorp Consulting, LLC is an equal opportunity employer. At Sancorp Consulting, LLC we are committed to providing equal employment opportunities (EEO) to all employees and applicants without regard to race color, religion, sex, national origin, age, disability, or any other protected characteristic as defined by applicable law. We strive to create an inclusive and diverse workplace where everyone feels valued, respected, and supported.</t>
        </is>
      </c>
    </row>
    <row r="8">
      <c r="A8" t="inlineStr">
        <is>
          <t>in-f500c9c8e749997b</t>
        </is>
      </c>
      <c r="B8" t="inlineStr">
        <is>
          <t>Junior Data Engineer</t>
        </is>
      </c>
      <c r="C8" t="inlineStr">
        <is>
          <t>Teza Technologies</t>
        </is>
      </c>
      <c r="D8" t="inlineStr">
        <is>
          <t>indeed</t>
        </is>
      </c>
      <c r="E8" t="inlineStr"/>
      <c r="F8" t="inlineStr"/>
      <c r="G8" t="inlineStr">
        <is>
          <t>Austin, TX, US</t>
        </is>
      </c>
      <c r="H8" s="2" t="n">
        <v>46051</v>
      </c>
      <c r="I8" t="inlineStr">
        <is>
          <t>**About the role**
Teza Technologies is looking for Junior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Austin, TX (Hybrid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Data Science or related field.
 **Benefits**
* Health, visual and dental insurance
* Flexible sick time policy</t>
        </is>
      </c>
    </row>
    <row r="9">
      <c r="A9" t="inlineStr">
        <is>
          <t>in-1cbe40ed16a76e92</t>
        </is>
      </c>
      <c r="B9" t="inlineStr">
        <is>
          <t>Associate Principal - Data Engineering</t>
        </is>
      </c>
      <c r="C9" t="inlineStr">
        <is>
          <t>LTIMindtree</t>
        </is>
      </c>
      <c r="D9" t="inlineStr">
        <is>
          <t>indeed</t>
        </is>
      </c>
      <c r="E9" t="inlineStr"/>
      <c r="F9" t="inlineStr"/>
      <c r="G9" t="inlineStr">
        <is>
          <t>Houston, TX, US</t>
        </is>
      </c>
      <c r="H9" s="2" t="n">
        <v>46051</v>
      </c>
      <c r="I9" t="inlineStr">
        <is>
          <t>**Role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40 countries, LTIMindtree — a Larsen \&amp; Toubro Group company — solves the most complex business challenges and delivers transformation at scale. For more information, please visit
Job title: Azure ADF Lead
Location Houston,Texas Onsite
Job Summary
Seeking an Associate Principal with 11 to 15 years of experience in designing developing and managing scalable data integration solutions using Azure Data Factory ADF.
 Job Description
 Design develop and implement robust and scalable data pipelines and workflows using Azure Data Factory to support enterprisewide data integration needs Collaborate with data engineers architects and business stakeholders to gather and translate complex data requirements into efficient ADF solutions Develop and maintain ETLELT processes ensuring high data quality reliability and optimal performance Optimize ADF pipelines for performance scalability and cost efficiency Integrate Azure Data Factory with other Azure services such as Azure Data Lake Azure SQL Database and Azure Databricks to build comprehensive cloud data solutions Ensure compliance with data governance security policies and best practices for cloudbased data environments Document technical specifications design decisions and development processes related to data pipelines Stay current with the latest trends and best practices in Azure data services and cloud data engineering.
Roles and Responsibilities
Lead and manage Azure Data Factory environments including provisioning configuration monitoring and administration Design and implement highly available faulttolerant and resilient data integration solutions within the Microsoft Azure ecosystem Analyze and improve existing data workflows operational standards and automation opportunities Collaborate with crossfunctional teams to support cloud adoption and modernization of data applications Participate in Agile development processes and contribute to continuous integration and continuous deployment CICD pipelines for data integration solutions Develop infrastructure as code IaC using Azure native tools to automate deployment of data integration platforms Monitor pipeline performance and implement data protection best practices to prevent data loss Provide technical mentorship guidance and leadership to junior team members and peers Participate in oncall rotations to promptly address and resolve critical production issues,
Benefits and Perks:
* Comprehensive Medical Plan Covering Medical, Dental, Vision
* Short Term and Long\-Term Disability Coverage
* 401(k) Plan with Company match
* Life Insurance
* Vacation Time, Sick Leave, Paid Holidays
* Paid Paternity and Maternity Leave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**Skills** **Mandatory Skills :** Azure Data Factory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$135,000\.00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10">
      <c r="A10" t="inlineStr">
        <is>
          <t>in-f8ed6f01875a2d53</t>
        </is>
      </c>
      <c r="B10" t="inlineStr">
        <is>
          <t>Analytics Engineer</t>
        </is>
      </c>
      <c r="C10" t="inlineStr">
        <is>
          <t>HCA Healthcare</t>
        </is>
      </c>
      <c r="D10" t="inlineStr">
        <is>
          <t>indeed</t>
        </is>
      </c>
      <c r="E10" t="inlineStr"/>
      <c r="F10" t="inlineStr"/>
      <c r="G10" t="inlineStr">
        <is>
          <t>Nashville, TN, US</t>
        </is>
      </c>
      <c r="H10" s="2" t="n">
        <v>46050</v>
      </c>
      <c r="I10" t="inlineStr">
        <is>
          <t>##### **Introduction**
Do you want to join an organization that invests in you as an Analytics Engineer?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Analytics Engineer like you to be a part of our team.
##### **Job Summary and Qualifications**
JOB SUMMARY
The Analytics Engineer I supports the Service Management Organization (SMO) by transforming business requirements into scalable analytical work products. This role focuses on developing high\-quality dashboards, self\-service analytics, and data driven insights using modern BI platforms, cloud\-based AI/ML services, and enterprise data products. Working in partnership with SMO leadership, ITG, and business stakeholders, the engineer leverages advanced analytics tooling—including generative AI platforms, automation frameworks, and modern data engineering practices to improve operational performance and enable decision making. This individual will participate in large\-scale development projects as well as collaborating with stakeholders on ad\-hoc reporting and analytics needs.
GENERAL RESPONSIBILITIES
* Develop, enhance, and maintain analytic data products and models using modern BI and AI‑powered platforms (e.g., Power BI, ServiceNow Now Assist, Dynatrace, GCP Vertex Platform).
* Work collaboratively with the business to understand needs and translate these requirements into actionable and effective work products
* Work closely with SMO Leaders and the broader Information Technology Group (ITG) organization to assist with ad\-hoc analytical support needs.
* Demonstrate and apply knowledge regarding the building of generative AI solutions including parsing/chunking, Retrieval\-Augmented Generator (RAG), semantic modelling, and other design approaches to help ground models in operational data
* Knowledge of scripting or programming languages (Python, SQL)
* Leverage GCP MLOps workflows to perform model training, deployment, and monitoring.
* Demonstrate and understanding of Agile development methods and tools
* Use Git/Github, Terraform, and CI/CD tools (e.g. Docker) to manage solution deployment
* Support new reporting initiatives and applications by gaining an understanding of the underlying data models and designing reports for new applications.
* Manage multiple concurrent projects with strong organization, documentation, and self‑direction.
* Demonstrate a working knowledge of hospital operations, strategy, and other growth functions and the various data points and systems surrounding these areas.
* Contribute to the success of strategic initiatives through innovation, creativity, and continued quality and process improvement.
* Seek out best analytic practices and help scale them where appropriate.
* Provide training and user education on developed solutions
* Apply knowledge of Information Technology Infrastructure Library (ITIL) and Information Technology Service Management (ITSM) concepts
* Participates in ITG and SMO departmental project activities or other duties as assigned, such as attending project meetings, testing, developing or reviewing documentation and support procedures, supporting implementations, etc. Opportunities to travel to conferences from time to time
EDUCATION
Bachelor’s degree preferred
EXPERIENCE
1\-3 years of experience required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Analytics Engineer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1">
      <c r="A11" t="inlineStr">
        <is>
          <t>in-2eae7b7810544db7</t>
        </is>
      </c>
      <c r="B11" t="inlineStr">
        <is>
          <t>Senior Data Engineer</t>
        </is>
      </c>
      <c r="C11" t="inlineStr">
        <is>
          <t>Capital One</t>
        </is>
      </c>
      <c r="D11" t="inlineStr">
        <is>
          <t>indeed</t>
        </is>
      </c>
      <c r="E11" t="inlineStr"/>
      <c r="F11" t="inlineStr"/>
      <c r="G11" t="inlineStr">
        <is>
          <t>Richmond, VA, US</t>
        </is>
      </c>
      <c r="H11" s="2" t="n">
        <v>46050</v>
      </c>
      <c r="I11" t="inlineStr">
        <is>
          <t>Senior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in-4454d8011a6c0bb7</t>
        </is>
      </c>
      <c r="B12" t="inlineStr">
        <is>
          <t>Senior Lead Data Engineer</t>
        </is>
      </c>
      <c r="C12" t="inlineStr">
        <is>
          <t>Capital One</t>
        </is>
      </c>
      <c r="D12" t="inlineStr">
        <is>
          <t>indeed</t>
        </is>
      </c>
      <c r="E12" t="inlineStr"/>
      <c r="F12" t="inlineStr"/>
      <c r="G12" t="inlineStr">
        <is>
          <t>McLean, VA, US</t>
        </is>
      </c>
      <c r="H12" s="2" t="n">
        <v>46050</v>
      </c>
      <c r="I12" t="inlineStr">
        <is>
          <t>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the data, data design and building information systems with emerging technologies. As a Capital One Senior Lead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using data movement tools and technologies**
* **Work, as a lead developer, with a team of developers with deep experience in data movement, distributed computing, and full stack systems**
* **Utilize programming languages like Python, SQL and Open Source RDBMS and NoSQL databases and Cloud based data warehousing services such as Snowflake**
* **Optimize information system for end\-user and downstream application consumers by using sound data design practices**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Spark, ETL tools, AWS Glue**
* **4\+ years of experience with a public cloud (AWS, Microsoft Azure, Google Cloud)**
* **5\+ years experience with Distributed data/computing tools (MapReduce, Hadoop, Hive, EMR, Kafka, Spark,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**4\+ years experience with data modeling for data warehousing**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New York, NY: $250,800 \- $286,200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in-b241dbad3b16389e</t>
        </is>
      </c>
      <c r="B13" t="inlineStr">
        <is>
          <t>Senior Data Engineer - Digital Marketing &amp; Analytics</t>
        </is>
      </c>
      <c r="C13" t="inlineStr">
        <is>
          <t>Microsoft</t>
        </is>
      </c>
      <c r="D13" t="inlineStr">
        <is>
          <t>indeed</t>
        </is>
      </c>
      <c r="E13" t="inlineStr"/>
      <c r="F13" t="inlineStr"/>
      <c r="G13" t="inlineStr">
        <is>
          <t>Redmond, WA, US</t>
        </is>
      </c>
      <c r="H13" s="2" t="n">
        <v>46049</v>
      </c>
      <c r="I13" t="inlineStr">
        <is>
          <t>**Overview**  
The Consumer Growth Engine (CGE) \&amp; Integrated Marketing organization is a digitally centric team focused on delighting customers with relevant, timely, personalized communications to help them grow excitement in getting more value out of Microsoft products and services.
The **Senior Data Engineer – Digital Marketing \&amp; Analytics** is responsible for implementing and operating Consumer Data Platform (CDP) data pipelines and data layers that support analytics, activation, and AI enabled digital marketing across CGE \&amp; IM. We are hiring for two roles, one role will focus on analytics and reporting data engineering including semantic data layers in Fabric, the second role will focus on a platform activation layer to integrate our data with various marketing tools, AI agent, machine learning. This role partners closely with a Technical Architect and Data Strategist to translate defined business requirements and architecture into clear implementation specifications and reliable data solutions.
This role emphasizes delivery, execution, and operational ownership. While proficient technical capability is required, a key part of this role is to understand documented business needs, research and integrate data sources, define implementationlevel logic, and ensure data is usable, governed, productionready and aligned with the CDP strategy and architecture 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Implementation \&amp; Delivery Ownership
* Build data pipelines and curated datasets per CDP architecture and Technical Architect guidelines.
* Define implementation specs covering mapping, transformation, validation, and dependencies.
* Maintain analytics\- and activation\-ready data layers for reporting, segmentation, personalization, and AI.
Business Requirement Interpretation
* Collaborate with Data Strategist and analytics teams to clarify measurement and AI requirements.
* Assess feasibility, risks, and methods using available data sources.
* Flag and recommend solutions for data gaps, quality issues, or dependencies.
Data Source Integration
* Integrate necessary first\- and third\-party data for CDP use cases.
* Apply standard ingestion and transformation patterns according to governance standards.
* Structure and document data for analytics and activation.
Governance, Privacy \&amp; Data Quality
* Embed data quality checks, monitoring, and lineage in workflows.
* Ensure pipelines comply with consent, retention, and privacy mandates.
* Coordinate with Legal, Privacy, and Governance on new or updated data sources.
Operational Excellence
* Oversee pipeline health, including monitoring and root cause analysis.
* Automate and standardize processes to minimize manual work.
* Support optimization and scaling of CDP implementations.
Cross\-Team Collaboration
* Operate within a shared ownership model for roadmap, architecture, and delivery.
* Achieve clarity on data sources, integration and communicate status and risks to both technical and non\-technical audiences.
* Share feedback to guide future architectural decisions.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Experience supporting digital marketing, personalization, experimentation, or customer analytics use cases.
* Experience working with or alongside a Customer Data Platform (CDP), Azure and Fabric Data Factories.
* Familiarity with identity data concepts and activation workflows.
* Experience operating within architectled or strategistled delivery models.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
      <c r="A14" t="inlineStr">
        <is>
          <t>in-bda8b6135c1cb882</t>
        </is>
      </c>
      <c r="B14" t="inlineStr">
        <is>
          <t>Data Engineer, Global Planning, Amazon Leo</t>
        </is>
      </c>
      <c r="C14" t="inlineStr">
        <is>
          <t>Amazon.com</t>
        </is>
      </c>
      <c r="D14" t="inlineStr">
        <is>
          <t>indeed</t>
        </is>
      </c>
      <c r="E14" t="inlineStr"/>
      <c r="F14" t="inlineStr"/>
      <c r="G14" t="inlineStr">
        <is>
          <t>Bellevue, WA, US</t>
        </is>
      </c>
      <c r="H14" s="2" t="n">
        <v>46037</v>
      </c>
      <c r="I1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5">
      <c r="A15" t="inlineStr">
        <is>
          <t>in-f9ab4173308f9c96</t>
        </is>
      </c>
      <c r="B15" t="inlineStr">
        <is>
          <t>Data Engineer, Global Planning, Amazon Leo</t>
        </is>
      </c>
      <c r="C15" t="inlineStr">
        <is>
          <t>Amazon.com</t>
        </is>
      </c>
      <c r="D15" t="inlineStr">
        <is>
          <t>indeed</t>
        </is>
      </c>
      <c r="E15" t="inlineStr"/>
      <c r="F15" t="inlineStr"/>
      <c r="G15" t="inlineStr">
        <is>
          <t>Arlington, VA, US</t>
        </is>
      </c>
      <c r="H15" s="2" t="n">
        <v>46037</v>
      </c>
      <c r="I15"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6">
      <c r="A16" t="inlineStr">
        <is>
          <t>in-816aa8af67f028a2</t>
        </is>
      </c>
      <c r="B16" t="inlineStr">
        <is>
          <t>Data Engineer, Denied Party Screening, AWS Compliance &amp; Security Assurance</t>
        </is>
      </c>
      <c r="C16" t="inlineStr">
        <is>
          <t>Amazon.com</t>
        </is>
      </c>
      <c r="D16" t="inlineStr">
        <is>
          <t>indeed</t>
        </is>
      </c>
      <c r="E16" t="inlineStr"/>
      <c r="F16" t="inlineStr"/>
      <c r="G16" t="inlineStr">
        <is>
          <t>Seattle, WA, US</t>
        </is>
      </c>
      <c r="H16" s="2" t="n">
        <v>46029</v>
      </c>
      <c r="I1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7">
      <c r="A17" t="inlineStr">
        <is>
          <t>in-cce47077d9b65b55</t>
        </is>
      </c>
      <c r="B17" t="inlineStr">
        <is>
          <t>Data Engineer, Denied Party Screening, AWS Compliance &amp; Security Assurance</t>
        </is>
      </c>
      <c r="C17" t="inlineStr">
        <is>
          <t>Amazon.com</t>
        </is>
      </c>
      <c r="D17" t="inlineStr">
        <is>
          <t>indeed</t>
        </is>
      </c>
      <c r="E17" t="inlineStr"/>
      <c r="F17" t="inlineStr"/>
      <c r="G17" t="inlineStr">
        <is>
          <t>Dallas, TX, US</t>
        </is>
      </c>
      <c r="H17" s="2" t="n">
        <v>46029</v>
      </c>
      <c r="I1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8">
      <c r="A18" t="inlineStr">
        <is>
          <t>in-1550c4e47efb9b63</t>
        </is>
      </c>
      <c r="B18" t="inlineStr">
        <is>
          <t>Data Engineer</t>
        </is>
      </c>
      <c r="C18" t="inlineStr">
        <is>
          <t>Amazon.com</t>
        </is>
      </c>
      <c r="D18" t="inlineStr">
        <is>
          <t>indeed</t>
        </is>
      </c>
      <c r="E18" t="inlineStr"/>
      <c r="F18" t="inlineStr"/>
      <c r="G18" t="inlineStr">
        <is>
          <t>Seattle, WA, US</t>
        </is>
      </c>
      <c r="H18" s="2" t="n">
        <v>46001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in-ab0dddfc496ce470</t>
        </is>
      </c>
      <c r="B19" t="inlineStr">
        <is>
          <t>Data Engineer</t>
        </is>
      </c>
      <c r="C19" t="inlineStr">
        <is>
          <t>Amazon.com</t>
        </is>
      </c>
      <c r="D19" t="inlineStr">
        <is>
          <t>indeed</t>
        </is>
      </c>
      <c r="E19" t="inlineStr"/>
      <c r="F19" t="inlineStr"/>
      <c r="G19" t="inlineStr">
        <is>
          <t>San Francisco, CA, US</t>
        </is>
      </c>
      <c r="H19" s="2" t="n">
        <v>46001</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in-1618a83c73fd613a</t>
        </is>
      </c>
      <c r="B20" t="inlineStr">
        <is>
          <t>Delivery Consultant - Data Engineer, Data and Machine Learning, WWPS US Federal</t>
        </is>
      </c>
      <c r="C20" t="inlineStr">
        <is>
          <t>Amazon Web Services</t>
        </is>
      </c>
      <c r="D20" t="inlineStr">
        <is>
          <t>indeed</t>
        </is>
      </c>
      <c r="E20" t="inlineStr"/>
      <c r="F20" t="inlineStr"/>
      <c r="G20" t="inlineStr">
        <is>
          <t>Herndon, VA, US</t>
        </is>
      </c>
      <c r="H20" s="2" t="n">
        <v>45991</v>
      </c>
      <c r="I2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in-590c716877f2ce04</t>
        </is>
      </c>
      <c r="B21" t="inlineStr">
        <is>
          <t>Delivery Consultant - Data Engineer, Data and Machine Learning, WWPS US Federal</t>
        </is>
      </c>
      <c r="C21" t="inlineStr">
        <is>
          <t>Amazon Web Services</t>
        </is>
      </c>
      <c r="D21" t="inlineStr">
        <is>
          <t>indeed</t>
        </is>
      </c>
      <c r="E21" t="inlineStr"/>
      <c r="F21" t="inlineStr"/>
      <c r="G21" t="inlineStr">
        <is>
          <t>Arlington, VA, US</t>
        </is>
      </c>
      <c r="H21" s="2" t="n">
        <v>45991</v>
      </c>
      <c r="I2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in-7098261c7ba520a0</t>
        </is>
      </c>
      <c r="B22" t="inlineStr">
        <is>
          <t>AWS Data Engineer with Data Modeler Exp.</t>
        </is>
      </c>
      <c r="C22" t="inlineStr"/>
      <c r="D22" t="inlineStr">
        <is>
          <t>indeed</t>
        </is>
      </c>
      <c r="E22">
        <f>HYPERLINK("https://www.indeed.com/viewjob?jk=7098261c7ba520a0", "https://www.indeed.com/viewjob?jk=7098261c7ba520a0")</f>
        <v/>
      </c>
      <c r="F22">
        <f>HYPERLINK("https://EAPPSTECH.oorwin.ai/#/careers/index.html/job/details/7b7d8e8af6aa2a48c0df50bab3bbbefd28c1729c?source=indeed&amp;postedby=9", "https://EAPPSTECH.oorwin.ai/#/careers/index.html/job/details/7b7d8e8af6aa2a48c0df50bab3bbbefd28c1729c?source=indeed&amp;postedby=9")</f>
        <v/>
      </c>
      <c r="G22" t="inlineStr">
        <is>
          <t>Boston, MA, US</t>
        </is>
      </c>
      <c r="H22" s="3" t="n">
        <v>46052</v>
      </c>
      <c r="I22" t="inlineStr">
        <is>
          <t>We are seeking a **Senior Data \&amp; Cloud Engineer** responsible for building and optimizing AWS\-based data pipelines, SQL\-driven analytics, and scalable integrations to support Life Sciences data workflows in collaboration with cross‑functional global teams
**Mandatory skills**
* Experience Level 8\+ years of experience in cloud engineering or data engineering roles.
* AWS Services: Lambda, EC2, S3, Glue, RDS, Redshift, Step Functions (or equivalent combinations).
* DBD (Database Design / Data Build Development): Strong data modelling \&amp; relational design skills.
* SQL Expertise: Advanced querying, performance tuning, and data validation. Experience building cloud\-native ETL pipelines or distributed data systems.
* Understanding of healthcare data (preferred but not mandatory).
**Roles and Responsibilities**
* Cloud \&amp; Data Engineering Design, develop, and maintain AWS\-based data engineering pipelines, including ingestion, transformation, and validation workflows.
* Build and optimize data models, DBD components, and SQL\-based processing for Life Sciences datasets. Support secure and scalable integration with other companies tools, APIs, and data\-sharing frameworks.
* Design robust data validation structures to ensure accuracy, completeness, and auditability across all data flows.
* Collaboration \&amp; Stakeholder Interaction Work directly with onsite team members (Mexico/US) for real\-time clarification and delivery coordination.
* Participate in requirement\-gathering sessions and ensure solution alignment with Life Sciences workflows. Quality, Optimization \&amp; Delivery Contribute to API design, ETL optimization, and scalable architecture patterns.
* Assist in documenting workflows, data lineage, dev standards, and deployment procedures. Troubleshoot production issues and implement preventative improvements</t>
        </is>
      </c>
    </row>
    <row r="23">
      <c r="A23" t="inlineStr">
        <is>
          <t>in-9bcbe2a7b0d52711</t>
        </is>
      </c>
      <c r="B23" t="inlineStr">
        <is>
          <t>GIS Data Engineer</t>
        </is>
      </c>
      <c r="C23" t="inlineStr">
        <is>
          <t>URBANIZE</t>
        </is>
      </c>
      <c r="D23" t="inlineStr">
        <is>
          <t>indeed</t>
        </is>
      </c>
      <c r="E23">
        <f>HYPERLINK("https://www.indeed.com/viewjob?jk=9bcbe2a7b0d52711", "https://www.indeed.com/viewjob?jk=9bcbe2a7b0d52711")</f>
        <v/>
      </c>
      <c r="F23">
        <f>HYPERLINK("http://www.indeed.com/job/gis-data-engineer-9bcbe2a7b0d52711", "http://www.indeed.com/job/gis-data-engineer-9bcbe2a7b0d52711")</f>
        <v/>
      </c>
      <c r="G23" t="inlineStr">
        <is>
          <t>San Antonio, TX, US</t>
        </is>
      </c>
      <c r="H23" s="3" t="n">
        <v>46052</v>
      </c>
      <c r="I23" t="inlineStr">
        <is>
          <t>Company Overview
Urbanize Inc. is a technology company focused on accelerating equitable and sustainable housing development through advanced geospatial intelligence. Our mission is to empower developers, investors, and policymakers with precise, data\-driven insights that make affordable housing development faster, more transparent, and more efficient. We combine expertise in GIS, data engineering, and urban planning to deliver an integrated platform that aggregates parcel\-level, zoning, environmental, and market data, enabling users to identify high\-opportunity sites for affordable housing with confidence.
By developing cutting\-edge data infrastructure, Urbanize transforms complex geospatial datasets into actionable intelligence that supports Low\-Income Housing Tax Credit (LIHTC) project analysis, site scoring, and investment strategy. Our team is committed to rigorous data quality, innovation, and the belief that better spatial information leads to more equitable and sustainable communities.
Position Summary
We seek a GIS Data Engineer to serve as a cornerstone of our technical team, responsible for the comprehensive management of geospatial parcel data that powers our LIHTC development platform. This position demands expertise in extracting, cleaning, harmonizing, and generating geospatial data at scale—focusing on parcel\-level information that supports affordable housing development decisions.
The successful candidate will architect and maintain robust data processing pipelines that integrate diverse spatial datasets, implement sophisticated spatial analysis methodologies, and deliver reliable, high\-quality data products. The ideal candidate thrives in a fast\-paced environment, demonstrates exceptional problem\-solving skills, and maintains an unwavering commitment to data accuracy, performance, and scalability.
Core Responsibilities
Data Architecture and Pipeline Development
* Design and implement scalable ETL workflows capable of processing parcel data from public, purchased, and web\-scraped sources.
* Develop automated pipelines integrating APIs such as OpenStreetMap, Google Places, and Mapbox with data harmonization workflows.
* Build and maintain robust PostGIS database architectures optimized for spatial query performance and data integrity.
* Establish version control systems for geospatial data and implement backup and recovery procedures ensuring business continuity.
Spatial Analysis and Methodology Development
* Develop advanced spatial methodologies for LIHTC project evaluation based on Qualified Allocation Plan (QAP) scoring criteria.
* Implement proximity, isochrone, and buffer\-based analysis methods for assessing access to amenities, employment centers, and services.
* Create algorithms that convert spatial relationships into quantitative metrics used for project ranking and investment prioritization.
* Integrate zoning, census, and environmental datasets into unified analytical frameworks supporting affordable housing policy analysis.
Data Quality and Control Systems
* Implement robust quality assurance and validation systems to detect spatial inconsistencies, coordinate errors, and data anomalies.
* Develop visualization tools to verify spatial calculations and ensure transparency in methodology for stakeholders and clients.
* Create repeatable error correction workflows enabling rapid issue resolution and continuous improvement of data accuracy.
* Establish cross\-validation systems to verify coordinate systems, projections, and calculated metrics across datasets.
Performance Optimization and Scalability
* Continuously optimize data pipelines to improve efficiency and scalability using distributed frameworks such as Apache Spark.
* Develop caching mechanisms, batch processing strategies, and asynchronous workflows to maximize processing speed and reliability.
* Monitor and resolve performance bottlenecks, balancing system cost and throughput across cloud and on\-premise infrastructure.
* Apply parallel processing techniques and performance tuning strategies for geospatial datasets exceeding millions of records.
Technical Requirements
The GIS Data Engineer must possess strong technical expertise across data management, programming, and geospatial analysis domains. This includes mastery of PostGIS for spatial database administration, advanced Python scripting for automation, and experience with modern ETL frameworks.
* Spatial Databases, Expert: PostGIS, PostgreSQL
* Programming Languages, Expert: Python, SQL
* GIS Software, Advanced: ArcGIS, QGIS
* Data Processing, Advanced: ETL Workflows, batch processing
* Web APIs, Intermediate: Google Places, Mapbox API, OpenStreetMap
* Version control, Intermediate: Git, Github
Preferred Technical Skills
* Experience with distributed computing frameworks such as Apache Spark.
* Familiarity with cloud platforms (AWS, GCP, Azure) for scalable data infrastructure.
* Knowledge of Docker or containerized environments for reproducible deployments.
* Experience with web scraping tools and techniques for automated data collection.
* Familiarity with data visualization libraries or frameworks for spatial QA and analytics.
Domain Knowledge Requirements
LIHTC Program Understanding
* Comprehensive understanding of the Low\-Income Housing Tax Credit (LIHTC) program, including Qualified Allocation Plans (QAPs).
* Familiarity with state housing finance agency processes and affordable housing regulatory frameworks.
* Knowledge of site selection, zoning compliance, and community impact considerations in project development.
* Understanding of affordable housing policy, financing mechanisms, and stakeholder relationships.
Geospatial Analysis Expertise
* Deep understanding of spatial operations including proximity analysis, buffering, overlay analysis, and spatial joins.
* Knowledge of coordinate systems, map projections, and reference systems for ensuring accuracy in multi\-source integration.
* Experience translating geospatial data into business intelligence, dashboards, and analytical reports.
* Understanding of demographic, economic, and zoning data relevant to urban development and planning.
Qualifications and Experience
Educational Background
A Bachelor's degree in Computer Science, Geography, Engineering, Urban Planning, or a related field is required. A Master's degree in Geographic Information Systems, Geospatial Technology, or a related discipline is highly desirable. Certifications in GIS, database administration, or cloud platforms (AWS, GCP, Azure) are advantageous.
Professional Experience
At least three years of experience in GIS data engineering, spatial database management, or similar technical roles. Experience working with large\-scale spatial datasets, especially in real estate, environmental analysis, or public sector data, is highly valuable. Proven success in building production\-level ETL pipelines, API integrations, and geospatial automation tools is essential.
Performance Expectations and Success Metrics
* Maintain data quality standards that ensure accuracy, completeness, and reliability across all spatial products.
* Implement processing optimizations that increase throughput and reduce latency without compromising quality.
* Contribute innovative methodologies that enhance spatial analysis, visualization, and decision support capabilities.
* Demonstrate proactive problem\-solving, leadership in data\-driven initiatives, and commitment to continuous improvement.
Working Environment and Expectations
* Collaborate closely with developers, analysts, and business stakeholders to deliver data\-driven insights.
* Communicate complex spatial and technical concepts clearly to non\-technical audiences.
* Adapt effectively to shifting priorities, emerging technologies, and changing project requirements.
* Operate efficiently under tight deadlines while maintaining high standards for data accuracy and performance.
Compensation and Benefits
* Competitive salary and equity package based on experience and qualifications.
* Comprehensive professional development support including training, certifications, and conferences.
* Flexible work arrangements promoting work\-life balance and team collaboration.
* A mission\-driven, innovative, and collaborative company culture focused on impact and excellence.
Job Type: Full\-time
Pay: $15\.00 \- $25\.00 per hour
Benefits:
* Health insurance
* Paid time off
Work Location: In person</t>
        </is>
      </c>
    </row>
    <row r="24">
      <c r="A24" t="inlineStr">
        <is>
          <t>in-fbb630517d288f92</t>
        </is>
      </c>
      <c r="B24" t="inlineStr">
        <is>
          <t>Azure Cloud Data Engineer</t>
        </is>
      </c>
      <c r="C24" t="inlineStr">
        <is>
          <t>Onvida Health</t>
        </is>
      </c>
      <c r="D24" t="inlineStr">
        <is>
          <t>indeed</t>
        </is>
      </c>
      <c r="E24">
        <f>HYPERLINK("https://www.indeed.com/viewjob?jk=fbb630517d288f92", "https://www.indeed.com/viewjob?jk=fbb630517d288f92")</f>
        <v/>
      </c>
      <c r="F24">
        <f>HYPERLINK("https://jobs.onvidahealth.org/azure-cloud-data-engineer/job/68B583E8ECBDDC78872C25D773B61EC4", "https://jobs.onvidahealth.org/azure-cloud-data-engineer/job/68B583E8ECBDDC78872C25D773B61EC4")</f>
        <v/>
      </c>
      <c r="G24" t="inlineStr">
        <is>
          <t>Yuma, AZ, US</t>
        </is>
      </c>
      <c r="H24" s="3" t="n">
        <v>46051</v>
      </c>
      <c r="I24" t="inlineStr">
        <is>
          <t>Work Status Details: REGULAR FULL TIME \| 80\.00 Hours Every Two Weeks  
Shift: Days  
Pay Rate Type: Annual Salary  
Location: Remote
**Please Note:**
*This is a remote position; however, due to labor law regulations and business requirements, candidates residing in certain states may not be eligible for remote work. Employment eligibility from specific states will be reviewed and may require prior approval. Alternatively, candidates have the option to work onsite at our Yuma, AZ location.*
Listed is the base hiring salary range offered for this position. Actual salaries may vary depending on factors, including but not limited to skills and experience. The salary range listed is just one component of the total rewards/compensation package offered to candidates.  
Min \= $104,983\.64  
Mid \= $131,229\.55  
Max \= $157,475\.46
**Summary:**  
The Azure Data Engineer supports the implementation of projects that collect, aggregate, store, reconcile, and make data accessible from disparate sources. This role enables analyses and strategic decision\-making related to health system operations, value\-based care, and population health. The Azure Data Engineer will play a critical role in the development of enterprise data platform solutions, supporting data management, integrations, reporting and analytics, product and application development, and advanced analytics including predictive analytics and machine learning.  
**Responsibilities:**  
Work closely with business and clinical stakeholders to understand data requirements and translate them into scalable, Azure\-based technical solutions that enable operational efficiency, value\-based care, and population health insights.
Build modern ETL/ELT pipelines, data streams, and integrations using Azure Data Factory, Databricks, SQL, and related tools to move, transform, and prepare data for analytics and reporting.
Develop and maintain data warehouse schemas, relational and non\-relational databases, and enterprise data platform solutions to support advanced analytics, reporting, and machine learning initiatives.
Conduct data profiling, cataloging, mapping, and quality checks to ensure accuracy, consistency, and compliance with healthcare standards (HIPAA, FHIR), and implement monitoring and metrics for ongoing data integrity.
Expose data to end users through PowerBI or similar tools, supporting predictive analytics, operational reporting, and actionable insights for clinical and administrative decision\-making.
Plan, implement, and optimize cloud\-based data solutions, leveraging Azure technologies (Event Grid/Hub, Storage/Data Lake, Synapse Analytics) for performance, scalability, and efficiency.
Partner with IT, clinicians, and other teams to design integrated solutions, troubleshoot issues, and provide technical guidance for data management, integration, and usage across healthcare applications.
Evaluate current processes, research emerging Azure technologies, and implement innovative solutions to optimize data infrastructure, analytics, and platform performance while supporting strategic organizational goals.
 **Minimum Requirements:**
* Bachelor’s degree in Computer Science, Management Information Systems (MIS), or a related field.
* Minimum of 5 years implementing data pipelines and cloud data transformation processes using Azure technologies.
 **Join us at Yuma Regional Medical Center dba Onvida Health**
A career at Onvida Health is more than just a job. It’s a place to have a long and rewarding career, making a difference in the lives of those in our shared community. When you join our team, you become an integral part of a thriving community committed to improving the health and well\-being of everyone in southwestern Arizona.
At Onvida Health, we believe in progress with purpose. Our commitment to innovation is matched by our dedication to kindness and integrity. We take our values seriously because we know they lead to better outcomes for our patients and a better experience for all of us. We’re looking for people who approach each day with a sense of possibility, a drive to make things better, and a commitment to kindness. If that sounds like you, you’re our kind of people.
If you’re looking for a career where innovation meets compassion, where you can grow and contribute to building a healthier tomorrow, Onvida Health is the place for you.
**Life in Yuma, Arizona**  
Yuma, recognized by Guinness World Records as the Sunniest City on Earth, offers more than just sunshine. It’s a place where the great outdoors meets a welcoming, tight\-knit community. Hike scenic trails, explore the Colorado River, or immerse yourself in local cultural festivals – all while embracing the beauty of this desert oasis. With easy access to larger cities and popular destinations, Yuma makes it easy to balance a fulfilling career with time for personal adventures and relaxation.
https://www.visityuma.com/
https://www.yumachamber.org/
*Physical Requirements and working conditions for this position will be provided to you up on interview.*
**Job Details**
---------------
Career area
IT
Position Type
Full Time
Date Posted
01/30/2026
Location
2400 South Avenue A, Yuma, AZ 85364, United States
Job ID
12446</t>
        </is>
      </c>
    </row>
    <row r="25">
      <c r="A25" t="inlineStr">
        <is>
          <t>in-90ecb16295956e92</t>
        </is>
      </c>
      <c r="B25" t="inlineStr">
        <is>
          <t>Senior Staff Data Engineer</t>
        </is>
      </c>
      <c r="C25" t="inlineStr">
        <is>
          <t>Quest Global</t>
        </is>
      </c>
      <c r="D25" t="inlineStr">
        <is>
          <t>indeed</t>
        </is>
      </c>
      <c r="E25">
        <f>HYPERLINK("https://www.indeed.com/viewjob?jk=90ecb16295956e92", "https://www.indeed.com/viewjob?jk=90ecb16295956e92")</f>
        <v/>
      </c>
      <c r="F25">
        <f>HYPERLINK("https://careers.quest-global.com/global/en/job/QGRQGAGLOBALP115242EXTERNALENGLOBAL/Senior-Staff-Data-Engineer?utm_source=indeed&amp;utm_medium=phenom-feeds", "https://careers.quest-global.com/global/en/job/QGRQGAGLOBALP115242EXTERNALENGLOBAL/Senior-Staff-Data-Engineer?utm_source=indeed&amp;utm_medium=phenom-feeds")</f>
        <v/>
      </c>
      <c r="G25" t="inlineStr">
        <is>
          <t>Bellevue, WA, US</t>
        </is>
      </c>
      <c r="H25" s="3" t="n">
        <v>46051</v>
      </c>
      <c r="I25" t="inlineStr">
        <is>
          <t>**Job Requirements**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We are looking for an experienced Data Engineer (8\+ years of experience) with deep expertise in Flink SQL to join our engineering team. This role is ideal for someone who thrives on building robust real\-time data processing pipelines and has hands\-on experience designing and optimizing Flink SQL jobs in a production environment.
You’ll work closely with data engineers, platform teams, and product stakeholders to create scalable, low\-latency data solutions that power intelligent applications and dashboards.
* Design, develop, and maintain real\-time streaming data pipelines using Apache Flink SQL.
* Collaborate with platform engineers to scale and optimize Flink jobs for performance and reliability.
* Build reusable data transformation logic and deploy to production\-grade Flink clusters.
* Ensure high availability and correctness of real\-time data pipelines.
* Work with product and analytics teams to understand requirements and translate them into Flink SQL jobs.
* Monitor and troubleshoot job failures, backpressure, and latency issues.
* Contribute to internal tooling and libraries that improve Flink developer productivity.
 **What You Will Bring:**
* Deep hands\-on experience with Flink SQL and the Apache Flink ecosystem.
* Strong understanding of event time vs processing time semantics, watermarks, and state management.
* 3\+ years of experience in data engineering, with strong focus on real\-time/streaming data.
* Experience writing complex Flink SQL queries, UDFs, and windowing operations.
* Proficiency in working with streaming data formats such as Avro, Protobuf, or JSON.
* Experience with messaging systems like Apache Kafka or Pulsar.
* Familiarity with containerized deployments (Docker, Kubernetes) and CI/CD pipelines.
* Solid understanding of distributed system design and performance optimization.
Nice to Have:
* Experience with other stream processing frameworks (e.g., Spark Structured Streaming, Kafka Streams).
* Familiarity with cloud\-native data stacks (AWS Kinesis, GCP Pub/Sub, Azure Event Hub).
* Experience in building internal tooling for observability or schema evolution.
* Prior contributions to the Apache Flink community or similar open\-source projects.
 **Pay Range: $80 \- $85**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This role is considered an on\-site position located in Bellevue, WA, USA
You must be able to commute to and from the location with your own transportation arrangements to meet the required working hours.</t>
        </is>
      </c>
    </row>
    <row r="26">
      <c r="A26" t="inlineStr">
        <is>
          <t>in-e66d48281a42ef81</t>
        </is>
      </c>
      <c r="B26" t="inlineStr">
        <is>
          <t>226 Healthcare Data Engineer</t>
        </is>
      </c>
      <c r="C26" t="inlineStr">
        <is>
          <t>Dataspace</t>
        </is>
      </c>
      <c r="D26" t="inlineStr">
        <is>
          <t>indeed</t>
        </is>
      </c>
      <c r="E26">
        <f>HYPERLINK("https://www.indeed.com/viewjob?jk=e66d48281a42ef81", "https://www.indeed.com/viewjob?jk=e66d48281a42ef81")</f>
        <v/>
      </c>
      <c r="F26">
        <f>HYPERLINK("https://dataspace.hirehive.com/226-healthcare-data-engineer-austin-0kbUR1?source=Indeed", "https://dataspace.hirehive.com/226-healthcare-data-engineer-austin-0kbUR1?source=Indeed")</f>
        <v/>
      </c>
      <c r="G26" t="inlineStr">
        <is>
          <t>Austin, TX, US</t>
        </is>
      </c>
      <c r="H26" s="3" t="n">
        <v>46051</v>
      </c>
      <c r="I26" t="inlineStr">
        <is>
          <t>**Our client is a rapidly growing primary healthcare provider in the Southern United States. Their success is built on an analytics\-driven approach to healthcare. They now need to expand their data team with a strong data engineer and have asked us to help them find the right person for this role. This person will be very strong at moving data into Snowflake. The perfect candidate will know Airbyte, Fivetran, and DBT and have healthcare experience.**
 **Is this you? If so, please submit your resume and fill out our questionnaire ASAP! Thank you!**
 **THE WORK:** This job involves developing data structures and then populating them using Airbyte, Fivetran, and DBT. The source data is healthcare information. The chosen consultant will work on a small, highly skilled analytics team and will directly serve the company’s senior management team.
 **LOCATION:** This company is located in Texas and serves patients in the Southern US Mountain Time Zone. This remote role is open to candidates in the continental US.
 **MODE:** This is a permanent position.
 **REQUIRED:** Applicants MUST be very strong in the following:
* ELT tools, preferably Fivetran, Airbyte, and DBT
* Snowflake
* SQL
* Python
**DESIRED:** In addition, it would be great if you had some background in the healthcare industry.
 **COMPENSATION:**This job pays $120,000 to $150,000\+ annually, accompanied by a bonus and comprehensive benefits package.
 **WHY THIS JOB IS SPECIAL**: There is a lot to love about this opportunity. In particular:
* Your work will be vital, driving an organization whose success is built on analytics.
* As a young company, you’ll build the foundation for doing things the “right” way.
* When it makes sense, the organization is not shy about trying new technologies.
* Given the company’s success, a public offering may be in its future.
**INTERESTED?**If you're interested and have the skills, we'd love to hear from you. Please answer our questionnaire and submit your resume right away! Thanks!
Why data job seekers work with Dataspace
NOTES:
* We rely heavily on assertions in resumes and report suspected cases of resume fraud to the USCIS and other authorities. We therefore strongly advise the submission of only resumes that can be independently verified.
* We expect submissions to demonstrate effective written communication skills, including having no more than seven concise bullet points on any particular assignment. We reserve the right to immediately reject any submission that does not comply with this rule.
* U.S. Citizens and all those authorized to work for any employer in the U.S. are encouraged to apply. **We are unable to provide visa sponsorship at this time**.
* Dataspace performs background and drug screens on accepted candidates prior to their employment or contract start dates.</t>
        </is>
      </c>
    </row>
    <row r="27">
      <c r="A27" t="inlineStr">
        <is>
          <t>in-3a1167dd9e399d2a</t>
        </is>
      </c>
      <c r="B27" t="inlineStr">
        <is>
          <t>Junior Data Engineer</t>
        </is>
      </c>
      <c r="C27" t="inlineStr">
        <is>
          <t>Genworth</t>
        </is>
      </c>
      <c r="D27" t="inlineStr">
        <is>
          <t>indeed</t>
        </is>
      </c>
      <c r="E27">
        <f>HYPERLINK("https://www.indeed.com/viewjob?jk=3a1167dd9e399d2a", "https://www.indeed.com/viewjob?jk=3a1167dd9e399d2a")</f>
        <v/>
      </c>
      <c r="F27">
        <f>HYPERLINK("https://click.appcast.io/t/dCJuFUK0FzkRwIsfP1RUB66uKnlZzDmjpge5YL7BeqE=", "https://click.appcast.io/t/dCJuFUK0FzkRwIsfP1RUB66uKnlZzDmjpge5YL7BeqE=")</f>
        <v/>
      </c>
      <c r="G27" t="inlineStr">
        <is>
          <t>Raleigh, NC, US</t>
        </is>
      </c>
      <c r="H27" s="3" t="n">
        <v>46051</v>
      </c>
      <c r="I27" t="inlineStr">
        <is>
          <t>At Enact, we understand that there’s no place like home. That’s why we bring our deep expertise, insightful offerings, and extra‑mile service to work every day to help lenders put more people in homes—and keep them there.
We’re looking for a **Junior** **Data Engineer** in **Raleigh, NC** to join the Data \&amp; Analytics Engineering team as we modernize our data ecosystem using cloud‑first platforms, scalable data pipelines, and trusted data products. In this role, you will help build the next generation of our data lake, data warehouse, and machine learning data foundation.
As we continue our modernization journey—including cloud‑native architecture, automated data pipelines, and evolving analytics platforms—you will play an active role in building and supporting ingestion, transformation, data engineering workflows across AWS, Snowflake, and modern data engineering frameworks.
**LOCATION**  
Enact Headquarters, Raleigh, NC – Hybrid Schedule
**YOUR RESPONSIBILITIES**
* Build and maintain frameworks for data pipelines (ETL/ELT) and ML workflows.
* Develop and maintain ML pipelines to orchestrate model execution in cloud.
* Develop and maintain user interface for model execution.
* Support and optimize cloud‑based data architectures leveraging AWS and Snowflake.
* Design, build, and launch production‑grade data pipelines.
* Contribute to processes needed to achieve operational excellence.
* Ensure solutions meet enterprise standards for data quality and reliability.
* Collaborate with architects, data scientists, analysts, and application teams.
* Troubleshoot, monitor, and optimize workflows.
* Document data flows and operational processes.
**YOUR QUALIFICATIONS**
* Bachelor’s degree in Computer Science, Engineering, Information Systems, or related field.
* 3\+ years of hands\-on experience with data engineering
* 3\+ experience building pipelines using AWS services (Lambda, S3, API Gateway, SNS/SQS, EventBridge, DMS, Glue, RDS, Dynamo DB, Step Functions).
* 2\+ years hands on experience with CI/CD: CodeBuild/CodePipeline or GitHub Actions/GitLab.
* Experience developing data ingestion and transformation pipelines using Snowflake (stages, tasks, streams, procedures).
* Strong programming skills in SQL, Python or spark and familiarity with data ingestion, data preparation, and data integration patterns.
* Ability to analyze complex data flows and integration points with high attention to detail.
* Clear communication, collaborative mindset, and a bias to automate \&amp; document.
**PREFERRED QUALIFICATIONS**
* Experience integrating SaaS platforms (e.g., Salesforce, Workday, ServiceNow, enterprise LOS systems).
* Experience with sagemaker pipelines and MLOps tools such as MLflow.
**COMPANY**  
Enact Holdings, Inc. (Nasdaq: ACT), operating primarily through its wholly owned subsidiaries, is a leading publicly traded U.S. private mortgage insurance provider, offering borrower\-centric products that enable lenders and other partners across the U.S. to help people responsibly achieve and maintain the dream of homeownership.
By empowering customers and their borrowers, Enact seeks to positively impact the lives of those in the communities in which it serves in a sustainable way. Headquartered in Raleigh, North Carolina, we play an active role in supporting a prosperous Triangle community. We also support our colleagues’ philanthropic efforts in their home communities across the U.S. Enact values all perspectives, characteristics and experiences, along with providing a positive and inclusive culture for employees to grow and succeed. We strive to create an environment where employees can bring their full, authentic selves to work to help each other and their customers.
We are proud to be an equal opportunity employer and all hiring decisions are based on merit, qualifications, and business needs. We do not discriminate based upon race, religion, color, national origin, gender (including pregnancy), sexual orientation, gender identity, gender expression, age, status as a protected veteran, status as an individual with a disability, or other applicable legally protected characteristics.
**WHY WORK AT ENACT**
* We bring innovative thinking to the situations at hand
* We seek out and incorporate diverse views to strengthen our outcomes
* We work on challenging and rewarding projects
* We offer competitive benefits:
	+ Hybrid work schedule (in\-office days Tues/Wed/Thurs)
	+ Generous Time Off
	+ 40 Hours of Volunteer Time Off
	+ Tuition Reimbursement and Student Loan Repayment
	+ Paid Family Leave and Flexible Spending Accounts
	+ 401k with up to 5% employer match
	+ Fitness and Emotional Wellness Reimbursements
	+ Onsite Gym</t>
        </is>
      </c>
    </row>
    <row r="28">
      <c r="A28" t="inlineStr">
        <is>
          <t>in-9ffedbe784ae65b6</t>
        </is>
      </c>
      <c r="B28" t="inlineStr">
        <is>
          <t>Data Engineer</t>
        </is>
      </c>
      <c r="C28" t="inlineStr">
        <is>
          <t>The Hartford</t>
        </is>
      </c>
      <c r="D28" t="inlineStr">
        <is>
          <t>indeed</t>
        </is>
      </c>
      <c r="E28">
        <f>HYPERLINK("https://www.indeed.com/viewjob?jk=9ffedbe784ae65b6", "https://www.indeed.com/viewjob?jk=9ffedbe784ae65b6")</f>
        <v/>
      </c>
      <c r="F28">
        <f>HYPERLINK("https://click.appcast.io/t/4jFZVz3qD88Bv2CVPjkds7E8oTAW59tus_NREcfsp0A=", "https://click.appcast.io/t/4jFZVz3qD88Bv2CVPjkds7E8oTAW59tus_NREcfsp0A=")</f>
        <v/>
      </c>
      <c r="G28" t="inlineStr">
        <is>
          <t>Charlotte, NC, US</t>
        </is>
      </c>
      <c r="H28" s="3" t="n">
        <v>46051</v>
      </c>
      <c r="I28"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29">
      <c r="A29" t="inlineStr">
        <is>
          <t>in-1eb46721f01ec48b</t>
        </is>
      </c>
      <c r="B29" t="inlineStr">
        <is>
          <t>Data Engineer</t>
        </is>
      </c>
      <c r="C29" t="inlineStr">
        <is>
          <t>The Hartford</t>
        </is>
      </c>
      <c r="D29" t="inlineStr">
        <is>
          <t>indeed</t>
        </is>
      </c>
      <c r="E29">
        <f>HYPERLINK("https://www.indeed.com/viewjob?jk=1eb46721f01ec48b", "https://www.indeed.com/viewjob?jk=1eb46721f01ec48b")</f>
        <v/>
      </c>
      <c r="F29">
        <f>HYPERLINK("https://click.appcast.io/t/MTVXL2MNdngSHEUSMgbeTfp8YLbaO3Q6C-reOL5IzJE=", "https://click.appcast.io/t/MTVXL2MNdngSHEUSMgbeTfp8YLbaO3Q6C-reOL5IzJE=")</f>
        <v/>
      </c>
      <c r="G29" t="inlineStr">
        <is>
          <t>Hartford, CT, US</t>
        </is>
      </c>
      <c r="H29" s="3" t="n">
        <v>46051</v>
      </c>
      <c r="I29"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30">
      <c r="A30" t="inlineStr">
        <is>
          <t>in-5b58eef99ced2cce</t>
        </is>
      </c>
      <c r="B30" t="inlineStr">
        <is>
          <t>Data Engineer</t>
        </is>
      </c>
      <c r="C30" t="inlineStr">
        <is>
          <t>The Hartford</t>
        </is>
      </c>
      <c r="D30" t="inlineStr">
        <is>
          <t>indeed</t>
        </is>
      </c>
      <c r="E30">
        <f>HYPERLINK("https://www.indeed.com/viewjob?jk=5b58eef99ced2cce", "https://www.indeed.com/viewjob?jk=5b58eef99ced2cce")</f>
        <v/>
      </c>
      <c r="F30">
        <f>HYPERLINK("https://click.appcast.io/t/B17T9qvXLZJafWc5jRw7m7TxjvX5SjtUL-OziEm7OuQ=", "https://click.appcast.io/t/B17T9qvXLZJafWc5jRw7m7TxjvX5SjtUL-OziEm7OuQ=")</f>
        <v/>
      </c>
      <c r="G30" t="inlineStr">
        <is>
          <t>Columbus, OH, US</t>
        </is>
      </c>
      <c r="H30" s="3" t="n">
        <v>46051</v>
      </c>
      <c r="I30"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31">
      <c r="A31" t="inlineStr">
        <is>
          <t>in-0a20f2c67ce3816c</t>
        </is>
      </c>
      <c r="B31" t="inlineStr">
        <is>
          <t>Data Engineer</t>
        </is>
      </c>
      <c r="C31" t="inlineStr">
        <is>
          <t>The Hartford</t>
        </is>
      </c>
      <c r="D31" t="inlineStr">
        <is>
          <t>indeed</t>
        </is>
      </c>
      <c r="E31">
        <f>HYPERLINK("https://www.indeed.com/viewjob?jk=0a20f2c67ce3816c", "https://www.indeed.com/viewjob?jk=0a20f2c67ce3816c")</f>
        <v/>
      </c>
      <c r="F31">
        <f>HYPERLINK("https://click.appcast.io/t/iIu9B2Y3GWMUL9LgK4474xDTq0qAH-csOkFx9ApL0WQ=", "https://click.appcast.io/t/iIu9B2Y3GWMUL9LgK4474xDTq0qAH-csOkFx9ApL0WQ=")</f>
        <v/>
      </c>
      <c r="G31" t="inlineStr">
        <is>
          <t>Chicago, IL, US</t>
        </is>
      </c>
      <c r="H31" s="3" t="n">
        <v>46051</v>
      </c>
      <c r="I31"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32">
      <c r="A32" t="inlineStr">
        <is>
          <t>in-c7b02fceb4c5d16e</t>
        </is>
      </c>
      <c r="B32" t="inlineStr">
        <is>
          <t>Data Engineer</t>
        </is>
      </c>
      <c r="C32" t="inlineStr">
        <is>
          <t>United Network For Organ Sharing</t>
        </is>
      </c>
      <c r="D32" t="inlineStr">
        <is>
          <t>indeed</t>
        </is>
      </c>
      <c r="E32">
        <f>HYPERLINK("https://www.indeed.com/viewjob?jk=c7b02fceb4c5d16e", "https://www.indeed.com/viewjob?jk=c7b02fceb4c5d16e")</f>
        <v/>
      </c>
      <c r="F32">
        <f>HYPERLINK("https://www.paycomonline.net/v4/ats/web.php/jobs/ViewJobDetails?job=444813&amp;clientkey=E11F83E05147247E1E0D0A1B1E7457BB&amp;source=Indeed", "https://www.paycomonline.net/v4/ats/web.php/jobs/ViewJobDetails?job=444813&amp;clientkey=E11F83E05147247E1E0D0A1B1E7457BB&amp;source=Indeed")</f>
        <v/>
      </c>
      <c r="G32" t="inlineStr">
        <is>
          <t>Richmond, VA, US</t>
        </is>
      </c>
      <c r="H32" s="3" t="n">
        <v>46051</v>
      </c>
      <c r="I32" t="inlineStr">
        <is>
          <t>**Position Description**
We are seeking a Data Engineer with proven hands\-on experience with the design and development of highly available data management platforms and solutions for both on\-prem and Azure\-based cloud environments. This hands\-on, technical role will partner closely with data scientists, analysts, and business stakeholders to ensure that data is accurate, accessible, and optimized for analytics, reporting, and operational needs. This resource will play a key role in building scalable data pipelines and integrations while championing best practices, and leading strategic data initiatives across teams.
**Key Responsibilities**
* Develop and implement secure, scalable data pipelines using Azure Data Factory, Azure Functions, and Azure Data Lake Storage
* Design and build reliable ETL/ELT processes using Python (pandas, PySpark), SQL, and SSIS, integrating data from diverse sources including REST APIs and various file formats (CSV, JSON, XML, Parquet)
* Collaborate cross\-functionally to gather requirements and translate business needs into technical deliverables
* Detect and resolve data quality issues; implement automated audits and monitoring processes
* Participate in schema design and performance tuning
* Mentor and support junior engineers across data engineering, analytics, and BI teams
* Participate in code reviews, promoting clean, well\-documented, and testable code
* Stay current on trends in data engineering and cloud technologies, identifying opportunities to innovate
**Minimum Requirements**
* 5 years of experience in data engineering, including
	+ 1\+ years with Azure cloud\-native solutions
	+ 3\+ years with SQL Server Integration Services (SSIS)
**Critical Skills**
* Expertise in MS SQL Server, SSIS, Python (pandas, PySpark), Azure Data Factory, Azure Functions and Azure Data Lake Storage.
* Experience working with a variety of file formats (e.g., CSV, JSON, XML, Parquet).
* Familiarity using REST APIs for data extraction and integration.
* Proven experience designing and implementing data solutions.
* Good understanding of cloud architecture, data warehousing and modern data stack components.
**Additional Skills \&amp; Qualifications**
* Demonstrated ability to perform root cause analysis on data and processing issues
* Strong problem\-solving skills with the ability to explain technical concepts to non\-technical audiences
* A successful history of manipulating, processing and extracting value from large disparate datasets
* Experience with Big Data technologies such as Databricks, Spark, or Azure Synapse
* Knowledge of CI/CD workflows, version control, and agile development practices
* Familiarity with data governance, privacy, and compliance frameworks
* Experience with data warehousing, analytics tools, and BI platforms
**Education**
* 4\-year degree in computer science, engineering or other related IT field of study, or equivalent professional work experience
**Physical Requirements**
* General office demands
	+ Prolonged periods of sitting at a desk and working on a computer.
	+ Frequent reaching, handling, and fine manipulation for using office equipment, filing, and managing paperwork.
	+ Manual dexterity sufficient to operate a keyboard, mouse, and other office tools.
	+ Occasional standing, walking, and bending.
	+ Ability to lift up to 10\-20 pounds occasionally.
	+ Vision abilities required include close vision for computer work and reading documents.
	+ Reasonable accommodations may be made to enable individuals with disabilities to perform the essential functions.</t>
        </is>
      </c>
    </row>
    <row r="33">
      <c r="A33" t="inlineStr">
        <is>
          <t>in-7901181494afd4b2</t>
        </is>
      </c>
      <c r="B33" t="inlineStr">
        <is>
          <t>Junior Data Engineer</t>
        </is>
      </c>
      <c r="C33" t="inlineStr">
        <is>
          <t>Genworth</t>
        </is>
      </c>
      <c r="D33" t="inlineStr">
        <is>
          <t>indeed</t>
        </is>
      </c>
      <c r="E33">
        <f>HYPERLINK("https://www.indeed.com/viewjob?jk=7901181494afd4b2", "https://www.indeed.com/viewjob?jk=7901181494afd4b2")</f>
        <v/>
      </c>
      <c r="F33">
        <f>HYPERLINK("https://careers.genworth.com/us/en/job/REQ-260038/Junior-Data-Engineer?utm_source=indeed&amp;utm_medium=phenom-feeds", "https://careers.genworth.com/us/en/job/REQ-260038/Junior-Data-Engineer?utm_source=indeed&amp;utm_medium=phenom-feeds")</f>
        <v/>
      </c>
      <c r="G33" t="inlineStr">
        <is>
          <t>Raleigh, NC, US</t>
        </is>
      </c>
      <c r="H33" s="3" t="n">
        <v>46051</v>
      </c>
      <c r="I33" t="inlineStr">
        <is>
          <t>At Enact, we understand that there’s no place like home. That’s why we bring our deep expertise, insightful offerings, and extra‑mile service to work every day to help lenders put more people in homes—and keep them there.
We’re looking for a **Junior** **Data Engineer** in **Raleigh, NC** to join the Data \&amp; Analytics Engineering team as we modernize our data ecosystem using cloud‑first platforms, scalable data pipelines, and trusted data products. In this role, you will help build the next generation of our data lake, data warehouse, and machine learning data foundation.
As we continue our modernization journey—including cloud‑native architecture, automated data pipelines, and evolving analytics platforms—you will play an active role in building and supporting ingestion, transformation, data engineering workflows across AWS, Snowflake, and modern data engineering frameworks.
**LOCATION**  
Enact Headquarters, Raleigh, NC – Hybrid Schedule
**YOUR RESPONSIBILITIES**
* Build and maintain frameworks for data pipelines (ETL/ELT) and ML workflows.
* Develop and maintain ML pipelines to orchestrate model execution in cloud.
* Develop and maintain user interface for model execution.
* Support and optimize cloud‑based data architectures leveraging AWS and Snowflake.
* Design, build, and launch production‑grade data pipelines.
* Contribute to processes needed to achieve operational excellence.
* Ensure solutions meet enterprise standards for data quality and reliability.
* Collaborate with architects, data scientists, analysts, and application teams.
* Troubleshoot, monitor, and optimize workflows.
* Document data flows and operational processes.
**YOUR QUALIFICATIONS**
* Bachelor’s degree in Computer Science, Engineering, Information Systems, or related field.
* 3\+ years of hands\-on experience with data engineering
* 3\+ experience building pipelines using AWS services (Lambda, S3, API Gateway, SNS/SQS, EventBridge, DMS, Glue, RDS, Dynamo DB, Step Functions).
* 2\+ years hands on experience with CI/CD: CodeBuild/CodePipeline or GitHub Actions/GitLab.
* Experience developing data ingestion and transformation pipelines using Snowflake (stages, tasks, streams, procedures).
* Strong programming skills in SQL, Python or spark and familiarity with data ingestion, data preparation, and data integration patterns.
* Ability to analyze complex data flows and integration points with high attention to detail.
* Clear communication, collaborative mindset, and a bias to automate \&amp; document.
**PREFERRED QUALIFICATIONS**
* Experience integrating SaaS platforms (e.g., Salesforce, Workday, ServiceNow, enterprise LOS systems).
* Experience with sagemaker pipelines and MLOps tools such as MLflow.
**COMPANY**  
Enact Holdings, Inc. (Nasdaq: ACT), operating primarily through its wholly owned subsidiaries, is a leading publicly traded U.S. private mortgage insurance provider, offering borrower\-centric products that enable lenders and other partners across the U.S. to help people responsibly achieve and maintain the dream of homeownership.
By empowering customers and their borrowers, Enact seeks to positively impact the lives of those in the communities in which it serves in a sustainable way. Headquartered in Raleigh, North Carolina, we play an active role in supporting a prosperous Triangle community. We also support our colleagues’ philanthropic efforts in their home communities across the U.S. Enact values all perspectives, characteristics and experiences, along with providing a positive and inclusive culture for employees to grow and succeed. We strive to create an environment where employees can bring their full, authentic selves to work to help each other and their customers.
We are proud to be an equal opportunity employer and all hiring decisions are based on merit, qualifications, and business needs. We do not discriminate based upon race, religion, color, national origin, gender (including pregnancy), sexual orientation, gender identity, gender expression, age, status as a protected veteran, status as an individual with a disability, or other applicable legally protected characteristics.
**WHY WORK AT ENACT**
* We bring innovative thinking to the situations at hand
* We seek out and incorporate diverse views to strengthen our outcomes
* We work on challenging and rewarding projects
* We offer competitive benefits:
	+ Hybrid work schedule (in\-office days Tues/Wed/Thurs)
	+ Generous Time Off
	+ 40 Hours of Volunteer Time Off
	+ Tuition Reimbursement and Student Loan Repayment
	+ Paid Family Leave and Flexible Spending Accounts
	+ 401k with up to 5% employer match
	+ Fitness and Emotional Wellness Reimbursements
	+ Onsite Gym</t>
        </is>
      </c>
    </row>
    <row r="34">
      <c r="A34" t="inlineStr">
        <is>
          <t>in-ad0423dde96b872c</t>
        </is>
      </c>
      <c r="B34" t="inlineStr">
        <is>
          <t>Senior Data Engineer (REMOTE OR HYBRID MA)</t>
        </is>
      </c>
      <c r="C34" t="inlineStr">
        <is>
          <t>The Hanover Insurance Group</t>
        </is>
      </c>
      <c r="D34" t="inlineStr">
        <is>
          <t>indeed</t>
        </is>
      </c>
      <c r="E34">
        <f>HYPERLINK("https://www.indeed.com/viewjob?jk=ad0423dde96b872c", "https://www.indeed.com/viewjob?jk=ad0423dde96b872c")</f>
        <v/>
      </c>
      <c r="F34">
        <f>HYPERLINK("https://jobs.dayforcehcm.com/en-US/thg/ALLCAREERS/jobs/42896", "https://jobs.dayforcehcm.com/en-US/thg/ALLCAREERS/jobs/42896")</f>
        <v/>
      </c>
      <c r="G34" t="inlineStr">
        <is>
          <t>Worcester, MA, US</t>
        </is>
      </c>
      <c r="H34" s="3" t="n">
        <v>46051</v>
      </c>
      <c r="I34" t="inlineStr">
        <is>
          <t>For more than 170 years, The Hanover has been committed to delivering on our promises and being there when it matters the most. We live our values every day, demonstrating we CARE through our values, Sustainability initiatives and inclusive corporate culture.
Our technology team is currently seeking a Senior Data Engineer to join our growing team in our Worcester, MA office or remote work arrangement.
**POSITION OVERVIEW:**  
Data engineering is the aspect of data science that focuses on practical applications of data collection and analysis. This role will primarily involve becoming proficient with all internal and external data produced and consumed by THG.
This role will be driving larger, more complicated projects independently as well as mentoring less experienced engineers. The Senior Data Engineer will collaborate with business partners and assume a data/tech lead role on cross\-functional teams delivering data/reporting solutions. The assignments will usually require originality and ingenuity.
This role will be accountable for successful outcomes related to designing, developing, implementing, optimizing, and maintaining data integrations, pipelines, and solutions.
This is a full\-time, exempt position.
**IN THIS ROLE, YOU WILL HAVE:**  
* Proven experience in data engineering and best practices for data storage, integration, transformation, and access within Azure and on\-premises platforms.
* Proven expertise in designing and implementing data solutions utilizing Azure Resources (Azure Data Factory, Azure Synapse, ADLS, etc).
* Strong experience with data integration, ETL processes, and data warehousing.
* Advanced proficiency in SQL, Python, and PowerShell.
* Proven knowledge of data modeling, governance, and data engineering best practices and patterns.
* Hands\-on experience with optimizing data ingestion pipelines and notebooks for scale, performance, reliability, and cost efficiency.
* Familiarity with integration connectors (APIs, File, SFTP/FTPS, Streaming Data, DB Connectors, SOAP, REST).
* Strong problem\-solving, communication, and collaboration skills.
* Ability to create documentation for data processes and solutions.
* Ensure data security and compliance with industry standards.
* Experienced in agile development methodologies and DevOps best practices.
* Git/Github experience for CI/CD.
* Coaching, mentoring, and technical guidance for junior team members.
* Analytical skills for profiling and analyzing large data sets.
* Critical thinking and attention to detail.
* Debugging skills for data solution issues.
* Collaborate with data scientists, analysts, and stakeholders.
* Monitor and maintain data pipelines.
* Design, develop, and test data mapping with transformation rules.
* Ensure data quality and reliability.
* Develop and maintain documentation for data integration and ETL solutions.
**WHAT YOU NEED TO APPLY:**  
* Bachelor’s degree or higher in Data Science, Mathematics, Statistics, Computer Science, Information Systems, Business Information Technology, or equivalent.
* 5 plus years professional experience in data engineering, data architecture, data integration.
* Must be eligible to work in the United States without requiring sponsorship now or in the future (i.e., US Citizen or green card holder).
**PREFERRED:**  
* Microsoft DP\-203 or DP\-700 certification.
* Microsoft Fabric experience
* Power BI experience.
* Master’s degree in data science, Mathematics, Statistics, Computer Science, Information Systems, Business Information Technology, or equivalent.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35">
      <c r="A35" t="inlineStr">
        <is>
          <t>in-d4ccdd9608ca1680</t>
        </is>
      </c>
      <c r="B35" t="inlineStr">
        <is>
          <t>Senior Data Engineer (REMOTE OR HYBRID MA)</t>
        </is>
      </c>
      <c r="C35" t="inlineStr">
        <is>
          <t>The Hanover Insurance Group</t>
        </is>
      </c>
      <c r="D35" t="inlineStr">
        <is>
          <t>indeed</t>
        </is>
      </c>
      <c r="E35">
        <f>HYPERLINK("https://www.indeed.com/viewjob?jk=d4ccdd9608ca1680", "https://www.indeed.com/viewjob?jk=d4ccdd9608ca1680")</f>
        <v/>
      </c>
      <c r="F35">
        <f>HYPERLINK("https://jobs.dayforcehcm.com/en-US/thg/ALLCAREERS/jobs/42896", "https://jobs.dayforcehcm.com/en-US/thg/ALLCAREERS/jobs/42896")</f>
        <v/>
      </c>
      <c r="G35" t="inlineStr">
        <is>
          <t>Remote, US</t>
        </is>
      </c>
      <c r="H35" s="3" t="n">
        <v>46051</v>
      </c>
      <c r="I35" t="inlineStr">
        <is>
          <t>For more than 170 years, The Hanover has been committed to delivering on our promises and being there when it matters the most. We live our values every day, demonstrating we CARE through our values, Sustainability initiatives and inclusive corporate culture.
Our technology team is currently seeking a Senior Data Engineer to join our growing team in our Worcester, MA office or remote work arrangement.
**POSITION OVERVIEW:**  
Data engineering is the aspect of data science that focuses on practical applications of data collection and analysis. This role will primarily involve becoming proficient with all internal and external data produced and consumed by THG.
This role will be driving larger, more complicated projects independently as well as mentoring less experienced engineers. The Senior Data Engineer will collaborate with business partners and assume a data/tech lead role on cross\-functional teams delivering data/reporting solutions. The assignments will usually require originality and ingenuity.
This role will be accountable for successful outcomes related to designing, developing, implementing, optimizing, and maintaining data integrations, pipelines, and solutions.
This is a full\-time, exempt position.
**IN THIS ROLE, YOU WILL HAVE:**  
* Proven experience in data engineering and best practices for data storage, integration, transformation, and access within Azure and on\-premises platforms.
* Proven expertise in designing and implementing data solutions utilizing Azure Resources (Azure Data Factory, Azure Synapse, ADLS, etc).
* Strong experience with data integration, ETL processes, and data warehousing.
* Advanced proficiency in SQL, Python, and PowerShell.
* Proven knowledge of data modeling, governance, and data engineering best practices and patterns.
* Hands\-on experience with optimizing data ingestion pipelines and notebooks for scale, performance, reliability, and cost efficiency.
* Familiarity with integration connectors (APIs, File, SFTP/FTPS, Streaming Data, DB Connectors, SOAP, REST).
* Strong problem\-solving, communication, and collaboration skills.
* Ability to create documentation for data processes and solutions.
* Ensure data security and compliance with industry standards.
* Experienced in agile development methodologies and DevOps best practices.
* Git/Github experience for CI/CD.
* Coaching, mentoring, and technical guidance for junior team members.
* Analytical skills for profiling and analyzing large data sets.
* Critical thinking and attention to detail.
* Debugging skills for data solution issues.
* Collaborate with data scientists, analysts, and stakeholders.
* Monitor and maintain data pipelines.
* Design, develop, and test data mapping with transformation rules.
* Ensure data quality and reliability.
* Develop and maintain documentation for data integration and ETL solutions.
**WHAT YOU NEED TO APPLY:**  
* Bachelor’s degree or higher in Data Science, Mathematics, Statistics, Computer Science, Information Systems, Business Information Technology, or equivalent.
* 5 plus years professional experience in data engineering, data architecture, data integration.
* Must be eligible to work in the United States without requiring sponsorship now or in the future (i.e., US Citizen or green card holder).
**PREFERRED:**  
* Microsoft DP\-203 or DP\-700 certification.
* Microsoft Fabric experience
* Power BI experience.
* Master’s degree in data science, Mathematics, Statistics, Computer Science, Information Systems, Business Information Technology, or equivalent.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36">
      <c r="A36" t="inlineStr">
        <is>
          <t>in-d8f54c6ac67fdc80</t>
        </is>
      </c>
      <c r="B36" t="inlineStr">
        <is>
          <t>Senior Data Engineer (REMOTE)</t>
        </is>
      </c>
      <c r="C36" t="inlineStr">
        <is>
          <t>The Hanover Insurance Group</t>
        </is>
      </c>
      <c r="D36" t="inlineStr">
        <is>
          <t>indeed</t>
        </is>
      </c>
      <c r="E36">
        <f>HYPERLINK("https://www.indeed.com/viewjob?jk=d8f54c6ac67fdc80", "https://www.indeed.com/viewjob?jk=d8f54c6ac67fdc80")</f>
        <v/>
      </c>
      <c r="F36">
        <f>HYPERLINK("https://jobs.dayforcehcm.com/en-US/thg/ALLCAREERS/jobs/42890", "https://jobs.dayforcehcm.com/en-US/thg/ALLCAREERS/jobs/42890")</f>
        <v/>
      </c>
      <c r="G36" t="inlineStr">
        <is>
          <t>Worcester, MA, US</t>
        </is>
      </c>
      <c r="H36" s="3" t="n">
        <v>46051</v>
      </c>
      <c r="I36" t="inlineStr">
        <is>
          <t>For more than 170 years, The Hanover has been committed to delivering on our promises and being there when it matters the most. We live our values every day, demonstrating we CARE through our values, Sustainability initiatives and inclusive corporate culture.
Our Claims Analytics team is currently seeking a Senior Data Engineer to join our growing team in our Worcester, MA office or remote work arrangement.
This is a full time, exempt position.
**POSITION OVERVIEW:**  
Data engineering is the aspect of data science that focuses on practical applications of data collection and analysis. This role primarily will become proficient with all internal \&amp; external data produced and consumed by THG.
The engineer will understand where the data is, basic data models and architecture, how to access and obtain data and how to manipulate and work with data to produce output – which may be reports, datasets or self\-service reports.
The ideal candidate is a self\-motivated, adaptable, and composed collaborator that can learn quickly.
**IN THIS ROLE, YOU WILL:**  
* Driving larger more complicated projects independently as well as mentoring less experienced engineers.
* Collaborate with business partners and cross\-functional teams on data/reporting requests.
* Be accountable for successful outcomes related to designing, developing, implementing, optimizing, and maintaining data pipelines and solutions.
* Coach and mentor less senior team members as well as conducting reviews for their work
**WHAT YOU NEED TO APPLY:**  
* Bachelor’s degree or higher in Data Science, Mathematics, Statistics, Computer Science, Information Systems, Business Information Technology, or equivalent
* 5 plus years professional experience in data engineering, data architecture, or data analytics
* Proficiency in the following languages: SQL. Python, Java, Scala nice to have.
* Holds active Azure DP\-203 (Microsoft Certified: Azure Data Engineer Associate) or equivalent. Other Azure DP certifications or equivalents are also applicable
* Data Modeling: Creation of conceptual, logical, and physical data models for data objects, object attributes, and their relationships
* Analytical Skills: Data Engineers work with large amounts of data that will include facts, figures, and number crunching. You will need to profile the data and analyze it to find conclusions.
* Communication Skills: Data engineers are often called to present their findings or translate the data into an understandable document. You will need to write and speak clearly, easily communicating complex ideas.
* Critical Thinking: Data engineers must look at the numbers, trends, and data and come to new conclusions based on the findings.
* Attention to Detail: Data is precise. Data engineers must make sure they are vigilant in their analysis to come to correct conclusions.
* Math Skills: Data engineers need advanced math skills to estimate numerical data. Insurance experience required as well as insurance products.
* Debugging Skills: Data engineers need the ability to analyze issues with components in our data solutions and come up with remediation plans.
* Proven experience in data engineering, implementation of best practices for data storage, access, integration, transformation, etc., within Azure
* Proven experience using Databricks and delta live tables in a data engineering context
* Experience in optimizing data pipelines to account for scale, performance, reliability, and cost efficiency
* Demonstrated proficiency in relational, NoSQL, hierarchical, and entity relationship data modeling
* Experience in creating easy to consume documentation of data processes and solutions to aid in knowledge transfer and continuity.
* Experienced in agile development methodologies, developing high quality code, and DevOps best practices
* Must be eligible to work in the United States without requiring sponsorship now or in the future (ie. lawful permanent residence or US citizen)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37">
      <c r="A37" t="inlineStr">
        <is>
          <t>in-257113029964ef98</t>
        </is>
      </c>
      <c r="B37" t="inlineStr">
        <is>
          <t>Senior Data Engineer (REMOTE)</t>
        </is>
      </c>
      <c r="C37" t="inlineStr">
        <is>
          <t>The Hanover Insurance Group</t>
        </is>
      </c>
      <c r="D37" t="inlineStr">
        <is>
          <t>indeed</t>
        </is>
      </c>
      <c r="E37">
        <f>HYPERLINK("https://www.indeed.com/viewjob?jk=257113029964ef98", "https://www.indeed.com/viewjob?jk=257113029964ef98")</f>
        <v/>
      </c>
      <c r="F37">
        <f>HYPERLINK("https://jobs.dayforcehcm.com/en-US/thg/ALLCAREERS/jobs/42890", "https://jobs.dayforcehcm.com/en-US/thg/ALLCAREERS/jobs/42890")</f>
        <v/>
      </c>
      <c r="G37" t="inlineStr">
        <is>
          <t>Remote, US</t>
        </is>
      </c>
      <c r="H37" s="3" t="n">
        <v>46051</v>
      </c>
      <c r="I37" t="inlineStr">
        <is>
          <t>For more than 170 years, The Hanover has been committed to delivering on our promises and being there when it matters the most. We live our values every day, demonstrating we CARE through our values, Sustainability initiatives and inclusive corporate culture.
Our Claims Analytics team is currently seeking a Senior Data Engineer to join our growing team in our Worcester, MA office or remote work arrangement.
This is a full time, exempt position.
**POSITION OVERVIEW:**  
Data engineering is the aspect of data science that focuses on practical applications of data collection and analysis. This role primarily will become proficient with all internal \&amp; external data produced and consumed by THG.
The engineer will understand where the data is, basic data models and architecture, how to access and obtain data and how to manipulate and work with data to produce output – which may be reports, datasets or self\-service reports.
The ideal candidate is a self\-motivated, adaptable, and composed collaborator that can learn quickly.
**IN THIS ROLE, YOU WILL:**  
* Driving larger more complicated projects independently as well as mentoring less experienced engineers.
* Collaborate with business partners and cross\-functional teams on data/reporting requests.
* Be accountable for successful outcomes related to designing, developing, implementing, optimizing, and maintaining data pipelines and solutions.
* Coach and mentor less senior team members as well as conducting reviews for their work
**WHAT YOU NEED TO APPLY:**  
* Bachelor’s degree or higher in Data Science, Mathematics, Statistics, Computer Science, Information Systems, Business Information Technology, or equivalent
* 5 plus years professional experience in data engineering, data architecture, or data analytics
* Proficiency in the following languages: SQL. Python, Java, Scala nice to have.
* Holds active Azure DP\-203 (Microsoft Certified: Azure Data Engineer Associate) or equivalent. Other Azure DP certifications or equivalents are also applicable
* Data Modeling: Creation of conceptual, logical, and physical data models for data objects, object attributes, and their relationships
* Analytical Skills: Data Engineers work with large amounts of data that will include facts, figures, and number crunching. You will need to profile the data and analyze it to find conclusions.
* Communication Skills: Data engineers are often called to present their findings or translate the data into an understandable document. You will need to write and speak clearly, easily communicating complex ideas.
* Critical Thinking: Data engineers must look at the numbers, trends, and data and come to new conclusions based on the findings.
* Attention to Detail: Data is precise. Data engineers must make sure they are vigilant in their analysis to come to correct conclusions.
* Math Skills: Data engineers need advanced math skills to estimate numerical data. Insurance experience required as well as insurance products.
* Debugging Skills: Data engineers need the ability to analyze issues with components in our data solutions and come up with remediation plans.
* Proven experience in data engineering, implementation of best practices for data storage, access, integration, transformation, etc., within Azure
* Proven experience using Databricks and delta live tables in a data engineering context
* Experience in optimizing data pipelines to account for scale, performance, reliability, and cost efficiency
* Demonstrated proficiency in relational, NoSQL, hierarchical, and entity relationship data modeling
* Experience in creating easy to consume documentation of data processes and solutions to aid in knowledge transfer and continuity.
* Experienced in agile development methodologies, developing high quality code, and DevOps best practices
* Must be eligible to work in the United States without requiring sponsorship now or in the future (ie. lawful permanent residence or US citizen)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38">
      <c r="A38" t="inlineStr">
        <is>
          <t>in-0e2cfe2663b5e67d</t>
        </is>
      </c>
      <c r="B38" t="inlineStr">
        <is>
          <t>Associate Data Engineer, Data Governance</t>
        </is>
      </c>
      <c r="C38" t="inlineStr">
        <is>
          <t>Inmar</t>
        </is>
      </c>
      <c r="D38" t="inlineStr">
        <is>
          <t>indeed</t>
        </is>
      </c>
      <c r="E38">
        <f>HYPERLINK("https://www.indeed.com/viewjob?jk=0e2cfe2663b5e67d", "https://www.indeed.com/viewjob?jk=0e2cfe2663b5e67d")</f>
        <v/>
      </c>
      <c r="F38">
        <f>HYPERLINK("https://inmar.wd1.myworkdayjobs.com/en-US/inmarcareers/job/Headquarters-Winston-Salem-NC/Associate-Data-Engineer--Data-Governance_JY2626979-1", "https://inmar.wd1.myworkdayjobs.com/en-US/inmarcareers/job/Headquarters-Winston-Salem-NC/Associate-Data-Engineer--Data-Governance_JY2626979-1")</f>
        <v/>
      </c>
      <c r="G38" t="inlineStr">
        <is>
          <t>Winston-Salem, NC, US</t>
        </is>
      </c>
      <c r="H38" s="3" t="n">
        <v>46051</v>
      </c>
      <c r="I38" t="inlineStr">
        <is>
          <t>The Data Governance team provides enterprise\-wide oversight and enablement to ensure data is properly classified, documented, trusted, secure, and used responsibly. Acting as a bridge across business, engineering, privacy, and security teams, the team develops and operationalizes policies, standards, tooling, and metrics that reduce risk, improve data quality, enable AI, and drive cost accountability.
PRIMARY ACCOUNTABILITIES  
As an Associate Data Engineer on the Data Governance team, you will support the implementation and day\-to\-day execution of Inmar’s Data Governance program. This is a hands\-on role focused on building, operating, and improving governance\-related data engineering capabilities under the guidance of senior engineers.  
Governance Enablement \&amp; Automation* Assist in building and maintaining automated, repeatable processes that implement data governance policies and standards.
* Support enforcement of required metadata, tagging, and ownership standards across cloud and on\-prem data environments.
* Help embed governance controls into pipelines and platforms rather than relying on manual or ad hoc processes.
Metadata, Cataloging \&amp; Lineage* Publish and maintain datasets in the enterprise metadata catalog, ensuring required fields such as owner, description, classification, and lineage are captured.
* Assist with lineage documentation and validation for critical datasets and pipelines.
* Participate in metadata audits and help track adoption and compliance metrics.
Data Classification \&amp; Sensitive Data Controls* Help run and validate sensitive data scans (e.g., PII, PHI, PCI) using approved tools and scripts.
* Apply and verify data classification and asset tagging standards in alignment with enterprise policies.
* Support remediation efforts when gaps or inconsistencies are identified.
Access Controls \&amp; Cost Transparency* Support audits and reporting related to data access, ownership, and least\-privilege enforcement.
* Assist with tagging and ownership initiatives that enable cloud cost visibility and accountability.
* Help maintain dashboards and reports that surface governance KPIs for technical and business stakeholders.
Team Execution \&amp; Collaboration* Follow established Data Governance team standards for communication, documentation, code reviews, releases, and handoffs.
* Participate in daily standups, Jira updates, PR reviews, and knowledge\-sharing activities.
* Work closely with Data Governance, Data Quality, Privacy, Security, and Data Engineering partners.
EDUCATION / QUALIFICATIONS / EXPERIENCE  
Required* B.S. in Computer Science, Information Systems, Data Engineering, or a related field or equivalent practical experience (1\-3 years).
* Experience with Python or another scripting language.
* Working knowledge of SQL and experience querying large datasets.
* Familiarity with ETL/ELT processes and workflow management tools (Airflow, dbt, etc).
* Familiarity with cloud platforms (GCP or AWS preferred; Azure acceptable).
* Understanding of core data governance concepts (metadata, quality, classification, access, lineage).
* Strong attention to detail, organization, and follow\-through.
* Clear written and verbal communication skills.
Preferred / Nice to Have* Exposure to data governance, metadata, or cataloging tools (e.g., Dataplex, Data Catalog, DLP, BigID).
* Experience with relational databases (e.g., MySQL, SQL Server, PostgreSQL).
* Exposure to NoSQL databases.
* Experience with structured and semi\-structured data formats (e.g., JSON, Parquet, Avro).
* Familiarity with Git/Github, and CI/CD concepts.
* Experience with troubleshooting, performance tuning, or optimization
* Interest in data privacy, compliance, and secure data handling practices.
At Inmar, we put people first and that means empowering our associates to thrive at every stage of life and career. Our comprehensive and competitive benefits package is thoughtfully designed to support a wide range of lifestyles and life stages.
Eligible associates have access to:* Medical, Dental, and Vision insurance
* Basic and Supplemental Life Insurance options
* 401(k) retirement plans with company match
* Health Spending Accounts (HSA/FSA)
We also offer:* Flexible time off and 11 paid holidays
* Family\-building benefits, including Maternity, Adoption, and Parental Leave
* Tuition Reimbursement and certification support, reflecting our commitment to lifelong learning
* Wellness and Mental Health counseling services
* Concierge and work/life support resources
* Adoption Assistance Reimbursement
* Perks and discount programs
Please note that eligibility for some benefits may depend on your job classification and length of employment. Benefits are subject to change and may be governed by specific plan or program terms.
At Inmar, compensation reflects our belief in integrity, transparency, and the value of individual contributions. The hiring range for this position is:
57,287\.25 \- 95,478\.75 USD Annual
The final offer may vary based on factors such as geographic location, job\-related skills, education, certifications, work experience, and other relevant considerations.
Depending on the job level and role, it may include:* Annual discretionary bonuses through our Core Company Performance Bonus Plan
* Equity grants, sign\-on bonuses, and other tailored incentive opportunities
* Additional discretionary compensation, such as:
	+ Growing Revenue Incentives
	+ Corporate or VIP Bonuses
	+ Deferred compensation opportunities
The actual annualized salary offered at the time of hire will be communicated in the candidate’s offer letter. We remain committed to fairness and transparency across all locations. Where required, including for remote\-eligible roles, local pay ranges are disclosed in accordance with applicable laws and regulations.
We are an Equal Opportunity Employer, including disability/vets.
Recruitment Fraud Notice: Recruitment fraud is an increasingly common scam where individuals pose as employers to offer fictitious job opportunities. Scammers sometimes impersonate Inmar recruiters on LinkedIn and other channels. We will never ask for payment or sensitive personal information during the hiring process. Verify any role on our official Workday Careers site and learn how to spot scams in our full notice.
This position is not eligible for student visa sponsorship, including F\-1 OPT or CPT. Candidates must have authorization to work in the U.S. without the need for employer sponsorship now or in the future.</t>
        </is>
      </c>
    </row>
    <row r="39">
      <c r="A39" t="inlineStr">
        <is>
          <t>in-a3484afa1c2da047</t>
        </is>
      </c>
      <c r="B39" t="inlineStr">
        <is>
          <t>Senior Data Engineer, Data Products</t>
        </is>
      </c>
      <c r="C39" t="inlineStr">
        <is>
          <t>The Hershey Company</t>
        </is>
      </c>
      <c r="D39" t="inlineStr">
        <is>
          <t>indeed</t>
        </is>
      </c>
      <c r="E39">
        <f>HYPERLINK("https://www.indeed.com/viewjob?jk=a3484afa1c2da047", "https://www.indeed.com/viewjob?jk=a3484afa1c2da047")</f>
        <v/>
      </c>
      <c r="F39">
        <f>HYPERLINK("https://career4.successfactors.com/career?career%5fns=job%5flisting&amp;company=Hersheys&amp;navBarLevel=JOB%5fSEARCH&amp;rcm%5fsite%5flocale=en%5fUS&amp;career_job_req_id=127525", "https://career4.successfactors.com/career?career%5fns=job%5flisting&amp;company=Hersheys&amp;navBarLevel=JOB%5fSEARCH&amp;rcm%5fsite%5flocale=en%5fUS&amp;career_job_req_id=127525")</f>
        <v/>
      </c>
      <c r="G39" t="inlineStr">
        <is>
          <t>Dallas, TX, US</t>
        </is>
      </c>
      <c r="H39" s="3" t="n">
        <v>46051</v>
      </c>
      <c r="I39" t="inlineStr">
        <is>
          <t>Job Location: Dallas, TX  
This position can be based in Dallas in our Frisco office or at 19E in Hershey, PA
**Summary**  
The Senior Data Engineer, Data Products, plays a critical role in designing, building, and operating enterprise grade data products that power analytics, reporting, and AI across Hershey’s business domains. This role ensures data pipelines, models, and foundational components are scalable, performant, governed, and reusable — enabling consistent access to trusted data at enterprise scale.
Senior Data Engineers work closely with Data Product Managers, Architects, Domain SMEs, and Platform Engineering to translate business requirements into robust technical solutions using modern data engineering patterns and cloud\-native tooling. The role supports the end\-to\-end lifecycle of data products, from ingestion and modeling to certification, documentation, and sustainable operations.
This role is foundational to Hershey’s long\-term data strategy. By contributing to reusable, governed, and durable data products, the Senior Data Engineer helps establish the enterprise system of record for analytics, enabling efficiency, consistency, and innovation across the company.
**What We Are Building for Hershey**
This role contributes directly to Hershey’s enterprise data strategy by engineering durable, reusable, and governed data products that become the system of record for analytics and future AI innovation. These data products are designed to scale across domains, reduce duplication, increase trust, and accelerate enterprise decision\-making.
By applying engineering rigor, governance\-by\-design practices, and modern cloud\-native architecture, the Senior Data Engineer helps transition Hershey from one\-off data solutions to long lived, production\-grade assets that fuel efficiency, growth, and innovation across the enterprise.
**Major Duties \&amp; Responsibilities**  
**Data Product Engineering \&amp; Delivery:**  
* Partner with business stakeholders to translate business requirements into technical designs and acceptance criteria.
* Design, build, and maintain scalable and reusable data pipelines and transformations using Azure and Databricks.
* Implement robust ingestion frameworks, standardized patterns, and repeatable workflows aligned to enterprise engineering practices.
* Build and optimize physical and semantic data models supporting analytics, reporting, and AI/ML use cases.
**Technical \&amp; Architectural Implementation**  
* Apply best practices related to performance tuning, cost optimization, security, and reliability.
* Ensure alignment with enterprise architecture, including shared infrastructure, canonical models, and platform standards.
* Implement efficient data processing patterns (e.g., Delta Lake, medallion architecture, orchestration frameworks).
**Governance, Quality, \&amp; Operations**  
* Embed governance\-by\-design principles including lineage, metadata, documentation, and certification standards.
* Implement data quality rules, monitoring, and automated checks to ensure accuracy, completeness, and trust.
**Collaboration Across Domains**  
* Work closely with business domain teams to validate that data products meet end\-user needs and match business definitions.
* Partner with Platform Engineering on pipeline frameworks, infrastructure patterns, and optimization.
* Collaborate with Data Operations \&amp; Enablement to ensure strong documentation, certification, and governance coverage.
**Minimum Knowledge, Skills, and Abilities**  
* Data Engineering \&amp; Pipelines: Strong experience with ETL/ELT design, distributed processing, pipeline optimization, and enterprise scale data workflows.
* Cloud \&amp; Platform Expertise: Hands\-on experience with Databricks and cloud data platforms such as Azure (preferred) or AWS, including data lakes, orchestration, and scalable compute.
* Programming \&amp; Development: Proficient in Python, SQL, modular coding, APIs, source control, and automation tools.
* Data Modeling \&amp; Architecture: Skilled in dimensional and semantic modeling, database design, and building performant, governed analytics\-ready structures.
* Data Quality, Metadata \&amp; Curation: Capable of cleansing, transforming, and validating data; familiar with lineage, cataloging, and data quality frameworks.
* Collaboration \&amp; Communication: Able to translate business needs into technical solutions and clearly communicate technical concepts in cross\-functional settings.
**Experience and Education**  
* Bachelor's/Master's in Data Science, Engineering, or a related field.
* 5 – 7 years of experience in data, analytics, or engineering roles
* Proficiency in one or more general\-purpose programming languages (e.g., Java, C/C\+\+, C\#, Python, JavaScript).
* Working knowledge of SQL\-based and NoSQL technologies (e.g., PostgreSQL, MySQL, MongoDB)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40">
      <c r="A40" t="inlineStr">
        <is>
          <t>in-e73596fb79bbcd8e</t>
        </is>
      </c>
      <c r="B40" t="inlineStr">
        <is>
          <t>Data Engineer</t>
        </is>
      </c>
      <c r="C40" t="inlineStr">
        <is>
          <t>The Hershey Company</t>
        </is>
      </c>
      <c r="D40" t="inlineStr">
        <is>
          <t>indeed</t>
        </is>
      </c>
      <c r="E40">
        <f>HYPERLINK("https://www.indeed.com/viewjob?jk=e73596fb79bbcd8e", "https://www.indeed.com/viewjob?jk=e73596fb79bbcd8e")</f>
        <v/>
      </c>
      <c r="F40">
        <f>HYPERLINK("https://career4.successfactors.com/career?career%5fns=job%5flisting&amp;company=Hersheys&amp;navBarLevel=JOB%5fSEARCH&amp;rcm%5fsite%5flocale=en%5fUS&amp;career_job_req_id=127343", "https://career4.successfactors.com/career?career%5fns=job%5flisting&amp;company=Hersheys&amp;navBarLevel=JOB%5fSEARCH&amp;rcm%5fsite%5flocale=en%5fUS&amp;career_job_req_id=127343")</f>
        <v/>
      </c>
      <c r="G40" t="inlineStr">
        <is>
          <t>Dallas, TX, US</t>
        </is>
      </c>
      <c r="H40" s="3" t="n">
        <v>46051</v>
      </c>
      <c r="I40" t="inlineStr">
        <is>
          <t>Job Location: Dallas, TX  
This position can be based in Dallas in our Frisco office or at 19E in Hershey, PA
**Summary:**  
The Data Engineer, Data Products supports the design, build, and operation of data pipelines and models that power Hershey’s enterprise data products. Working within established architectures and with guidance from Senior Data Engineers and Architects, this role develops reliable, scalable data transformations that enable analytics, reporting, and AI across Hershey’s business domains.  
Data Engineers collaborate closely with Senior Data Engineers, Architects, Platform Engineering, and domain teams to translate defined business requirements into high quality technical solutions using modern cloud\-native tools such as Azure and Databricks. They contribute to key stages of the data product lifecycle, including ingestion, transformation, modeling, documentation, and operational support.  
By helping build reusable and well engineered data assets, the Data Engineer strengthens Hershey’s broader data strategy—improving data quality, consistency, and accessibility while supporting the development of trusted, long\-term data products.
**What We Are Building for Hershey**  
This role contributes to Hershey’s enterprise data strategy by engineering reusable, governed data assets that scale across domains and reduce duplication. By applying engineering discipline and governance\-by\-design, Data Engineers help evolve one\-off solutions into durable, production\-grade data products that improve trust and speed of decision\-making.
**Major Duties \&amp; Responsibilities**  
**Data Product Engineering \&amp; Delivery:**  
* Build and maintain scalable data ingestion and transformation pipelines on Azure and Databricks; develop curated/semantic models for analytics and AI.
* Translate requirements into technical designs and acceptance criteria with Product Managers.
Technical \&amp; Architectural Implementation  
* Apply best practices for performance, cost, security, and reliability; follow enterprise standards and shared infrastructure.
* Implement efficient patterns such as Delta Lake, medallion architecture, and orchestration frameworks.
Governance, Quality \&amp; Operations  
* Embed governance\-by\-design including metadata, lineage, documentation, certification, and automated data quality checks.
* Operate and troubleshoot production pipelines; contribute improvements to standards and automation.
Collaboration Across Domains  
* Partner with domain teams to validate definitions and ensure products meet business needs.
* Work with Platform Engineering on pipeline frameworks and optimization; coordinate with Data Ops \&amp; Enablement on documentation and certification.
**Minimum Knowledge, Skills, and Abilities**  
* Data Engineering \&amp; Pipelines: ETL/ELT development, distributed processing, and workflow optimization.
* Cloud \&amp; Platforms: Hands\-on with Databricks and Azure (preferred) or AWS data platforms.
* Programming \&amp; Development: Proficient in Python and SQL; experience with modular coding, APIs, automation, and source control.
* Data Modeling \&amp; Quality: Dimensional/semantic modeling; familiarity with data quality, metadata, lineage, and catalog tools.
* Collaboration \&amp; Communication: Ability to translate business needs into technical solutions and communicate effectively across teams.
**Experience \&amp; Education**  
* Bachelor’s degree in Computer Science, Engineering, Information Systems, Data Science, or related field
* 2–5 years in data engineering or analytics engineering roles.
* Experience building pipelines and models in Azure/Databricks or equivalent AWS tooling.
* Working knowledge of SQL and NoSQL data stores (PostgreSQL, MySQL, MongoDB).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41">
      <c r="A41" t="inlineStr">
        <is>
          <t>in-62305980fdc8729b</t>
        </is>
      </c>
      <c r="B41" t="inlineStr">
        <is>
          <t>Data Engineer III with TS/SCI Eligibility</t>
        </is>
      </c>
      <c r="C41" t="inlineStr">
        <is>
          <t>Sancorp Consulting</t>
        </is>
      </c>
      <c r="D41" t="inlineStr">
        <is>
          <t>indeed</t>
        </is>
      </c>
      <c r="E41">
        <f>HYPERLINK("https://www.indeed.com/viewjob?jk=62305980fdc8729b", "https://www.indeed.com/viewjob?jk=62305980fdc8729b")</f>
        <v/>
      </c>
      <c r="F41">
        <f>HYPERLINK("https://workforcenow.adp.com/mascsr/default/mdf/recruitment/recruitment.html?cid=32186ff8-408c-44a6-a407-bfefe4f2d0ad&amp;ccId=19000101_000001&amp;jobId=544530&amp;source=IN&amp;lang=en_US", "https://workforcenow.adp.com/mascsr/default/mdf/recruitment/recruitment.html?cid=32186ff8-408c-44a6-a407-bfefe4f2d0ad&amp;ccId=19000101_000001&amp;jobId=544530&amp;source=IN&amp;lang=en_US")</f>
        <v/>
      </c>
      <c r="G41" t="inlineStr">
        <is>
          <t>Arlington, VA, US</t>
        </is>
      </c>
      <c r="H41" s="3" t="n">
        <v>46051</v>
      </c>
      <c r="I41" t="inlineStr">
        <is>
          <t>Data Engineer III \- Top Secret, SCI Eligible \- MUST HAVE SECURITY CLEARANCE \- PLEASE DO NOT APPLY UNLESS YOU HOLD A TS WITH SCI ELIGIBILITY
**Position Summary:**
Position Description:
Data Engineer III
Location:
National Capital Region
Work Posture:
On\-site
Travel:
Occasional
Deployment:
No
Drug screening:
Yes
Security Clearance:
Citizenship:
Top Secret, SCI Eligible \- MUST HAVE SECURITY CLEARANCE
Must be a U.S. Citizen
Education
Bachelor’s Degree
Required Experience
* 10\+ years in the field of Data Science or Data Engineering.
* 3\+ years designing and deploying full\-stack web services. environments to include NIPR, SIPR, and JWICS.
* 10\+ years of technical experience supporting DoD/IC data systems and enterprise architecture.
* Proven ability to design, model, and engineer data architectures across multi\-classification environments.
* Experience supporting compartmented/SAP analytical platforms, operational reporting systems, and system accreditation efforts.
* Skilled in cataloging, storing, and maintaining sensitive data, including multi\-sensor and multi\-level UAP reporting.
* Experience supporting RDT\&amp;E oversight, data\-source integration, and DoD/IC data\-sharing requirements.
* Familiarity with applying AI/ML technologies to improve data management, analytics, and mission support.
* Strong background in technical advising, weekly coordination, and daily system development support.
Salary:
Commensurate with experience
 **Responsibilities:**
SANCORP is seeking a Data Engineer III to provide Administrative, Analytic, Scientific, Information Technology and Subject Matter Expertise Support Services in direct support to Research, Development, Test \&amp; Evaluation Activities within Office of the Under Secretary of War for Intelligence and Security (OUSW(I\&amp;S)). The following are examples of responsibilities:
* Serve as the data architecture, knowledge management focal point, and Senior advisor responsible for creating, coordinating and managing diverse information systems up to and including information requiring compartment and special access protection.
* Provide daily technical expertise, advice, and support for the development and delivery of enterprise data architecture strategies including data modeling, design, data engineering and implementation solutions to meet enterprise level data architecture challenges.
* Provide technical expertise, advice, and support for the design, coordination, management and implementation, and oversight of a common analytical platform capable of using compartmented and special access information, to include DoD\-wide efforts to gain system accreditation.
* Provide technical expertise, advice, and support for the design, coordination, management, implementation, operation, and oversight of a common operational reporting system.
* Provide technical expertise, advice, and support required to ensure that UAP incident reporting is appropriately cataloged, stored, curated, and maintained, to include sensor data from multiple platforms and data at multiple classification levels.
* In total, the provision of technical expertise, advice, and support would entail attending weekly meetings to coordinate efforts and advise, assisting in coding on a weekly basis, and identifying key areas needed for development on a daily review basis.
* Support the technical oversight of OUSW(I\&amp;S) sponsored RDT\&amp;E projects and activities on a monthly basis.
* Support the identification of disparate data\-sources and data sharing requirements necessary to coordinate data import and exchange with DoD Components, the Intelligence Community, and NDFDAs on a monthly basis.
* Provide technical expertise, advice, and support required to identify, recommend, and implement Artificial Intelligence/Machine Learning (AI/ML) technologies to improve data management and analysis support for the OUSW(I\&amp;S) mission. Assist government lead in developing and preparing documentation for procurement packages, such as Statements of Work (SOW) and Performance Work Statements (PWS), Sole Source Justifications and Brand Name Justifications, Market Analysis and Research, Reviewing Cost Estimates and Quality Assurance Plans to ensure accuracy, completeness, and consistency.
* General Support: Provide advice, recommendations, and document preparation support to multiple offices across various disciplines, ensuring seamless acquisition processes and compliance with regulatory requirements. Develop and coordinate OSD staff packages, including for time\-sensitive requirements, for DIR OUSW(I\&amp;S) review and decision.
Sancorp Consulting LLC shall, in its discretion, modify or adjust the position to meet Sancorp’s changing needs. This job description is not a contract and may be adjusted as deemed appropriate at Sancorp’s sole discretion.
Sancorp Consulting, LLC, is an SDVOSB and SBA 8(a) company seeking highly motivated and qualified professionals and offer an attractive salary and benefits package that includes: Medical, Dental, life and Disability Insurance; 401K, and holidays to ensure the highest quality of life for our employees. Please visit our website for more information at www.sancorpconsulting.com.
Sancorp Consulting, LLC is an equal opportunity employer. At Sancorp Consulting, LLC we are committed to providing equal employment opportunities (EEO) to all employees and applicants without regard to race color, religion, sex, national origin, age, disability, or any other protected characteristic as defined by applicable law. We strive to create an inclusive and diverse workplace where everyone feels valued, respected, and supported.</t>
        </is>
      </c>
    </row>
    <row r="42">
      <c r="A42" t="inlineStr">
        <is>
          <t>in-f500c9c8e749997b</t>
        </is>
      </c>
      <c r="B42" t="inlineStr">
        <is>
          <t>Junior Data Engineer</t>
        </is>
      </c>
      <c r="C42" t="inlineStr">
        <is>
          <t>Teza Technologies</t>
        </is>
      </c>
      <c r="D42" t="inlineStr">
        <is>
          <t>indeed</t>
        </is>
      </c>
      <c r="E42">
        <f>HYPERLINK("https://www.indeed.com/viewjob?jk=f500c9c8e749997b", "https://www.indeed.com/viewjob?jk=f500c9c8e749997b")</f>
        <v/>
      </c>
      <c r="F42">
        <f>HYPERLINK("https://jobs.ashbyhq.com/teza-technologies/303183aa-cac5-4fde-a19f-160b1658b07e?utm_source=gpPOaeLn2W", "https://jobs.ashbyhq.com/teza-technologies/303183aa-cac5-4fde-a19f-160b1658b07e?utm_source=gpPOaeLn2W")</f>
        <v/>
      </c>
      <c r="G42" t="inlineStr">
        <is>
          <t>Austin, TX, US</t>
        </is>
      </c>
      <c r="H42" s="3" t="n">
        <v>46051</v>
      </c>
      <c r="I42" t="inlineStr">
        <is>
          <t>**About the role**
Teza Technologies is looking for Junior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Austin, TX (Hybrid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Data Science or related field.
 **Benefits**
* Health, visual and dental insurance
* Flexible sick time policy</t>
        </is>
      </c>
    </row>
    <row r="43">
      <c r="A43" t="inlineStr">
        <is>
          <t>in-1cbe40ed16a76e92</t>
        </is>
      </c>
      <c r="B43" t="inlineStr">
        <is>
          <t>Associate Principal - Data Engineering</t>
        </is>
      </c>
      <c r="C43" t="inlineStr">
        <is>
          <t>LTIMindtree</t>
        </is>
      </c>
      <c r="D43" t="inlineStr">
        <is>
          <t>indeed</t>
        </is>
      </c>
      <c r="E43">
        <f>HYPERLINK("https://www.indeed.com/viewjob?jk=1cbe40ed16a76e92", "https://www.indeed.com/viewjob?jk=1cbe40ed16a76e92")</f>
        <v/>
      </c>
      <c r="F43">
        <f>HYPERLINK("https://ltimindtree.ripplehire.com/candidate/?token=eo1ugjoyaMWZPNAS4ZQ3&amp;lang=en&amp;source=INDEED&amp;ref=INDEED#detail/job/838082", "https://ltimindtree.ripplehire.com/candidate/?token=eo1ugjoyaMWZPNAS4ZQ3&amp;lang=en&amp;source=INDEED&amp;ref=INDEED#detail/job/838082")</f>
        <v/>
      </c>
      <c r="G43" t="inlineStr">
        <is>
          <t>Houston, TX, US</t>
        </is>
      </c>
      <c r="H43" s="3" t="n">
        <v>46051</v>
      </c>
      <c r="I43" t="inlineStr">
        <is>
          <t>**Role description**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40 countries, LTIMindtree — a Larsen \&amp; Toubro Group company — solves the most complex business challenges and delivers transformation at scale. For more information, please visit
Job title: Azure ADF Lead
Location Houston,Texas Onsite
Job Summary
Seeking an Associate Principal with 11 to 15 years of experience in designing developing and managing scalable data integration solutions using Azure Data Factory ADF.
 Job Description
 Design develop and implement robust and scalable data pipelines and workflows using Azure Data Factory to support enterprisewide data integration needs Collaborate with data engineers architects and business stakeholders to gather and translate complex data requirements into efficient ADF solutions Develop and maintain ETLELT processes ensuring high data quality reliability and optimal performance Optimize ADF pipelines for performance scalability and cost efficiency Integrate Azure Data Factory with other Azure services such as Azure Data Lake Azure SQL Database and Azure Databricks to build comprehensive cloud data solutions Ensure compliance with data governance security policies and best practices for cloudbased data environments Document technical specifications design decisions and development processes related to data pipelines Stay current with the latest trends and best practices in Azure data services and cloud data engineering.
Roles and Responsibilities
Lead and manage Azure Data Factory environments including provisioning configuration monitoring and administration Design and implement highly available faulttolerant and resilient data integration solutions within the Microsoft Azure ecosystem Analyze and improve existing data workflows operational standards and automation opportunities Collaborate with crossfunctional teams to support cloud adoption and modernization of data applications Participate in Agile development processes and contribute to continuous integration and continuous deployment CICD pipelines for data integration solutions Develop infrastructure as code IaC using Azure native tools to automate deployment of data integration platforms Monitor pipeline performance and implement data protection best practices to prevent data loss Provide technical mentorship guidance and leadership to junior team members and peers Participate in oncall rotations to promptly address and resolve critical production issues,
Benefits and Perks:
* Comprehensive Medical Plan Covering Medical, Dental, Vision
* Short Term and Long\-Term Disability Coverage
* 401(k) Plan with Company match
* Life Insurance
* Vacation Time, Sick Leave, Paid Holidays
* Paid Paternity and Maternity Leave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**Skills** **Mandatory Skills :** Azure Data Factory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$135,000\.00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44">
      <c r="A44" t="inlineStr">
        <is>
          <t>in-f8ed6f01875a2d53</t>
        </is>
      </c>
      <c r="B44" t="inlineStr">
        <is>
          <t>Analytics Engineer</t>
        </is>
      </c>
      <c r="C44" t="inlineStr">
        <is>
          <t>HCA Healthcare</t>
        </is>
      </c>
      <c r="D44" t="inlineStr">
        <is>
          <t>indeed</t>
        </is>
      </c>
      <c r="E44">
        <f>HYPERLINK("https://www.indeed.com/viewjob?jk=f8ed6f01875a2d53", "https://www.indeed.com/viewjob?jk=f8ed6f01875a2d53")</f>
        <v/>
      </c>
      <c r="F44">
        <f>HYPERLINK("https://careers.hcahealthcare.com/en/jobs/17282167-analytics-engineer?tm_job=1-INFOR-4188406&amp;tm_event=view&amp;tm_company=2537", "https://careers.hcahealthcare.com/en/jobs/17282167-analytics-engineer?tm_job=1-INFOR-4188406&amp;tm_event=view&amp;tm_company=2537")</f>
        <v/>
      </c>
      <c r="G44" t="inlineStr">
        <is>
          <t>Nashville, TN, US</t>
        </is>
      </c>
      <c r="H44" s="3" t="n">
        <v>46050</v>
      </c>
      <c r="I44" t="inlineStr">
        <is>
          <t>##### **Introduction**
Do you want to join an organization that invests in you as an Analytics Engineer?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Analytics Engineer like you to be a part of our team.
##### **Job Summary and Qualifications**
JOB SUMMARY
The Analytics Engineer I supports the Service Management Organization (SMO) by transforming business requirements into scalable analytical work products. This role focuses on developing high\-quality dashboards, self\-service analytics, and data driven insights using modern BI platforms, cloud\-based AI/ML services, and enterprise data products. Working in partnership with SMO leadership, ITG, and business stakeholders, the engineer leverages advanced analytics tooling—including generative AI platforms, automation frameworks, and modern data engineering practices to improve operational performance and enable decision making. This individual will participate in large\-scale development projects as well as collaborating with stakeholders on ad\-hoc reporting and analytics needs.
GENERAL RESPONSIBILITIES
* Develop, enhance, and maintain analytic data products and models using modern BI and AI‑powered platforms (e.g., Power BI, ServiceNow Now Assist, Dynatrace, GCP Vertex Platform).
* Work collaboratively with the business to understand needs and translate these requirements into actionable and effective work products
* Work closely with SMO Leaders and the broader Information Technology Group (ITG) organization to assist with ad\-hoc analytical support needs.
* Demonstrate and apply knowledge regarding the building of generative AI solutions including parsing/chunking, Retrieval\-Augmented Generator (RAG), semantic modelling, and other design approaches to help ground models in operational data
* Knowledge of scripting or programming languages (Python, SQL)
* Leverage GCP MLOps workflows to perform model training, deployment, and monitoring.
* Demonstrate and understanding of Agile development methods and tools
* Use Git/Github, Terraform, and CI/CD tools (e.g. Docker) to manage solution deployment
* Support new reporting initiatives and applications by gaining an understanding of the underlying data models and designing reports for new applications.
* Manage multiple concurrent projects with strong organization, documentation, and self‑direction.
* Demonstrate a working knowledge of hospital operations, strategy, and other growth functions and the various data points and systems surrounding these areas.
* Contribute to the success of strategic initiatives through innovation, creativity, and continued quality and process improvement.
* Seek out best analytic practices and help scale them where appropriate.
* Provide training and user education on developed solutions
* Apply knowledge of Information Technology Infrastructure Library (ITIL) and Information Technology Service Management (ITSM) concepts
* Participates in ITG and SMO departmental project activities or other duties as assigned, such as attending project meetings, testing, developing or reviewing documentation and support procedures, supporting implementations, etc. Opportunities to travel to conferences from time to time
EDUCATION
Bachelor’s degree preferred
EXPERIENCE
1\-3 years of experience required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Analytics Engineer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45">
      <c r="A45" t="inlineStr">
        <is>
          <t>in-b241dbad3b16389e</t>
        </is>
      </c>
      <c r="B45" t="inlineStr">
        <is>
          <t>Senior Data Engineer - Digital Marketing &amp; Analytics</t>
        </is>
      </c>
      <c r="C45" t="inlineStr">
        <is>
          <t>Microsoft</t>
        </is>
      </c>
      <c r="D45" t="inlineStr">
        <is>
          <t>indeed</t>
        </is>
      </c>
      <c r="E45">
        <f>HYPERLINK("https://www.indeed.com/viewjob?jk=b241dbad3b16389e", "https://www.indeed.com/viewjob?jk=b241dbad3b16389e")</f>
        <v/>
      </c>
      <c r="F45">
        <f>HYPERLINK("https://apply.careers.microsoft.com/careers/job/1970393556749160?utm_source=indeed&amp;domain=microsoft.com", "https://apply.careers.microsoft.com/careers/job/1970393556749160?utm_source=indeed&amp;domain=microsoft.com")</f>
        <v/>
      </c>
      <c r="G45" t="inlineStr">
        <is>
          <t>Redmond, WA, US</t>
        </is>
      </c>
      <c r="H45" s="3" t="n">
        <v>46049</v>
      </c>
      <c r="I45" t="inlineStr">
        <is>
          <t>**Overview**  
The Consumer Growth Engine (CGE) \&amp; Integrated Marketing organization is a digitally centric team focused on delighting customers with relevant, timely, personalized communications to help them grow excitement in getting more value out of Microsoft products and services.
The **Senior Data Engineer – Digital Marketing \&amp; Analytics** is responsible for implementing and operating Consumer Data Platform (CDP) data pipelines and data layers that support analytics, activation, and AI enabled digital marketing across CGE \&amp; IM. We are hiring for two roles, one role will focus on analytics and reporting data engineering including semantic data layers in Fabric, the second role will focus on a platform activation layer to integrate our data with various marketing tools, AI agent, machine learning. This role partners closely with a Technical Architect and Data Strategist to translate defined business requirements and architecture into clear implementation specifications and reliable data solutions.
This role emphasizes delivery, execution, and operational ownership. While proficient technical capability is required, a key part of this role is to understand documented business needs, research and integrate data sources, define implementationlevel logic, and ensure data is usable, governed, productionready and aligned with the CDP strategy and architecture 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Implementation \&amp; Delivery Ownership
* Build data pipelines and curated datasets per CDP architecture and Technical Architect guidelines.
* Define implementation specs covering mapping, transformation, validation, and dependencies.
* Maintain analytics\- and activation\-ready data layers for reporting, segmentation, personalization, and AI.
Business Requirement Interpretation
* Collaborate with Data Strategist and analytics teams to clarify measurement and AI requirements.
* Assess feasibility, risks, and methods using available data sources.
* Flag and recommend solutions for data gaps, quality issues, or dependencies.
Data Source Integration
* Integrate necessary first\- and third\-party data for CDP use cases.
* Apply standard ingestion and transformation patterns according to governance standards.
* Structure and document data for analytics and activation.
Governance, Privacy \&amp; Data Quality
* Embed data quality checks, monitoring, and lineage in workflows.
* Ensure pipelines comply with consent, retention, and privacy mandates.
* Coordinate with Legal, Privacy, and Governance on new or updated data sources.
Operational Excellence
* Oversee pipeline health, including monitoring and root cause analysis.
* Automate and standardize processes to minimize manual work.
* Support optimization and scaling of CDP implementations.
Cross\-Team Collaboration
* Operate within a shared ownership model for roadmap, architecture, and delivery.
* Achieve clarity on data sources, integration and communicate status and risks to both technical and non\-technical audiences.
* Share feedback to guide future architectural decisions.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Experience supporting digital marketing, personalization, experimentation, or customer analytics use cases.
* Experience working with or alongside a Customer Data Platform (CDP), Azure and Fabric Data Factories.
* Familiarity with identity data concepts and activation workflows.
* Experience operating within architectled or strategistled delivery models.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li-4367497136</t>
        </is>
      </c>
      <c r="B2" t="inlineStr">
        <is>
          <t>Data Engineer</t>
        </is>
      </c>
      <c r="C2" t="inlineStr">
        <is>
          <t>PETADATA</t>
        </is>
      </c>
      <c r="D2" t="inlineStr">
        <is>
          <t>linkedin</t>
        </is>
      </c>
      <c r="E2" t="inlineStr"/>
      <c r="F2" t="inlineStr"/>
      <c r="G2" t="inlineStr">
        <is>
          <t>Albany, NY</t>
        </is>
      </c>
      <c r="H2" t="inlineStr"/>
      <c r="I2"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3">
      <c r="A3" t="inlineStr">
        <is>
          <t>li-4367446921</t>
        </is>
      </c>
      <c r="B3" t="inlineStr">
        <is>
          <t>Big Data Engineer – Hadoop, PySpark, Apache Kafka</t>
        </is>
      </c>
      <c r="C3" t="inlineStr">
        <is>
          <t>NuStar Technologies</t>
        </is>
      </c>
      <c r="D3" t="inlineStr">
        <is>
          <t>linkedin</t>
        </is>
      </c>
      <c r="E3" t="inlineStr"/>
      <c r="F3" t="inlineStr"/>
      <c r="G3" t="inlineStr">
        <is>
          <t>Charlotte, NC</t>
        </is>
      </c>
      <c r="H3" t="inlineStr"/>
      <c r="I3" t="inlineStr">
        <is>
          <t>**Must Have Technical/Functional Skills**
 Primary Skill: Hadoop ecosystem (HDFS, Hive, Spark),PySpark,Python,Apache Kafka
 Secondary: UI – Angular.
 Experience: Minimum 9 years
**Roles \&amp; Responsibilities**
 Architectural Leadership:
* Define end\-to\-end architecture for data platforms, streaming systems, and web applications.
* Ensure alignment with enterprise standards, security, and compliance requirements.
* Evaluate emerging technologies and recommend adoption strategies.
**Data Engineering**
* Design and implement data ingestion, transformation, and processing pipelines using Hadoop, PySpark, and related tools.
* Optimize ETL workflows for large\-scale datasets and real\-time streaming.
* Integrate Apache Kafka for event\-driven architectures and messaging.
**Application Development**
* Build and maintain backend services using Python and microservices architecture.
* Develop responsive, dynamic front\-end applications using Angular.
* Implement RESTful APIs and ensure seamless integration between components.
**Collaboration \&amp; Leadership**
* Work closely with product owners, business analysts, and DevOps teams.
* Mentor junior developers and data engineers.
* Participate in agile ceremonies, code reviews, and design discussions.
**Technical Expertise**
 Required Skills \&amp; Qualifications:
* Strong experience with Hadoop ecosystem (HDFS, Hive, Spark).
* Proficiency in PySpark for distributed data processing.
* Advanced programming skills in Python.
* Hands\-on experience with Apache Kafka for real\-time streaming.
* Frontend development using Angular (TypeScript, HTML, CSS).
**Architectural Skills**
* Expertise in designing scalable, secure, and high\-performance systems.
* Familiarity with microservices, API design, and cloud\-native architectures.
**Additional Skills**
* Knowledge of CI/CD pipelines, containerization (Docker/Kubernetes).
* Exposure to cloud platforms (AWS, Azure, GCP).
**Education**
* Bachelor’s or Master’s degree in Computer Science, Engineering, or related field.
**Experience**
* 9\+ years in software development, with at least 4 \+ years in architecture and Big Data technologies.
**Preferred Qualifications**
* BFSI domain experience or large\-scale enterprise systems.
* Understanding of data governance, security, and compliance standards.
**Soft Skills**
* Strong analytical and problem\-solving abilities.
* Excellent communication and leadership skills.
* Ability to thrive in a fast\-paced, agile environment.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$100,000 \- $120,000 a year</t>
        </is>
      </c>
    </row>
    <row r="4">
      <c r="A4" t="inlineStr">
        <is>
          <t>li-4367250715</t>
        </is>
      </c>
      <c r="B4" t="inlineStr">
        <is>
          <t>Data Engineer</t>
        </is>
      </c>
      <c r="C4" t="inlineStr">
        <is>
          <t>Sigmatic</t>
        </is>
      </c>
      <c r="D4" t="inlineStr">
        <is>
          <t>linkedin</t>
        </is>
      </c>
      <c r="E4" t="inlineStr"/>
      <c r="F4" t="inlineStr"/>
      <c r="G4" t="inlineStr"/>
      <c r="H4" t="inlineStr"/>
      <c r="I4" t="inlineStr">
        <is>
          <t>**Company Overview** 
 Sigmatic is building the operating system for ambulatory surgery centers (ASCs). We help healthcare operators gain real\-time visibility into cost, utilization, and performance using modern data infrastructure, AI, and automation—without disrupting existing clinical workflows.
 Our platform ingests and normalizes complex healthcare, financial, and operational data to drive better decisions for administrators, operators, and executives. Data is core to everything we do.
**Role Overview** 
 We are seeking a 
 **Staff Analytics Engineer** 
  to lead the technical direction of Sigmatic’s analytics and data platform. This is a 
 **hands\-on, high\-ownership role** 
  at the center of our engineering organization.
 You will own the design, build, and evolution of our analytics foundation—from ingestion and modeling to governance and BI—powering insights used daily by our internal teams and healthcare customers. You’ll help move Sigmatic from early data pipelines to a 
 **production\-grade, scalable analytics platform** 
 .
 Our analytics stack is built on 
 **Databricks, Delta Lake, Unity Catalog, PostgreSQL, and AWS** 
 .
 This role has direct impact on:
* Product velocity
* Customer onboarding and proof of value
* Executive and operator decision\-making
* The long\-term scalability of Sigmatic’s platform
**What You’ll Do** 
* Lead the 
 **architecture and engineering** 
  of Sigmatic’s end\-to\-end analytics platform, including ingestion, transformation, modeling, and BI delivery.
* Own and evolve 
 **Databricks pipelines** 
 , ensuring reliability, accuracy, performance, and cost efficiency.
* Design and maintain 
 **Delta Lake and Unity Catalog datasets** 
  supporting operational, clinical, financial, and executive use cases.
* Serve as the technical authority on 
 **data architecture and modeling** 
 , including schema design, table strategy, and governance best practices.
* Build reusable, well\-documented data models that support utilization metrics, financial reporting, and operational analytics.
* Partner closely with 
 **product, engineering, and business stakeholders** 
  to translate requirements into scalable technical solutions.
* Lead improvements in 
 **data quality, observability, testing, and CI/CD** 
  for analytics code and datasets.
* Mentor engineers and analysts, raising the bar for analytics engineering practices across the team.
* Implement and enforce 
 **secure data practices** 
 , ensuring compliance with HIPAA, HITRUST, and internal security standards.
* Evaluate and introduce tools, frameworks, and processes that improve developer productivity and system reliability.
* Contribute to hiring and technical interviews as we scale the data team.
* Operate as a senior individual contributor with 
 **high ownership, autonomy, and accountability** 
  in a fast\-moving startup environment.
**What We’re Looking For** 
* Bachelor’s degree in Computer Science or a related field, or equivalent practical experience.
* Deep experience in 
 **analytics engineering or data engineering** 
 , including Spark, Databricks, Delta Lake, or similar large\-scale systems.
* Strong understanding of 
 **AWS cloud architecture** 
 , including compute, storage, networking, and identity.
* Expertise in 
 **data modeling, ETL/ELT design** 
 , and building maintainable, production\-grade data pipelines.
* Experience with 
 **BI tools (e.g., Power BI)** 
 , including dataset modeling and performance optimization.
* Solid grasp of modern data architecture patterns (batch vs. streaming, distributed systems, event\-driven pipelines).
* Strong knowledge of 
 **data security and governance** 
 , especially in regulated environments (HIPAA, HITRUST).
* Ability to set technical direction, influence across teams, and operate as a senior technical leader.
* Proven track record of delivering 
 **reliable, business\-critical data systems** 
  in production.
**Why This Role at Sigmatic** 
* You’ll shape the 
 **data foundation** 
  of a healthcare platform at a pivotal stage.
* Your work will directly impact real healthcare operators—not just dashboards.
* High ownership, low bureaucracy, and meaningful technical influence.
* Opportunity to grow into a 
 **principal\-level technical leader** 
  as the company scales.</t>
        </is>
      </c>
    </row>
    <row r="5">
      <c r="A5" t="inlineStr">
        <is>
          <t>li-4331932768</t>
        </is>
      </c>
      <c r="B5" t="inlineStr">
        <is>
          <t>Model Data Engineer</t>
        </is>
      </c>
      <c r="C5" t="inlineStr">
        <is>
          <t>Lenovo</t>
        </is>
      </c>
      <c r="D5" t="inlineStr">
        <is>
          <t>linkedin</t>
        </is>
      </c>
      <c r="E5" t="inlineStr"/>
      <c r="F5" t="inlineStr"/>
      <c r="G5" t="inlineStr">
        <is>
          <t>North Carolina, United States</t>
        </is>
      </c>
      <c r="H5" t="inlineStr"/>
      <c r="I5"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areseekinga highly motivated and skilled Model Data Engineer to join our rapidly growing AI team in Morrisville, NC. You will play a critical role in the trainingoflarge language models (LLMs), large vision models (LVMs), and large multimodal models (LMMs),includingfine\-tuningand reinforcement learning. This is a challenging yet rewarding opportunity to contribute tocutting\-edgeresearch and development in generative AI.You’llbe working with a collaborative team to push the boundaries ofwhat’spossible withAI models and deploy them into innovative products.
**Responsibilities**
* Data pipeline:Develop and implement data pipelines to build high quality training data for Large Language Model. Build Data management and DVC systems.
* Data Types:SFT, DPO, and RL data implementation, distillation and filtering, with data domains in general chat, instruction following, agentic tool\-calling and so on.
* Data Quality Evaluation:Perform thorough data analysis to assess data quality, identify anomalies, and ensure data integrity. Utilize machine learning tools and techniques to evaluate dataset performance and identify areas for improvement.
* Model Evaluation:Help build model evaluation framework, conduct evaluations on LLM, Multimodal LLM, Reasoning Models and etc.
* Domain Model evaluation and Data:Create domain dataset and evaluate model domain capabilities.
* Work closely with researchers and cross functional teams to build SOTA models together.
* Stay up\-to\-date with the latest advancements in large language models.
* Collaborate with other engineers and researchers to design, implement, and deploy AI\-powered products.
* Contribute to the development of internal tools.
**Qualifications**
* Master's degree in Computer Science, Machine Learning, Data Science or a related fieldand2\+ years of relevant work experienceor4\+ years of relevant work experience.
* Strong programming skills in Python and SQL
* Solid understanding of data structure, relational databases (e.g., PostgreSQL, MySQL) and NoSQL databases (e.g., MongoDB, Cassandra).
* Proven experience in designing and conducting experiments, analyzing data, and drawing meaningful conclusions.
* Solid understanding of machine learning concepts and techniques, including data preprocessing, feature engineering, and model evaluation.
* Experience with model evaluation frameworks such as Open\-compass.
* Familiarity with large language models, transformer architectures, and related concepts.
* Excellent communication, collaboration, and problem\-solving skills.
 \#LATC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6">
      <c r="A6" t="inlineStr">
        <is>
          <t>li-4367473318</t>
        </is>
      </c>
      <c r="B6" t="inlineStr">
        <is>
          <t>Data Engineer, Senior</t>
        </is>
      </c>
      <c r="C6" t="inlineStr">
        <is>
          <t>Pacific Gas and Electric Company</t>
        </is>
      </c>
      <c r="D6" t="inlineStr">
        <is>
          <t>linkedin</t>
        </is>
      </c>
      <c r="E6" t="inlineStr"/>
      <c r="F6" t="inlineStr"/>
      <c r="G6" t="inlineStr">
        <is>
          <t>Oakland, CA</t>
        </is>
      </c>
      <c r="H6" t="inlineStr"/>
      <c r="I6" t="inlineStr">
        <is>
          <t>Requisition ID \# 169960
 Job Category: Information Technology
 Job Level: Individual Contributor
 Business Unit: Electric Operations
 Work Type: Hybrid
 Job Location: Oakland
**Position Summary**
 PG\&amp;E is seeking a Data Engineer to lead the development of a modern, cloud\-native data platform that supports vegetation management operations, regulatory compliance, and advanced analytics. This role is central to transforming fragmented legacy systems into a unified, audit\-ready Snowflake Data Lakehouse, enabling scalable, secure, and transparent data access across the organization.
 The engineer will design and implement robust ELT pipelines using Informatica as the primary tool, alongside a suite of AWS services including Step Functions, Fargate, Lambda, DynamoDB, and S3\. The role spans structured, semi\-structured, and unstructured data domains, integrating sources such as Salesforce, SAP, SharePoint, ArcGIS, and remote sensing imagery (LiDAR, Ortho imagery, surface reflectance, etc.).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particular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This job can also participate in PG\&amp;E’s discretionary incentive compensation programs.
 A reasonable salary range is:
 Bay Area Minimum: $122,000
 Bay Area Mid\-point: $158,000
 Bay Area Maximum: $194,000
* This position follows a hybrid work model, requiring employees to report to their assigned office location at least one to two days per week. The remaining days may be worked remotely, depending on business needs. The headquarters is located in Oakland, CA.
* The first round interview for this role will be conducted in person at our Oakland headquarters.
**Job Responsibilities**
* Conceptualizes and generates infrastructure that allows big data to be accessed and analyzed.
* Collaborate with cross\-functional teams—including data scientists, analysts, and business stakeholders—to understand data requirements and deliver high\-quality, analytics\-ready datasets.
* Support the deployment of machine learning models by enabling feature pipelines, model input/output data flows, and integration with platforms like SageMaker or Foundry.
* Resolves application programming analysis problems of moderate to complex scope within procedural guidelines. May seek assistance from the supervisor or more skilled programmers/analysts on unusual or especially complex issues that cross multiple functional/technology areas.
* Works on complex data and analytics\-centric problems having a moderate impact that require in\-depth analysis and judgment to obtain results or solutions
* Plans work to meet assigned general objectives; progress is reviewed upon completion, and solutions may provide an opportunity for creative/non\-standard approaches.
* Communicates (oral and written) recommendations.
* Mentors/guides less experienced colleagues.
**Qualifications**
**Minimum:**
* BA/BS in Computer Science, Management Information Systems, related field of study, or equivalent experience.
* 5 years of experience with data engineering/ETL ecosystem, such as Palantir Foundry, Spark, Informatica, SAP BODS, OBIEE.
**Desired:**
* Experience with infrastructure\-as\-code tools (e.g., Terraform, CloudFormation).
* Familiarity with business intelligence tools such as Power BI, Tableau, or Foundry for data visualization and reporting.
* Knowledge of software engineering principles such as unit testing, CI/CD, and source control.
* Experience working with geospatial data and tools such as ArcGIS.
* Experience building data migration pipelines in Informatica
* Experience with machine learning algorithm deployment.</t>
        </is>
      </c>
    </row>
    <row r="7">
      <c r="A7" t="inlineStr">
        <is>
          <t>li-4367468662</t>
        </is>
      </c>
      <c r="B7" t="inlineStr">
        <is>
          <t>Data Engineer Azure Data Platforms &amp; Data Modeling</t>
        </is>
      </c>
      <c r="C7" t="inlineStr">
        <is>
          <t>Nisum</t>
        </is>
      </c>
      <c r="D7" t="inlineStr">
        <is>
          <t>linkedin</t>
        </is>
      </c>
      <c r="E7" t="inlineStr"/>
      <c r="F7" t="inlineStr"/>
      <c r="G7" t="inlineStr">
        <is>
          <t>San Jose, CA</t>
        </is>
      </c>
      <c r="H7" t="inlineStr"/>
      <c r="I7" t="inlineStr">
        <is>
          <t>What you know
* Design, develop, and maintain scalable, high\-performance data pipelines across Azure cloud platforms.
* Build and orchestrate ETL/ELT workflows using Azure Data Factory (ADF).
* Develop enterprise\-grade data models (dimensional, relational, lakehouse) to support analytics and reporting needs.
* Implement and optimize data processing solutions using Azure Databricks and distributed computing frameworks.
* Support AI/ML initiatives by enabling curated datasets and workflow integration using Azure Machine Learning pipelines.
* Collaborate with data scientists, analysts, architects, and business stakeholders to deliver trusted data products.
* Ensure best practices in data governance, security, quality, and compliance across platforms.
* Monitor and optimize pipeline reliability, performance, and cost efficiency in production environments.
* Contribute to CI/CD automation and operational excellence for enterprise data workflows.
 Important attributes for this role
* Strong data modeling mindset (enterprise, analytics, and lakehouse architectures)
* Ownership of end\-to\-end data architecture and delivery
* Ability to work cross\-functionally with technical and business teams
* Clear communication and stakeholder alignment
* Strong decision\-making in platform and architecture design
* Enterprise focus on reliability, security, and scalability
 What you'll do
* 8–10 years of experience in Data Engineering, Data Platform Engineering, or related roles.
* Strong experience building cloud\-scale data solutions in the Microsoft Azure ecosystem.
* Hands\-on expertise with Azure Data Factory for orchestration and automation.
* Experience with Azure Databricks for large\-scale data transformation and processing.
* Strong proficiency in SQL and Python for data engineering workflows.
* Experience working with Azure Data Lake Storage (ADLS) and modern lakehouse architectures.
* Familiarity with Azure Machine Learning pipelines and supporting feature/data workflows for ML teams.
* Strong understanding of data governance, lineage, and quality frameworks.
* Experience with Delta Lake and modern lakehouse design.
* Familiarity with DevOps practices, CI/CD pipelines, and Infrastructure\-as\-Code.
* Experience working in large\-scale enterprise environments with complex data integration needs.
* Knowledge of Azure security best practices (RBAC, Key Vault, encryption).
 Education
* Bachelor’s degree in Computer Science, Engineering, Data Science, or a related field (required).
* Master’s degree is a plus.
**Compensation**
 $140K \- $145K / PA</t>
        </is>
      </c>
    </row>
    <row r="8">
      <c r="A8" t="inlineStr">
        <is>
          <t>li-4367235958</t>
        </is>
      </c>
      <c r="B8" t="inlineStr">
        <is>
          <t>Data Engineer</t>
        </is>
      </c>
      <c r="C8" t="inlineStr">
        <is>
          <t>AARATECH</t>
        </is>
      </c>
      <c r="D8" t="inlineStr">
        <is>
          <t>linkedin</t>
        </is>
      </c>
      <c r="E8" t="inlineStr"/>
      <c r="F8" t="inlineStr"/>
      <c r="G8" t="inlineStr"/>
      <c r="H8" t="inlineStr"/>
      <c r="I8"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9">
      <c r="A9" t="inlineStr">
        <is>
          <t>li-4367496291</t>
        </is>
      </c>
      <c r="B9" t="inlineStr">
        <is>
          <t>Junior Data Engineer</t>
        </is>
      </c>
      <c r="C9" t="inlineStr">
        <is>
          <t>Teza Technologies</t>
        </is>
      </c>
      <c r="D9" t="inlineStr">
        <is>
          <t>linkedin</t>
        </is>
      </c>
      <c r="E9" t="inlineStr"/>
      <c r="F9" t="inlineStr"/>
      <c r="G9" t="inlineStr">
        <is>
          <t>Austin, TX</t>
        </is>
      </c>
      <c r="H9" t="inlineStr"/>
      <c r="I9" t="inlineStr">
        <is>
          <t>**About The Role**
 Teza Technologies is looking for Junior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Austin, TX (Hybrid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Data Science or related field.
**Benefits**
* Health, visual and dental insurance
* Flexible sick time policy</t>
        </is>
      </c>
    </row>
    <row r="10">
      <c r="A10" t="inlineStr">
        <is>
          <t>li-4367604035</t>
        </is>
      </c>
      <c r="B10" t="inlineStr">
        <is>
          <t>Data Engineer</t>
        </is>
      </c>
      <c r="C10" t="inlineStr">
        <is>
          <t>Stelvio Inc.</t>
        </is>
      </c>
      <c r="D10" t="inlineStr">
        <is>
          <t>linkedin</t>
        </is>
      </c>
      <c r="E10" t="inlineStr"/>
      <c r="F10" t="inlineStr"/>
      <c r="G10" t="inlineStr">
        <is>
          <t>Phoenix, AZ</t>
        </is>
      </c>
      <c r="H10" t="inlineStr"/>
      <c r="I10" t="inlineStr">
        <is>
          <t>**Data Engineer** 
**Hybrid \- 2\-3 days on site** 
**Phoenix, AZ** 
**$110\-117k** 
**\*\*Must be legally authorized to work in the U.S. (no visa sponsorship)\*\*** 
 We’re looking for a product\-oriented Data Engineer who thrives in a fast\-paced, highly collaborative Agile environment. If you enjoy partnering daily with product teams, engineers, and end\-users to ship reliable, well\-tested data solutions, this role is for you.
 As part of a modern product engineering SCRUM team, you’ll build and optimize cloud\-native data pipelines, improve data quality, and contribute to high\-impact features that support real\-world operational workflows.
**What You’ll Do:** 
* Build scalable data pipelines using modern cloud technologies
* Write clean, test\-driven C\# and Python code for data transformations
* Collaborate closely with engineers and product partners in daily standups, refinements, and design sessions
* Contribute to product\-focused solutions, not just ETL tasks
* Ensure disciplined Git/GitHub workflows (GitFlow), code reviews, and CI/CD best practices
* Communicate clearly and directly with technical and non\-technical teams
* Help evolve our data architecture, quality practices, and engineering standards
**What We’re Looking For:** 
* Strong hands\-on skills in Python and/or C\#
* Solid experience building data pipelines, ETL/ELT, and SQL solutions
* Familiarity with Agile (Scrum/XP) and working inside a product engineering team
* Experience with TDD, automated testing, and high\-quality code delivery
* Excellent communication and the ability to move quickly with cross\-functional teams
* Strong Git/GitHub habits (branches, PRs, reviews, GitFlow)
* A mindset of ownership, collaboration, and continuous improvement
 If you enjoy solving complex data problems, shipping quickly, and working in a tight\-knit Agile team where communication is constant and clarity matters, we’d love to speak with you.
**Benefits** 
 Medical, dental, and vision from day one · PTO \&amp; holidays · 401(k) with match · Lifestyle account · Tuition reimbursement · Voluntary benefits · Employee Assistance Program · Well\-being \&amp; culture programs · Professional development support</t>
        </is>
      </c>
    </row>
    <row r="11">
      <c r="A11" t="inlineStr">
        <is>
          <t>li-4367258005</t>
        </is>
      </c>
      <c r="B11" t="inlineStr">
        <is>
          <t>Data Engineer</t>
        </is>
      </c>
      <c r="C11" t="inlineStr">
        <is>
          <t>AARATECH</t>
        </is>
      </c>
      <c r="D11" t="inlineStr">
        <is>
          <t>linkedin</t>
        </is>
      </c>
      <c r="E11" t="inlineStr"/>
      <c r="F11" t="inlineStr"/>
      <c r="G11" t="inlineStr"/>
      <c r="H11" t="inlineStr"/>
      <c r="I1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2">
      <c r="A12" t="inlineStr">
        <is>
          <t>li-4362162461</t>
        </is>
      </c>
      <c r="B12" t="inlineStr">
        <is>
          <t>Senior Data Engineer</t>
        </is>
      </c>
      <c r="C12" t="inlineStr">
        <is>
          <t>Milan Laser Hair Removal</t>
        </is>
      </c>
      <c r="D12" t="inlineStr">
        <is>
          <t>linkedin</t>
        </is>
      </c>
      <c r="E12" t="inlineStr"/>
      <c r="F12" t="inlineStr"/>
      <c r="G12" t="inlineStr"/>
      <c r="H12" t="inlineStr"/>
      <c r="I12"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13">
      <c r="A13" t="inlineStr">
        <is>
          <t>li-4367241830</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li-4367487572</t>
        </is>
      </c>
      <c r="B14" t="inlineStr">
        <is>
          <t>Senior Data Engineer / ETL Developer (Contract – Pipeline Role)</t>
        </is>
      </c>
      <c r="C14" t="inlineStr">
        <is>
          <t>Tecqnova</t>
        </is>
      </c>
      <c r="D14" t="inlineStr">
        <is>
          <t>linkedin</t>
        </is>
      </c>
      <c r="E14" t="inlineStr"/>
      <c r="F14" t="inlineStr"/>
      <c r="G14" t="inlineStr"/>
      <c r="H14" t="inlineStr"/>
      <c r="I14" t="inlineStr">
        <is>
          <t>**Job Title:** 
**Senior Data Engineer / ETL \&amp; Analytics Specialist (Contract – Pipeline Role)** 
**Company:** 
 Tecqnova
**Location:** 
 Remote (US) \| Contract (C2C / 1099 / W2\)
**About Tecqnova** 
 Tecqnova is a fast\-growing
 **data integration and analytics solutions company** 
 that partners with enterprise clients to deliver high\-quality, end\-to\-end data services. Our mission is to help organizations transform their data into actionable insights, enabling smarter business decisions and improved operational efficiency.
 As a contract\-driven company, Tecqnova focuses on
 **building a bench of top\-tier talent** 
 ready to support client engagements across domains like
 **data engineering, analytics, ETL, cloud data platforms, and business intelligence** 
 . By combining deep technical expertise with agile delivery models, we ensure our clients achieve their strategic objectives while maintaining high standards of performance, quality, and innovation.
 At Tecqnova, we prioritize a
 **professional, inclusive, and growth\-oriented environment** 
 . Our team members are empowered to work on innovative projects, shape technical strategy, and grow their careers with mentorship and real\-world experience.
**Note:** 
 Start dates are dependent on client project timelines. This is part of our
 **talent pipeline for upcoming engagements** 
 .
**The Role** 
 As a Senior Data Engineer at Tecqnova, you will play a pivotal role in designing, building, and optimizing
 **data infrastructure, ETL pipelines, and cloud analytics solutions** 
 for enterprise clients.
 You will have the opportunity to influence technical decisions, collaborate with cross\-functional teams, and work with
 **cutting\-edge technologies** 
 such as
 **Python, PySpark, Databricks, Azure Data Services, Snowflake, and SQL** 
 . This role is ideal for professionals seeking
 **flexible, contract\-based engagements** 
 while contributing to high\-impact client projects.
**Key Responsibilities** 
* Develop, maintain, and optimize ETL/data pipelines using
 **Python** 
 and
 **PySpark**
* Design and implement data integration workflows across
 **Databricks, Azure Data Services, Snowflake, and other relational/cloud databases**
* Write, tune, and optimize
 **SQL queries** 
 for analytics and reporting
* Gather requirements from technical and non\-technical stakeholders to build scalable solutions
* Support
 **data validation, reconciliation, and quality assurance** 
 processes
* Collaborate with cross\-functional teams on
 **data strategy, architecture, and pipeline optimization**
* Build and maintain
 **data orchestration processes** 
 using tools such as
 **Airflow, Dagster, or Azure Data Factory**
* Create dashboards, metrics, and reports to provide actionable insights for clients
* Participate in code reviews, documentation, and best practices for
 **data engineering and analytics**
* Identify opportunities for
 **innovation and process improvement** 
 across client projects
**Required Skills \&amp; Qualifications** 
* Bachelor’s degree in
 **Computer Science, Information Technology, or related field** 
 , or equivalent practical experience
* 4\+ years of experience in
 **data engineering, ETL, or analytics**
* Strong programming skills in
 **Python** 
 and
 **PySpark, Informatica, or similar tools**
* Proficiency in
 **SQL** 
 and experience with relational and cloud databases
* Hands\-on experience with
 **Databricks, Azure Data Services, Snowflake, or Redshift**
* Knowledge of
 **data warehousing, data modeling, and pipeline design**
* Experience with
 **test\-driven development** 
 and data quality validation
* Familiarity with
 **data orchestration tools** 
 (Airflow, Dagster, Azure Data Factory, AWS Glue, Autosys, Control M)
* Strong problem\-solving, organizational, and project management skills
* Excellent verbal and written communication skills to present insights to non\-technical stakeholders
* Ability to work independently in a
 **contract\-based, project\-driven environment**
**Nice to Have** 
* Experience leading or mentoring junior Data Engineers
* Knowledge of API development/consumption for batch or streaming data pipelines
* Familiarity with
 **CRM systems and marketing analytics platforms**
* Command\-line interface experience for deployment and automation
* Data visualization experience using
 **Power BI, Tableau, Looker, or equivalent**
* Familiarity with version control systems (
 **Git, GitHub, GitLab, Bitbucket** 
 )
* Cloud experience on
 **AWS or GCP** 
 in addition to Azure
**Why Join Tecqnova** 
* Access to
 **enterprise\-level client engagements**
* Flexible, contract\-based work opportunities
* Opportunity to work on
 **innovative projects** 
 with modern cloud and analytics technologies
* Collaborative environment with
 **mentorship and professional growth opportunities**
* Transparent communication and structured workflow for contract employees
**How to Apply** 
 Please submit your resume along with a summary including:
* Availability (immediate / 30 days/future)
* Preferred contract type (C2C, 1099, W2\)
* Highlight of relevant technical projects or portfolio (if available)
*This position is part of Tecqnova’s talent pipeline for upcoming client engagements; start dates are project\-dependent.*</t>
        </is>
      </c>
    </row>
    <row r="15">
      <c r="A15" t="inlineStr">
        <is>
          <t>li-4367246529</t>
        </is>
      </c>
      <c r="B15" t="inlineStr">
        <is>
          <t>Data Engineer</t>
        </is>
      </c>
      <c r="C15" t="inlineStr">
        <is>
          <t>AARATECH</t>
        </is>
      </c>
      <c r="D15" t="inlineStr">
        <is>
          <t>linkedin</t>
        </is>
      </c>
      <c r="E15" t="inlineStr"/>
      <c r="F15" t="inlineStr"/>
      <c r="G15" t="inlineStr"/>
      <c r="H15" t="inlineStr"/>
      <c r="I1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6">
      <c r="A16" t="inlineStr">
        <is>
          <t>li-4361294764</t>
        </is>
      </c>
      <c r="B16" t="inlineStr">
        <is>
          <t>Data Engineer I</t>
        </is>
      </c>
      <c r="C16" t="inlineStr">
        <is>
          <t>Cox Automotive Inc.</t>
        </is>
      </c>
      <c r="D16" t="inlineStr">
        <is>
          <t>linkedin</t>
        </is>
      </c>
      <c r="E16" t="inlineStr"/>
      <c r="F16" t="inlineStr"/>
      <c r="G16" t="inlineStr">
        <is>
          <t>Austin, TX</t>
        </is>
      </c>
      <c r="H16" t="inlineStr"/>
      <c r="I16"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17">
      <c r="A17" t="inlineStr">
        <is>
          <t>li-4320886597</t>
        </is>
      </c>
      <c r="B17" t="inlineStr">
        <is>
          <t>Data Engineer (Starlink Growth)</t>
        </is>
      </c>
      <c r="C17" t="inlineStr">
        <is>
          <t>SpaceX</t>
        </is>
      </c>
      <c r="D17" t="inlineStr">
        <is>
          <t>linkedin</t>
        </is>
      </c>
      <c r="E17" t="inlineStr"/>
      <c r="F17" t="inlineStr"/>
      <c r="G17" t="inlineStr">
        <is>
          <t>Hawthorne, CA</t>
        </is>
      </c>
      <c r="H17" t="inlineStr"/>
      <c r="I1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(STARLINK GROWTH)**
 At SpaceX, we are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rapidly accelerate our growth around the globe.
 As a Data Engineer in the Starlink Growth Analytics \&amp; Automation Team, you will be responsible for developing the strategy, key metrics, tools, models, and processes for assessing the health of Starlink business. You will extract valuable insights from data across all business units and the Starlink network itself. You will work closely with technical and business teams to make customer acquisition as efficient as possible. You will bring in the latest and greatest machine learning and statistical technologies to turn data insights into action and autonomous applications.
**Responsibilities**
* Build high\-visibility, high\-confidence, statistically\-based dashboards and analytics tools to uncover new or breaking trends in customer growth or experience.
* Transform insights into action items for business and engineering teams, based on statistically\-driven evidence.
* Develop and implement monitoring systems and strategies to quickly detect trends and regressions as they arise.
* Work closely with software and production teams to optimize user experience.
* Develop and validate models to forecast customer acquisition.
**Basic Qualifications**
* Bachelor’s degree in computer science, physics, mathematics, statistics, or a STEM discipline
* 1\+ years of professional experience building solutions with Python and SQL
* 1\+ years of professional experience with statistical modeling and machine learning algorithms
**Preferred Skills And Experience**
* 1\+ years of professional experience in analytics, data science, or machine learning
* Experience building predictive models and machine learning pipelines (clustering analysis, anomaly detection, survival analysis, time series models)
* Experience with data visualization skills, including experience in geospatial data representations
* Excellent verbal and written communication skills
* Experience with developing and deploying tools used for data analysis, machine learning, and statistical modeling
* Demonstrated capability to parse technical subjects on a deep level
* Demonstrated ability to jump into ill\-defined problem spaces and drive positive outcomes
* Self\-starter attitude, energy, and the ability to communicate effectively across business and technical disciplines
* Experience designing and utilizing relational database (SQL)
* Background in statistics or computational physics
**Additional Requirements**
* Must be willing to work extended hours and weekends as needed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8">
      <c r="A18" t="inlineStr">
        <is>
          <t>li-4367245780</t>
        </is>
      </c>
      <c r="B18" t="inlineStr">
        <is>
          <t>Data Engineer</t>
        </is>
      </c>
      <c r="C18" t="inlineStr">
        <is>
          <t>AARATECH</t>
        </is>
      </c>
      <c r="D18" t="inlineStr">
        <is>
          <t>linkedin</t>
        </is>
      </c>
      <c r="E18" t="inlineStr"/>
      <c r="F18" t="inlineStr"/>
      <c r="G18" t="inlineStr"/>
      <c r="H18" t="inlineStr"/>
      <c r="I1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9">
      <c r="A19" t="inlineStr">
        <is>
          <t>li-4356751268</t>
        </is>
      </c>
      <c r="B19" t="inlineStr">
        <is>
          <t>Data Engineer</t>
        </is>
      </c>
      <c r="C19" t="inlineStr">
        <is>
          <t>The Hartford</t>
        </is>
      </c>
      <c r="D19" t="inlineStr">
        <is>
          <t>linkedin</t>
        </is>
      </c>
      <c r="E19" t="inlineStr"/>
      <c r="F19" t="inlineStr"/>
      <c r="G19" t="inlineStr">
        <is>
          <t>Chicago, IL</t>
        </is>
      </c>
      <c r="H19" t="inlineStr"/>
      <c r="I19"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 within Global Specialty Data Science \&amp; Analytics to design, develop, and implement modern and sustainable data assets to fuel machine learning and artificial intelligence solutions, as well as business intelligence assets and other analytic work across a wide range of strategic initiatives.
 As a Data Engineer,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This role will have a Hybrid work arrangement, with the expectation of working in an office location (Hartford, CT, Charlotte, NC, Chicago, IL, Columbus, OH) 3 days a week (Tuesday through Thursday).
**Responsibilities**
* Participate in developing high quality, scalable software modules for next generation analytics solution suite
* Engage in activities with cross\-functional IT unit stakeholders (e.g., database, operations, telecommunications, technical support, etc.)
* Formulates logical statements of business problems and devises, tests and implements efficient, cost\-effective application program solutions
* Identify and validate internal and external data sources for availability and quality. Work with SMEs to describe and understand data lineage and suitability for a use case.
* Create data assets and build data pipelines that align to modern software development principles for further analytical consumption. Perform data analysis to ensure quality of data assets.
* Perform preliminary exploratory analysis to evaluate nulls, duplicates and other issues with data sources.
* Assist in developing code that enables real\-time solutions to be ingested into front\-end systems and platforms
* Produce code artifacts and documentation using GitHub for reproducible results and hand\-off to other data science teams.
**Qualifications**
* 2\+ years of relevant experience recommended
* Bachelor’s degree in Computer Science, Engineering, IT, Management Information Systems, or a related discipline
* Experience in Python and SQL
* Experience in ingesting data from a variety of structures including relational databases, Hadoop/Spark, cloud data sources, XML, JSON
* Experience in ETL concerning metadata management and data validation
* Experience in Unix and Git
* Experience in Automation tools (Autosys, Cron, Airflow, etc.)
* Exposure to AWS or GCP services a plus
* Experience with Cloud data warehouses, automation, and data pipelines (i.e. Snowflake, Redshift) a plus
* Experience with ELT tools (i.e. DBT, Talend) a plus
* Able to communicate effectively with both technical and non\-technical teams
* Able to translate complex technical topics into business solutions and strategies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20">
      <c r="A20" t="inlineStr">
        <is>
          <t>li-4367601501</t>
        </is>
      </c>
      <c r="B20" t="inlineStr">
        <is>
          <t>Senior Data Engineer</t>
        </is>
      </c>
      <c r="C20" t="inlineStr">
        <is>
          <t>HaloMD</t>
        </is>
      </c>
      <c r="D20" t="inlineStr">
        <is>
          <t>linkedin</t>
        </is>
      </c>
      <c r="E20" t="inlineStr"/>
      <c r="F20" t="inlineStr"/>
      <c r="G20" t="inlineStr"/>
      <c r="H20" t="inlineStr"/>
      <c r="I20" t="inlineStr">
        <is>
          <t>**Who We Are** 
 HaloMD specializes in Independent Dispute Resolution (IDR) through The No Surprises Act and state regulations for out\-of\-network healthcare providers, leveraging advanced technology and deep industry expertise to secure optimized reimbursements.
**About the Role** 
 We are seeking a
 **Senior Data Engineer** 
 to join our high\-performing DataNext team, blending deep data engineering, governance, and quality expertise to own mission\-critical pipelines supporting healthcare financial data, IDR processes, revenue cycle integrity, and enterprise analytics. This role combines technical ownership with strategic impact building scalable, reliable infrastructure while bridging legacy systems during modernization in a fast\-moving startup environment.
 You will work alongside exceptional talent (including proven leaders in pipeline stewardship, IDR domain mastery, and data quality) to deliver high\-quality results that protect revenue, reduce risk, enhance governance, and enable faster, data\-driven insights for C\-level stakeholders, cross\-functional teams, and business partners.
**Key Responsibilities** 
* Design, build, and maintain robust, scalable data pipelines using Snowflake, DBT, and Azure services (including Azure DevOps/Repos for CI/CD, version control, and collaboration).
* Own end\-to\-end data engineering: ingestion, transformation (ELT modeling), quality monitoring, lineage, governance, and orchestration for batch/near\-real\-time workflows.
* Investigate and resolve complex data quality issues; implement proactive monitoring, alerting, and validation to ensure integrity across pipelines, reports, and financial datasets.
* Architect SQL\-heavy solutions (advanced queries, CTEs, stored procedures, views) and optimize performance in Snowflake (e.g., data metric functions, classification tagging, streams/tasks).
* Automate manual processes, enforce data governance policies (metadata management, compliance including HIPAA), and document standards using tools like Confluence or Notion.
* Collaborate with Product Owners, analysts, developers, and onshore/offshore stakeholders to align architecture with evolving requirements (IDR, arbitration, invoicing, cooling/fee tracking) and gather/automate validation needs.
* Mentor team members, knowledge\-transfer domain logic, and support legacy\-to\-modern transitions (sunsetting technical debt, formalizing scalable standards).
* Contribute to ad hoc and governed reporting through clean data assets (integration with Power BI or similar for visualization and quick insights).
* Embrace agile methodologies (Jira/Azure DevOps tracking) and best practices for development, QA, deployment, and source code management (GitHub/Azure Repos).
**Required Qualifications** 
* 5\+ years of hands\-on data engineering experience with proven ownership of production pipelines in complex, regulated environments.
* Advanced proficiency in
 **SQL** 
 (CTEs, joins, text parsing, window functions) and database object development (tables, views, procedures).
* Strong experience with
 **Snowflake** 
 (performance tuning, data modeling, advanced features).
* Hands\-on with
 **DBT** 
 for transformation modeling, testing, and documentation.
* Proficiency in
 **Azure DevOps/Repos** 
 for source control, CI/CD, and collaborative workflows.
* Demonstrated ability to deliver high\-impact results under pressure (revenue\-critical fixes, error reduction, process automation).
* Excellent problem\-solving, accountability, analytical skills, and cross\-functional collaboration.
* Ability to quickly understand complex healthcare/financial data relationships and derive actionable insights.
* Proven track record of meeting deadlines, communicating progress, and building stakeholder relationships.
**Preferred Qualifications** 
* Experience in healthcare, revenue cycle, claims/arbitration, or regulated data (HIPAA compliance).
* Snowflake certification (SnowPro Core or Advanced: Data Engineer/Analyst).
* Familiarity with Power BI/Tableau for ad hoc visualization and stakeholder enablement.
* Knowledge of orchestration tools (Airflow/Dagster) and data governance documentation.
* Background mentoring teams and bridging legacy/modern systems in a startup/fast\-paced setting.
**Perks \&amp; Benefits:** 
* Location: This role requires hybrid flexibility in our Addison office. The candidate will come onsite twice a week for the first month or so and several times per quarter for planning and training.
* Multiple medical plan options
* Health Savings Account with company contributions
* Dental \&amp; vision coverage for you and your dependents
* 401k with Company match
* Vacation, sick time \&amp; Company paid holidays
* Company wellbeing program with health insurance incentives
**What's Next?** 
 If you're ready to bring your skills and passion to our growing team,
 **we want to hear from you!** 
 Apply today and help us create a future where success is the standard.</t>
        </is>
      </c>
    </row>
    <row r="21">
      <c r="A21" t="inlineStr">
        <is>
          <t>li-4320976600</t>
        </is>
      </c>
      <c r="B21" t="inlineStr">
        <is>
          <t>Data Engineer (Starlink Growth)</t>
        </is>
      </c>
      <c r="C21" t="inlineStr">
        <is>
          <t>SpaceX</t>
        </is>
      </c>
      <c r="D21" t="inlineStr">
        <is>
          <t>linkedin</t>
        </is>
      </c>
      <c r="E21" t="inlineStr"/>
      <c r="F21" t="inlineStr"/>
      <c r="G21" t="inlineStr">
        <is>
          <t>Redmond, WA</t>
        </is>
      </c>
      <c r="H21" t="inlineStr"/>
      <c r="I2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(STARLINK GROWTH)**
 At SpaceX, we are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rapidly accelerate our growth around the globe.
 As a Data Engineer in the Starlink Growth Analytics \&amp; Automation Team, you will be responsible for developing the strategy, key metrics, tools, models, and processes for assessing the health of Starlink business. You will extract valuable insights from data across all business units and the Starlink network itself. You will work closely with technical and business teams to make customer acquisition as efficient as possible. You will bring in the latest and greatest machine learning and statistical technologies to turn data insights into action and autonomous applications.
**Responsibilities**
* Build high\-visibility, high\-confidence, statistically\-based dashboards and analytics tools to uncover new or breaking trends in customer growth or experience.
* Transform insights into action items for business and engineering teams, based on statistically\-driven evidence.
* Develop and implement monitoring systems and strategies to quickly detect trends and regressions as they arise.
* Work closely with software and production teams to optimize user experience.
* Develop and validate models to forecast customer acquisition.
**Basic Qualifications**
* Bachelor’s degree in computer science, physics, mathematics, statistics, or a STEM discipline
* 1\+ years of professional experience building solutions with Python and SQL
* 1\+ years of professional experience with statistical modeling and machine learning algorithms
**Preferred Skills And Experience**
* 1\+ years of professional experience in analytics, data science, or machine learning
* Experience building predictive models and machine learning pipelines (clustering analysis, anomaly detection, survival analysis, time series models)
* Experience with data visualization skills, including experience in geospatial data representations
* Excellent verbal and written communication skills
* Experience with developing and deploying tools used for data analysis, machine learning, and statistical modeling
* Demonstrated capability to parse technical subjects on a deep level
* Demonstrated ability to jump into ill\-defined problem spaces and drive positive outcomes
* Self\-starter attitude, energy, and the ability to communicate effectively across business and technical disciplines
* Experience designing and utilizing relational database (SQL)
* Background in statistics or computational physics
**Additional Requirements**
* Must be willing to work extended hours and weekends as needed
**Compensation And Benefits**
 Pay range:
 Level I: $122,500\.00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2">
      <c r="A22" t="inlineStr">
        <is>
          <t>li-4356841293</t>
        </is>
      </c>
      <c r="B22" t="inlineStr">
        <is>
          <t>Data Engineer</t>
        </is>
      </c>
      <c r="C22" t="inlineStr">
        <is>
          <t>UC Santa Barbara</t>
        </is>
      </c>
      <c r="D22" t="inlineStr">
        <is>
          <t>linkedin</t>
        </is>
      </c>
      <c r="E22" t="inlineStr"/>
      <c r="F22" t="inlineStr"/>
      <c r="G22" t="inlineStr">
        <is>
          <t>Santa Barbara, CA</t>
        </is>
      </c>
      <c r="H22" t="inlineStr"/>
      <c r="I22" t="inlineStr">
        <is>
          <t>Job Posting Details
**Department Marketing Statement**
 There is a reason UCSB has been named the Best Place to Work by our local media for several years running. Whether our employees are on our stunning campus, or working remotely or hybrid, they tell us they value the flexibility, stability and rich benefits we offer. Come join us as we support the mission of one of the finest public institutions in the nation. UC Santa Barbara is consistently recognized for excellence across broad fields of study. Set alongside the glorious California coast, our dynamic environment inspires scholarly ambition and creativity. Information Technology Services (ITS), the Campus' central IT unit, contributes to UC Santa Barbara’s mission of research, teaching, and community service by partnering with the Campus community to efficiently deliver IT infrastructure and enterprise application services to faculty, students, staff, and affiliates. Join us in supporting the technology making world class research possible!
**Benefits Of Belonging**
 Working at UC means being part of this vibrant institution that shines a light on what is possible. People make UC great, and UC recognizes your contributions by making this a great place to work. Excellent retirement and health are just one of the rewards. Learn more about the benefits of working at UC and why You Belong at UC.
**Brief Summary Of Job Duties**
 Technical leader with a high degree of knowledge in the data services area and recognized expertise in the UCSB central Data Warehouse systems. Applies problem\-solving skills that require analysis of unique issues without precedent or structure. Manages data services programs that include formulating strategies and administering policies, processes, security and resources to ensure safe data use and to transform legacy UCSB data systems to effective data analytics systems. Functions with a high degree of autonomy. Having significant experience in the UCSB data warehouse systems, applies advanced data and information management concepts and campus objectives to resolve highly complex issues where analyses of situations, information or data require an in\-depth evaluation of variable factors. Selects methods and techniques to obtain desired results.
**Required Qualifications**
* Bachelor's Degree in related area.
* 7\-9 years: Equivalent experience/training with an emphasis in computer science, data processing, computer information systems, or in a related field.
* 7\-9 years: Experience using SQL Server technologies, or comparable database management systems.
* 4\-6 years: Experience designing, developing, documenting, and testing (including unit testing and test plan creation) database solutions.
* 4\-6 years: Experience analyzing business processes and information systems to ensure systems meet the business needs, and identifying opportunities for system improvement to better align with the business needs.
* 4\-6 years: Experience designing and developing data pipeline solutions with SSIS, Python, Informatica or other comparable tools, using continuous development and continuous integration best practices.
**Preferred Qualifications**
* 4\-6 years: Experience using Snowflake to design and develop data warehouse solutions.
* 1\-3 years: Experience with Power BI, or comparable Business Intelligence tools.
* Demonstrated ability to design highly complex data systems and integrations.
* Knowledge of relevant application development technologies and tools, including SQL Server, Snowflake, SQL Integration Services, Python, REST API, Visual Studio, Azure DevOps, Git, Power BI.
* Project management skills to lead the implementation of complex data analytics solutions and other data projects.
* Expert knowledge of Microsoft SQL Server development, security model, and performance optimization.
* Expert knowledge of data pipeline methodologies and solutions with Python, SSIS, and/or Informatica.
* Expert knowledge of data warehousing principles and design concepts.
* Expert knowledge of Power BI setup, security model, and development.
* Knowledge with AWS data solutions development.
* Knowledge with Snowflake development.
* Ability to learn and adopt new technologies.
* Ability to communicate well with management, customers, developers within the organization and across UCSB IT organizations.
**Special Conditions Of Employment**
* Satisfactory conviction history background check
* UCSB is a Tobacco\-Free environment
* Visa sponsorship is not available for this position.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 UC Sexual Violence and Sexual Harassment Policy
* UC Anti\-Discrimination Policy
* Abusive Conduct in the Workplace
**Job Functions And Percentages Of Time**
 35% Technical Leadership and Project Management
* Applies professional and broadly defined business analysis, data administration, and data design and uses concepts to manage and perform complex assignments.
* Independently analyzes complex information requirements and documents them using formal data definition techniques and naming standards.
* Gathers, analyzes, prepares and summarizes information from subject matter experts and technical personnel.
* Researches relevant problem\-domain literature and information standards and develops recommendations for data management solutions including approaches, trends, sources and uses.
* Implements related business processes, develops logical data models, dimensional data models and schemas for the scope of a project or a component of a project.
* Develops data mapping specifications and data pipelines.
* Works closely with users and constituents to provide data solutions.
* Assigns and verifies work to other resources to ensure successful project execution.
 35% Business Intelligence Engineer
* Maintains, expands, and improves current data reporting and data infrastructure environments.
* Develops, optimizes and monitors data pipelines using continuous development and continuous integration best practices.
* Plans, schedules, tests and coordinates all data platform changes and upgrades through Change Management Requests.
* Develops solutions to design and monitor customer security permissions, performs audits and monitors usage.
* Identifies problem areas, recommends solutions and establishes and documents standards.
* Works closely with users to design, support, improve and maintain Data Warehouse services.
* Designs, develops, maintains, data catalog, documents and supports clear and effective reporting applications and solutions.
* Constructs interface prototypes for iterative user testing and verification.
* Engages with clients to understand scope and criticality of new change requests.
 25% Operational Support
* Provides customer support as needed.
* Provides training to developers and users on UCSB data concepts and systems.
* Administers user privileges in accordance with established security and access policies.
* Troubleshoots and resolves reporting and data pipeline issues as required.
 5% Administrative Tasks
* Tracks project time.
* Provides project status to manager.
* Meets with supervisor and team.
* Other duties as assigned.
**UC Vaccination Programs Policy**
 As a condition of employment, you will be required to comply with the University of California Policy on Vaccinations Programs.
 As a condition of Physical Presence at a Location or in a University Program, all Covered Individuals\* must participate in any applicable Vaccination Program by providing proof that they are Up\-to\-Date with any required Vaccines or submitting a request for Exception in a Mandate Program or properly declining vaccination in an Opt\-Out Program no later than the Compliance Date (Capitalized terms in this paragraph are defined in the policy.). Federal, state, or local public health directives may impose additional requirements.
 For more information, please visit University of California Policy on Vaccinations – https://policy.ucop.edu/doc/5000695/VaccinationProgramsPolicy
* Covered Individuals: A Covered Individual includes anyone designated as Personnel or Students under this Policy who physically access a University Facility or Program in connection with their employment, appointment, or education/training. A person accessing a Healthcare Location as a patient, or an art, athletics, entertainment, or other publicly accessible venue at a Location as a member of the public, is not a Covered Individual.
**Equal Employment Opportunity**
 UC Santa Barbara is an Equal Opportunity Employer. All qualified applicants will receive consideration for employment without regard to race, color, religion, sex, sexual orientation, gender identity, national origin, disability, protected veteran status or other protected status under state or federal law.
**Reasonable Accommodations**
 The University of California endeavors to make the UCSB Job site (https://jobs.ucsb.edu) accessible to any and all users. If you would like to contact us regarding the accessibility of our website or need assistance completing the application process, please contact Katherine Abad in Human Resources at 805\-893\-4664 or email katherine.abad@hr.ucsb.edu. This contact information is for accommodation requests only and cannot be used to inquire about the status of applications.
**Privacy Notification Statement**
 Privacy Notification Statement and Notice of Availability of the UCSB Annual Security Report Disclosures
**Payroll Title:** 
 DATA SYS ANL 4 (000599\)
**Job Code:** 
 000599
**Job Open Date:** 
 1/30/26
**Application Review Begins:** 
 2/17/26; open until filled
**Department Code (Name):** 
 INFO (OIST)
**Percentage of Time:** 
 100
**Union Code (Name):** 
 99
**Employee Class (Appointment Type):** 
 Staff: Career
**FLSA Status:** 
 Exempt
**Classified Indicator Description (Personnel Program):** 
 MSP
**Salary Grade:** 
 Grade 25
**Pay Rate / Range:** 
 The budgeted salary range that the University reasonably expects to pay for this position is $122,620\-$156,500/yr. Salary offers are determined based on final candidate qualifications and experience; the budget for the position; and the application of fair, equitable, and consistent pay practices at the University. The full salary range for this position is $108,100\-$204,900/yr.
**Working Days and Hours:** 
 M\-F; 8am – 5pm
**Benefits Eligibility:** 
 Full Benefits
**Type of Remote or Hybrid Work Arrangement, if applicable:** 
 Eligible for Fully Remote Work Arrangement
**Special Instructions**
 For full consideration, please include a resume and a cover letter as part of your application.
**Application Status:** 
 If you would like to check the status of your application, please log into the Candidate Gateway where you applied and click on 'my activities'.</t>
        </is>
      </c>
    </row>
    <row r="23">
      <c r="A23" t="inlineStr">
        <is>
          <t>li-4304137570</t>
        </is>
      </c>
      <c r="B23" t="inlineStr">
        <is>
          <t>Senior Data Engineer</t>
        </is>
      </c>
      <c r="C23" t="inlineStr">
        <is>
          <t>PURE Insurance</t>
        </is>
      </c>
      <c r="D23" t="inlineStr">
        <is>
          <t>linkedin</t>
        </is>
      </c>
      <c r="E23" t="inlineStr"/>
      <c r="F23" t="inlineStr"/>
      <c r="G23" t="inlineStr"/>
      <c r="H23" t="inlineStr"/>
      <c r="I23" t="inlineStr">
        <is>
          <t>**About PURE Insurance**
 PURE Insurance is actively investing in our data, analytics, data science, machine learning (ML), and artificial intelligence (AI) capabilities. We are building a centralized Data \&amp; ML/AI department that brings together specialists across data architecture, engineering, analytics, governance, and advanced modeling. This unique structure provides an extraordinary opportunity for growth, collaboration, and innovation (within your craft and across related disciplines).
 As part of this team, you will engage with every function across the insurance ecosystem: Claims, Underwriting, Member Experience, Actuarial/Pricing, Product, Sales \&amp; Distribution, Marketing, HR, Finance, and more. We work with a modern data technology stack that includes platforms such as Databricks, dbt, GitHub, Hex, and Arize, while also developing in\-house production\-grade software in Python and other languages when it provides a competitive advantage.
 At PURE, we embrace curiosity, innovation, and a relentless pursuit of improvement. We prioritize doing the right thing, even when it requires taking the more challenging path. Our culture values growth, mentorship, transparency, and ownership, and we know that building a strong foundation takes time and a willingness to experiment, learn, and adapt.
**The Role**
 We are looking for a Senior Data Engineer to help design, build, and maintain the upstream components of our data platform (everything from ingestion and pipelines to real\-time streaming and data quality frameworks). This is a hands\-on, highly collaborative role: you will be coding daily, mentoring peers, and working closely with analytics engineers, data scientists, and business partners to deliver reliable, high\-quality data that powers our silver and gold layers.
 As part of a team building something from the ground up, you will have the freedom to bring fresh ideas, use the right tools for the job, and help shape the technical foundation of our future. We welcome engineers with strong expertise in Python and Apache Spark, along with deep proficiency in Databricks and Unity Catalog.
**What You’ll Do**
* Data Pipelines: Design, build, and maintain scalable data pipelines for batch and real\-time processing, ensuring reliability, efficiency, and maintainability.
* Ingestion and Integration: Implement data ingestion frameworks, including change data capture (CDC) from core systems, APIs, and third\-party platforms (Salesforce, Workday, Duckcreek, etc.).
* Spark and Databricks: Build and optimize distributed data processing jobs using Apache Spark on Databricks. Implement Delta Lake, DLT pipelines, and medallion and lakehouse architectures.
* Quality, Governance and Security: Ensure data quality, lineage, and governance using Unity Catalog, testing frameworks, and CI/CD practices. Implement role\-based access control, encryption, and auditing.
* Collaboration and Leadership: Partner closely with Analytics Engineers (who own modeling with dbt) to ensure upstream data pipelines deliver clean, well\-structured inputs. Familiarity with dbt is a plus. Mentor peers, contribute to architectural decisions, and encourage craftsmanship and pragmatic problem\-solving.
* Cloud and DevOps: Leverage AWS cloud services (such as S3, Glue, Lambda) along with GitHub and CI/CD pipelines to enable scalable, production\-grade deployments. Experience with other major cloud platforms (Azure, GCP) is also valued.
**What We’re Looking For**
* Experience: 5\+ years of professional experience in data engineering, ideally with exposure to P\&amp;C insurance or broader insurance or financial services.
* Core Skills: Proficiency in Python, SQL, and Spark for building and optimizing data pipelines.
* Databricks \&amp; Azure Expertise: Hands\-on experience with Databricks (Unity Catalog, Delta Lake, DLT pipelines) and/or Azure Data Services (ADF, ADLS, Synapse) is preferred.
* Cloud Platforms: Strong experience with AWS data services, with flexibility to apply knowledge from Azure or GCP.
* Architecture Knowledge: Familiarity with modern data architectures (medallion, lakehouse, streaming).
* Engineering Practices: Comfortable with GitHub, CI/CD pipelines, and testing frameworks for production\-grade engineering.
* Mindset: Strong problem\-solving skills and a pragmatic approach. You know when to build for scale and when to ship quickly. You are passionate about craftsmanship, curious about new approaches, and believe that great work is best done as a team.
**Why Join Us?**
* Be part of the ground floor of a major technological reinvention at a highly rated P\&amp;C insurance company.
* Work with modern tools and architectures without being locked into a single way of doing things.
* Collaborate with smart, passionate colleagues who value ownership, transparency, and innovation.
* Enjoy flexibility with a remote\-first setup, plus the option to connect in person at offices across major U.S. cities.
* We pay competitive market value for top talent and provide benefits that support your growth and well\-being.
 ‌
 The base salary for this role can range from $120,000 to $145,000 based on a full\-time work schedule. An individual’s ultimate compensation will vary depending on job\-related skills and experience, geographic location, alignment with market data, and equity among other team members with comparable experience
 ‌
 To ensure a successful onboarding experience, all new hires must work onsite at one of our offices during their first week of employment. Candidates should apply only if they are able to meet this requirement.
 ‌
**Want to Learn More?**
* \[Our Values]
* \[Our Benefits]
* \[Our Community Impact]
* \[Our Leadership]</t>
        </is>
      </c>
    </row>
    <row r="24">
      <c r="A24" t="inlineStr">
        <is>
          <t>li-4367479422</t>
        </is>
      </c>
      <c r="B24" t="inlineStr">
        <is>
          <t>Data Engineer</t>
        </is>
      </c>
      <c r="C24" t="inlineStr">
        <is>
          <t>CCS Global Tech</t>
        </is>
      </c>
      <c r="D24" t="inlineStr">
        <is>
          <t>linkedin</t>
        </is>
      </c>
      <c r="E24" t="inlineStr"/>
      <c r="F24" t="inlineStr"/>
      <c r="G24" t="inlineStr">
        <is>
          <t>Tacoma, WA</t>
        </is>
      </c>
      <c r="H24" t="inlineStr"/>
      <c r="I24" t="inlineStr">
        <is>
          <t>**Job Title: Sr. IT Cloud Data Engineer** 
**Location: Tacoma, WA (Hybrid – 2 days week onsite 3 days remote)** 
**Full Time Employment** 
**Roles / Responsibilities:** 
 Key responsibilities of the role include:
* Developing, supporting, and monitoring end\-to\-end data pipelines using Microsoft Azure data services (including Azure Data Factory) across SaaS, PaaS, and IaaS solutions.
* Designing, publishing, and managing APIs, application connectors, and ETL/ELT solutions.
* Designing and maintaining database and data storage solutions, selecting and configuring Azure services for cost, performance, scalability, and security.
* Enabling and supporting organization\-wide Business Intelligence and Analytics programs, including data collection, transformation, and publishing.
* Developing comprehensive data architecture documentation and long\-term IT Service Roadmaps.
* Leading migration efforts from legacy on\-premises SQL Server databases to cloud\-based services.
* Providing primary and backup support for assigned business software applications and platforms, following ITIL practices and meeting defined SLAs.
**Essential Functions** 
* Utilizes Microsoft Azure data services, including Azure Data Factory, to develop, support, and monitor end\-to\-end data pipelines across SaaS, PaaS, and IaaS solutions. Develops, publishes, and manages API’s, application connectors, and ETL/ELT solutions. Monitors and manages pipeline performance and resolves bottlenecks and performance issues.
* Designs database and data storage solutions, researching, assessing, selecting, and configuring the appropriate Azure data storage service that best meets cost, performance, scalability, and security requirements. Manages and maintains implemented database and data storage solutions.
* Enables data\-driven strategies and supports organization wide Business Intelligence and Analytics programs. Collects, aggregates, transforms, and publishes datasets and dataset collections for organization wide Business Intelligence and Analytics programs. Supports analysts developing Business Intelligence dashboards, analytics, and data visualizations.
* Develops comprehensive data architecture documentation and designs. Develops and maintains IT Service Roadmaps of long\-term architectural improvements to data platforms and environments.
* Supports legacy on\-premises Microsoft SQL Server databases. Proactively leads efforts to migrate on\-premises databases to cloud\-based services.
* Provides primary and backup support for assigned business software applications and platforms, undertaking system and user support, and operations and maintenance tasks, following ITIL practices and meeting defined SLAs.
**Required Education and Experience** 
 A bachelor’s degree in computer science, business, or related field is required. An additional four (4\) years of relevant experience may be substituted for a bachelor’s degree.
 A minimum of five (5\) years of progressively responsible experience supporting databases, data, and enterprise applications is required, as is Azure Data Engineer Associate certification.
**Additional Requirements** 
* Knowledge of Microsoft Cloud Platform architectures, including Azure, Microsoft 365 and Dynamics 365\.
* Expert Knowledge of Microsoft Azure Database services for data management, integration, storage, and analytics services.
* Knowledge of Azure data management to minimize risk of data loss related to Cybersecurity.
* Skilled in database and data management and maintenance using Microsoft SQL Server and Microsoft Azure SQL Server.
* Skilled in the use of Microsoft Power BI for data visualization and analytics.
* Knowledge of IT best practices and methodologies including ITIL, SDLC, DevOps, and Agile.
* Ability to communicate and collaborate effectively with technical staff and IT service providers in the design of solutions and to resolve issues.
* Ability to work constructively and collaboratively with all stakeholders to build business value in supported systems.
* Ability to think critically, maintain personal accountability, and drive change.
* Ability to work in a demanding, disciplined, professional environment.
* Ability to manage priorities based on defined strategies and goals.
* Skilled at supporting complex Enterprise Class Applications and Platforms, both on\-premises and SaaS.
* Skilled technical writer and communicator.</t>
        </is>
      </c>
    </row>
    <row r="25">
      <c r="A25" t="inlineStr">
        <is>
          <t>li-4367243668</t>
        </is>
      </c>
      <c r="B25" t="inlineStr">
        <is>
          <t>SR DATA ENGINEER - ANALYTICS</t>
        </is>
      </c>
      <c r="C25" t="inlineStr">
        <is>
          <t>People Consultancy Services (PCS)</t>
        </is>
      </c>
      <c r="D25" t="inlineStr">
        <is>
          <t>linkedin</t>
        </is>
      </c>
      <c r="E25" t="inlineStr"/>
      <c r="F25" t="inlineStr"/>
      <c r="G25" t="inlineStr">
        <is>
          <t>Durham, NC</t>
        </is>
      </c>
      <c r="H25" t="inlineStr"/>
      <c r="I25" t="inlineStr">
        <is>
          <t>Position: SR DATA ENGINEER \- ANALYTICS
 Employment: FTE
 Location: Durham, NC
 Start Date: 2\-3 weeks
 Interviews: Immediate
 Hybrid: Must come in person 2\-3 times a week
 Job description:
 We are seeking an Analytics Engineer to join our Personalized Content Discovery team. The ideal candidate will possess strong skills in data exploration, data storytelling, and basic data engineering. Our data science team works on research and development for several TiVo products:
 • Search and Recommendation (Video/Music Content Recommendation System),
 • Insight (Data Analytics)
 • Conversation (Voice Entertainment Assistant)
 • Video and Music Metadata (Textual, Image, Quantitative)
 On our team you can expect to work with a variety of data sources and customer solutions across the entertainment and product engineering domain. Our mission is to help our customers find, watch, and enjoy their favorite content.
 Responsibilities
 • Analyze and interpret large, multi\-dimensional datasets
 • Work closely with product engineering and management teams to identify and answer important product questions
 • Communicate findings to product managers and engineers
 • Create data visualizations that capture core insight from analysis in dashboards and reports
 • Refine existing data sources for use in downstream applications
 • Learn to implement best practices for data gathering, and process versioning
 Requirements
 • B.S. in a relevant technical field or demonstrable equivalent
 • Ability to apply ETL processes for use in R\&amp;D projects
 • Comfort manipulating and analyzing complex, high\-volume, high\-dimensionality data from varying sources
 • Ability to translate business requirements into technical requirements
 • Ability to document processes for technical and non\-technical stakeholders
 • Familiarity with relational databases \- SQL
 • Proficiency with the python data science programming stack</t>
        </is>
      </c>
    </row>
    <row r="26">
      <c r="A26" t="inlineStr">
        <is>
          <t>li-4367470484</t>
        </is>
      </c>
      <c r="B26" t="inlineStr">
        <is>
          <t>Data Engineer, Sr.</t>
        </is>
      </c>
      <c r="C26" t="inlineStr">
        <is>
          <t>Blue Yonder</t>
        </is>
      </c>
      <c r="D26" t="inlineStr">
        <is>
          <t>linkedin</t>
        </is>
      </c>
      <c r="E26" t="inlineStr"/>
      <c r="F26" t="inlineStr"/>
      <c r="G26" t="inlineStr"/>
      <c r="H26" t="inlineStr"/>
      <c r="I26" t="inlineStr">
        <is>
          <t>**About The Company**
 Blue Yonder is a leading provider of supply chain management solutions, leveraging innovative technology to optimize and automate the end\-to\-end supply chain process. Our platform empowers organizations worldwide to make smarter, faster, and more informed decisions, enhancing operational efficiency and customer satisfaction. With a commitment to continuous innovation, Blue Yonder combines cutting\-edge AI, machine learning, and cloud\-based solutions to deliver scalable and flexible supply chain services. Our diverse and inclusive culture fosters collaboration, creativity, and growth, making us a trusted partner for some of the world’s largest enterprises.
**About The Role**
 We are seeking a highly skilled Sr Staff Data Engineer (Snowflake expert) to join our Platform Data Cloud team. This senior individual contributor role is pivotal in architecting and implementing scalable, high\-performance data solutions within Snowflake, supporting Blue Yonder’s SaaS products. The ideal candidate will have extensive experience in data warehousing, cloud infrastructure, and software engineering, with a focus on Snowflake architecture and features. You will work closely with global teams across the US, Canada, India, and Germany to drive innovation, enhance delivery processes, and build enterprise\-grade data pipelines. This role offers a hybrid work environment in Dallas, TX, Scottsdale, AZ, or remote for the right candidate, providing a unique opportunity to influence the future of supply chain technology through data engineering excellence.
**Qualifications**
* Bachelor’s or Master’s Degree in Computer Science, Information Technology, or a related field
* 12–15 years of professional software development experience
* Minimum of 5 years of specialized Snowflake data engineering experience
* Proficiency in Python and Streamlit is preferred
* Snowflake Architect certification is highly desirable
* Experience with large\-scale Kubernetes systems and cloud platforms such as AWS, Azure, or GCP
* Strong understanding of data warehousing concepts, Snowflake architecture, and SQL proficiency
* Experience with data sharing, marketplace integrations, and performance optimization in Snowflake
* Knowledge of JSON flattening, SnowSQL, SnowCLI, and Snowsight tools
* Familiarity with enterprise data lakes, no\-SQL datastores, and containerization technologies
* Leadership experience in Agile environments and complex software product delivery
**Responsibilities**
* Design, develop, and maintain scalable data ingestion and processing pipelines in Snowflake to support enterprise SaaS applications
* Deeply understand Snowflake architecture, including compute, storage, and cloud services, to optimize performance and cost
* Create standardized enterprise solutions for cloud infrastructure and application deployment across multiple products
* Implement data sharing, marketplace, and data exchange features within Snowflake environment
* Develop and optimize stored procedures, UDFs, external functions, and role\-based access controls
* Innovate continuously by leveraging new Snowflake features and building proof\-of\-concept solutions
* Collaborate with global teams to deliver high\-quality, reliable, and scalable data solutions aligned with organizational goals
* Apply object\-oriented and functional programming principles to develop robust systems and Blue Yonder products
* Lead efforts in Kubernetes system scaling, modular architecture, and infrastructure automation
* Mentor and influence fellow engineers through code reviews, design proposals, and technical feedback
**Benefits**
* Comprehensive medical, dental, and vision insurance plans
* 401(k) plan with company matching contributions
* Flexible time off policy to promote work\-life balance
* Access to corporate fitness programs and wellness initiatives
* Voluntary benefits including legal plans, accident and hospital indemnity, pet insurance, and more
* Opportunities for professional development and continuous learning
* Inclusive and diverse workplace culture that values employee wellbeing
 Equal Opportunity
 At Blue Yonder, we are committed to fostering an inclusive environment where all qualified applicants receive equal consideration for employment regardless of race, color, religion, sex, sexual orientation, gender identity, national origin, disability, or protected veteran status. We believe diversity enhances our innovation and drives our success, and we welcome candidates from all backgrounds to join our team.</t>
        </is>
      </c>
    </row>
    <row r="27">
      <c r="A27" t="inlineStr">
        <is>
          <t>li-4367482757</t>
        </is>
      </c>
      <c r="B27" t="inlineStr">
        <is>
          <t>Lead Data Engineer - ETL Plaform - SF</t>
        </is>
      </c>
      <c r="C27" t="inlineStr">
        <is>
          <t>Benchstack Ai</t>
        </is>
      </c>
      <c r="D27" t="inlineStr">
        <is>
          <t>linkedin</t>
        </is>
      </c>
      <c r="E27" t="inlineStr"/>
      <c r="F27" t="inlineStr"/>
      <c r="G27" t="inlineStr"/>
      <c r="H27" t="inlineStr"/>
      <c r="I27" t="inlineStr">
        <is>
          <t>We’re hiring a Lead Data Engineer to own our data platform and ETL strategy end to end.
 This is a hands\-on leadership role. You’ll architect, build, and scale production systems, while also setting standards, creating playbooks, and helping level up the data function as the company scales 5–10x over the next year. This is a critical backfill with real ownership from day one.
**What you’ll do** 
* Own the design, evolution, and scaling of the data platform in production
* Lead ETL / ELT strategy and execution end to end
* Own orchestration using Dagster including asset design, partitioning, and operational best practices
* Define core data models and metrics used by the business
* Set engineering standards, establish SLOs, and build runbooks for critical datasets
* Mentor other engineers and help grow the data engineering function over time
* Build a clear roadmap for scaling ETL over the next 2–3 quarters
**What we’re looking for** 
* 5–10 years of experience in data engineering
* Proven experience building and scaling data platforms in production
* Strong ownership mindset and comfort operating with ambiguity
* Experience with modern cloud data stacks
**Tech stack** 
* Dagster
* BigQuery
* GCP
* Temporal
* Modern ETL pipelines
**The setup** 
* Full time role based in San Francisco
* Hybrid model with one in\-office day per week
* Competitive equity
* Visa sponsorship available</t>
        </is>
      </c>
    </row>
    <row r="28">
      <c r="A28" t="inlineStr">
        <is>
          <t>li-4367233577</t>
        </is>
      </c>
      <c r="B28" t="inlineStr">
        <is>
          <t>Azure Data Engineer</t>
        </is>
      </c>
      <c r="C28" t="inlineStr">
        <is>
          <t>Precision Technologies</t>
        </is>
      </c>
      <c r="D28" t="inlineStr">
        <is>
          <t>linkedin</t>
        </is>
      </c>
      <c r="E28" t="inlineStr"/>
      <c r="F28" t="inlineStr"/>
      <c r="G28" t="inlineStr"/>
      <c r="H28" t="inlineStr"/>
      <c r="I28" t="inlineStr">
        <is>
          <t>💼
 **Senior / Lead Data Engineer** 
**Location:** 
 Multiple Client Locations across the USA (Open to Relocation)
**Experience:** 
 8\+ Years
**Employment Type:** 
 Full\-time.
**About the Role** 
 We’re looking for an experienced
 **Senior or Lead Data Engineer** 
 to join our client projects across diverse domains \- finance, healthcare, retail, and cloud\-based ecosystems. This role involves designing, building, and optimizing large\-scale data processing systems, ensuring data availability and integrity across platforms.
**Key Responsibilities:** 
* Architect, build, and maintain scalable
 **data pipelines** 
 and
 **ETL processes** 
 using modern tools and cloud technologies
* Develop and deploy
 **data ingestion frameworks** 
 for structured and unstructured data sources.
* Work closely with
 **data scientists, analysts, and DevOps teams** 
 to design efficient data models and ensure seamless integrations.
* Optimize performance of large\-scale
 **data lakes and warehouses** 
 .
* Implement
 **data governance, lineage, and quality frameworks** 
 .
* Lead and mentor junior data engineers and ensure best practices in data engineering.
**Required Skills:** 
* 8\+ years of hands\-on experience in
 **data engineering, ETL development, and pipeline automation** 
 .
* Strong expertise in at least one cloud platform \-
 **AWS, Azure, or GCP** 
 .
* Hands\-on with
 **Spark, PySpark, Databricks, Kafka, Snowflake, Airflow, SQL, and Python** 
 .
* Experience with
 **data warehousing** 
 (Redshift, BigQuery, Synapse, etc.) and
 **streaming technologies** 
 .
* Solid understanding of
 **data modeling, orchestration, and performance tuning** 
 .
* Excellent communication skills and ability to work in collaborative, cross\-functional teams.
**Nice to Have:** 
* Experience in
 **data modernization or migration projects** 
 .
* Familiarity with
 **CI/CD pipelines** 
 and
 **containerization** 
 (Docker/Kubernetes).
 📩
 **Interested candidates can apply directly or share resumes at** 
**raviteja.d@precisiontechcorp.com** 
 Let’s build the future of data together!</t>
        </is>
      </c>
    </row>
    <row r="29">
      <c r="A29" t="inlineStr">
        <is>
          <t>li-4367240102</t>
        </is>
      </c>
      <c r="B29" t="inlineStr">
        <is>
          <t>Data Engineer</t>
        </is>
      </c>
      <c r="C29" t="inlineStr">
        <is>
          <t>RemoteHunter</t>
        </is>
      </c>
      <c r="D29" t="inlineStr">
        <is>
          <t>linkedin</t>
        </is>
      </c>
      <c r="E29" t="inlineStr"/>
      <c r="F29" t="inlineStr"/>
      <c r="G29" t="inlineStr"/>
      <c r="H29" t="inlineStr"/>
      <c r="I29"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li-4344995917</t>
        </is>
      </c>
      <c r="B30" t="inlineStr">
        <is>
          <t>Staff Data Engineer - Data AI-Listings &amp; Structured Data</t>
        </is>
      </c>
      <c r="C30" t="inlineStr">
        <is>
          <t>Airbnb</t>
        </is>
      </c>
      <c r="D30" t="inlineStr">
        <is>
          <t>linkedin</t>
        </is>
      </c>
      <c r="E30" t="inlineStr"/>
      <c r="F30" t="inlineStr"/>
      <c r="G30" t="inlineStr"/>
      <c r="H30" t="inlineStr"/>
      <c r="I3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Users, Listings and Marketplaces Data and AI (ULM\-DnA) Org is a group of passionate machine learning, data, and analytics engineers responsible for creating new data products that drive quality understanding and bookings. You’ll be part of the overall Guest and Host organization that is responsible for the Airbnb web and native apps used by hundreds of millions of our guests and Hosts.
 Listings and Structured Data and AI (LSD\-DnA) team is one of the 4 teams of the ULM\-DnA org: The LSD\-DnA team supports host personalization products and provides data driven solutions to achieve superior host experience on Airbnb. These products include but are not limited to managing your space (MYS), host quality standards etc. We own data pipelines and ML models and will build services for serving that are used in the above areas.
**The Difference You Will Make**
 Users, Listings, and Marketplaces are foundational to Airbnb, and the quality of their data is critical to the success of our products and business. To strengthen our data foundation and unlock greater value from our data and machine learning models, we’ve been expanding our Data Engineering efforts across these key areas.
 Improving the quality of listing data presents a significant opportunity to enhance the experience for both Hosts and Guests. As a Data Engineer, you’ll collaborate closely with backend and analytics teams, product partners, and fellow data and ML engineers to execute on these opportunities. There is also the chance to work directly with ML engineers to develop integrated data and machine learning solutions. Ultimately, your work will contribute to raising the overall quality of listings on Airbnb and improving the end\-to\-end product experience.
**A Typical Day**
* Architect and productionize batch and real\-time data systems to power products for Airbnb Guests and Hosts, or our business/sales teams
* Ensure the quality, performance, and stability of data systems with thoughtful quality systems and monitoring
* Tune, productionize, and optimize data systems powering Airbnb products
* Collaborate with product teams to extract data requirements from product specs to develop scalable and flexible systems
* Collaborate and build relationships with partner engineering including backend/client, data science, analytics, and ML
**Your Expertise**
* 9\+ years of relevant industry experience with a Bachelor’s and/or Master’s degree in CS/EE, or equivalent experience, or 6\+ years of experience with a PhD
* Experience collaborating with client, backend, ml, analytics teams, product and business partners
* Experience designing and deploying high performance systems with reliable monitoring and logging practices.
* Effectively work across team boundaries to establish overarching data architecture, data flow, and provide guidance to individual teams.
* Strong knowledge of relational databases and query authoring (SQL).
* Strong expertise with Java / Scala / Spark and operating on data at the petabyte scale.
* Excellent communication skills, both written and verbal.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31">
      <c r="A31" t="inlineStr">
        <is>
          <t>li-4356821091</t>
        </is>
      </c>
      <c r="B31" t="inlineStr">
        <is>
          <t>Data Platform Engineer - AI Development</t>
        </is>
      </c>
      <c r="C31" t="inlineStr">
        <is>
          <t>The Hartford</t>
        </is>
      </c>
      <c r="D31" t="inlineStr">
        <is>
          <t>linkedin</t>
        </is>
      </c>
      <c r="E31" t="inlineStr"/>
      <c r="F31" t="inlineStr"/>
      <c r="G31" t="inlineStr">
        <is>
          <t>Chicago, IL</t>
        </is>
      </c>
      <c r="H31" t="inlineStr"/>
      <c r="I31"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32">
      <c r="A32" t="inlineStr">
        <is>
          <t>li-4367603208</t>
        </is>
      </c>
      <c r="B32" t="inlineStr">
        <is>
          <t>Data Engineer</t>
        </is>
      </c>
      <c r="C32" t="inlineStr">
        <is>
          <t>United Network for Organ Sharing (UNOS)</t>
        </is>
      </c>
      <c r="D32" t="inlineStr">
        <is>
          <t>linkedin</t>
        </is>
      </c>
      <c r="E32" t="inlineStr"/>
      <c r="F32" t="inlineStr"/>
      <c r="G32" t="inlineStr">
        <is>
          <t>Richmond, VA</t>
        </is>
      </c>
      <c r="H32" t="inlineStr"/>
      <c r="I32" t="inlineStr">
        <is>
          <t>**Position Description**
 We are seeking a Data Engineer with proven hands\-on experience with the design and development of highly available data management platforms and solutions for both on\-prem and Azure\-based cloud environments. This hands\-on, technical role will partner closely with data scientists, analysts, and business stakeholders to ensure that data is accurate, accessible, and optimized for analytics, reporting, and operational needs. This resource will play a key role in building scalable data pipelines and integrations while championing best practices, and leading strategic data initiatives across teams.
**Key Responsibilities**
* Develop and implement secure, scalable data pipelines using Azure Data Factory, Azure Functions, and Azure Data Lake Storage
* Design and build reliable ETL/ELT processes using Python (pandas, PySpark), SQL, and SSIS, integrating data from diverse sources including REST APIs and various file formats (CSV, JSON, XML, Parquet)
* Collaborate cross\-functionally to gather requirements and translate business needs into technical deliverables
* Detect and resolve data quality issues; implement automated audits and monitoring processes
* Participate in schema design and performance tuning
* Mentor and support junior engineers across data engineering, analytics, and BI teams
* Participate in code reviews, promoting clean, well\-documented, and testable code
* Stay current on trends in data engineering and cloud technologies, identifying opportunities to innovate
**Minimum Requirements** 
* 5 years of experience in data engineering, including
+ 1\+ years with Azure cloud\-native solutions
+ 3\+ years with SQL Server Integration Services (SSIS)
**Critical Skills**
* Expertise in MS SQL Server, SSIS, Python (pandas, PySpark), Azure Data Factory, Azure Functions and Azure Data Lake Storage.
* Experience working with a variety of file formats (e.g., CSV, JSON, XML, Parquet).
* Familiarity using REST APIs for data extraction and integration.
* Proven experience designing and implementing data solutions.
* Good understanding of cloud architecture, data warehousing and modern data stack components.
**Additional Skills \&amp; Qualifications**
* Demonstrated ability to perform root cause analysis on data and processing issues
* Strong problem\-solving skills with the ability to explain technical concepts to non\-technical audiences
* A successful history of manipulating, processing and extracting value from large disparate datasets
* Experience with Big Data technologies such as Databricks, Spark, or Azure Synapse
* Knowledge of CI/CD workflows, version control, and agile development practices
* Familiarity with data governance, privacy, and compliance frameworks
* Experience with data warehousing, analytics tools, and BI platforms
**Education**
* 4\-year degree in computer science, engineering or other related IT field of study, or equivalent professional work experience
**Physical Requirements** 
* General office demands
+ Prolonged periods of sitting at a desk and working on a computer.
+ Frequent reaching, handling, and fine manipulation for using office equipment, filing, and managing paperwork.
+ Manual dexterity sufficient to operate a keyboard, mouse, and other office tools.
+ Occasional standing, walking, and bending.
+ Ability to lift up to 10\-20 pounds occasionally.
+ Vision abilities required include close vision for computer work and reading documents.
+ Reasonable accommodations may be made to enable individuals with disabilities to perform the essential functions.</t>
        </is>
      </c>
    </row>
    <row r="33">
      <c r="A33" t="inlineStr">
        <is>
          <t>li-4356781518</t>
        </is>
      </c>
      <c r="B33" t="inlineStr">
        <is>
          <t>Senior Data Engineer (REMOTE)</t>
        </is>
      </c>
      <c r="C33" t="inlineStr">
        <is>
          <t>The Hanover Insurance Group</t>
        </is>
      </c>
      <c r="D33" t="inlineStr">
        <is>
          <t>linkedin</t>
        </is>
      </c>
      <c r="E33" t="inlineStr"/>
      <c r="F33" t="inlineStr"/>
      <c r="G33" t="inlineStr">
        <is>
          <t>Worcester County, MA</t>
        </is>
      </c>
      <c r="H33" t="inlineStr"/>
      <c r="I33" t="inlineStr">
        <is>
          <t>For more than 170 years, The Hanover has been committed to delivering on our promises and being there when it matters the most. We live our values every day, demonstrating we CARE through our values, Sustainability initiatives and inclusive corporate culture.
 Our Claims Analytics team is currently seeking a Senior Data Engineer to join our growing team in our Worcester, MA office or remote work arrangement.
 This is a full time, exempt position.
**POSITION OVERVIEW:**
 Data engineering is the aspect of data science that focuses on practical applications of data collection and analysis. This role primarily will become proficient with all internal \&amp; external data produced and consumed by THG.
 The engineer will understand where the data is, basic data models and architecture, how to access and obtain data and how to manipulate and work with data to produce output – which may be reports, datasets or self\-service reports.
 The ideal candidate is a self\-motivated, adaptable, and composed collaborator that can learn quickly.
**IN THIS ROLE, YOU WILL:**
* Driving larger more complicated projects independently as well as mentoring less experienced engineers.
* Collaborate with business partners and cross\-functional teams on data/reporting requests.
* Be accountable for successful outcomes related to designing, developing, implementing, optimizing, and maintaining data pipelines and solutions.
* Coach and mentor less senior team members as well as conducting reviews for their work
**WHAT YOU NEED TO APPLY:**
* Bachelor’s degree or higher in Data Science, Mathematics, Statistics, Computer Science, Information Systems, Business Information Technology, or equivalent
* 5 plus years professional experience in data engineering, data architecture, or data analytics
* Proficiency in the following languages: SQL. Python, Java, Scala nice to have.
* Holds active Azure DP\-203 (Microsoft Certified: Azure Data Engineer Associate) or equivalent. Other Azure DP certifications or equivalents are also applicable
* Data Modeling: Creation of conceptual, logical, and physical data models for data objects, object attributes, and their relationships
* Analytical Skills: Data Engineers work with large amounts of data that will include facts, figures, and number crunching. You will need to profile the data and analyze it to find conclusions.
* Communication Skills: Data engineers are often called to present their findings or translate the data into an understandable document. You will need to write and speak clearly, easily communicating complex ideas.
* Critical Thinking: Data engineers must look at the numbers, trends, and data and come to new conclusions based on the findings.
* Attention to Detail: Data is precise. Data engineers must make sure they are vigilant in their analysis to come to correct conclusions.
* Math Skills: Data engineers need advanced math skills to estimate numerical data. Insurance experience required as well as insurance products.
* Debugging Skills: Data engineers need the ability to analyze issues with components in our data solutions and come up with remediation plans.
* Proven experience in data engineering, implementation of best practices for data storage, access, integration, transformation, etc., within Azure
* Proven experience using Databricks and delta live tables in a data engineering context
* Experience in optimizing data pipelines to account for scale, performance, reliability, and cost efficiency
* Demonstrated proficiency in relational, NoSQL, hierarchical, and entity relationship data modeling
* Experience in creating easy to consume documentation of data processes and solutions to aid in knowledge transfer and continuity.
* Experienced in agile development methodologies, developing high quality code, and DevOps best practices
* Must be eligible to work in the United States without requiring sponsorship now or in the future (ie. lawful permanent residence or US citizen)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34">
      <c r="A34" t="inlineStr">
        <is>
          <t>li-4334394012</t>
        </is>
      </c>
      <c r="B34" t="inlineStr">
        <is>
          <t>Senior Data Engineer</t>
        </is>
      </c>
      <c r="C34" t="inlineStr">
        <is>
          <t>Hasbro</t>
        </is>
      </c>
      <c r="D34" t="inlineStr">
        <is>
          <t>linkedin</t>
        </is>
      </c>
      <c r="E34" t="inlineStr"/>
      <c r="F34" t="inlineStr"/>
      <c r="G34" t="inlineStr">
        <is>
          <t>Pawtucket, RI</t>
        </is>
      </c>
      <c r="H34" t="inlineStr"/>
      <c r="I34"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Do you have a passion for data? Then we are looking for you! We have an opportunity for a Senior Data Engineer to join our high\-visibility Analytics team that is helping Hasbro better reach consumers with compelling products and entertainment! In this role use your talents in software engineering, analytics cloud platforms and business collaboration to expand our rich analytics data ecosystem. This Sr. Data Engineer will bring deep knowledge and hands\-on experience working with cloud data platform technologies such as Azure, AWS, Google and scripting language like Python.
**A day in the life as a Sr. Data Engineer:**
* Design, develop and optimize the data pipelines and transformations to enable analytics insights.
* Participate in the design, architecture, and implementation of data\-engineering platform infrastructure.
* Champion engineering excellence, including software design patterns, code reviews, and automated unit/functional testing.
* Collaborate with product managers, data scientists, and data analysts in an open, creative, and agile environment.
**What you'll bring:**
* 5\+ years of hands\-on experience in developing and deploying data architecture strategies or engineering practices.
* Demonstrated ability with complex SQL queries and knowledge of database technologies.
* Proficiency in integrating AI solutions into new and existing technologies to improve efficiency, streamline operations, and elevate the consumer experience is required.
* Self\-starter with a passion and curiosity for solving unstructured data problems and ability to manipulate and optimize large data sets.
* Knowledge of metadata management, data lineage, and principles of data governance.
* Experience with streaming data management.
* Excellent written and verbal communication skills – experience working with business and senior leaders.
* Bachelor’s or master’s degree in Computer Science, Information Systems, or a related field, with equivalent experience accepted.
 Location: Pawtucket, RI (Office will relocate to Boston Fall of 2026\)
**We are an Equal Opportunity**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$120,300\.00 to $180,500\.00\.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35">
      <c r="A35" t="inlineStr">
        <is>
          <t>li-4367252658</t>
        </is>
      </c>
      <c r="B35" t="inlineStr">
        <is>
          <t>Researcher III - Data Engineer</t>
        </is>
      </c>
      <c r="C35" t="inlineStr">
        <is>
          <t>CHEManager International</t>
        </is>
      </c>
      <c r="D35" t="inlineStr">
        <is>
          <t>linkedin</t>
        </is>
      </c>
      <c r="E35" t="inlineStr"/>
      <c r="F35" t="inlineStr"/>
      <c r="G35" t="inlineStr">
        <is>
          <t>Golden, CO</t>
        </is>
      </c>
      <c r="H35" t="inlineStr"/>
      <c r="I35" t="inlineStr">
        <is>
          <t>****Posting Title****
 Researcher III \- Data Engineer
****Location****
 CO \- Golden
****Position Type****
 Regular
****Hours Per Week****
 40
****Working at NLR****
 NLR is located at the foothills of the Rocky Mountains in Golden, Colorado is the nation's primary laboratory for energy systems research and development.
 Join the National Laboratory of the Rockies (NLR), where world\-class scientists, engineers, and experts are accelerating energy innovation through breakthrough research and systems integration. From our mission to our collaborative culture, NLR stands out in the research community for its commitment to an affordable and secure energy future. Spanning foundational science to applied systems engineering and analysis, we focus on solving complex challenges to deliver advanced, secure, reliable, and cost\-effective energy solutions. Our work helps strengthen U.S. industries, support job creation, and promote national economic growth.
 At NLR, you'll find a mission\-driven environment supported by state\-of\-the\-art facilities, multidisciplinary research teams, and strong collaborations with industry, academia, and other national laboratories. We offer robust professional development opportunities, and a competitive benefits package designed to support your career and well\-being.
**Job Description**
 NLR is seeking a skilled and versatile Data Engineer to join our Data Engineering Group. This role will help to design, build, and maintain scalable and robust data pipelines and architectures that will drive our analytics and data\-driven decision\-making capabilities. The Data Engineering team is a multi\-disciplinary team of data and software engineers, data scientists, and product developers that are at the forefront of developing advanced data solutions for strategic energy analysis at scale. Our work is focused on making energy data and software more accessible, usable, and actionable for researchers and engineers at NLR and beyond.
 For this position, we are looking for a candidate with experience working with lifecycle assessment, statistical techniques, model framework development, sensitivity and uncertainty analysis, and energy policy is required. The successful candidate must be able to operate within a large team of analysts and be responsive to quick turnaround requests and handle shifting priorities and project uncertainty.
**Key Responsibilities**
* Develop bespoke applications using diverse technologies and hybrid (on\-prem/cloud/HPC) solutions that meet specific requirements of our varied client projects.
* Design, construct, test, and maintain scalable data architectures, data lakes, databases, and datasets, as well as large\-scale data processing systems.
* Develop high\-quality software solutions to manage data workflow, optimization, and retrieval.
* Design and implement secure and compliant data models, ETL and analytical pipelines in a distributed and/or hybrid computing environment.
* Work closely with data scientists, analysts, and stakeholders to improve data collection, processing methods, and develop tailored software solutions.
* Ensure data quality and integrity by adhering to data privacy policies and compliance with data protection regulations.
* Proactively research and integrate new technologies, tools, and best practices in data and software engineering.
* Train and deploy machine learning models to accelerate data processes for energy research.
* Explore the use of large language models to enable better energy systems research.
* Develop documentation of data, software, processes and procedures as appropriate.
**Our Team**
**About**
 You will join a team where everyone is striving to improve their knowledge of software development best\-practices, while caring about creating the best possible solution to cutting edge problems. Our team creates secure, reusable, and efficient code, while supporting a variety of teams:
* A dynamic, interdisciplinary research and development environment at a leading national laboratory.
* Opportunities to collaborate with a diverse group of experts in software, data, and engineering domains.
* Work developing cutting\-edge projects and contributing to research in the energy innovation industry.
* Access to world\-class computational resources and datasets.
* A flexible work environment with hybrid remote and onsite work options.
* Professional development opportunities, including mentoring, training, and networking.
**Basic Qualifications**
 Relevant PhD . Or, relevant Master's Degree and 3 or more years of experience . Or, relevant Bachelor's Degree and 5 or more years of experience . Demonstrates complete understanding and wide application of scientific technical procedures, principles, theories and concepts in the field. General knowledge of other related disciplines. Demonstrates leadership in one or more areas of team, task or project lead responsibilities. Demonstrated experience in management of projects. Very good technical writing, interpersonal and communication skills.
* Must meet educational requirements prior to employment start date.
**Additional Required Qualifications**
* Familiarity with data engineering technologies (e.g., Python, SQL, ETL processes)
* Extensive experience developing software and analyzing data with Python.
* Ability to translate technical requirements into structured data configurations.
* Strong understanding of data management concepts, data quality, and data cleaning.
* Experience with a diversity of data technologies.
* Strong analytical and problem\-solving skills.
* Excellent interpersonal skills for engaging with both technical and non\-technical users.
* Strong written and verbal communication skills for documenting workflows and explaining technical concepts.
* Ability to collaborate effectively in a team setting to meet project objectives.
**Preferred Qualifications**
 The ideal candidate will have a strong blend of both data engineering and software engineering skills with the ability to work on hybrid tech stacks. Cross\-cutting, multi\-disciplined candidates will be preferred as we are looking for an engineer who can be a "data\-do\-all" that can implement high quality, production ready code to solve a variety of research and big data problems.
**Strong Candidates Will Have Many Of The Following Expertise**
* Experience with big data (tens to hundreds of TB)
* Experience with version control (git/GitHub)
* Basic understanding of data management practices, such as multi\-source data collection, workflow management, data storage, security, and availability, data governance \&amp; privacy.
* Familiarity with agile development
* Software and/or data quality assurance (verification and validation, testing, etc.)
* Experience with big data tools (e.g., Hadoop, Spark, Kafka, etc.), data pipelines, and software development frameworks
* Experience with parallel programming (High Performance Computing experience is a plus) and hybrid computing (on prem and in the cloud)
* Familiarity with cloud services (such as AWS S3/Glue/Athena/Lambda, Azure Blob Storage, GCP Storage/BigQuery), data warehousing solutions, and containerization technologies (Docker, Kubernetes).
* Experience with SQL, relational databases, and NoSQL databases.
* Knowledge of machine learning frameworks, statistical analysis, and algorithm optimization.
* Experience working with meteorological data (e.g., wind or solar data in NetCDF of HDF5 format). And cloud\-friendly formats, like Parquet.
* Excellent analytical, problem\-solving, and troubleshooting skills.
* Strong communication skills and the ability to collaborate effectively in a multi\-project environment with a multidisciplinary team.
* Web and API development experience is a bonus.
* Prior experience in the energy sector or a research environment is a plus.
****Job Application Submission Window****
 The anticipated closing window for application submission is up to 30 days and may be extended as needed.
****Annual Salary Range (based on full\-time 40 hours per week)****
 Job Profile: Researcher III / Annual Salary Range: $83,600 \- $150,500
 NLR takes into consideration a candidate's education, training, and experience, expected quality and quantity of work, required travel (if any), external market and internal value, including seniority and merit systems, and internal pay alignment when determining the salary level for potential new employees. In compliance with the Colorado Equal Pay for Equal Work Act, a potential new employee's salary history will not be used in compensation decisions.
**Benefits Summary**
 Benefits include medical, dental, and vision insurance; short\*\- and long\-term disability insurance; pension benefits\*; 403(b) Employee Savings Plan with employer match\*; life and accidental death and dismemberment (AD\&amp;D) insurance; personal time off (PTO) and sick leave; paid holidays; and tuition reimbursement\*. NLR employees may be eligible for, but are not guaranteed, performance\-, merit\-, and achievement\- based awards that include a monetary component. Some positions may be eligible for relocation expense reimbursement. Limited\-term positions are not eligible for long\-term disability or tuition reimbursement.
* Based on eligibility rules
****Badging Requirement****
 NLR is subject to Department of Energy (DOE) access restrictions. All employees must also be able to obtain and maintain a federal Personal Identity Verification (PIV) card as required by Homeland Security Presidential Directive 12 (HSPD\-12\), which includes a favorable background investigation.
****Drug Free Workplace****
 NLR is committed to maintaining a drug\-free workplace in accordance with the federal Drug\-Free Workplace Act and complies with federal laws prohibiting the possession and use of illegal drugs. Under federal law, marijuana remains an illegal drug.
 If you are offered employment at NLR, you must pass a pre\-employment drug test prior to commencing employment. Unless prohibited by state or local law, the pre\-employment drug test will include marijuana. If you test positive on the pre\-employment drug test, your offer of employment may be withdrawn.
****Submission Guidelines****
 Please note that in order to be considered an applicant for any position at NLR you must submit an application form for each position for which you believe you are qualified. Applications are not kept on file for future positions. Please include a cover letter and resume with each position application.
****Equal Opportunity Employer****
 All qualified applicants will receive consideration for employment without regard basis of age (40 and over), color, disability, gender identity, genetic information, marital status, domestic partner status, military or veteran status, national origin/ancestry, race, religion, creed, sex (including pregnancy, childbirth, breastfeeding), sexual orientation, and any other applicable status protected by federal, state, or local laws.
**Reasonable Accommodations**
****E\-Verify www.dhs.gov/E\-Verify** 
 For information about right to work, click here for English or here for Spanish.**
 E\-Verify is a registered trademark of the U.S. Department of Homeland Security. This business uses E\-Verify in its hiring practices to achieve a lawful workforce.</t>
        </is>
      </c>
    </row>
    <row r="36">
      <c r="A36" t="inlineStr">
        <is>
          <t>li-4367227878</t>
        </is>
      </c>
      <c r="B36" t="inlineStr">
        <is>
          <t>Senior Data Engineer</t>
        </is>
      </c>
      <c r="C36" t="inlineStr">
        <is>
          <t>RemoteHunter</t>
        </is>
      </c>
      <c r="D36" t="inlineStr">
        <is>
          <t>linkedin</t>
        </is>
      </c>
      <c r="E36" t="inlineStr"/>
      <c r="F36" t="inlineStr"/>
      <c r="G36" t="inlineStr"/>
      <c r="H36" t="inlineStr"/>
      <c r="I36" t="inlineStr">
        <is>
          <t>About the Opportunity:
 The organization is a purpose\-driven fintech company focused on providing clearer credit options to underserved consumers in the U.S. The Data Engineering team builds and maintains analytical data infrastructure and ETL/Reverse ETL pipelines that support the data warehouse. This role involves developing and maintaining data pipelines, promoting software engineering best practices, and collaborating with cross\-functional teams to meet evolving data needs.
 Responsibilities:
 • Design, develop, and maintain high\-performance data pipelines using Python, SQL, dbt, and Snowflake on GCP
 • Improve code quality, test coverage, and maintainability of data pipelines
 • Implement software engineering best practices including code reviews, testing, CI/CD, and documentation
 • Support adoption of data quality tools and practices such as data lineage and automated alerting
 • Research and recommend new technologies and tools to enhance the data platform
 • Contribute to data architecture and design of the data warehouse
 • Collaborate with software engineering teams to define data structures and streamline ingestion
 • Work with data scientists, analysts, and business users to translate data needs into technical requirements
 • Troubleshoot and resolve complex data pipeline issues to ensure data quality and reliability
 • Develop and maintain CI/CD pipelines for data infrastructure
 • Participate in on\-call rotation supporting critical data pipelines
 • Identify and address inefficiencies in data engineering processes
 Requirements:
 • Bachelor''s degree in Computer Science, Engineering, or related field
 • Minimum 2 years experience in data engineering
 • Strong analytical SQL and Python skills
 • Knowledge of software engineering principles including version control, testing, and CI/CD
 • Experience with data warehousing technologies
 • Experience with cloud platforms, preferably Google Cloud Platform (GCP), including Cloud Functions and GCS
 • Proven ability to design and implement reliable, resilient ETL/ELT pipelines
 • Familiarity with Snowflake, dbt, Montecarlo, and Airflow
 • Excellent communication, collaboration, and problem\-solving skills
 Preferred Qualifications:
 • Experience with data governance and data quality frameworks
 • Knowledge of data modeling principles
 • Experience with infrastructure\-as\-code tools such as Terraform or Kubernetes Config Connector
 Benefits \&amp; Perks:
 • Access to training programs and opportunities for advancement
 • Full health, dental, and vision insurance
 • Flexible Spending Accounts for medical and childcare expenses
 • Paid parental leave
 • 401(k) Company Match
 • Generous paid time off
 • Flexible work schedules
 • Subscription to wellness app (Calm)
 • Remote\-friendly work environment
 Compensation:
 • Target Base Salary: 110,000 to 126,000 USD
 • Additional compensation through annual incentive program and equity based on role,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li-4367475069</t>
        </is>
      </c>
      <c r="B37" t="inlineStr">
        <is>
          <t>Sr. Data Engineer - NYC (Hybrid) - $160k - $190k base</t>
        </is>
      </c>
      <c r="C37" t="inlineStr">
        <is>
          <t>Harnham</t>
        </is>
      </c>
      <c r="D37" t="inlineStr">
        <is>
          <t>linkedin</t>
        </is>
      </c>
      <c r="E37" t="inlineStr"/>
      <c r="F37" t="inlineStr"/>
      <c r="G37" t="inlineStr"/>
      <c r="H37" t="inlineStr"/>
      <c r="I37" t="inlineStr">
        <is>
          <t>**Senior Data Engineer** 
**Location:** 
 NYC (Hybrid 3 days)
**Pay:** 
 $160k \- $190k base \+ bonus
**Role Overview** 
 Hands\-on senior role focused on operating and scaling the firm’s Data Lakehouse. Owns pipeline reliability, data quality, and automation. Works closely with the Enterprise Data Architect and Data Engineering Lead to support AI initiatives while keeping production systems stable, secure, and compliant.
**What You’ll Do** 
* Own data pipeline reliability (failures, schema drift, quality issues)
* Operate Snowflake and Databricks on AWS
* Build automation and IaC (Terraform, Python, SQL, Git, Lambda)
* Enforce data governance and IAM controls
* Secure and monitor API\-based data ingestion
* Monitor logs and alerts; investigate anomalies
* Maintain runbooks, lineage, and operational docs
* Lead post\-incident reviews and fixes
* Partner with infra, security, and engineering teams
* Support audits and compliance efforts
* Mentor junior engineers
**What We’re Looking For** 
* 7\+ years in data engineering, cloud data, or DevSecOps\-adjacent roles
* Hands\-on with Databricks or Snowflake on AWS
* Strong IAM and access control experience
* Proficient in Terraform, Python, SQL, Git
* Experience integrating enterprise systems (CRM, HRIS, file platforms)
* Comfortable across Windows, macOS, Linux
* Strong documentation and communication skills</t>
        </is>
      </c>
    </row>
    <row r="38">
      <c r="A38" t="inlineStr">
        <is>
          <t>li-4367492652</t>
        </is>
      </c>
      <c r="B38" t="inlineStr">
        <is>
          <t>Staff Data Engineer</t>
        </is>
      </c>
      <c r="C38" t="inlineStr">
        <is>
          <t>Market America, Inc.</t>
        </is>
      </c>
      <c r="D38" t="inlineStr">
        <is>
          <t>linkedin</t>
        </is>
      </c>
      <c r="E38" t="inlineStr"/>
      <c r="F38" t="inlineStr"/>
      <c r="G38" t="inlineStr">
        <is>
          <t>New York, NY</t>
        </is>
      </c>
      <c r="H38" t="inlineStr"/>
      <c r="I38" t="inlineStr">
        <is>
          <t>Market America, a product brokerage and Internet marketing company that specializes in One\-to\-One Marketing, is seeking an experienced
 **Staff Data Engineer**
 for our IT team.
 As a senior member of the Data Engineering team, you will have an important role in helping millions of customers on our SHOP.COM and Market America Worldwide multi\-country and multi\-language global eCommerce websites intelligently find what they want within different categories, merchant offers, products and taxonomy.
 We have thousands of 3 rd party affiliates / feeds which goes through ETL and data ingestion pipelines before ingesting into our search systems. We have multiple orchestration pipelines supporting various types of data for products, store offers, analytics, customer behavioral profiles, segments, logs and much more.
 If you are passionate about data engineering in processing millions of data, ETL processes for products, stores, customers, analytics, this is highly visible role that will provide you the opportunity to make a huge impact in our business and a difference to millions of customers worldwide. Data engineering team processes large amounts of data that we import and collect. The team works to enrich content, pricing integration, taxonomy assignments and algorithms, category classifier nodes and machine learning integration within the pipeline.
**Key Responsibilities:**
* Must have minimum of 10\-12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Architect hat when required to bring new ideas to the table, thought leadership and forward thinking
* Take holistic approach to building solutions by thinking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best solution in the industry, apply correct design patterns during development and learn best practices and data engineering tools and technologies
**Required Skills \&amp; Experience:**
* BS or MS in Computer Science (or related field) with 10\+ years of hands\-on software development experience working in large\-scale data processing pipelines
* Must have skills are Apache Spark, Scala and PySpark with 2\-4 years of experience building production grade batch pipelines that handle large volumes of data.
* Must have at least 4\+ years of experience in Java and API / Microservices
* Must have at least 2\+ years of experience in Python
* 2\+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Java / Spark, Apache Flink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 Exposure to Machine Learning (ML), LLM models, using AI during coding, build with AI
+ Knowledge of Elastic APM, ELK stack and search technologies such as Elasticsearch / Solr
+ Nice to have some experience in workflow orchestration tools such as Air Flow or Apache NiFi
 Market America offers competitive salary and generous benefits, including health, dental, vision, life, short and long\-term disability insurance, a 401(k) retirement plan with company match, and an on\-site health clinic.
 Qualified candidates should apply online. This position can work remoted based from either our Greensboro NC or Monterey CA offices. Sorry, we are NOT able to sponsor for this position.
 Market America is proud to be an equal opportunity employer.
 Market America \| SHOP.COM is changing the way people shop and changing the economic paradigm so anyone can become financially independent by creating their own economy and converting their spending into earning with the Shopping Annuity®.
**About Market America, Inc. \&amp; Shop.com**
 Market America Worldwide \| SHOP.COM is a global e\-commerce and digital marketing company that specializes in one\-to\-one marketing and is the creator of the Shopping Annuity . Its mission is to provide a robust business system for entrepreneurs, while providing consumers a better way to shop. Headquartered in Greensboro, North Carolina, and with eight sites around the globe, including the U.S., Market America Worldwide was founded in 1992 by Founder, Chairman \&amp; CEO JR Ridinger. Through the company's primary, award\-winning shopping website, SHOP.COM, consumers have access to millions of products, including Market America Worldwide exclusive brands and thousands of top retail brands. Further, SHOP.COM ranks 19th in Newsweek magazine's 2021 Best Online Shops, No. 52 in Digital Commerce 360's (formerly Internet Retailer) 2021 Top 1,000 Online Marketplaces, No. 79 in Digital Commerce 360's 2021 Top 1,000 Online Retailers and No. 11 in the 2021 Digital Commerce 360 Primary Merchandise Category Top 500\. The company is also a two\-time winner of the Better Business Bureau's Torch Award for Marketplace Ethics and was ranked No. 15 in The Business North Carolina Top 125 Private Companies for 2021\. By combining Market America Worldwide's entrepreneurial business model with SHOP.COM's powerful comparative shopping engine, Cashback program , Hot Deals, ShopBuddy® , Express Pay checkout, social shopping integration and countless other features, the company has become the ultimate online shopping destination.
 For more information about Market America Worldwide: MarketAmerica.com
 For more information on SHOP.COM, please visit: SHOP.COM</t>
        </is>
      </c>
    </row>
    <row r="39">
      <c r="A39" t="inlineStr">
        <is>
          <t>li-4367241938</t>
        </is>
      </c>
      <c r="B39" t="inlineStr">
        <is>
          <t>Lead Data Engineer</t>
        </is>
      </c>
      <c r="C39" t="inlineStr">
        <is>
          <t>Apexon</t>
        </is>
      </c>
      <c r="D39" t="inlineStr">
        <is>
          <t>linkedin</t>
        </is>
      </c>
      <c r="E39" t="inlineStr"/>
      <c r="F39" t="inlineStr"/>
      <c r="G39" t="inlineStr">
        <is>
          <t>Dallas, TX</t>
        </is>
      </c>
      <c r="H39" t="inlineStr"/>
      <c r="I39" t="inlineStr">
        <is>
          <t>* Should have strong capabilities and a deep understanding of the credit card and cards domain is sought to support the Data Engineering team. This role requires expertise in Agile practices and a solid grasp of data engineering concepts, including Directed Acyclic Graphs (DAGs), Data Warehousing, SQL, APIs, and microservices, to facilitate report production and robust data solutions.
* Lead Data Engineer will be instrumental in coordinating diverse teams, fostering strong relationships with upstream and downstream stakeholders, and assisting with documentation, ultimately driving the successful delivery of data engineering projects
* Should be able to prioritize the issue, work with internal \&amp; external teams to resolve the issue.
* Tech POC for the exception Management Process
 Skills: Python, SQL, Snowflakes, Familiarity with Airflow, Jira, AWS, Data Dog, Splunk, Databricks, Pyspark, Good understanding of SQS \&amp; KAFKA, Tableau</t>
        </is>
      </c>
    </row>
    <row r="40">
      <c r="A40" t="inlineStr">
        <is>
          <t>li-4367469538</t>
        </is>
      </c>
      <c r="B40" t="inlineStr">
        <is>
          <t>Full time Jr. AI/ML Data Engineer - LLM</t>
        </is>
      </c>
      <c r="C40" t="inlineStr">
        <is>
          <t>E-Solutions</t>
        </is>
      </c>
      <c r="D40" t="inlineStr">
        <is>
          <t>linkedin</t>
        </is>
      </c>
      <c r="E40" t="inlineStr"/>
      <c r="F40" t="inlineStr"/>
      <c r="G40" t="inlineStr"/>
      <c r="H40" t="inlineStr"/>
      <c r="I40" t="inlineStr">
        <is>
          <t>**AI/ML Data Engineer \- LLM** 
**Remote** 
**Required Qualifications** 
* **7\+ years** 
 of experience in AI/ML engineering, data science, or applied machine learning roles.
* Strong proficiency in
 **Python** 
 , ML/NLP libraries, and AI development frameworks.
* Hands\-on experience with
 **LLMs, LangChain, LangGraph** 
 , and GenAI architectures.
* Experience deploying GenAI systems using
 **AWS Bedrock, Azure AI Foundry** 
 .
* Strong understanding of
 **LLM security** 
 , prompt engineering, and Responsible AI principles.
* Good foundational experience with
 **data engineering tools and cloud data services** 
 .</t>
        </is>
      </c>
    </row>
    <row r="41">
      <c r="A41" t="inlineStr">
        <is>
          <t>li-4367245269</t>
        </is>
      </c>
      <c r="B41" t="inlineStr">
        <is>
          <t>Sr. Analytics Engineer</t>
        </is>
      </c>
      <c r="C41" t="inlineStr">
        <is>
          <t>RemoteHunter</t>
        </is>
      </c>
      <c r="D41" t="inlineStr">
        <is>
          <t>linkedin</t>
        </is>
      </c>
      <c r="E41" t="inlineStr"/>
      <c r="F41" t="inlineStr"/>
      <c r="G41" t="inlineStr"/>
      <c r="H41" t="inlineStr"/>
      <c r="I41" t="inlineStr">
        <is>
          <t>About the Opportunity:
 The organization leads in Real\-Time Care Intelligence solutions aimed at improving outcomes for individuals facing physical and behavioral health challenges. The Senior Analytics Engineer role involves working with the Analytics and Visualization team and internal stakeholders to develop reporting solutions using a unique data pipeline. This position requires creative problem\-solving, cross\-team collaboration, and independent thinking to leverage data and enhance healthcare delivery.
 Responsibilities:
 • Design and manage data pipelines supporting reporting solutions
 • Develop dashboards and reporting features to improve user satisfaction
 • Serve as the technical authority on reporting components of the product suite
 • Foster collaboration across Agile teams and functions to implement solutions
 • Use data and advanced analytics to provide actionable insights to stakeholders
 • Support business\-aligned projects to meet organizational goals
 • Identify repetitive tasks and partner to implement scalable automation
 • Stay informed on emerging AI tools to enhance work within the function
 Requirements:
 • Bachelor’s Degree in a quantitative or technical discipline; advanced degree is a plus
 • 5\+ years of professional experience in data analytics
 • Experience designing user\-friendly analytics solutions with Tableau, Looker, or similar software
 • Proficiency in SQL for data collection, cleaning, and aggregation
 • Solid understanding of database technologies (PostgreSQL, MySQL, DynamoDB) and coding for data collection
 • Knowledge of data warehousing concepts and experience with platforms such as Amazon Redshift
 • Working knowledge of Tableau for creating user\-facing analytics solutions
 • Proficiency with Python, GitHub, and standard development tools
 • Comfort using or learning AI\-supported tools such as ChatGPT or CoPilot
 • Strong analytical and problem\-solving skills with creativity in solution design
 • Ability to thrive in fast\-paced, evolving environments
 • Effective remote work skills with high\-quality virtual interactions
 • Ability to travel periodically for work
 Benefits \&amp; Perks:
 • Opportunity to work with an innovative healthcare technology team
 • Freedom to create within a highly supportive environment
 • Exposure to strategic priorities and learning from top investors and advisors
 • Competitive compensation including health, dental, vision, and other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li-4367464888</t>
        </is>
      </c>
      <c r="B42" t="inlineStr">
        <is>
          <t>Risk Technology - Lead Data Platform Engineer</t>
        </is>
      </c>
      <c r="C42" t="inlineStr">
        <is>
          <t>Selby Jennings</t>
        </is>
      </c>
      <c r="D42" t="inlineStr">
        <is>
          <t>linkedin</t>
        </is>
      </c>
      <c r="E42" t="inlineStr"/>
      <c r="F42" t="inlineStr"/>
      <c r="G42" t="inlineStr">
        <is>
          <t>Chicago, IL</t>
        </is>
      </c>
      <c r="H42" t="inlineStr"/>
      <c r="I42" t="inlineStr">
        <is>
          <t>**Data Platform Engineering Lead \-** 
**Role Overview** 
 We are seeking an experienced technical leader to drive the design and development of our next‑generation Data Platform\-a core strategic asset enabling scalable data onboarding, processing, and transformation across the organization. The ideal candidate combines deep engineering expertise, hands‑on distributed systems experience, and a proven record of managing high‑performing teams. Candidates from financial services\-especially hedge funds or similarly data‑intensive trading environments\-are strongly preferred.
 This role is hands‑on. Whether operating as a manager or as an IC technical lead, the candidate must actively contribute to architecture, coding, design reviews, and technical problem‑solving.
 The position requires onsite presence in Chicago or New York at least four days per week; candidates must be open to relocating.
 What You'll Do
* Build and enhance systems, tools, and frameworks supporting data engineers, analysts, and scientists.
* Architect and evolve distributed data systems to support enterprise‑scale workloads.
* Lead, manage, and mentor a team of developers while remaining deeply hands‑on in technical design and implementation.
* Plan, organize, and deliver development initiatives using Agile methodologies.
* Utilize AWS services for logging, monitoring, orchestration, and data storage.
* Investigate and resolve time‑critical production issues in a fast‑paced environment.
 Minimum Qualifications
* 6\+ years of hands‑on Python development experience.
* 6\+ years of experience working with SQL databases.
* 5\+ years building distributed systems with web‑service or event‑driven architectures.
* 5\+ years managing engineering teams, with demonstrated hands‑on technical involvement.
* 3\+ years of AWS development experience.
* Strong written and verbal communication skills.
* Bachelor's degree or higher in Computer Science or another STEM field.
* Willingness to work onsite in Chicago or New York at least four days per week and relocate if needed.
 Preferred Qualifications
* Experience in financial services\-ideally within a hedge fund or similar data‑intensive environment.
* 5\+ years working with big data technologies (e.g., Snowflake, Trino, Iceberg, DataHub, Airflow).
* Prior experience developing large‑scale, data‑centric systems.</t>
        </is>
      </c>
    </row>
    <row r="43">
      <c r="A43" t="inlineStr">
        <is>
          <t>li-4356861066</t>
        </is>
      </c>
      <c r="B43" t="inlineStr">
        <is>
          <t>Lead AI Data Engineer - Hybrid</t>
        </is>
      </c>
      <c r="C43" t="inlineStr">
        <is>
          <t>The Hartford</t>
        </is>
      </c>
      <c r="D43" t="inlineStr">
        <is>
          <t>linkedin</t>
        </is>
      </c>
      <c r="E43" t="inlineStr"/>
      <c r="F43" t="inlineStr"/>
      <c r="G43" t="inlineStr">
        <is>
          <t>Charlotte, NC</t>
        </is>
      </c>
      <c r="H43" t="inlineStr"/>
      <c r="I43"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4">
      <c r="A44" t="inlineStr">
        <is>
          <t>li-4356771269</t>
        </is>
      </c>
      <c r="B44" t="inlineStr">
        <is>
          <t>Lead AI Data Engineer - Hybrid</t>
        </is>
      </c>
      <c r="C44" t="inlineStr">
        <is>
          <t>The Hartford</t>
        </is>
      </c>
      <c r="D44" t="inlineStr">
        <is>
          <t>linkedin</t>
        </is>
      </c>
      <c r="E44" t="inlineStr"/>
      <c r="F44" t="inlineStr"/>
      <c r="G44" t="inlineStr">
        <is>
          <t>Hartford, CT</t>
        </is>
      </c>
      <c r="H44" t="inlineStr"/>
      <c r="I44"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5">
      <c r="A45" t="inlineStr">
        <is>
          <t>li-4356821089</t>
        </is>
      </c>
      <c r="B45" t="inlineStr">
        <is>
          <t>Lead AI Data Engineer</t>
        </is>
      </c>
      <c r="C45" t="inlineStr">
        <is>
          <t>The Hartford</t>
        </is>
      </c>
      <c r="D45" t="inlineStr">
        <is>
          <t>linkedin</t>
        </is>
      </c>
      <c r="E45" t="inlineStr"/>
      <c r="F45" t="inlineStr"/>
      <c r="G45" t="inlineStr">
        <is>
          <t>Hartford, CT</t>
        </is>
      </c>
      <c r="H45" t="inlineStr"/>
      <c r="I45"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Lead AI Data Engineer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This role will have a Hybrid work schedule, with the expectation of working in an office (Columbus, OH, Chicago, IL, Hartford, CT or Charlotte, NC) 3 days a week (Tuesday through Thursday).
**Key Responsibilities**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6">
      <c r="A46" t="inlineStr">
        <is>
          <t>li-4356507587</t>
        </is>
      </c>
      <c r="B46" t="inlineStr">
        <is>
          <t>Lead Gen AI Data Engineer</t>
        </is>
      </c>
      <c r="C46" t="inlineStr">
        <is>
          <t>The Hartford</t>
        </is>
      </c>
      <c r="D46" t="inlineStr">
        <is>
          <t>linkedin</t>
        </is>
      </c>
      <c r="E46" t="inlineStr"/>
      <c r="F46" t="inlineStr"/>
      <c r="G46" t="inlineStr">
        <is>
          <t>Hartford, CT</t>
        </is>
      </c>
      <c r="H46" t="inlineStr"/>
      <c r="I4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7">
      <c r="A47" t="inlineStr">
        <is>
          <t>li-4367480195</t>
        </is>
      </c>
      <c r="B47" t="inlineStr">
        <is>
          <t>Sr. Data Engineer</t>
        </is>
      </c>
      <c r="C47" t="inlineStr">
        <is>
          <t>Apex Systems</t>
        </is>
      </c>
      <c r="D47" t="inlineStr">
        <is>
          <t>linkedin</t>
        </is>
      </c>
      <c r="E47" t="inlineStr"/>
      <c r="F47" t="inlineStr"/>
      <c r="G47" t="inlineStr">
        <is>
          <t>Jersey City, NJ</t>
        </is>
      </c>
      <c r="H47" t="inlineStr"/>
      <c r="I47" t="inlineStr">
        <is>
          <t>**Job\#: 3020192**
**Job Description:**
**Job Title: Data Engineer**
**Duration: 12 Months**
**Location: Jersey City NJ / Addison TX / Charlotte NC**
**Payrate: $65\.00 – 68\.26/hr**
**Role And Responsibilities**
 Design and develop high\-performance, scalable real\-time data processing solutions using technologies like Kafka (KStreams, KTable), Spark Streaming, and Redis to handle massive data sets from multiple channels.
 Implement and optimize streaming data pipelines to process and analyze near real\-time data, ensuring low\-latency and high\-throughput performance.
 Leverage expertise in Hadoop stack technologies, including HDFS, Spark, MapReduce, Yarn, Hive, Sqoop, Impala, and Hue, to design and optimize data processing workflows.
 Utilize NoSQL databases such as Redis to support real\-time data storage and retrieval for mission\-critical applications.
 Collaborate with cross\-functional teams to identify system bottlenecks, benchmark performance, and propose innovative solutions to enhance system efficiency.
 Take ownership of defining Big Data and real\-time data strategies and roadmaps for Enterprise, aligning them with business objectives.
 Stay abreast of emerging technologies and industry trends related to Big Data and real\-time data processing, continuously evaluating new tools and frameworks for potential integration.
 Provide guidance and mentorship to junior teammates, fostering a culture of technical excellence.
**Primary Skill: Spark**
**Secondary Skill: Redis**
**Tertiary Skill: Hadoop**
**Required Qualifications**
 Bachelor’s or master’s degree in science or engineering, or a related field.
 Minimum of 8 years of industry experience, with at least 5 years focused on hands\-on work in Big Data and real\-time data processing technologies.
 Strong expertise in Hadoop stack technologies, such as HDFS, Spark, Yarn, Hive, Sqoop, Impala, and Hue.
 Proficiency in real\-time streaming technologies like Kafka (KStreams, KTable) and Spark Streaming.
 Strong knowledge of NoSQL databases like Redis, MongoDB, or HBase.
 Proficiency in programming languages such as Python, Scala, Java, and Bash/Shell Scripting.
 Excellent problem\-solving abilities and the capability to deliver effective solutions for business\-critical applications.
 Strong understanding of distributed systems, data partitioning, and fault\-tolerant architectures.
**Desired Qualifications**
* Experience with additional real\-time streaming technologies like Flink or Storm.
* Familiarity with Cloud Technologies such as Azure, AWS, or GCP.
* Working knowledge of machine learning algorithms, statistical analysis, and programming languages (Python or R) to conduct data analysis and develop predictive models.
* Proficiency in Data Integration and Data Security within real\-time and Big Data ecosystems, including knowledge of Kerberos.
* Strong command of Visual Analytics Tools, with a focus on Tableau.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48">
      <c r="A48" t="inlineStr">
        <is>
          <t>li-4367237244</t>
        </is>
      </c>
      <c r="B48" t="inlineStr">
        <is>
          <t>BI Engineer</t>
        </is>
      </c>
      <c r="C48" t="inlineStr">
        <is>
          <t>Jobs via Dice</t>
        </is>
      </c>
      <c r="D48" t="inlineStr">
        <is>
          <t>linkedin</t>
        </is>
      </c>
      <c r="E48" t="inlineStr"/>
      <c r="F48" t="inlineStr"/>
      <c r="G48" t="inlineStr">
        <is>
          <t>Louisville, KY</t>
        </is>
      </c>
      <c r="H48" t="inlineStr"/>
      <c r="I48" t="inlineStr">
        <is>
          <t>Dice is the leading career destination for tech experts at every stage of their careers. Our client, Apex Systems, is seeking the following. Apply via Dice today!
**Job\#: 3020289**
**Job Description:**
**Required Qualifications**
**Job Description \- Power BI Developer**
* 5\+ years of hands\-on experience developing Power BI solutions, including data modeling, DAX measure creation, and report/dashboard design
* Advanced experience converting or rebuilding SSRS reports into Power BI or Power BI Paginated Reports
* Experience migrating reports to new data sources, including updating queries, validating logic, and redesigning datasets
* Strong T\-SQL skills for validating data sources, rebuilding queries, and understanding legacy SSRS dataset structures
* Proficiency with Power Query (M) for data shaping and transformation
* Solid understanding of dataset architecture, model optimization, relationships, and performance tuning
* Ability to analyze existing reporting logic and accurately replicate or enhance it within Power BI or Paginated Reports
* Experience working with large, complex datasets in an enterprise environment
* Strong verbal and written communication skills for documenting requirements, logic updates, and technical decisions
**Preferred Qualifications**
* Advanced DAX expertise, including time\-intelligence functions, advanced modeling patterns, and optimization techniques
* Experience building enterprise\-grade Power BI semantic models or reusable datasets
* Experience using Power BI Report Builder for developing paginated reports
* Familiarity with report migrations within complex, large\-scale enterprise environments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49">
      <c r="A49" t="inlineStr">
        <is>
          <t>li-4365366130</t>
        </is>
      </c>
      <c r="B49" t="inlineStr">
        <is>
          <t>Front &amp; Middle Office Data Engineer - Alpha, AVP</t>
        </is>
      </c>
      <c r="C49" t="inlineStr">
        <is>
          <t>State Street</t>
        </is>
      </c>
      <c r="D49" t="inlineStr">
        <is>
          <t>linkedin</t>
        </is>
      </c>
      <c r="E49" t="inlineStr"/>
      <c r="F49" t="inlineStr"/>
      <c r="G49" t="inlineStr">
        <is>
          <t>Quincy, MA</t>
        </is>
      </c>
      <c r="H49" t="inlineStr"/>
      <c r="I49" t="inlineStr">
        <is>
          <t>**Who We Are Looking For**
 We are looking for an experienced individual to lead projects in design, implementation and represent Alpha’s requirements with the client reporting team. The incumbent will work with operations teams, technology teams and clients to deliver various projects.
 In this role you will lead the efforts to analyze business requirements and technical solutions to deliver high quality data solutions to our clients.
 This position will interface with data experts, data sourcing resources and assist in the validation of required data. The incumbent will serve as the primary subject matter expert across the Alpha organization and assist with development schedules, prioritization and requirements gathering with our client reporting project team.
 Ensure project activity is customer focused, result orientated and performance driven.
**Why this role is important to us**
 We gather data from multiple sources internally and externally (IBOR, ABOR, performance, market data vendors and client supplied data), and make that data available for consumption by our clients. Clients will have direct access to their data in ADP.
**What You Will Be Responsible For**
* Lead projects in design and implementation of data flow and data accuracy. Work with operations, clients, and technology to deliver various projects.
* Analyze technical solutions to business requirements and work with the business teams to identify requirements.
* Develop data, functional requirements, and estimates for deploying new capabilities.
* Participate in information delivery and business intelligence strategy sessions.
* Complete data analysis, profiling, and data mappings.
* Interface with data experts, data sourcing resources and assist in the data validation.
* Assist in the development the conceptual/logical data models with appropriate business contexts.
* Perform gap analysis on complex financial data.
* Ensure project activity is customer focused, results oriented, performance driven, and in compliance with all applicable internal and external requirements.
* Employ analytical, conceptual, and creative thinking skills to improve performance.
* Study, evaluate, and document current and future business processes while staying aligned with strategic goals.
* Support user training, documentation, and rollout
* Support overall project management and business strategy related to information delivery.
* Maintain effective working relationships with organizational team and clients.
**What We Value**
 These skills will help you succeed in this role.
* Ability to write SQL code for strong data analysis through queries, data profiling, and data validation exercises.
* Understands BI/reporting tool architecture, functions, and features.
* Demonstrated excellence in business writing, development of business process flow diagrams, making comparisons regarding current and future processes, and effective communication.
* Ability to articulate basic project methodology concepts using either SDLC or Agile
* Ability to analyze entity\-relationship diagrams and logical data models to validate design against requirements.
* Familiarity with financial reporting, business intelligence, and data warehousing principles
* Excellent oral and written communication skills for diverse audiences with excellent facilitation
**Education \&amp; Preferred Qualifications**
* Bachelor's degree in Business, Accounting, Finance, MIS, Information Technology, or related field of study
* 7\+ years’ experience data analysis or client reporting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R\-780133</t>
        </is>
      </c>
    </row>
    <row r="50">
      <c r="A50" t="inlineStr">
        <is>
          <t>li-4367272269</t>
        </is>
      </c>
      <c r="B50" t="inlineStr">
        <is>
          <t>Senior Lead Data Engineer</t>
        </is>
      </c>
      <c r="C50" t="inlineStr">
        <is>
          <t>Capital One</t>
        </is>
      </c>
      <c r="D50" t="inlineStr">
        <is>
          <t>linkedin</t>
        </is>
      </c>
      <c r="E50" t="inlineStr"/>
      <c r="F50" t="inlineStr"/>
      <c r="G50" t="inlineStr">
        <is>
          <t>Richmond, VA</t>
        </is>
      </c>
      <c r="H50" t="inlineStr"/>
      <c r="I5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the data, data design and building information systems with emerging technologies. As a Capital One Senior Lead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using data movement tools and technologies
* Work, as a lead developer, with a team of developers with deep experience in data movement, distributed computing, and full stack systems
* Utilize programming languages like Python, SQL and Open Source RDBMS and NoSQL databases and Cloud based data warehousing services such as Snowflake
* Optimize information system for end\-user and downstream application consumers by using sound data design practices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Spark, ETL tools, AWS Glue
* 4\+ years of experience with a public cloud (AWS, Microsoft Azure, Google Cloud)
* 5\+ years experience with Distributed data/computing tools (MapReduce, Hadoop, Hive, EMR, Kafka, Spark,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4\+ years experience with data modeling for data warehousing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New York, NY: $250,800 \- $286,200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li-4367461633</t>
        </is>
      </c>
      <c r="B51" t="inlineStr">
        <is>
          <t>Data Engineer (Op AI)</t>
        </is>
      </c>
      <c r="C51" t="inlineStr">
        <is>
          <t>SAIC</t>
        </is>
      </c>
      <c r="D51" t="inlineStr">
        <is>
          <t>linkedin</t>
        </is>
      </c>
      <c r="E51" t="inlineStr"/>
      <c r="F51" t="inlineStr"/>
      <c r="G51" t="inlineStr">
        <is>
          <t>San Diego, CA</t>
        </is>
      </c>
      <c r="H51" t="inlineStr"/>
      <c r="I51" t="inlineStr">
        <is>
          <t>Job ID 2600881
**Location** 
 SAN DIEGO, CA, US
**Date Posted** 
 2026\-01\-29
**Category** 
 Information Technology
**Subcategory** 
 Database Engr
**Schedule** 
 Full\-time
**Shift** 
 Day Job
**Travel** 
 No
**Minimum Clearance Required Top Secret**
**Clearance Level Must Be Able to Obtain** 
 TS/SCI
**Potential for Remote Work** 
 No
**Description**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CA.**
 Please view our program page for more information and to view all open positions available https//jobs.saic.com/pages/NOA
**Job Duties**
* Conduct data pre\-processing, exploratory data analysis, and data pipeline engineering to ensure performant and high\-quality data output.
* Conduct thorough testing and validation of data pipelines and analytics to ensure accuracy, reliability, and robustness.
* Design or normalize data to common standards to support interoperability and analytical workflows.
* Develop and deploy data pipelines and analytics in real\-world applications.
* Work with multiple data formats, including CSV, JSON, XML, Parquet, and ORC.
* Perform exploratory data analysis, algorithm development, and testing.
* Deploy, monitor, and improve data pipelines for operational environments.
* Implement event streaming pipelines using Apache Kafka, RabbitMQ, or ZeroMQ.
* Collaborate with analytics, engineering, and mission teams to ensure effective data integration and output quality.
* Stay current with emerging trends in data engineering, distributed systems, and modern data architecture.
* Document data processes, pipeline structures, and engineering best practices.
**Qualifications**
**Education and Years of Experience Requirements**
* Bachelor’s degree in computer science, Data Science, Engineering, Mathematics, Statistics, or a related STEM field and eight (8\) years of experience in of AI/ML experience in defense or intelligence environments.
**Citizenship And Clearance Requirements**
* No dual citizenship.
* Active Top Secret clearance required; TS SCI clearance preferred.
**Required Skills And Experience**
* Experience as a business analyst, data analyst, data scientist, data engineer, database administrator, geospatial analyst/engineer, machine learning engineer, or software engineer.
* Strong programming skills in Python.
* Experience designing or normalizing data to common standards.
* Experience with data pipeline development and real\-world deployment.
* Experience with multiple data formats CSV, JSON, XML, Parquet, ORC.
* Familiarity with event streaming platforms (Kafka, RabbitMQ, ZeroMQ).
* Experience with exploratory data analysis, algorithm development, and testing.
* Experience deploying, monitoring, and improving data pipelines.
* Strong problem\-solving and analytical skills.
* Excellent communication skills and ability to work effectively in a collaborative team environment.
* Familiarity with data pipeline frameworks and libraries (AirByte, Apache Airflow, dbt, Apache Iceberg, Snowflake).
* Experience retrieving and managing GIS data (ArcGIS, PostGIS).
* Programming skills in Go or Rust.
* Expertise with Elasticsearch, Redis, S3, PostgreSQL, or similar data stores.
* Experience with AWS native data services EFS, RDS, S3, SNS, SQS.
* Experience with distributed computing and parallel processing (AWS Lambda, DASK, Spark).
* Familiarity with cloud platforms (AWS, Azure) and containerization (Docker, Kubernetes).
* Understanding of cybersecurity principles in the context of data applications.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 Ability to operate in a DDIL office environment
**Preferred Skills And Experience**
* Experience with large\-scale data architecture across secure DoD or government environments.
* Experience supporting NAVWAR, NIWC Pacific, or other Navy programs.
* Experience integrating data pipelines into operational mission systems.
* Familiarity with ML Ops or data engineering in classified or cross\-domain environments.
 Target salary range $120,001 \- $160,000\. The estimate displayed represents the typical salary range for this position based on experience and other factors.</t>
        </is>
      </c>
    </row>
    <row r="52">
      <c r="A52" t="inlineStr">
        <is>
          <t>li-4367497136</t>
        </is>
      </c>
      <c r="B52" t="inlineStr">
        <is>
          <t>Data Engineer</t>
        </is>
      </c>
      <c r="C52" t="inlineStr">
        <is>
          <t>PETADATA</t>
        </is>
      </c>
      <c r="D52" t="inlineStr">
        <is>
          <t>linkedin</t>
        </is>
      </c>
      <c r="E52">
        <f>HYPERLINK("https://www.linkedin.com/jobs/view/4367497136", "https://www.linkedin.com/jobs/view/4367497136")</f>
        <v/>
      </c>
      <c r="F52" t="inlineStr"/>
      <c r="G52" t="inlineStr">
        <is>
          <t>Albany, NY</t>
        </is>
      </c>
      <c r="H52" t="inlineStr"/>
      <c r="I52"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53">
      <c r="A53" t="inlineStr">
        <is>
          <t>li-4367250715</t>
        </is>
      </c>
      <c r="B53" t="inlineStr">
        <is>
          <t>Data Engineer</t>
        </is>
      </c>
      <c r="C53" t="inlineStr">
        <is>
          <t>Sigmatic</t>
        </is>
      </c>
      <c r="D53" t="inlineStr">
        <is>
          <t>linkedin</t>
        </is>
      </c>
      <c r="E53">
        <f>HYPERLINK("https://www.linkedin.com/jobs/view/4367250715", "https://www.linkedin.com/jobs/view/4367250715")</f>
        <v/>
      </c>
      <c r="F53" t="inlineStr"/>
      <c r="G53" t="inlineStr"/>
      <c r="H53" t="inlineStr"/>
      <c r="I53" t="inlineStr">
        <is>
          <t>**Company Overview** 
 Sigmatic is building the operating system for ambulatory surgery centers (ASCs). We help healthcare operators gain real\-time visibility into cost, utilization, and performance using modern data infrastructure, AI, and automation—without disrupting existing clinical workflows.
 Our platform ingests and normalizes complex healthcare, financial, and operational data to drive better decisions for administrators, operators, and executives. Data is core to everything we do.
**Role Overview** 
 We are seeking a 
 **Staff Analytics Engineer** 
  to lead the technical direction of Sigmatic’s analytics and data platform. This is a 
 **hands\-on, high\-ownership role** 
  at the center of our engineering organization.
 You will own the design, build, and evolution of our analytics foundation—from ingestion and modeling to governance and BI—powering insights used daily by our internal teams and healthcare customers. You’ll help move Sigmatic from early data pipelines to a 
 **production\-grade, scalable analytics platform** 
 .
 Our analytics stack is built on 
 **Databricks, Delta Lake, Unity Catalog, PostgreSQL, and AWS** 
 .
 This role has direct impact on:
* Product velocity
* Customer onboarding and proof of value
* Executive and operator decision\-making
* The long\-term scalability of Sigmatic’s platform
**What You’ll Do** 
* Lead the 
 **architecture and engineering** 
  of Sigmatic’s end\-to\-end analytics platform, including ingestion, transformation, modeling, and BI delivery.
* Own and evolve 
 **Databricks pipelines** 
 , ensuring reliability, accuracy, performance, and cost efficiency.
* Design and maintain 
 **Delta Lake and Unity Catalog datasets** 
  supporting operational, clinical, financial, and executive use cases.
* Serve as the technical authority on 
 **data architecture and modeling** 
 , including schema design, table strategy, and governance best practices.
* Build reusable, well\-documented data models that support utilization metrics, financial reporting, and operational analytics.
* Partner closely with 
 **product, engineering, and business stakeholders** 
  to translate requirements into scalable technical solutions.
* Lead improvements in 
 **data quality, observability, testing, and CI/CD** 
  for analytics code and datasets.
* Mentor engineers and analysts, raising the bar for analytics engineering practices across the team.
* Implement and enforce 
 **secure data practices** 
 , ensuring compliance with HIPAA, HITRUST, and internal security standards.
* Evaluate and introduce tools, frameworks, and processes that improve developer productivity and system reliability.
* Contribute to hiring and technical interviews as we scale the data team.
* Operate as a senior individual contributor with 
 **high ownership, autonomy, and accountability** 
  in a fast\-moving startup environment.
**What We’re Looking For** 
* Bachelor’s degree in Computer Science or a related field, or equivalent practical experience.
* Deep experience in 
 **analytics engineering or data engineering** 
 , including Spark, Databricks, Delta Lake, or similar large\-scale systems.
* Strong understanding of 
 **AWS cloud architecture** 
 , including compute, storage, networking, and identity.
* Expertise in 
 **data modeling, ETL/ELT design** 
 , and building maintainable, production\-grade data pipelines.
* Experience with 
 **BI tools (e.g., Power BI)** 
 , including dataset modeling and performance optimization.
* Solid grasp of modern data architecture patterns (batch vs. streaming, distributed systems, event\-driven pipelines).
* Strong knowledge of 
 **data security and governance** 
 , especially in regulated environments (HIPAA, HITRUST).
* Ability to set technical direction, influence across teams, and operate as a senior technical leader.
* Proven track record of delivering 
 **reliable, business\-critical data systems** 
  in production.
**Why This Role at Sigmatic** 
* You’ll shape the 
 **data foundation** 
  of a healthcare platform at a pivotal stage.
* Your work will directly impact real healthcare operators—not just dashboards.
* High ownership, low bureaucracy, and meaningful technical influence.
* Opportunity to grow into a 
 **principal\-level technical leader** 
  as the company scales.</t>
        </is>
      </c>
    </row>
    <row r="54">
      <c r="A54" t="inlineStr">
        <is>
          <t>li-4367473318</t>
        </is>
      </c>
      <c r="B54" t="inlineStr">
        <is>
          <t>Data Engineer, Senior</t>
        </is>
      </c>
      <c r="C54" t="inlineStr">
        <is>
          <t>Pacific Gas and Electric Company</t>
        </is>
      </c>
      <c r="D54" t="inlineStr">
        <is>
          <t>linkedin</t>
        </is>
      </c>
      <c r="E54">
        <f>HYPERLINK("https://www.linkedin.com/jobs/view/4367473318", "https://www.linkedin.com/jobs/view/4367473318")</f>
        <v/>
      </c>
      <c r="F54" t="inlineStr"/>
      <c r="G54" t="inlineStr">
        <is>
          <t>Oakland, CA</t>
        </is>
      </c>
      <c r="H54" t="inlineStr"/>
      <c r="I54" t="inlineStr">
        <is>
          <t>Requisition ID \# 169960
 Job Category: Information Technology
 Job Level: Individual Contributor
 Business Unit: Electric Operations
 Work Type: Hybrid
 Job Location: Oakland
**Position Summary**
 PG\&amp;E is seeking a Data Engineer to lead the development of a modern, cloud\-native data platform that supports vegetation management operations, regulatory compliance, and advanced analytics. This role is central to transforming fragmented legacy systems into a unified, audit\-ready Snowflake Data Lakehouse, enabling scalable, secure, and transparent data access across the organization.
 The engineer will design and implement robust ELT pipelines using Informatica as the primary tool, alongside a suite of AWS services including Step Functions, Fargate, Lambda, DynamoDB, and S3\. The role spans structured, semi\-structured, and unstructured data domains, integrating sources such as Salesforce, SAP, SharePoint, ArcGIS, and remote sensing imagery (LiDAR, Ortho imagery, surface reflectance, etc.).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particular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This job can also participate in PG\&amp;E’s discretionary incentive compensation programs.
 A reasonable salary range is:
 Bay Area Minimum: $122,000
 Bay Area Mid\-point: $158,000
 Bay Area Maximum: $194,000
* This position follows a hybrid work model, requiring employees to report to their assigned office location at least one to two days per week. The remaining days may be worked remotely, depending on business needs. The headquarters is located in Oakland, CA.
* The first round interview for this role will be conducted in person at our Oakland headquarters.
**Job Responsibilities**
* Conceptualizes and generates infrastructure that allows big data to be accessed and analyzed.
* Collaborate with cross\-functional teams—including data scientists, analysts, and business stakeholders—to understand data requirements and deliver high\-quality, analytics\-ready datasets.
* Support the deployment of machine learning models by enabling feature pipelines, model input/output data flows, and integration with platforms like SageMaker or Foundry.
* Resolves application programming analysis problems of moderate to complex scope within procedural guidelines. May seek assistance from the supervisor or more skilled programmers/analysts on unusual or especially complex issues that cross multiple functional/technology areas.
* Works on complex data and analytics\-centric problems having a moderate impact that require in\-depth analysis and judgment to obtain results or solutions
* Plans work to meet assigned general objectives; progress is reviewed upon completion, and solutions may provide an opportunity for creative/non\-standard approaches.
* Communicates (oral and written) recommendations.
* Mentors/guides less experienced colleagues.
**Qualifications**
**Minimum:**
* BA/BS in Computer Science, Management Information Systems, related field of study, or equivalent experience.
* 5 years of experience with data engineering/ETL ecosystem, such as Palantir Foundry, Spark, Informatica, SAP BODS, OBIEE.
**Desired:**
* Experience with infrastructure\-as\-code tools (e.g., Terraform, CloudFormation).
* Familiarity with business intelligence tools such as Power BI, Tableau, or Foundry for data visualization and reporting.
* Knowledge of software engineering principles such as unit testing, CI/CD, and source control.
* Experience working with geospatial data and tools such as ArcGIS.
* Experience building data migration pipelines in Informatica
* Experience with machine learning algorithm deployment.</t>
        </is>
      </c>
    </row>
    <row r="55">
      <c r="A55" t="inlineStr">
        <is>
          <t>li-4367235958</t>
        </is>
      </c>
      <c r="B55" t="inlineStr">
        <is>
          <t>Data Engineer</t>
        </is>
      </c>
      <c r="C55" t="inlineStr">
        <is>
          <t>AARATECH</t>
        </is>
      </c>
      <c r="D55" t="inlineStr">
        <is>
          <t>linkedin</t>
        </is>
      </c>
      <c r="E55">
        <f>HYPERLINK("https://www.linkedin.com/jobs/view/4367235958", "https://www.linkedin.com/jobs/view/4367235958")</f>
        <v/>
      </c>
      <c r="F55" t="inlineStr"/>
      <c r="G55" t="inlineStr"/>
      <c r="H55" t="inlineStr"/>
      <c r="I5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56">
      <c r="A56" t="inlineStr">
        <is>
          <t>li-4356841293</t>
        </is>
      </c>
      <c r="B56" t="inlineStr">
        <is>
          <t>Data Engineer</t>
        </is>
      </c>
      <c r="C56" t="inlineStr">
        <is>
          <t>UC Santa Barbara</t>
        </is>
      </c>
      <c r="D56" t="inlineStr">
        <is>
          <t>linkedin</t>
        </is>
      </c>
      <c r="E56">
        <f>HYPERLINK("https://www.linkedin.com/jobs/view/4356841293", "https://www.linkedin.com/jobs/view/4356841293")</f>
        <v/>
      </c>
      <c r="F56">
        <f>HYPERLINK("https://careerspub.universityofcalifornia.edu/psc/ucsb/EMPLOYEE/HRMS/c/HRS_HRAM_FL.HRS_CG_SEARCH_FL.GBL?Page=HRS_APP_JBPST_FL&amp;Action=U&amp;FOCUS=Applicant&amp;SiteId=31&amp;JobOpeningId=84046&amp;PostingSeq=1&amp;urlHash=y3pZ", "https://careerspub.universityofcalifornia.edu/psc/ucsb/EMPLOYEE/HRMS/c/HRS_HRAM_FL.HRS_CG_SEARCH_FL.GBL?Page=HRS_APP_JBPST_FL&amp;Action=U&amp;FOCUS=Applicant&amp;SiteId=31&amp;JobOpeningId=84046&amp;PostingSeq=1&amp;urlHash=y3pZ")</f>
        <v/>
      </c>
      <c r="G56" t="inlineStr">
        <is>
          <t>Santa Barbara, CA</t>
        </is>
      </c>
      <c r="H56" t="inlineStr"/>
      <c r="I56" t="inlineStr">
        <is>
          <t>Job Posting Details
**Department Marketing Statement**
 There is a reason UCSB has been named the Best Place to Work by our local media for several years running. Whether our employees are on our stunning campus, or working remotely or hybrid, they tell us they value the flexibility, stability and rich benefits we offer. Come join us as we support the mission of one of the finest public institutions in the nation. UC Santa Barbara is consistently recognized for excellence across broad fields of study. Set alongside the glorious California coast, our dynamic environment inspires scholarly ambition and creativity. Information Technology Services (ITS), the Campus' central IT unit, contributes to UC Santa Barbara’s mission of research, teaching, and community service by partnering with the Campus community to efficiently deliver IT infrastructure and enterprise application services to faculty, students, staff, and affiliates. Join us in supporting the technology making world class research possible!
**Benefits Of Belonging**
 Working at UC means being part of this vibrant institution that shines a light on what is possible. People make UC great, and UC recognizes your contributions by making this a great place to work. Excellent retirement and health are just one of the rewards. Learn more about the benefits of working at UC and why You Belong at UC.
**Brief Summary Of Job Duties**
 Technical leader with a high degree of knowledge in the data services area and recognized expertise in the UCSB central Data Warehouse systems. Applies problem\-solving skills that require analysis of unique issues without precedent or structure. Manages data services programs that include formulating strategies and administering policies, processes, security and resources to ensure safe data use and to transform legacy UCSB data systems to effective data analytics systems. Functions with a high degree of autonomy. Having significant experience in the UCSB data warehouse systems, applies advanced data and information management concepts and campus objectives to resolve highly complex issues where analyses of situations, information or data require an in\-depth evaluation of variable factors. Selects methods and techniques to obtain desired results.
**Required Qualifications**
* Bachelor's Degree in related area.
* 7\-9 years: Equivalent experience/training with an emphasis in computer science, data processing, computer information systems, or in a related field.
* 7\-9 years: Experience using SQL Server technologies, or comparable database management systems.
* 4\-6 years: Experience designing, developing, documenting, and testing (including unit testing and test plan creation) database solutions.
* 4\-6 years: Experience analyzing business processes and information systems to ensure systems meet the business needs, and identifying opportunities for system improvement to better align with the business needs.
* 4\-6 years: Experience designing and developing data pipeline solutions with SSIS, Python, Informatica or other comparable tools, using continuous development and continuous integration best practices.
**Preferred Qualifications**
* 4\-6 years: Experience using Snowflake to design and develop data warehouse solutions.
* 1\-3 years: Experience with Power BI, or comparable Business Intelligence tools.
* Demonstrated ability to design highly complex data systems and integrations.
* Knowledge of relevant application development technologies and tools, including SQL Server, Snowflake, SQL Integration Services, Python, REST API, Visual Studio, Azure DevOps, Git, Power BI.
* Project management skills to lead the implementation of complex data analytics solutions and other data projects.
* Expert knowledge of Microsoft SQL Server development, security model, and performance optimization.
* Expert knowledge of data pipeline methodologies and solutions with Python, SSIS, and/or Informatica.
* Expert knowledge of data warehousing principles and design concepts.
* Expert knowledge of Power BI setup, security model, and development.
* Knowledge with AWS data solutions development.
* Knowledge with Snowflake development.
* Ability to learn and adopt new technologies.
* Ability to communicate well with management, customers, developers within the organization and across UCSB IT organizations.
**Special Conditions Of Employment**
* Satisfactory conviction history background check
* UCSB is a Tobacco\-Free environment
* Visa sponsorship is not available for this position.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For Reference, Below Are UC’s Policies Addressing Some Forms Of Misconduct
* UC Sexual Violence and Sexual Harassment Policy
* UC Anti\-Discrimination Policy
* Abusive Conduct in the Workplace
**Job Functions And Percentages Of Time**
 35% Technical Leadership and Project Management
* Applies professional and broadly defined business analysis, data administration, and data design and uses concepts to manage and perform complex assignments.
* Independently analyzes complex information requirements and documents them using formal data definition techniques and naming standards.
* Gathers, analyzes, prepares and summarizes information from subject matter experts and technical personnel.
* Researches relevant problem\-domain literature and information standards and develops recommendations for data management solutions including approaches, trends, sources and uses.
* Implements related business processes, develops logical data models, dimensional data models and schemas for the scope of a project or a component of a project.
* Develops data mapping specifications and data pipelines.
* Works closely with users and constituents to provide data solutions.
* Assigns and verifies work to other resources to ensure successful project execution.
 35% Business Intelligence Engineer
* Maintains, expands, and improves current data reporting and data infrastructure environments.
* Develops, optimizes and monitors data pipelines using continuous development and continuous integration best practices.
* Plans, schedules, tests and coordinates all data platform changes and upgrades through Change Management Requests.
* Develops solutions to design and monitor customer security permissions, performs audits and monitors usage.
* Identifies problem areas, recommends solutions and establishes and documents standards.
* Works closely with users to design, support, improve and maintain Data Warehouse services.
* Designs, develops, maintains, data catalog, documents and supports clear and effective reporting applications and solutions.
* Constructs interface prototypes for iterative user testing and verification.
* Engages with clients to understand scope and criticality of new change requests.
 25% Operational Support
* Provides customer support as needed.
* Provides training to developers and users on UCSB data concepts and systems.
* Administers user privileges in accordance with established security and access policies.
* Troubleshoots and resolves reporting and data pipeline issues as required.
 5% Administrative Tasks
* Tracks project time.
* Provides project status to manager.
* Meets with supervisor and team.
* Other duties as assigned.
**UC Vaccination Programs Policy**
 As a condition of employment, you will be required to comply with the University of California Policy on Vaccinations Programs.
 As a condition of Physical Presence at a Location or in a University Program, all Covered Individuals\* must participate in any applicable Vaccination Program by providing proof that they are Up\-to\-Date with any required Vaccines or submitting a request for Exception in a Mandate Program or properly declining vaccination in an Opt\-Out Program no later than the Compliance Date (Capitalized terms in this paragraph are defined in the policy.). Federal, state, or local public health directives may impose additional requirements.
 For more information, please visit University of California Policy on Vaccinations – https://policy.ucop.edu/doc/5000695/VaccinationProgramsPolicy
* Covered Individuals: A Covered Individual includes anyone designated as Personnel or Students under this Policy who physically access a University Facility or Program in connection with their employment, appointment, or education/training. A person accessing a Healthcare Location as a patient, or an art, athletics, entertainment, or other publicly accessible venue at a Location as a member of the public, is not a Covered Individual.
**Equal Employment Opportunity**
 UC Santa Barbara is an Equal Opportunity Employer. All qualified applicants will receive consideration for employment without regard to race, color, religion, sex, sexual orientation, gender identity, national origin, disability, protected veteran status or other protected status under state or federal law.
**Reasonable Accommodations**
 The University of California endeavors to make the UCSB Job site (https://jobs.ucsb.edu) accessible to any and all users. If you would like to contact us regarding the accessibility of our website or need assistance completing the application process, please contact Katherine Abad in Human Resources at 805\-893\-4664 or email katherine.abad@hr.ucsb.edu. This contact information is for accommodation requests only and cannot be used to inquire about the status of applications.
**Privacy Notification Statement**
 Privacy Notification Statement and Notice of Availability of the UCSB Annual Security Report Disclosures
**Payroll Title:** 
 DATA SYS ANL 4 (000599\)
**Job Code:** 
 000599
**Job Open Date:** 
 1/30/26
**Application Review Begins:** 
 2/17/26; open until filled
**Department Code (Name):** 
 INFO (OIST)
**Percentage of Time:** 
 100
**Union Code (Name):** 
 99
**Employee Class (Appointment Type):** 
 Staff: Career
**FLSA Status:** 
 Exempt
**Classified Indicator Description (Personnel Program):** 
 MSP
**Salary Grade:** 
 Grade 25
**Pay Rate / Range:** 
 The budgeted salary range that the University reasonably expects to pay for this position is $122,620\-$156,500/yr. Salary offers are determined based on final candidate qualifications and experience; the budget for the position; and the application of fair, equitable, and consistent pay practices at the University. The full salary range for this position is $108,100\-$204,900/yr.
**Working Days and Hours:** 
 M\-F; 8am – 5pm
**Benefits Eligibility:** 
 Full Benefits
**Type of Remote or Hybrid Work Arrangement, if applicable:** 
 Eligible for Fully Remote Work Arrangement
**Special Instructions**
 For full consideration, please include a resume and a cover letter as part of your application.
**Application Status:** 
 If you would like to check the status of your application, please log into the Candidate Gateway where you applied and click on 'my activities'.</t>
        </is>
      </c>
    </row>
    <row r="57">
      <c r="A57" t="inlineStr">
        <is>
          <t>li-4367468662</t>
        </is>
      </c>
      <c r="B57" t="inlineStr">
        <is>
          <t>Data Engineer Azure Data Platforms &amp; Data Modeling</t>
        </is>
      </c>
      <c r="C57" t="inlineStr">
        <is>
          <t>Nisum</t>
        </is>
      </c>
      <c r="D57" t="inlineStr">
        <is>
          <t>linkedin</t>
        </is>
      </c>
      <c r="E57">
        <f>HYPERLINK("https://www.linkedin.com/jobs/view/4367468662", "https://www.linkedin.com/jobs/view/4367468662")</f>
        <v/>
      </c>
      <c r="F57" t="inlineStr"/>
      <c r="G57" t="inlineStr">
        <is>
          <t>San Jose, CA</t>
        </is>
      </c>
      <c r="H57" t="inlineStr"/>
      <c r="I57" t="inlineStr">
        <is>
          <t>What you know
* Design, develop, and maintain scalable, high\-performance data pipelines across Azure cloud platforms.
* Build and orchestrate ETL/ELT workflows using Azure Data Factory (ADF).
* Develop enterprise\-grade data models (dimensional, relational, lakehouse) to support analytics and reporting needs.
* Implement and optimize data processing solutions using Azure Databricks and distributed computing frameworks.
* Support AI/ML initiatives by enabling curated datasets and workflow integration using Azure Machine Learning pipelines.
* Collaborate with data scientists, analysts, architects, and business stakeholders to deliver trusted data products.
* Ensure best practices in data governance, security, quality, and compliance across platforms.
* Monitor and optimize pipeline reliability, performance, and cost efficiency in production environments.
* Contribute to CI/CD automation and operational excellence for enterprise data workflows.
 Important attributes for this role
* Strong data modeling mindset (enterprise, analytics, and lakehouse architectures)
* Ownership of end\-to\-end data architecture and delivery
* Ability to work cross\-functionally with technical and business teams
* Clear communication and stakeholder alignment
* Strong decision\-making in platform and architecture design
* Enterprise focus on reliability, security, and scalability
 What you'll do
* 8–10 years of experience in Data Engineering, Data Platform Engineering, or related roles.
* Strong experience building cloud\-scale data solutions in the Microsoft Azure ecosystem.
* Hands\-on expertise with Azure Data Factory for orchestration and automation.
* Experience with Azure Databricks for large\-scale data transformation and processing.
* Strong proficiency in SQL and Python for data engineering workflows.
* Experience working with Azure Data Lake Storage (ADLS) and modern lakehouse architectures.
* Familiarity with Azure Machine Learning pipelines and supporting feature/data workflows for ML teams.
* Strong understanding of data governance, lineage, and quality frameworks.
* Experience with Delta Lake and modern lakehouse design.
* Familiarity with DevOps practices, CI/CD pipelines, and Infrastructure\-as\-Code.
* Experience working in large\-scale enterprise environments with complex data integration needs.
* Knowledge of Azure security best practices (RBAC, Key Vault, encryption).
 Education
* Bachelor’s degree in Computer Science, Engineering, Data Science, or a related field (required).
* Master’s degree is a plus.
**Compensation**
 $140K \- $145K / PA</t>
        </is>
      </c>
    </row>
    <row r="58">
      <c r="A58" t="inlineStr">
        <is>
          <t>li-4367496291</t>
        </is>
      </c>
      <c r="B58" t="inlineStr">
        <is>
          <t>Junior Data Engineer</t>
        </is>
      </c>
      <c r="C58" t="inlineStr">
        <is>
          <t>Teza Technologies</t>
        </is>
      </c>
      <c r="D58" t="inlineStr">
        <is>
          <t>linkedin</t>
        </is>
      </c>
      <c r="E58">
        <f>HYPERLINK("https://www.linkedin.com/jobs/view/4367496291", "https://www.linkedin.com/jobs/view/4367496291")</f>
        <v/>
      </c>
      <c r="F58" t="inlineStr"/>
      <c r="G58" t="inlineStr">
        <is>
          <t>Austin, TX</t>
        </is>
      </c>
      <c r="H58" t="inlineStr"/>
      <c r="I58" t="inlineStr">
        <is>
          <t>**About The Role**
 Teza Technologies is looking for Junior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Austin, TX (Hybrid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Data Science or related field.
**Benefits**
* Health, visual and dental insurance
* Flexible sick time policy</t>
        </is>
      </c>
    </row>
    <row r="59">
      <c r="A59" t="inlineStr">
        <is>
          <t>li-4367604035</t>
        </is>
      </c>
      <c r="B59" t="inlineStr">
        <is>
          <t>Data Engineer</t>
        </is>
      </c>
      <c r="C59" t="inlineStr">
        <is>
          <t>Stelvio Inc.</t>
        </is>
      </c>
      <c r="D59" t="inlineStr">
        <is>
          <t>linkedin</t>
        </is>
      </c>
      <c r="E59">
        <f>HYPERLINK("https://www.linkedin.com/jobs/view/4367604035", "https://www.linkedin.com/jobs/view/4367604035")</f>
        <v/>
      </c>
      <c r="F59" t="inlineStr"/>
      <c r="G59" t="inlineStr">
        <is>
          <t>Phoenix, AZ</t>
        </is>
      </c>
      <c r="H59" t="inlineStr"/>
      <c r="I59" t="inlineStr">
        <is>
          <t>**Data Engineer** 
**Hybrid \- 2\-3 days on site** 
**Phoenix, AZ** 
**$110\-117k** 
**\*\*Must be legally authorized to work in the U.S. (no visa sponsorship)\*\*** 
 We’re looking for a product\-oriented Data Engineer who thrives in a fast\-paced, highly collaborative Agile environment. If you enjoy partnering daily with product teams, engineers, and end\-users to ship reliable, well\-tested data solutions, this role is for you.
 As part of a modern product engineering SCRUM team, you’ll build and optimize cloud\-native data pipelines, improve data quality, and contribute to high\-impact features that support real\-world operational workflows.
**What You’ll Do:** 
* Build scalable data pipelines using modern cloud technologies
* Write clean, test\-driven C\# and Python code for data transformations
* Collaborate closely with engineers and product partners in daily standups, refinements, and design sessions
* Contribute to product\-focused solutions, not just ETL tasks
* Ensure disciplined Git/GitHub workflows (GitFlow), code reviews, and CI/CD best practices
* Communicate clearly and directly with technical and non\-technical teams
* Help evolve our data architecture, quality practices, and engineering standards
**What We’re Looking For:** 
* Strong hands\-on skills in Python and/or C\#
* Solid experience building data pipelines, ETL/ELT, and SQL solutions
* Familiarity with Agile (Scrum/XP) and working inside a product engineering team
* Experience with TDD, automated testing, and high\-quality code delivery
* Excellent communication and the ability to move quickly with cross\-functional teams
* Strong Git/GitHub habits (branches, PRs, reviews, GitFlow)
* A mindset of ownership, collaboration, and continuous improvement
 If you enjoy solving complex data problems, shipping quickly, and working in a tight\-knit Agile team where communication is constant and clarity matters, we’d love to speak with you.
**Benefits** 
 Medical, dental, and vision from day one · PTO \&amp; holidays · 401(k) with match · Lifestyle account · Tuition reimbursement · Voluntary benefits · Employee Assistance Program · Well\-being \&amp; culture programs · Professional development support</t>
        </is>
      </c>
    </row>
    <row r="60">
      <c r="A60" t="inlineStr">
        <is>
          <t>li-4367258005</t>
        </is>
      </c>
      <c r="B60" t="inlineStr">
        <is>
          <t>Data Engineer</t>
        </is>
      </c>
      <c r="C60" t="inlineStr">
        <is>
          <t>AARATECH</t>
        </is>
      </c>
      <c r="D60" t="inlineStr">
        <is>
          <t>linkedin</t>
        </is>
      </c>
      <c r="E60">
        <f>HYPERLINK("https://www.linkedin.com/jobs/view/4367258005", "https://www.linkedin.com/jobs/view/4367258005")</f>
        <v/>
      </c>
      <c r="F60" t="inlineStr"/>
      <c r="G60" t="inlineStr"/>
      <c r="H60" t="inlineStr"/>
      <c r="I6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61">
      <c r="A61" t="inlineStr">
        <is>
          <t>li-4367287468</t>
        </is>
      </c>
      <c r="B61" t="inlineStr">
        <is>
          <t>Sr. Data Engineer</t>
        </is>
      </c>
      <c r="C61" t="inlineStr">
        <is>
          <t>Mike Albert Fleet Solutions</t>
        </is>
      </c>
      <c r="D61" t="inlineStr">
        <is>
          <t>linkedin</t>
        </is>
      </c>
      <c r="E61">
        <f>HYPERLINK("https://www.linkedin.com/jobs/view/4367287468", "https://www.linkedin.com/jobs/view/4367287468")</f>
        <v/>
      </c>
      <c r="F61">
        <f>HYPERLINK("https://workforcenow.adp.com/mascsr/default/mdf/recruitment/recruitment.html?cid=3ca1d57b-1a75-4d8b-b9be-023bfac51235&amp;ccId=19000101_000001&amp;jobId=16746&amp;source=LR&amp;lang=en_US&amp;source=LI&amp;source=LI&amp;urlHash=4BKg", "https://workforcenow.adp.com/mascsr/default/mdf/recruitment/recruitment.html?cid=3ca1d57b-1a75-4d8b-b9be-023bfac51235&amp;ccId=19000101_000001&amp;jobId=16746&amp;source=LR&amp;lang=en_US&amp;source=LI&amp;source=LI&amp;urlHash=4BKg")</f>
        <v/>
      </c>
      <c r="G61" t="inlineStr">
        <is>
          <t>Cincinnati, OH</t>
        </is>
      </c>
      <c r="H61" t="inlineStr"/>
      <c r="I61" t="inlineStr">
        <is>
          <t>**Sr. Data Engineer** 
  The Senior Data Engineer is responsible for the development, optimization, and maintenance of data pipelines and architecture. This role plays a key part in ensuring data integrity, performance, and accessibility across the enterprise. The ideal candidate brings deep experience in data integration (Boomi), database management (SQL Server and Oracle), and data modeling to support enterprise reporting, particularly through Power BI.   
**RESPONSIBILITIES:** 
**Data Engineering \&amp; Pipeline Development**
* Design, build, and maintain scalable ETL/ELT pipelines using Boomi and other relevant tools.
* Integrate data from various on\-premise and cloud systems (including SQL Server, Oracle, APIs).
* Ensure data integrity and consistency across systems and data environments.
* Monitor, troubleshoot, and improve pipeline performance and reliability.
**Database Design \&amp; Optimization**
* Develop logical and physical database schemas, ensuring performance, normalization, and scalability.
* Perform query tuning, indexing, and partitioning on SQL Server and Oracle databases.
* Lead database architecture decisions and enforce best practices for structure and storage.
* Create and maintain documentation for data dictionaries and models.
**Analytics Support \&amp; Reporting Enablement**
* Collaborate with business analysts, data analysts, and business stakeholders to understand data needs.
* Enable Power BI report development by designing and maintaining efficient and reliable datasets.
* Ensure semantic layer consistency and optimize Power BI data models for performance.
* Support ad\-hoc data exploration, ensuring high\-quality and governed data is accessible for analysis.
**Innovation, Governance \&amp; Continuous Improvement**
* Evaluate new tools and technologies for data integration and warehousing.
* Implement and advocate for data governance, lineage, and security policies.
* Contributes to the evolution of the data platform architecture and roadmap.
* Mentor junior data engineers and analysts on best practices in engineering and design.
**QUALIFICATIONS:** 
* Bachelor’s degree in Computer Science, Information Systems, Data Engineering, or a related field.
* Masters degree preferred.
* Minimum 6 years of experience in data engineering, database development, or a similar role.
* Proven experience with Boomi or equivalent iPaaS tools for data integration.
* Deep experience with both SQL Server and Oracle databases.
* Strong exposure to enterprise reporting environments using Power BI.
* Residence in the greater Cincinnati Metropolitan area
**Technical Proficiency**
* Advanced SQL skills and ability to optimize large\-scale queries.
* Proficiency in database design, normalization, indexing, and performance tuning.
* Experience in scripting (T\-SQL, PL/SQL, PowerShell, or Python preferred).
* Familiarity with CI/CD for data solutions and version control systems.
* Exposure to cloud data platforms (Azure, AWS, or GCP) is a plus.
**Soft Skills**
* Strong analytical and problem\-solving skills with high attention to detail.
* Effective communicator able to translate technical solutions to non\-technical stakeholders.
* Collaborative mindset and ability to work across cross\-functional teams.
   Drug Free Employer</t>
        </is>
      </c>
    </row>
    <row r="62">
      <c r="A62" t="inlineStr">
        <is>
          <t>li-4367241830</t>
        </is>
      </c>
      <c r="B62" t="inlineStr">
        <is>
          <t>Data Engineer</t>
        </is>
      </c>
      <c r="C62" t="inlineStr">
        <is>
          <t>AARATECH</t>
        </is>
      </c>
      <c r="D62" t="inlineStr">
        <is>
          <t>linkedin</t>
        </is>
      </c>
      <c r="E62">
        <f>HYPERLINK("https://www.linkedin.com/jobs/view/4367241830", "https://www.linkedin.com/jobs/view/4367241830")</f>
        <v/>
      </c>
      <c r="F62" t="inlineStr"/>
      <c r="G62" t="inlineStr"/>
      <c r="H62" t="inlineStr"/>
      <c r="I62"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63">
      <c r="A63" t="inlineStr">
        <is>
          <t>li-4367487572</t>
        </is>
      </c>
      <c r="B63" t="inlineStr">
        <is>
          <t>Senior Data Engineer / ETL Developer (Contract – Pipeline Role)</t>
        </is>
      </c>
      <c r="C63" t="inlineStr">
        <is>
          <t>Tecqnova</t>
        </is>
      </c>
      <c r="D63" t="inlineStr">
        <is>
          <t>linkedin</t>
        </is>
      </c>
      <c r="E63">
        <f>HYPERLINK("https://www.linkedin.com/jobs/view/4367487572", "https://www.linkedin.com/jobs/view/4367487572")</f>
        <v/>
      </c>
      <c r="F63" t="inlineStr"/>
      <c r="G63" t="inlineStr"/>
      <c r="H63" t="inlineStr"/>
      <c r="I63" t="inlineStr">
        <is>
          <t>**Job Title:** 
**Senior Data Engineer / ETL \&amp; Analytics Specialist (Contract – Pipeline Role)** 
**Company:** 
 Tecqnova
**Location:** 
 Remote (US) \| Contract (C2C / 1099 / W2\)
**About Tecqnova** 
 Tecqnova is a fast\-growing
 **data integration and analytics solutions company** 
 that partners with enterprise clients to deliver high\-quality, end\-to\-end data services. Our mission is to help organizations transform their data into actionable insights, enabling smarter business decisions and improved operational efficiency.
 As a contract\-driven company, Tecqnova focuses on
 **building a bench of top\-tier talent** 
 ready to support client engagements across domains like
 **data engineering, analytics, ETL, cloud data platforms, and business intelligence** 
 . By combining deep technical expertise with agile delivery models, we ensure our clients achieve their strategic objectives while maintaining high standards of performance, quality, and innovation.
 At Tecqnova, we prioritize a
 **professional, inclusive, and growth\-oriented environment** 
 . Our team members are empowered to work on innovative projects, shape technical strategy, and grow their careers with mentorship and real\-world experience.
**Note:** 
 Start dates are dependent on client project timelines. This is part of our
 **talent pipeline for upcoming engagements** 
 .
**The Role** 
 As a Senior Data Engineer at Tecqnova, you will play a pivotal role in designing, building, and optimizing
 **data infrastructure, ETL pipelines, and cloud analytics solutions** 
 for enterprise clients.
 You will have the opportunity to influence technical decisions, collaborate with cross\-functional teams, and work with
 **cutting\-edge technologies** 
 such as
 **Python, PySpark, Databricks, Azure Data Services, Snowflake, and SQL** 
 . This role is ideal for professionals seeking
 **flexible, contract\-based engagements** 
 while contributing to high\-impact client projects.
**Key Responsibilities** 
* Develop, maintain, and optimize ETL/data pipelines using
 **Python** 
 and
 **PySpark**
* Design and implement data integration workflows across
 **Databricks, Azure Data Services, Snowflake, and other relational/cloud databases**
* Write, tune, and optimize
 **SQL queries** 
 for analytics and reporting
* Gather requirements from technical and non\-technical stakeholders to build scalable solutions
* Support
 **data validation, reconciliation, and quality assurance** 
 processes
* Collaborate with cross\-functional teams on
 **data strategy, architecture, and pipeline optimization**
* Build and maintain
 **data orchestration processes** 
 using tools such as
 **Airflow, Dagster, or Azure Data Factory**
* Create dashboards, metrics, and reports to provide actionable insights for clients
* Participate in code reviews, documentation, and best practices for
 **data engineering and analytics**
* Identify opportunities for
 **innovation and process improvement** 
 across client projects
**Required Skills \&amp; Qualifications** 
* Bachelor’s degree in
 **Computer Science, Information Technology, or related field** 
 , or equivalent practical experience
* 4\+ years of experience in
 **data engineering, ETL, or analytics**
* Strong programming skills in
 **Python** 
 and
 **PySpark, Informatica, or similar tools**
* Proficiency in
 **SQL** 
 and experience with relational and cloud databases
* Hands\-on experience with
 **Databricks, Azure Data Services, Snowflake, or Redshift**
* Knowledge of
 **data warehousing, data modeling, and pipeline design**
* Experience with
 **test\-driven development** 
 and data quality validation
* Familiarity with
 **data orchestration tools** 
 (Airflow, Dagster, Azure Data Factory, AWS Glue, Autosys, Control M)
* Strong problem\-solving, organizational, and project management skills
* Excellent verbal and written communication skills to present insights to non\-technical stakeholders
* Ability to work independently in a
 **contract\-based, project\-driven environment**
**Nice to Have** 
* Experience leading or mentoring junior Data Engineers
* Knowledge of API development/consumption for batch or streaming data pipelines
* Familiarity with
 **CRM systems and marketing analytics platforms**
* Command\-line interface experience for deployment and automation
* Data visualization experience using
 **Power BI, Tableau, Looker, or equivalent**
* Familiarity with version control systems (
 **Git, GitHub, GitLab, Bitbucket** 
 )
* Cloud experience on
 **AWS or GCP** 
 in addition to Azure
**Why Join Tecqnova** 
* Access to
 **enterprise\-level client engagements**
* Flexible, contract\-based work opportunities
* Opportunity to work on
 **innovative projects** 
 with modern cloud and analytics technologies
* Collaborative environment with
 **mentorship and professional growth opportunities**
* Transparent communication and structured workflow for contract employees
**How to Apply** 
 Please submit your resume along with a summary including:
* Availability (immediate / 30 days/future)
* Preferred contract type (C2C, 1099, W2\)
* Highlight of relevant technical projects or portfolio (if available)
*This position is part of Tecqnova’s talent pipeline for upcoming client engagements; start dates are project\-dependent.*</t>
        </is>
      </c>
    </row>
    <row r="64">
      <c r="A64" t="inlineStr">
        <is>
          <t>li-4367246529</t>
        </is>
      </c>
      <c r="B64" t="inlineStr">
        <is>
          <t>Data Engineer</t>
        </is>
      </c>
      <c r="C64" t="inlineStr">
        <is>
          <t>AARATECH</t>
        </is>
      </c>
      <c r="D64" t="inlineStr">
        <is>
          <t>linkedin</t>
        </is>
      </c>
      <c r="E64">
        <f>HYPERLINK("https://www.linkedin.com/jobs/view/4367246529", "https://www.linkedin.com/jobs/view/4367246529")</f>
        <v/>
      </c>
      <c r="F64" t="inlineStr"/>
      <c r="G64" t="inlineStr"/>
      <c r="H64" t="inlineStr"/>
      <c r="I64"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65">
      <c r="A65" t="inlineStr">
        <is>
          <t>li-4332274403</t>
        </is>
      </c>
      <c r="B65" t="inlineStr">
        <is>
          <t>Data Engineer I (AWS, Databricks, PySpark)</t>
        </is>
      </c>
      <c r="C65" t="inlineStr">
        <is>
          <t>Travelers</t>
        </is>
      </c>
      <c r="D65" t="inlineStr">
        <is>
          <t>linkedin</t>
        </is>
      </c>
      <c r="E65">
        <f>HYPERLINK("https://www.linkedin.com/jobs/view/4332274403", "https://www.linkedin.com/jobs/view/4332274403")</f>
        <v/>
      </c>
      <c r="F65" t="inlineStr"/>
      <c r="G65" t="inlineStr">
        <is>
          <t>Atlanta, GA</t>
        </is>
      </c>
      <c r="H65" t="inlineStr"/>
      <c r="I65"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Proficient use of tools, techniques, and manipulation including Cloud platforms, programming languages, and an understanding of data engineering practices.
* Experience with ETL development in data lake and data warehouse (preferably Snowflake)
* Exhibited hands\-on experience in building data pipelines and reusable components using AWS Services and PySpark, and Snowflake within the last two years
* Exposure to Databricks Unity Catalog and UniForm is a plus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66">
      <c r="A66" t="inlineStr">
        <is>
          <t>li-4367622135</t>
        </is>
      </c>
      <c r="B66" t="inlineStr">
        <is>
          <t>Data Engineer</t>
        </is>
      </c>
      <c r="C66" t="inlineStr">
        <is>
          <t>Bayer</t>
        </is>
      </c>
      <c r="D66" t="inlineStr">
        <is>
          <t>linkedin</t>
        </is>
      </c>
      <c r="E66">
        <f>HYPERLINK("https://www.linkedin.com/jobs/view/4367622135", "https://www.linkedin.com/jobs/view/4367622135")</f>
        <v/>
      </c>
      <c r="F66" t="inlineStr"/>
      <c r="G66" t="inlineStr">
        <is>
          <t>Creve Coeur, MO</t>
        </is>
      </c>
      <c r="H66" t="inlineStr"/>
      <c r="I66"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**Data Engineer**
 We are seeking a highly motivated data engineer with demonstrated experience scaling and delivering production quality data systems to join our Science team within Digital Farming Solutions at Bayer Crop Science. You will work closely with key partners, including data engineers and data scientists, to develop reliable, scalable and maintainable machine learning solutions.
**Your Tasks And Responsibilities**
 The primary responsibilities of this role are to:
* Write robust, well\-documented code
* Engage with colleagues with diverse technical backgrounds and expertise to understand feature, model and business requirements, and develop solutions to meet automation and scaling needs
* Evaluate existing data and model pipelines, and provide recommendations to support business and technical requirements
* Utilize tools and/or infrastructure developed by technical delivery partners to ensure proper data architectures and computational infrastructure is available to support rapid development and testing on machine and deep learning models that create value for our farmers
* Collaborate across the Science organization to create high\-quality, reproducible tools (e.g. templates, packages and dashboards) that will accelerate delivery of customer value
* Undertake written \&amp; verbal communication with stakeholders in various parts of the organization in the form of detailed documentation and presentations
* Chunk, clean, and format text into LLM\-ready formats such as JSONL
* Contribute to community guidelines for prompt/data hygiene, provenance, and safe data handling for LLMs
**Who You Are**
 Bayer seeks an incumbent who possesses the following:
 Required:
* Bachelor’s degree in data science, computer science, or related quantitative field
* A minimum of 3 years' experience is required for the following
* 
+ Strong Python coding skills for development and visualizations, including experience with standard packages (numpy, pandas, matplotlib, seaborn)
- 
* Familiar with Extract, Transform, and Load (ETL) processes and simple pipeline creation
* Proficient use of SQL or Spark to extract and manipulate data from databases, data warehouses, and data lakes
* Experience utilizing Git for collaborative code development
* Experience with cloud\-based platforms (AWS, GCP, Azure) and basic services (ie. S3, Lambda, Dataproc)
* Experience with oral presentation and technical writing
* Practical experience with newline\-delimited data formats
* Familiarity with text encoding (UTF\-8\) and common cleaning issues
* Familiarity with tokenization concepts and context\-window tradeoffs
* Experience with prompt templates and basic prompt telemetry for debugging
 Preferred:
* Excitement to learn new topics, develop new skills and use new tools
* Experience with web services, api and database design
* Experience applying data quality concepts
* Familiarity with NOSQL tools like Hadoop (hive, pig, presto) and PySpark
* Experience with virtual machines and cloud computing
* Interdisciplinary communication and collaboration skills
* Experience with application of statistics to environmental or agricultural problems
* Expertise in data interoperability and analytics
* Familiarity with NLP libraries and tokenizers
* Familiarity with embeddings, vector DBs, and data\-labeling workflows
 Employees can expect to be paid a salary of approximately $90k\-130k. Additional compensation may include a bonus or incentive program (if relevant).  Additional benefits include health care, vision, dental, retirement, PTO, sick leave, etc..  This salary (or salary range) is merely an estimate and may vary based on an applicant’s location, market data/ranges, an applicant’s skills and prior relevant experience, certain degrees and certifications, and other relevant factors.
 This posting will be available for application until at least 2/13/26\.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Equal Opportunity Employer Statement: Notice for U.S. Visitors: All information on this site is subject to compliance with local rule and regulations as they may vary from time to time and across different geographies, including, without limitation, U.S. Executive Orders.
 Bayer is an E\-Verify Employer.
**Location:** 
 United States : Missouri : Creve Coeur
**Division:** 
 Crop Science
**Reference Code:** 
 860922
**Contact Us**
**Email:** 
 hrop\_usa@bayer.com</t>
        </is>
      </c>
    </row>
    <row r="67">
      <c r="A67" t="inlineStr">
        <is>
          <t>li-4361294764</t>
        </is>
      </c>
      <c r="B67" t="inlineStr">
        <is>
          <t>Data Engineer I</t>
        </is>
      </c>
      <c r="C67" t="inlineStr">
        <is>
          <t>Cox Automotive Inc.</t>
        </is>
      </c>
      <c r="D67" t="inlineStr">
        <is>
          <t>linkedin</t>
        </is>
      </c>
      <c r="E67">
        <f>HYPERLINK("https://www.linkedin.com/jobs/view/4361294764", "https://www.linkedin.com/jobs/view/4361294764")</f>
        <v/>
      </c>
      <c r="F67" t="inlineStr"/>
      <c r="G67" t="inlineStr">
        <is>
          <t>Austin, TX</t>
        </is>
      </c>
      <c r="H67" t="inlineStr"/>
      <c r="I67"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68">
      <c r="A68" t="inlineStr">
        <is>
          <t>li-4354474230</t>
        </is>
      </c>
      <c r="B68" t="inlineStr">
        <is>
          <t>Sr. Data Engineer</t>
        </is>
      </c>
      <c r="C68" t="inlineStr">
        <is>
          <t>Van Kaizen</t>
        </is>
      </c>
      <c r="D68" t="inlineStr">
        <is>
          <t>linkedin</t>
        </is>
      </c>
      <c r="E68">
        <f>HYPERLINK("https://www.linkedin.com/jobs/view/4354474230", "https://www.linkedin.com/jobs/view/4354474230")</f>
        <v/>
      </c>
      <c r="F68" t="inlineStr"/>
      <c r="G68" t="inlineStr"/>
      <c r="H68" t="inlineStr"/>
      <c r="I68" t="inlineStr">
        <is>
          <t>**Overview** 
 Company that is revitalizing the manufacturing industry via technology, is looking for a Sr. Data Engineer to work across hybrid environments—on\-prem and cloud—to automate data movement, validate data quality, and enable analytical teams to derive insights from trusted, well\-organized datasets.
*To note: this is a hybrid, three days a week, in office role to Downtown Los Angeles, and the candidate must be a US Citizen or Permanent Resident (Green Card Holder) not needing future sponsorship.* 
**Responsibilities:** 
* Co\-design data interfaces and pipelines in close collaboration with software engineers and technical leads, ensuring alignment with application domain models and product roadmaps.
* Model curated data within the lake into data warehouse structures (e.g., star schemas, wide tables, semantic layers) optimized for business intelligence (BI), ad\-hoc analytics, and key performance indicator (KPI) reporting.
* Establish robust data observability and quality checks to ensure reliability and consistency.
* Operate the platform reliably by orchestrating jobs, monitoring pipelines, and continuously tuning cost and performance.
* Utilize modern data technologies to operationalize and expand the enterprise Data Lake.
* Implement efficient ingestion strategies, integrating diverse data sources, and ensuring data is structured for accessibility and analysis
**Qualifications:** 
* Bachelor’s degree (BA/BS) in Computer Science, Data Science, Mathematics, Analytics, or a related quantitative field (or equivalent experience).
* 5\-8\+ years of proven experience building production\-grade data systems with a strong understanding of cloud\-based data lake architectures and data warehouses.
* Demonstrated expertise in designing and operating data pipelines, including schema evolution, backfills, and performance tuning.
* Hands\-on proficiency with Python and SQL, including experience with distributed processing frameworks (e.g., Apache Spark) and CI/CD for data workflows.
* Proven ability to design and implement ETL/ELT workflows and data modeling techniques (e.g., star schemas, wide tables, semantic models).
* Proficiency with cloud data platforms and services such as AWS, Databricks, and Snowflake, with a focus on scalability and reliability.
* Familiarity with open table formats (e.g., Iceberg, Delta, Hudi) and business intelligence data modeling.
* Experience or strong interest in enabling AI/ML use cases.
**Next Steps:** 
 Do you want to help design data pipelines, warehouse, and lakes from scratch for an industry leading organization? Send your resume, along with your application, and let's chat!</t>
        </is>
      </c>
    </row>
    <row r="69">
      <c r="A69" t="inlineStr">
        <is>
          <t>li-4367245780</t>
        </is>
      </c>
      <c r="B69" t="inlineStr">
        <is>
          <t>Data Engineer</t>
        </is>
      </c>
      <c r="C69" t="inlineStr">
        <is>
          <t>AARATECH</t>
        </is>
      </c>
      <c r="D69" t="inlineStr">
        <is>
          <t>linkedin</t>
        </is>
      </c>
      <c r="E69">
        <f>HYPERLINK("https://www.linkedin.com/jobs/view/4367245780", "https://www.linkedin.com/jobs/view/4367245780")</f>
        <v/>
      </c>
      <c r="F69" t="inlineStr"/>
      <c r="G69" t="inlineStr"/>
      <c r="H69" t="inlineStr"/>
      <c r="I69"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70">
      <c r="A70" t="inlineStr">
        <is>
          <t>li-4367282762</t>
        </is>
      </c>
      <c r="B70" t="inlineStr">
        <is>
          <t>Senior Data Engineer</t>
        </is>
      </c>
      <c r="C70" t="inlineStr">
        <is>
          <t>Ingram Content Group</t>
        </is>
      </c>
      <c r="D70" t="inlineStr">
        <is>
          <t>linkedin</t>
        </is>
      </c>
      <c r="E70">
        <f>HYPERLINK("https://www.linkedin.com/jobs/view/4367282762", "https://www.linkedin.com/jobs/view/4367282762")</f>
        <v/>
      </c>
      <c r="F70" t="inlineStr"/>
      <c r="G70" t="inlineStr">
        <is>
          <t>La Vergne, TN</t>
        </is>
      </c>
      <c r="H70" t="inlineStr"/>
      <c r="I70" t="inlineStr">
        <is>
          <t>**Job Description**
**Ingram Content Group** 
 (ICG) is currently seeking a
 **Senior Data Engineer** 
 to join our team in
 **LaVergne, TN** 
 (Greater Nashville area). This person will design, build, and optimize the systems that allow our data to be gathered, ingested, stored, analyzed, transformed, and distributed. You will be responsible for the entire lifecycle of data pipelines, from ingestion to the creation of Operational Data Stores (ODS). Senior Data Engineer Acts as the senior/lead technical programmer in the team, owns the solution stack, and has an appetite for problem solving. Delivers results through independent contributions and mentoring of junior engineers. Works with the data architect, CI/CD architects, and other data engineers to build and deliver world\-class data platforms. This position will be hybrid and work from the Ingram headquarters 4 days per week.
*Want to help explore and build new ways to deliver content to the world?*
 At Ingram, our Technology team is blazing a trail by providing content distribution services to thousands of publishers with key initiatives around business intelligence, machine learning, continuous integration and omnichannel.  We support diverse people and technology that highlights innovation through SaaS platforms, metadata, cloud, and containerization.   Our teams are agile, and emphasize authenticity, creativity, and transparency upon a fact\-based foundation.
 The world is reading, and it is our goal to connect as many people as possible to the content they want in the simplest ways.  If you are an IT professional who strives to deliver results through collaborative partnerships, understanding what drives business, and enjoys working in a connected culture, we can’t wait to meet you!
**The ideal candidate will have the following minimum qualifications:**
* Education: Bachelor's or master's degree in computer science, Computer Engineering, IT, or a closely related technical field.
* 6\+ years of professional experience in data engineering or a similar data\-intensive role.
* Core Languages: Expert\-level proficiency in SQL and Python.
* Databases: Deep experience with MySQL and at least one major NoSQL provider (e.g., MongoDB, Cassandra).
* Integration: Hands\-on experience creating and deploying SSIS Packages.
* Streaming: Proven experience using Apache Kafka for event\-driven architecture.
* Concepts: Strong understanding of data modeling, schema design, and distributed systems.
**We have a preference for:**
* Technical expertise in a core technology area Data and Software engineering
* Knowledge of external technologies within domain of expertise
* Knowledge of all phases of applications systems analysis and programming
* Knowledge of Development Tools with demonstrated expert experience in: Python, data manipulation packages of Python
* Working knowledge of client\-server architectures and RESTFul APIs
* Knowledge of software collaboration platforms like GitHub, Azure DevOps, and JIRA
* Ability to communicate effectively across the organization and with leadership
* Ability to apply new knowledge, technology, and procedure to job responsibilities
* Ability to be flexible/multi\-task based on workflow demands
**The Sr Java Software Engineer key responsibilities are:**
* Pipeline Development: Design and implement robust ETL/ELT data pipelines using Apache Kafka for streaming and batch processing.
* Database Management: Architect and maintain both Relational (MySQL, SQL Server) and Non\-relational (NoSQL) database environments to ensure high performance and scalability.
* SQL server related: Transact\-SQL, ETL and Data warehousing, SQL server management studio, maintaining and optimizing stored procedures, maintaining and monitoring background jobs.
* ODS Architecture: Build and manage Operational Data Stores to integrate data from disparate sources for real\-time and batched operational reporting.
* Data Handling: Write complex, optimized SQL queries, develop Python scripts using libraries like Pandas, NumPy, and PySpark, and integrate Kafka for sophisticated data transfer, manipulation and cleansing.
* System Optimization: Monitor and tune database performance, ensuring data integrity and security across all platforms.
* Lead and execute testing to ensure data validation and data integrity.
* Drives solutions and guides the work of others to provide full application development life cycle support including specifications, prototypes, development, quality assurance, and deployment.
* Works with user/customer community, business analysts, and architects to capture system requirements and design.
* Leverages a technical network to collaborate across the organization's units.
*Hiring Salary Range: $110,981k \- $141,123k. This range represents the anticipated low and high end of the salary for this position. It will be determined by factors including but not limited to: the applicant’s education, experience, knowledge, skills, and abilities, geographic location, as well as internal equity and alignment with market data.*
**Additional Information**
**Perks/Benefits:**
* A highly competitive compensation package with generous benefits beginning first day of employment for Medical/Prescription Drug plans, HSA, Vision, Dental and Health Care FSA.
+ 15 vacation days \&amp; 12 sick days accrued annually and 3 personal days
+ 401K match, Life and AD\&amp;D, Employee Assistance programs, Group Legal, \&amp; more
+ Wellness program with access to onsite gym and basketball court for associates
* Encouraged continued education with our tuition reimbursement program
* Financial and in\-kind opportunities to engage with non\-profits in your community
+ Company match program for United Way donations
+ Volunteer opportunities and in\-kind drives for non\-profits throughout the year
* Take breaks or brainstorm in our game room with ping pong \&amp; foosball
* Casual Dress Code \&amp; Flexible Schedules (per team)
 The world is reading, and Ingram Content Group (“Ingram”) connects people with content in all forms. Providing comprehensive services for publishers, retailers, libraries and educators, Ingram makes these services seamless and accessible through technology, innovation and creativity. With an expansive global network of offices and facilities, Ingram’s services include digital and physical book distribution, print\-on\-demand, and digital learning. Ingram Content Group is a part of Ingram Industries Inc. and includes Ingram Book Group LLC, Ingram Publisher Services LLC, Lightning Source LLC, Ingram Library Services LLC, Tennessee Book Company LLC, Ingram Content Group UK Ltd. and Ingram Content Group Australia Pty Ltd.
*All qualified applicants will receive consideration for employment without regard to race, color, religion, sex, national origin, age, work related mental or physical disability, veteran status, sexual orientation, gender identity, or genetic information.*
* EOE\-Race/Gender/Veterans/Disabled
* We participate in EVerify.
* EEO Poster in English
* EEO Poster in Spanish</t>
        </is>
      </c>
    </row>
    <row r="71">
      <c r="A71" t="inlineStr">
        <is>
          <t>li-4367601501</t>
        </is>
      </c>
      <c r="B71" t="inlineStr">
        <is>
          <t>Senior Data Engineer</t>
        </is>
      </c>
      <c r="C71" t="inlineStr">
        <is>
          <t>HaloMD</t>
        </is>
      </c>
      <c r="D71" t="inlineStr">
        <is>
          <t>linkedin</t>
        </is>
      </c>
      <c r="E71">
        <f>HYPERLINK("https://www.linkedin.com/jobs/view/4367601501", "https://www.linkedin.com/jobs/view/4367601501")</f>
        <v/>
      </c>
      <c r="F71" t="inlineStr"/>
      <c r="G71" t="inlineStr"/>
      <c r="H71" t="inlineStr"/>
      <c r="I71" t="inlineStr">
        <is>
          <t>**Who We Are** 
 HaloMD specializes in Independent Dispute Resolution (IDR) through The No Surprises Act and state regulations for out\-of\-network healthcare providers, leveraging advanced technology and deep industry expertise to secure optimized reimbursements.
**About the Role** 
 We are seeking a
 **Senior Data Engineer** 
 to join our high\-performing DataNext team, blending deep data engineering, governance, and quality expertise to own mission\-critical pipelines supporting healthcare financial data, IDR processes, revenue cycle integrity, and enterprise analytics. This role combines technical ownership with strategic impact building scalable, reliable infrastructure while bridging legacy systems during modernization in a fast\-moving startup environment.
 You will work alongside exceptional talent (including proven leaders in pipeline stewardship, IDR domain mastery, and data quality) to deliver high\-quality results that protect revenue, reduce risk, enhance governance, and enable faster, data\-driven insights for C\-level stakeholders, cross\-functional teams, and business partners.
**Key Responsibilities** 
* Design, build, and maintain robust, scalable data pipelines using Snowflake, DBT, and Azure services (including Azure DevOps/Repos for CI/CD, version control, and collaboration).
* Own end\-to\-end data engineering: ingestion, transformation (ELT modeling), quality monitoring, lineage, governance, and orchestration for batch/near\-real\-time workflows.
* Investigate and resolve complex data quality issues; implement proactive monitoring, alerting, and validation to ensure integrity across pipelines, reports, and financial datasets.
* Architect SQL\-heavy solutions (advanced queries, CTEs, stored procedures, views) and optimize performance in Snowflake (e.g., data metric functions, classification tagging, streams/tasks).
* Automate manual processes, enforce data governance policies (metadata management, compliance including HIPAA), and document standards using tools like Confluence or Notion.
* Collaborate with Product Owners, analysts, developers, and onshore/offshore stakeholders to align architecture with evolving requirements (IDR, arbitration, invoicing, cooling/fee tracking) and gather/automate validation needs.
* Mentor team members, knowledge\-transfer domain logic, and support legacy\-to\-modern transitions (sunsetting technical debt, formalizing scalable standards).
* Contribute to ad hoc and governed reporting through clean data assets (integration with Power BI or similar for visualization and quick insights).
* Embrace agile methodologies (Jira/Azure DevOps tracking) and best practices for development, QA, deployment, and source code management (GitHub/Azure Repos).
**Required Qualifications** 
* 5\+ years of hands\-on data engineering experience with proven ownership of production pipelines in complex, regulated environments.
* Advanced proficiency in
 **SQL** 
 (CTEs, joins, text parsing, window functions) and database object development (tables, views, procedures).
* Strong experience with
 **Snowflake** 
 (performance tuning, data modeling, advanced features).
* Hands\-on with
 **DBT** 
 for transformation modeling, testing, and documentation.
* Proficiency in
 **Azure DevOps/Repos** 
 for source control, CI/CD, and collaborative workflows.
* Demonstrated ability to deliver high\-impact results under pressure (revenue\-critical fixes, error reduction, process automation).
* Excellent problem\-solving, accountability, analytical skills, and cross\-functional collaboration.
* Ability to quickly understand complex healthcare/financial data relationships and derive actionable insights.
* Proven track record of meeting deadlines, communicating progress, and building stakeholder relationships.
**Preferred Qualifications** 
* Experience in healthcare, revenue cycle, claims/arbitration, or regulated data (HIPAA compliance).
* Snowflake certification (SnowPro Core or Advanced: Data Engineer/Analyst).
* Familiarity with Power BI/Tableau for ad hoc visualization and stakeholder enablement.
* Knowledge of orchestration tools (Airflow/Dagster) and data governance documentation.
* Background mentoring teams and bridging legacy/modern systems in a startup/fast\-paced setting.
**Perks \&amp; Benefits:** 
* Location: This role requires hybrid flexibility in our Addison office. The candidate will come onsite twice a week for the first month or so and several times per quarter for planning and training.
* Multiple medical plan options
* Health Savings Account with company contributions
* Dental \&amp; vision coverage for you and your dependents
* 401k with Company match
* Vacation, sick time \&amp; Company paid holidays
* Company wellbeing program with health insurance incentives
**What's Next?** 
 If you're ready to bring your skills and passion to our growing team,
 **we want to hear from you!** 
 Apply today and help us create a future where success is the standard.</t>
        </is>
      </c>
    </row>
    <row r="72">
      <c r="A72" t="inlineStr">
        <is>
          <t>li-4367493929</t>
        </is>
      </c>
      <c r="B72" t="inlineStr">
        <is>
          <t>Sr. Data Engineer with strong SQL and Databricks experience</t>
        </is>
      </c>
      <c r="C72" t="inlineStr">
        <is>
          <t>VeeRteq Solutions LLC</t>
        </is>
      </c>
      <c r="D72" t="inlineStr">
        <is>
          <t>linkedin</t>
        </is>
      </c>
      <c r="E72">
        <f>HYPERLINK("https://www.linkedin.com/jobs/view/4367493929", "https://www.linkedin.com/jobs/view/4367493929")</f>
        <v/>
      </c>
      <c r="F72" t="inlineStr"/>
      <c r="G72" t="inlineStr">
        <is>
          <t>Irving, TX</t>
        </is>
      </c>
      <c r="H72" t="inlineStr"/>
      <c r="I72" t="inlineStr">
        <is>
          <t>**Job Description**
**Title: Sr. Data Engineer with strong SQL and Databricks experience**
**Experience: \-** 
 10\+ Years
**Location: \-** 
 Irving, TX (Hybrid 3 days' Work from Office)
**What is in it for you?**
 Seeking a
 **Senior Data Engineer** 
 with deep expertise in SQL Server, Azure SQL, and Databricks to design, optimize, and deliver scalable cloud\-based data solutions supporting analytics and enterprise data platforms
**Roles And Responsibilities**
**Database Development \&amp; Optimization:** 
 Design, develop, and maintain complex
 **SQL Server and Azure SQL** 
 databases.
 Write and optimize advanced
 **T\-SQL** 
 queries, stored procedures, functions, and views.
 Perform
 **query tuning, indexing strategies, and performance optimization** 
 for large\-scale datasets.
 Implement best practices for
 **database security, data integrity, and reliability** 
 .
**Cloud \&amp; Data Platform** 
 : Develop and manage data solutions in
 **Azure SQL Database** 
 .
* Work with Databricks (Apache Spark) to support data transformations, analytics, and large\-scale data processing.
* Integrate Azure SQL with Databricks using Delta Lake, Spark SQL, and PySpark/SQL where applicable.
* Support cloud\-based data architectures and hybrid data environments.
**Data Modelling \&amp; Warehousing:** 
 Design and maintain
 **relational and dimensional data models** 
 .
 Implement
 **Slowly Changing Dimensions (SCD)** 
 and other data warehousing patterns.
 Support ETL/ELT processes and collaborate with data engineering teams.
**Collaboration \&amp; Leadership:** 
 Partner with application developers, data engineers, BI teams, and stakeholders to understand data requirements.
* Provide guidance and mentoring to junior developers.
* Participate in code reviews and enforce database development standards.
* Troubleshoot production issues and provide root cause analysis.
**Educational Qualifications: \-**
 Engineering Degree BE/ME/BTech/MTech/BSc/MSc.
 Technical certification in multiple technologies is desirable.
**Skills: \-**
**Mandatory Skills**
**10\+ years** 
 of experience as a Database Developer or similar role.
 Strong expertise in
 **SQL Server and Azure SQL** 
 .
 Advanced proficiency in
 **T\-SQL** 
 , including performance tuning and query optimization.
 Hands\-on experience with
 **Databricks** 
 and
 **Apache Spark** 
 .
 Solid understanding of
 **data warehousing concepts** 
 , dimensional modelling, and SCD.
 Experience working in
 **Azure cloud environments** 
 .
 Strong analytical, problem\-solving, and communication skills.</t>
        </is>
      </c>
    </row>
    <row r="73">
      <c r="A73" t="inlineStr">
        <is>
          <t>li-4367474474</t>
        </is>
      </c>
      <c r="B73" t="inlineStr">
        <is>
          <t>Data Engineer</t>
        </is>
      </c>
      <c r="C73" t="inlineStr">
        <is>
          <t>NerdWallet</t>
        </is>
      </c>
      <c r="D73" t="inlineStr">
        <is>
          <t>linkedin</t>
        </is>
      </c>
      <c r="E73">
        <f>HYPERLINK("https://www.linkedin.com/jobs/view/4367474474", "https://www.linkedin.com/jobs/view/4367474474")</f>
        <v/>
      </c>
      <c r="F73">
        <f>HYPERLINK("https://www.wiraa.com/job-description/usB6AF7CE18C6137A583625CFA80BC992E?source=Linkedin&amp;urlHash=aa-Q", "https://www.wiraa.com/job-description/usB6AF7CE18C6137A583625CFA80BC992E?source=Linkedin&amp;urlHash=aa-Q")</f>
        <v/>
      </c>
      <c r="G73" t="inlineStr"/>
      <c r="H73" t="inlineStr"/>
      <c r="I73" t="inlineStr">
        <is>
          <t>**About The Company** 
 NerdWallet is a leading personal finance platform dedicated to empowering consumers to make smarter financial decisions. With a mission to bring clarity to all of life's financial choices, NerdWallet strives to provide transparent, reliable, and accessible financial guidance. The company fosters an inclusive, flexible, and candid culture where employees are encouraged to grow, take calculated risks, and be authentic. Whether working remotely or in\-office, NerdWallet invests in employee well\-being, professional development, and meaningful impact. The organization values diversity, innovation, and continuous learning, aiming to create a supportive environment where every Nerd can thrive and contribute to the company's mission of financial literacy and empowerment.
**About The Role** 
 As a Staff Data Engineer at NerdWallet, you will play a pivotal role in designing, developing, and maintaining scalable and reliable data systems that underpin critical analytics, experimentation, and strategic decision\-making. You will work directly within specific product verticals, shaping data that influences business outcomes, product innovation, and user experience enhancements. Collaborating closely with cross\-functional teams—including product managers, engineers, and business stakeholders—you will address complex technical challenges related to data pipeline architecture, performance, security, and observability. Your expertise will ensure that data assets are accurate, trustworthy, and aligned with NerdWallet’s strategic goals. This position offers a unique opportunity to see your work translate into tangible results that accelerate the company's mission, while also fostering a culture of innovation, technical excellence, and continuous improvement.
**Qualifications** 
* 7\+ years of professional experience in data engineering or related fields
* 5\+ years of hands\-on experience with AWS, Snowflake, DBT, and Airflow
* Advanced proficiency in Python and SQL
* Strong working knowledge of relational databases and query performance tuning
* Experience with streaming technologies such as Kafka, Kinesis, Storm, or Flume
* Bachelor’s or Master’s degree in Computer Science, Engineering, or a related discipline (or equivalent professional experience)
* Proven ability to design, build, and operate robust data systems with effective monitoring and logging practices
* Excellent communication skills, both written and verbal, with the ability to articulate complex technical concepts to diverse audiences
* Logical thinking with the ability to define problems, collect and analyze data, and draw valid conclusions
* Experience leading cross\-functional initiatives and providing technical mentorship
**Responsibilities** 
* Lead the design, development, and maintenance of critical data assets to ensure accuracy, reliability, and alignment with business priorities
* Innovate by evaluating emerging technologies and implementing scalable, efficient solutions to enhance data pipeline performance and reliability
* Address complex technical challenges related to scalability, security, and performance, providing clear architectural rationale
* Ensure data pipeline observability by proactively monitoring, troubleshooting, and resolving issues to safeguard data integrity
* Collaborate with cross\-functional teams through transparent communication, problem\-solving, and understanding partner needs
* Own initiatives that span multiple domains or teams, providing technical leadership to ensure successful outcomes
* Prioritize tasks strategically based on business impact, risk, and organizational goals
* Shape the team’s long\-term data architecture and influence best practices within the organization
* Mentor and foster a culture of technical excellence, continuous learning, and adoption of modern data engineering practices, including AI and automation
**Benefits** 
* Comprehensive medical, dental, and vision health plans for employees and dependents
* Rejuvenation Policy including vacation time, 11 holidays, and 4 mental health days annually
* New Parent Leave for employees welcoming a newborn or adopted/foster child
* Mental health support services
* Paid sabbatical to recharge, learn, and pursue personal interests
* Health and Dependent Care FSA and HSA plans with company contributions
* Monthly stipends for wellness, cell phone, and Wi\-Fi expenses
* Work from home equipment stipend and co\-working space subsidies
* Participation in employee resource groups promoting diversity and inclusion
* Company\-sponsored hackathons, team events, and charity initiatives
* Paid volunteer time off each quarter and matching donations to causes
* Retirement savings plan with company match (401K)
* Access to new financial products and tools, including guidance from Certified Financial Planners
* Disability and employer\-paid life insurance coverage
 Equal Opportunity
 NerdWallet is committed to fostering an inclusive and diverse workforce. We are an equal opportunity employer and prohibit discrimination and harassment based on race, color, religion, sex, gender identity, sexual orientation, national origin, age, disability, or any other characteristic protected by applicable law. We welcome all qualified applicants and ensure fair consideration for employment.</t>
        </is>
      </c>
    </row>
    <row r="74">
      <c r="A74" t="inlineStr">
        <is>
          <t>li-4367479422</t>
        </is>
      </c>
      <c r="B74" t="inlineStr">
        <is>
          <t>Data Engineer</t>
        </is>
      </c>
      <c r="C74" t="inlineStr">
        <is>
          <t>CCS Global Tech</t>
        </is>
      </c>
      <c r="D74" t="inlineStr">
        <is>
          <t>linkedin</t>
        </is>
      </c>
      <c r="E74">
        <f>HYPERLINK("https://www.linkedin.com/jobs/view/4367479422", "https://www.linkedin.com/jobs/view/4367479422")</f>
        <v/>
      </c>
      <c r="F74" t="inlineStr"/>
      <c r="G74" t="inlineStr">
        <is>
          <t>Tacoma, WA</t>
        </is>
      </c>
      <c r="H74" t="inlineStr"/>
      <c r="I74" t="inlineStr">
        <is>
          <t>**Job Title: Sr. IT Cloud Data Engineer** 
**Location: Tacoma, WA (Hybrid – 2 days week onsite 3 days remote)** 
**Full Time Employment** 
**Roles / Responsibilities:** 
 Key responsibilities of the role include:
* Developing, supporting, and monitoring end\-to\-end data pipelines using Microsoft Azure data services (including Azure Data Factory) across SaaS, PaaS, and IaaS solutions.
* Designing, publishing, and managing APIs, application connectors, and ETL/ELT solutions.
* Designing and maintaining database and data storage solutions, selecting and configuring Azure services for cost, performance, scalability, and security.
* Enabling and supporting organization\-wide Business Intelligence and Analytics programs, including data collection, transformation, and publishing.
* Developing comprehensive data architecture documentation and long\-term IT Service Roadmaps.
* Leading migration efforts from legacy on\-premises SQL Server databases to cloud\-based services.
* Providing primary and backup support for assigned business software applications and platforms, following ITIL practices and meeting defined SLAs.
**Essential Functions** 
* Utilizes Microsoft Azure data services, including Azure Data Factory, to develop, support, and monitor end\-to\-end data pipelines across SaaS, PaaS, and IaaS solutions. Develops, publishes, and manages API’s, application connectors, and ETL/ELT solutions. Monitors and manages pipeline performance and resolves bottlenecks and performance issues.
* Designs database and data storage solutions, researching, assessing, selecting, and configuring the appropriate Azure data storage service that best meets cost, performance, scalability, and security requirements. Manages and maintains implemented database and data storage solutions.
* Enables data\-driven strategies and supports organization wide Business Intelligence and Analytics programs. Collects, aggregates, transforms, and publishes datasets and dataset collections for organization wide Business Intelligence and Analytics programs. Supports analysts developing Business Intelligence dashboards, analytics, and data visualizations.
* Develops comprehensive data architecture documentation and designs. Develops and maintains IT Service Roadmaps of long\-term architectural improvements to data platforms and environments.
* Supports legacy on\-premises Microsoft SQL Server databases. Proactively leads efforts to migrate on\-premises databases to cloud\-based services.
* Provides primary and backup support for assigned business software applications and platforms, undertaking system and user support, and operations and maintenance tasks, following ITIL practices and meeting defined SLAs.
**Required Education and Experience** 
 A bachelor’s degree in computer science, business, or related field is required. An additional four (4\) years of relevant experience may be substituted for a bachelor’s degree.
 A minimum of five (5\) years of progressively responsible experience supporting databases, data, and enterprise applications is required, as is Azure Data Engineer Associate certification.
**Additional Requirements** 
* Knowledge of Microsoft Cloud Platform architectures, including Azure, Microsoft 365 and Dynamics 365\.
* Expert Knowledge of Microsoft Azure Database services for data management, integration, storage, and analytics services.
* Knowledge of Azure data management to minimize risk of data loss related to Cybersecurity.
* Skilled in database and data management and maintenance using Microsoft SQL Server and Microsoft Azure SQL Server.
* Skilled in the use of Microsoft Power BI for data visualization and analytics.
* Knowledge of IT best practices and methodologies including ITIL, SDLC, DevOps, and Agile.
* Ability to communicate and collaborate effectively with technical staff and IT service providers in the design of solutions and to resolve issues.
* Ability to work constructively and collaboratively with all stakeholders to build business value in supported systems.
* Ability to think critically, maintain personal accountability, and drive change.
* Ability to work in a demanding, disciplined, professional environment.
* Ability to manage priorities based on defined strategies and goals.
* Skilled at supporting complex Enterprise Class Applications and Platforms, both on\-premises and SaaS.
* Skilled technical writer and communicator.</t>
        </is>
      </c>
    </row>
    <row r="75">
      <c r="A75" t="inlineStr">
        <is>
          <t>li-4367243668</t>
        </is>
      </c>
      <c r="B75" t="inlineStr">
        <is>
          <t>SR DATA ENGINEER - ANALYTICS</t>
        </is>
      </c>
      <c r="C75" t="inlineStr">
        <is>
          <t>People Consultancy Services (PCS)</t>
        </is>
      </c>
      <c r="D75" t="inlineStr">
        <is>
          <t>linkedin</t>
        </is>
      </c>
      <c r="E75">
        <f>HYPERLINK("https://www.linkedin.com/jobs/view/4367243668", "https://www.linkedin.com/jobs/view/4367243668")</f>
        <v/>
      </c>
      <c r="F75" t="inlineStr"/>
      <c r="G75" t="inlineStr">
        <is>
          <t>Durham, NC</t>
        </is>
      </c>
      <c r="H75" t="inlineStr"/>
      <c r="I75" t="inlineStr">
        <is>
          <t>Position: SR DATA ENGINEER \- ANALYTICS
 Employment: FTE
 Location: Durham, NC
 Start Date: 2\-3 weeks
 Interviews: Immediate
 Hybrid: Must come in person 2\-3 times a week
 Job description:
 We are seeking an Analytics Engineer to join our Personalized Content Discovery team. The ideal candidate will possess strong skills in data exploration, data storytelling, and basic data engineering. Our data science team works on research and development for several TiVo products:
 • Search and Recommendation (Video/Music Content Recommendation System),
 • Insight (Data Analytics)
 • Conversation (Voice Entertainment Assistant)
 • Video and Music Metadata (Textual, Image, Quantitative)
 On our team you can expect to work with a variety of data sources and customer solutions across the entertainment and product engineering domain. Our mission is to help our customers find, watch, and enjoy their favorite content.
 Responsibilities
 • Analyze and interpret large, multi\-dimensional datasets
 • Work closely with product engineering and management teams to identify and answer important product questions
 • Communicate findings to product managers and engineers
 • Create data visualizations that capture core insight from analysis in dashboards and reports
 • Refine existing data sources for use in downstream applications
 • Learn to implement best practices for data gathering, and process versioning
 Requirements
 • B.S. in a relevant technical field or demonstrable equivalent
 • Ability to apply ETL processes for use in R\&amp;D projects
 • Comfort manipulating and analyzing complex, high\-volume, high\-dimensionality data from varying sources
 • Ability to translate business requirements into technical requirements
 • Ability to document processes for technical and non\-technical stakeholders
 • Familiarity with relational databases \- SQL
 • Proficiency with the python data science programming stack</t>
        </is>
      </c>
    </row>
    <row r="76">
      <c r="A76" t="inlineStr">
        <is>
          <t>li-4367470484</t>
        </is>
      </c>
      <c r="B76" t="inlineStr">
        <is>
          <t>Data Engineer, Sr.</t>
        </is>
      </c>
      <c r="C76" t="inlineStr">
        <is>
          <t>Blue Yonder</t>
        </is>
      </c>
      <c r="D76" t="inlineStr">
        <is>
          <t>linkedin</t>
        </is>
      </c>
      <c r="E76">
        <f>HYPERLINK("https://www.linkedin.com/jobs/view/4367470484", "https://www.linkedin.com/jobs/view/4367470484")</f>
        <v/>
      </c>
      <c r="F76" t="inlineStr"/>
      <c r="G76" t="inlineStr"/>
      <c r="H76" t="inlineStr"/>
      <c r="I76" t="inlineStr">
        <is>
          <t>**About The Company**
 Blue Yonder is a leading provider of supply chain management solutions, leveraging innovative technology to optimize and automate the end\-to\-end supply chain process. Our platform empowers organizations worldwide to make smarter, faster, and more informed decisions, enhancing operational efficiency and customer satisfaction. With a commitment to continuous innovation, Blue Yonder combines cutting\-edge AI, machine learning, and cloud\-based solutions to deliver scalable and flexible supply chain services. Our diverse and inclusive culture fosters collaboration, creativity, and growth, making us a trusted partner for some of the world’s largest enterprises.
**About The Role**
 We are seeking a highly skilled Sr Staff Data Engineer (Snowflake expert) to join our Platform Data Cloud team. This senior individual contributor role is pivotal in architecting and implementing scalable, high\-performance data solutions within Snowflake, supporting Blue Yonder’s SaaS products. The ideal candidate will have extensive experience in data warehousing, cloud infrastructure, and software engineering, with a focus on Snowflake architecture and features. You will work closely with global teams across the US, Canada, India, and Germany to drive innovation, enhance delivery processes, and build enterprise\-grade data pipelines. This role offers a hybrid work environment in Dallas, TX, Scottsdale, AZ, or remote for the right candidate, providing a unique opportunity to influence the future of supply chain technology through data engineering excellence.
**Qualifications**
* Bachelor’s or Master’s Degree in Computer Science, Information Technology, or a related field
* 12–15 years of professional software development experience
* Minimum of 5 years of specialized Snowflake data engineering experience
* Proficiency in Python and Streamlit is preferred
* Snowflake Architect certification is highly desirable
* Experience with large\-scale Kubernetes systems and cloud platforms such as AWS, Azure, or GCP
* Strong understanding of data warehousing concepts, Snowflake architecture, and SQL proficiency
* Experience with data sharing, marketplace integrations, and performance optimization in Snowflake
* Knowledge of JSON flattening, SnowSQL, SnowCLI, and Snowsight tools
* Familiarity with enterprise data lakes, no\-SQL datastores, and containerization technologies
* Leadership experience in Agile environments and complex software product delivery
**Responsibilities**
* Design, develop, and maintain scalable data ingestion and processing pipelines in Snowflake to support enterprise SaaS applications
* Deeply understand Snowflake architecture, including compute, storage, and cloud services, to optimize performance and cost
* Create standardized enterprise solutions for cloud infrastructure and application deployment across multiple products
* Implement data sharing, marketplace, and data exchange features within Snowflake environment
* Develop and optimize stored procedures, UDFs, external functions, and role\-based access controls
* Innovate continuously by leveraging new Snowflake features and building proof\-of\-concept solutions
* Collaborate with global teams to deliver high\-quality, reliable, and scalable data solutions aligned with organizational goals
* Apply object\-oriented and functional programming principles to develop robust systems and Blue Yonder products
* Lead efforts in Kubernetes system scaling, modular architecture, and infrastructure automation
* Mentor and influence fellow engineers through code reviews, design proposals, and technical feedback
**Benefits**
* Comprehensive medical, dental, and vision insurance plans
* 401(k) plan with company matching contributions
* Flexible time off policy to promote work\-life balance
* Access to corporate fitness programs and wellness initiatives
* Voluntary benefits including legal plans, accident and hospital indemnity, pet insurance, and more
* Opportunities for professional development and continuous learning
* Inclusive and diverse workplace culture that values employee wellbeing
 Equal Opportunity
 At Blue Yonder, we are committed to fostering an inclusive environment where all qualified applicants receive equal consideration for employment regardless of race, color, religion, sex, sexual orientation, gender identity, national origin, disability, or protected veteran status. We believe diversity enhances our innovation and drives our success, and we welcome candidates from all backgrounds to join our team.</t>
        </is>
      </c>
    </row>
    <row r="77">
      <c r="A77" t="inlineStr">
        <is>
          <t>li-4353883785</t>
        </is>
      </c>
      <c r="B77" t="inlineStr">
        <is>
          <t>Senior BI Engineer</t>
        </is>
      </c>
      <c r="C77" t="inlineStr">
        <is>
          <t>Alignment Health</t>
        </is>
      </c>
      <c r="D77" t="inlineStr">
        <is>
          <t>linkedin</t>
        </is>
      </c>
      <c r="E77">
        <f>HYPERLINK("https://www.linkedin.com/jobs/view/4353883785", "https://www.linkedin.com/jobs/view/4353883785")</f>
        <v/>
      </c>
      <c r="F77" t="inlineStr"/>
      <c r="G77" t="inlineStr"/>
      <c r="H77" t="inlineStr"/>
      <c r="I77"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Alignment Healthcare is a data and technology driven healthcare company focused on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Sr. Business Intelligence (BI) Engineer. Data drives the way we make decisions. We love our customers and understanding them better makes it possible to provide the best clinical outcome and care experience.
 We are currently seeking a Sr.BI Engineer for Data \&amp; Business Intelligence team. This position will play a key role in design and development of cloud\-based BI and Analytics services using Microsoft BI Platform, Microsoft Azure cloud services.
**General Duties/Responsibilities (May Include But Are Not Limited To)**
* Translate business requirements into specifications that will be used to implement the required reports and dashboards.
* Work with business units to gather requirements, development and delivery of business intelligence \&amp; reporting services and lead end to end BI delivery.
* Develops and implements business intelligence \&amp; analytics to support organizational initiatives.
* Build rich and dynamic dashboards using out\-of\-box features, customizations, and visualizations.
* Design and publish custom dashboards for business functions, stakeholders, and corporate users around the company.
* Design, model, develop \&amp; optimize stored procedures to meet data management and data reporting objectives.
* Working with data engineers to ensure that data sets feeding the analytics platforms are tuned for optimal performance.
* Work with power users of the analytics/reporting tools to advise on best practices for Business Intelligence reporting.
* Troubleshoot and resolve issues with the processes used and the content produced by the BI platform.
* Work with business stakeholders to define and improve standardized and ad\-hoc analytics/reporting capabilities.
* Provide input into the technical architecture and the data warehouse technology stack.
* Create functional and technical design documents and maintain documentation for all reports and dashboards created or modified.
**Supervisory Responsibilities**
 Overseas staff assigned. Responsibilities include orienting and training employees; assigning workload; planning, monitoring, and appraising job results; and coaching, counseling, and disciplining employees.
**Minimum Requirements**
*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**Minimum Experience**
* 7\+ years of business intelligence \&amp; reporting experience.
* 7\+ years of experience with BI/Reporting software products (Power BI) and knowledge of Healthcare Industry standards and requirements
* 7\+ years’ database experience with MS SQL Server.
* 7\+ years of experience in healthcare industry with proven understanding of data terminology.
* Healthcare Experience and Clear understanding \&amp; working knowledge of HIPAA protocols.
* Extensive hands\-on experience with Microsoft’s Power BI/SSRS/SSAS/Azure Data Factory and other cloud based BI and Reporting services.
* Experiences on Big data /Azure Data Platform is a plus.
* Experience with Azure, AWS or GCP is a plus.
**Education/Licensure**
* BS in Computer Science, IT or equivalent and/or equivalent experience.
* Microsoft Azure Certification is a plus.
**Other**
* Demonstrated ability to build partnerships and maintain cohesive relationships.
* Demonstrated ability planning, organizing, and executing multiple complex analytics projects.
* to effectively present information and respond to questions from groups of managers and customers
* Strong appreciation of timeliness and the ability to multitask and accomplish assigned tasks within project timelines.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**Essential Physical Functions**
 The physical demands described here are representative of those that must be met by an employee to successfully perform the essential functions of this job. Reasonable accommodation may be made to enable individuals with disabilities to perform the essential functions.
* While performing the duties of this job, the employee is regularly required to talk or listen.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
 Pay Range: $130,332\.00 \- $195,498\.00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78">
      <c r="A78" t="inlineStr">
        <is>
          <t>li-4367610395</t>
        </is>
      </c>
      <c r="B78" t="inlineStr">
        <is>
          <t>Data Engineer</t>
        </is>
      </c>
      <c r="C78" t="inlineStr">
        <is>
          <t>Hirenza</t>
        </is>
      </c>
      <c r="D78" t="inlineStr">
        <is>
          <t>linkedin</t>
        </is>
      </c>
      <c r="E78">
        <f>HYPERLINK("https://www.linkedin.com/jobs/view/4367610395", "https://www.linkedin.com/jobs/view/4367610395")</f>
        <v/>
      </c>
      <c r="F78" t="inlineStr"/>
      <c r="G78" t="inlineStr"/>
      <c r="H78" t="inlineStr"/>
      <c r="I78" t="inlineStr">
        <is>
          <t>**About The Company**
 Ernst \&amp; Young Oman is a leading professional services firm dedicated to providing innovative solutions and strategic insights to clients across various industries. As part of the global Ernst \&amp; Young network, our Oman office upholds the highest standards of integrity, quality, and professionalism. We are committed to fostering a collaborative work environment that encourages continuous learning, diversity, and inclusion. Our services encompass assurance, advisory, tax, and transaction advisory, helping organizations navigate complex business challenges and achieve sustainable growth.
**About The Role**
 We are seeking a highly motivated and detail\-oriented professional to join our team in the capacity of \[Job Title]. This role offers an excellent opportunity to work within a dynamic environment, collaborate with industry experts, and contribute to impactful projects for a diverse client base. The ideal candidate will possess strong analytical skills, a proactive mindset, and a commitment to delivering exceptional service. This position involves engaging with clients, supporting project teams, and ensuring the delivery of high\-quality work that aligns with Ernst \&amp; Young’s standards of excellence.
**Qualifications**
 The successful candidate should possess a bachelor's degree in accounting, finance, business administration, or a related field. Professional certifications such as ACCA, CPA, CFA, or equivalent are preferred. Prior experience in a professional services environment, particularly in audit, advisory, or consulting roles, is highly desirable. Candidates must demonstrate excellent communication skills, proficiency in MS Office applications, and the ability to manage multiple priorities effectively. A strong understanding of local and international accounting standards, as well as regulatory frameworks, will be advantageous.
**Responsibilities**
* Assist in the execution of audit and assurance engagements, ensuring compliance with applicable standards and client requirements.
* Support the preparation of financial statements, reports, and documentation with accuracy and attention to detail.
* Collaborate with team members to develop insights and solutions tailored to client needs.
* Conduct research and analysis to assist in advisory projects, including risk assessments, process improvements, and strategic planning.
* Maintain effective communication with clients, understanding their needs and providing timely updates on project progress.
* Participate in internal training sessions and professional development activities to enhance technical skills and industry knowledge.
* Ensure adherence to firm policies, ethical standards, and confidentiality agreements at all times.
**Benefits**
 Ernst \&amp; Young Oman offers a competitive and comprehensive benefits package designed to support our employees' well\-being and professional growth. Benefits include health insurance coverage, annual leave, performance\-based bonuses, and opportunities for international assignments and training. We also provide a supportive work environment that promotes work\-life balance, ongoing learning, and career development. Employees have access to mentorship programs, technical workshops, and leadership development initiatives to help them reach their full potential.
 Equal Opportunity
 Ernst \&amp; Young Oman is an equal opportunity employer committed to fostering a diverse and inclusive workplace. We do not discriminate based on race, gender, age, religion, nationality, disability, or any other protected characteristic. We believe that diversity enhances our ability to serve our clients and innovate solutions. All qualified candidates are encouraged to apply, and we are dedicated to providing a fair and equitable recruitment process.</t>
        </is>
      </c>
    </row>
    <row r="79">
      <c r="A79" t="inlineStr">
        <is>
          <t>li-4367482757</t>
        </is>
      </c>
      <c r="B79" t="inlineStr">
        <is>
          <t>Lead Data Engineer - ETL Plaform - SF</t>
        </is>
      </c>
      <c r="C79" t="inlineStr">
        <is>
          <t>Benchstack Ai</t>
        </is>
      </c>
      <c r="D79" t="inlineStr">
        <is>
          <t>linkedin</t>
        </is>
      </c>
      <c r="E79">
        <f>HYPERLINK("https://www.linkedin.com/jobs/view/4367482757", "https://www.linkedin.com/jobs/view/4367482757")</f>
        <v/>
      </c>
      <c r="F79" t="inlineStr"/>
      <c r="G79" t="inlineStr"/>
      <c r="H79" t="inlineStr"/>
      <c r="I79" t="inlineStr">
        <is>
          <t>We’re hiring a Lead Data Engineer to own our data platform and ETL strategy end to end.
 This is a hands\-on leadership role. You’ll architect, build, and scale production systems, while also setting standards, creating playbooks, and helping level up the data function as the company scales 5–10x over the next year. This is a critical backfill with real ownership from day one.
**What you’ll do** 
* Own the design, evolution, and scaling of the data platform in production
* Lead ETL / ELT strategy and execution end to end
* Own orchestration using Dagster including asset design, partitioning, and operational best practices
* Define core data models and metrics used by the business
* Set engineering standards, establish SLOs, and build runbooks for critical datasets
* Mentor other engineers and help grow the data engineering function over time
* Build a clear roadmap for scaling ETL over the next 2–3 quarters
**What we’re looking for** 
* 5–10 years of experience in data engineering
* Proven experience building and scaling data platforms in production
* Strong ownership mindset and comfort operating with ambiguity
* Experience with modern cloud data stacks
**Tech stack** 
* Dagster
* BigQuery
* GCP
* Temporal
* Modern ETL pipelines
**The setup** 
* Full time role based in San Francisco
* Hybrid model with one in\-office day per week
* Competitive equity
* Visa sponsorship available</t>
        </is>
      </c>
    </row>
    <row r="80">
      <c r="A80" t="inlineStr">
        <is>
          <t>li-4367612695</t>
        </is>
      </c>
      <c r="B80" t="inlineStr">
        <is>
          <t>Senior Data Engineer, 1</t>
        </is>
      </c>
      <c r="C80" t="inlineStr">
        <is>
          <t>People Inc.</t>
        </is>
      </c>
      <c r="D80" t="inlineStr">
        <is>
          <t>linkedin</t>
        </is>
      </c>
      <c r="E80">
        <f>HYPERLINK("https://www.linkedin.com/jobs/view/4367612695", "https://www.linkedin.com/jobs/view/4367612695")</f>
        <v/>
      </c>
      <c r="F80" t="inlineStr"/>
      <c r="G80" t="inlineStr">
        <is>
          <t>New York, NY</t>
        </is>
      </c>
      <c r="H80" t="inlineStr"/>
      <c r="I80" t="inlineStr">
        <is>
          <t>**Job Title**
 Senior Data Engineer, 1
**Job Description**
 About The Position \| Major goals and objectives and location requirements
 People Inc. is a leading digital media company that owns and operates a portfolio of highly respected brands across various verticals, including lifestyle, health, finance, and more. With a commitment to providing high\-quality content and innovative digital experiences, People Inc. reaches millions of users globally and continues to drive growth and engagement across its platforms.
 People Inc. is looking for a Senior Data Engineer with strong Python and SQL skills to join the Data Operations team. The successful candidate will help build our data integration pipelines that feed into our data lakes and warehouses while maintaining data quality and integrity in our data stores. We are looking for someone who is a great team player but can also work independently. This person will also work closely with key stakeholders and understand and implement business requirements and see to it that data deliverables are met.
**Hybrid 3x a week\- New York City**
 In\-office Expectations: This position is hybrid in\-office, with the ability to work remotely for up to 2 days per week.
**About The Positions Contributions**
**Weight** 
***%***
**Accountabilities, Actions And Expected Measurable Results**
**60%**
* You will enhance our systems by building new data integration pipelines and adding new data to our data lakes and warehouses while continuously optimizing them.
* You will work with internal team members as well as stakeholders to scope out business requirements and see data deliverables through to the end where they will be used via our Looker platform.
* You will continuously look for ways to improve our data transformations and data consumption processes so that our systems are running efficiently, and our customers are able to use and analyze our data quickly and effectively.
**40%**
* You will champion coding standards and best practices by actively participating in code reviews, and working to improve our internal tools and build process.
* You will work to ensure the security and stability of our infrastructure in a multi\-cloud environment.
* You will collaborate with our Analytics engineers to ensure data integrity and the quality
* of our data deliverables.
**Education**
**The Role’s Minimum Qualifications and Job Requirements**
* Degree in a quantitative field, such as computer science, statistics, mathematics, engineering, data science, or equivalent experience.
**Experience**
* A minimum of 5\+ years of experience in building and optimizing data pipelines with Python.
* You have experience writing complex SQL queries to analyze data.
* Window functions and nested subqueries are second nature to you.
* You have commendable experience with at least one cloud service platform (GCP and AWS preferred).
* You've worked with data at scale using Apache Spark, Beam or a similar framework.
* You're familiar with data streaming architectures using technologies like Pub/Sub and Apache Kafka.
* You are eager to learn about new tech stacks, big data technologies, data pipelining architectures, etc. and propose your findings to the team to try and optimize our systems.
**Specific Knowledge, Skills, Certifications And Abilities**
* Strong Python and SQL skills.
* Experience with Google Cloud Platform is a plus.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$140,000 \- $170,000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\#CORP\#</t>
        </is>
      </c>
    </row>
    <row r="81">
      <c r="A81" t="inlineStr">
        <is>
          <t>li-4342814540</t>
        </is>
      </c>
      <c r="B81" t="inlineStr">
        <is>
          <t>Senior Analytics Engineer</t>
        </is>
      </c>
      <c r="C81" t="inlineStr">
        <is>
          <t>Nextdoor</t>
        </is>
      </c>
      <c r="D81" t="inlineStr">
        <is>
          <t>linkedin</t>
        </is>
      </c>
      <c r="E81">
        <f>HYPERLINK("https://www.linkedin.com/jobs/view/4342814540", "https://www.linkedin.com/jobs/view/4342814540")</f>
        <v/>
      </c>
      <c r="F81">
        <f>HYPERLINK("http://boards.greenhouse.io/nextdoor/jobs/7442133&amp;gh_src=87e790f91?gh_src=87e790f91&amp;source=LinkedIn&amp;urlHash=RYfY", "http://boards.greenhouse.io/nextdoor/jobs/7442133&amp;gh_src=87e790f91?gh_src=87e790f91&amp;source=LinkedIn&amp;urlHash=RYfY")</f>
        <v/>
      </c>
      <c r="G81" t="inlineStr">
        <is>
          <t>San Francisco, CA</t>
        </is>
      </c>
      <c r="H81" t="inlineStr"/>
      <c r="I81"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offer a warm and inclusive work environment that embraces a hybrid employment experience, providing a flexible experience for our valued employees.
**The** 
**Impact** 
**You’ll Make**
 As an Analytics Engineer at Nextdoor, you’ll work to democratize data and reporting to drive strategy and measure performance against KPIs across the business. In this role, you will work with various Consumer product stakeholders, building data pipelines, owning and defining metrics in collaboration with the data scientists, and be a trusted resource for all the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 Own reporting tools, pipelines, and dashboards to ensure consistent availability and accuracy of mission\-critical data
* Partner with key stakeholders on KPI development and tracking across the Consumer organization
* Build datasets and reports that represent the source of truth for our key metrics
* Keep data sources fresh even while requirements and definitions change. Address data quality issues and build in alerting
* Partner with data science, finance \&amp; strategy, marketing, sales, product, and engineering on analytics engineering strategy to enable data\-driven decision making across the company
* Set expectations and SLAs on data availability, and own communications around SLA performance to the business
* Drive self\-service and data literacy for business users on our data platform by creating and documenting data structures and sets, SQL and data tools training, and dashboard development
* Care deeply about data quality and empowering employees to leverage data to help them succeed in their careers and help Nextdoor grow and succeed
* Participate in in\-person Nextdoor events such as trainings, off\-sites, volunteer days, and team building exercises
* Build in\-person relationships with team members and contribute to Nextdoor’s company culture
**What You’ll Bring To The Team**
* 6\+ years working in data engineering or analytics
* Advanced knowledge of SQL, including writing and optimizing queries in multiple dialects
* Experience with Looker (preferred) or another BI/visualization tool
* Experience working with ETL/ELT pipelines
* Strong communication skills, both written and verbal
* Ability to understand, tackle, and solve problems from both technical and business perspectives
* Experience in effectively presenting insights and summarizing complex data to diverse audiences through visualizations and other means
* Demonstrated experience working with and delivering to cross\-functional stakeholders from multiple parts of the company (Finance, Engineering, etc.)
* Demonstrated experience driving projects end\-to\-end and can speak to outcome and impact
* Eagerness to explore and apply AI and emerging technologies to reimagine how work gets done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$163,000 \- $229,000 on an annualized basis, or potentially greater in the event that your 'level' of proficiency exceeds the level expected for the role.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82">
      <c r="A82" t="inlineStr">
        <is>
          <t>li-4367603208</t>
        </is>
      </c>
      <c r="B82" t="inlineStr">
        <is>
          <t>Data Engineer</t>
        </is>
      </c>
      <c r="C82" t="inlineStr">
        <is>
          <t>United Network for Organ Sharing (UNOS)</t>
        </is>
      </c>
      <c r="D82" t="inlineStr">
        <is>
          <t>linkedin</t>
        </is>
      </c>
      <c r="E82">
        <f>HYPERLINK("https://www.linkedin.com/jobs/view/4367603208", "https://www.linkedin.com/jobs/view/4367603208")</f>
        <v/>
      </c>
      <c r="F82" t="inlineStr"/>
      <c r="G82" t="inlineStr">
        <is>
          <t>Richmond, VA</t>
        </is>
      </c>
      <c r="H82" t="inlineStr"/>
      <c r="I82" t="inlineStr">
        <is>
          <t>**Position Description**
 We are seeking a Data Engineer with proven hands\-on experience with the design and development of highly available data management platforms and solutions for both on\-prem and Azure\-based cloud environments. This hands\-on, technical role will partner closely with data scientists, analysts, and business stakeholders to ensure that data is accurate, accessible, and optimized for analytics, reporting, and operational needs. This resource will play a key role in building scalable data pipelines and integrations while championing best practices, and leading strategic data initiatives across teams.
**Key Responsibilities**
* Develop and implement secure, scalable data pipelines using Azure Data Factory, Azure Functions, and Azure Data Lake Storage
* Design and build reliable ETL/ELT processes using Python (pandas, PySpark), SQL, and SSIS, integrating data from diverse sources including REST APIs and various file formats (CSV, JSON, XML, Parquet)
* Collaborate cross\-functionally to gather requirements and translate business needs into technical deliverables
* Detect and resolve data quality issues; implement automated audits and monitoring processes
* Participate in schema design and performance tuning
* Mentor and support junior engineers across data engineering, analytics, and BI teams
* Participate in code reviews, promoting clean, well\-documented, and testable code
* Stay current on trends in data engineering and cloud technologies, identifying opportunities to innovate
**Minimum Requirements** 
* 5 years of experience in data engineering, including
+ 1\+ years with Azure cloud\-native solutions
+ 3\+ years with SQL Server Integration Services (SSIS)
**Critical Skills**
* Expertise in MS SQL Server, SSIS, Python (pandas, PySpark), Azure Data Factory, Azure Functions and Azure Data Lake Storage.
* Experience working with a variety of file formats (e.g., CSV, JSON, XML, Parquet).
* Familiarity using REST APIs for data extraction and integration.
* Proven experience designing and implementing data solutions.
* Good understanding of cloud architecture, data warehousing and modern data stack components.
**Additional Skills \&amp; Qualifications**
* Demonstrated ability to perform root cause analysis on data and processing issues
* Strong problem\-solving skills with the ability to explain technical concepts to non\-technical audiences
* A successful history of manipulating, processing and extracting value from large disparate datasets
* Experience with Big Data technologies such as Databricks, Spark, or Azure Synapse
* Knowledge of CI/CD workflows, version control, and agile development practices
* Familiarity with data governance, privacy, and compliance frameworks
* Experience with data warehousing, analytics tools, and BI platforms
**Education**
* 4\-year degree in computer science, engineering or other related IT field of study, or equivalent professional work experience
**Physical Requirements** 
* General office demands
+ Prolonged periods of sitting at a desk and working on a computer.
+ Frequent reaching, handling, and fine manipulation for using office equipment, filing, and managing paperwork.
+ Manual dexterity sufficient to operate a keyboard, mouse, and other office tools.
+ Occasional standing, walking, and bending.
+ Ability to lift up to 10\-20 pounds occasionally.
+ Vision abilities required include close vision for computer work and reading documents.
+ Reasonable accommodations may be made to enable individuals with disabilities to perform the essential functions.</t>
        </is>
      </c>
    </row>
    <row r="83">
      <c r="A83" t="inlineStr">
        <is>
          <t>li-4356731907</t>
        </is>
      </c>
      <c r="B83" t="inlineStr">
        <is>
          <t>Associate Data Engineer, Data Governance</t>
        </is>
      </c>
      <c r="C83" t="inlineStr">
        <is>
          <t>Inmar Intelligence</t>
        </is>
      </c>
      <c r="D83" t="inlineStr">
        <is>
          <t>linkedin</t>
        </is>
      </c>
      <c r="E83">
        <f>HYPERLINK("https://www.linkedin.com/jobs/view/4356731907", "https://www.linkedin.com/jobs/view/4356731907")</f>
        <v/>
      </c>
      <c r="F83" t="inlineStr"/>
      <c r="G83" t="inlineStr">
        <is>
          <t>Winston-Salem, NC</t>
        </is>
      </c>
      <c r="H83" t="inlineStr"/>
      <c r="I83" t="inlineStr">
        <is>
          <t>The Data Governance team provides enterprise\-wide oversight and enablement to ensure data is properly classified, documented, trusted, secure, and used responsibly. Acting as a bridge across business, engineering, privacy, and security teams, the team develops and operationalizes policies, standards, tooling, and metrics that reduce risk, improve data quality, enable AI, and drive cost accountability.
**Primary Accountabilities**
 As an Associate Data Engineer on the Data Governance team, you will support the implementation and day\-to\-day execution of Inmar’s Data Governance program. This is a hands\-on role focused on building, operating, and improving governance\-related data engineering capabilities under the guidance of senior engineers.
****Governance Enablement \&amp; Automation****
* Assist in building and maintaining automated, repeatable processes that implement data governance policies and standards.
* Support enforcement of required metadata, tagging, and ownership standards across cloud and on\-prem data environments.
* Help embed governance controls into pipelines and platforms rather than relying on manual or ad hoc processes.
**Metadata, Cataloging \&amp; Lineage**
* Publish and maintain datasets in the enterprise metadata catalog, ensuring required fields such as owner, description, classification, and lineage are captured.
* Assist with lineage documentation and validation for critical datasets and pipelines.
* Participate in metadata audits and help track adoption and compliance metrics.
**Data Classification \&amp; Sensitive Data Controls**
* Help run and validate sensitive data scans (e.g., PII, PHI, PCI) using approved tools and scripts.
* Apply and verify data classification and asset tagging standards in alignment with enterprise policies.
* Support remediation efforts when gaps or inconsistencies are identified.
**Access Controls \&amp; Cost Transparency**
* Support audits and reporting related to data access, ownership, and least\-privilege enforcement.
* Assist with tagging and ownership initiatives that enable cloud cost visibility and accountability.
* Help maintain dashboards and reports that surface governance KPIs for technical and business stakeholders.
**Team Execution \&amp; Collaboration**
* Follow established Data Governance team standards for communication, documentation, code reviews, releases, and handoffs.
* Participate in daily standups, Jira updates, PR reviews, and knowledge\-sharing activities.
* Work closely with Data Governance, Data Quality, Privacy, Security, and Data Engineering partners.
**Required**
 EDUCATION / QUALIFICATIONS / EXPERIENCE
* B.S. in Computer Science, Information Systems, Data Engineering, or a related field or equivalent practical experience (1\-3 years).
* Experience with Python or another scripting language.
* Working knowledge of SQL and experience querying large datasets.
* Familiarity with ETL/ELT processes and workflow management tools (Airflow, dbt, etc).
* Familiarity with cloud platforms (GCP or AWS preferred; Azure acceptable).
* Understanding of core data governance concepts (metadata, quality, classification, access, lineage).
* Strong attention to detail, organization, and follow\-through.
* Clear written and verbal communication skills.
**Preferred / Nice To Have**
* Exposure to data governance, metadata, or cataloging tools (e.g., Dataplex, Data Catalog, DLP, BigID).
* Experience with relational databases (e.g., MySQL, SQL Server, PostgreSQL).
* Exposure to NoSQL databases.
* Experience with structured and semi\-structured data formats (e.g., JSON, Parquet, Avro).
* Familiarity with Git/Github, and CI/CD concepts.
* Experience with troubleshooting, performance tuning, or optimization
* Interest in data privacy, compliance, and secure data handling practices.
**At Inmar, we put people first and that means empowering our associates to thrive at every stage of life and career. Our comprehensive and competitive benefits package is thoughtfully designed to support a wide range of lifestyles and life stages.**
**Eligible Associates Have Access To**
* Medical, Dental, and Vision insurance
* Basic and Supplemental Life Insurance options
* 401(k) retirement plans with company match
* Health Spending Accounts (HSA/FSA)
**We Also Offer**
* Flexible time off and 11 paid holidays
* Family\-building benefits, including Maternity, Adoption, and Parental Leave
* Tuition Reimbursement and certification support, reflecting our commitment to lifelong learning
* Wellness and Mental Health counseling services
* Concierge and work/life support resources
* Adoption Assistance Reimbursement
* Perks and discount programs
**Please note that eligibility for some benefits may depend on your job classification and length of employment. Benefits are subject to change and may be governed by specific plan or program terms.**
 At Inmar, Compensation Reflects Our Belief In Integrity, Transparency, And The Value Of Individual Contributions. The Hiring Range For This Position Is
 57,287\.25 \- 95,478\.75 USD Annual
 The final offer may vary based on factors such as geographic location, job\-related skills, education, certifications, work experience, and other relevant considerations.
 Depending on the job level and role, it may include:
* Annual discretionary bonuses through our Core Company Performance Bonus Plan
* Equity grants, sign\-on bonuses, and other tailored incentive opportunities
* Additional discretionary compensation, such as:
+ Growing Revenue Incentives
+ Corporate or VIP Bonuses
+ Deferred compensation opportunities
 The actual annualized salary offered at the time of hire will be communicated in the candidate’s offer letter. We remain committed to fairness and transparency across all locations. Where required, including for remote\-eligible roles, local pay ranges are disclosed in accordance with applicable laws and regulations.
 We are an Equal Opportunity Employer, including disability/vets.
**Recruitment Fraud Notice:** 
 Recruitment fraud is an increasingly common scam where individuals pose as employers to offer fictitious job opportunities. Scammers sometimes impersonate Inmar recruiters on LinkedIn and other channels. We will never ask for payment or sensitive personal information during the hiring process. Verify any role on our official Workday Careers site and learn how to spot scams in our full notice.
 This position is not eligible for student visa sponsorship, including F\-1 OPT or CPT. Candidates must have authorization to work in the U.S. without the need for employer sponsorship now or in the future.</t>
        </is>
      </c>
    </row>
    <row r="84">
      <c r="A84" t="inlineStr">
        <is>
          <t>li-4356811141</t>
        </is>
      </c>
      <c r="B84" t="inlineStr">
        <is>
          <t>Senior Data Engineer</t>
        </is>
      </c>
      <c r="C84" t="inlineStr">
        <is>
          <t>The Hartford</t>
        </is>
      </c>
      <c r="D84" t="inlineStr">
        <is>
          <t>linkedin</t>
        </is>
      </c>
      <c r="E84">
        <f>HYPERLINK("https://www.linkedin.com/jobs/view/4356811141", "https://www.linkedin.com/jobs/view/4356811141")</f>
        <v/>
      </c>
      <c r="F84">
        <f>HYPERLINK("https://www.jointhehartford.com/apply/1559/senior-data-engineer-data-analytics-us-il-chicago/?source=LinkedIn&amp;urlHash=t9bO", "https://www.jointhehartford.com/apply/1559/senior-data-engineer-data-analytics-us-il-chicago/?source=LinkedIn&amp;urlHash=t9bO")</f>
        <v/>
      </c>
      <c r="G84" t="inlineStr">
        <is>
          <t>Chicago, IL</t>
        </is>
      </c>
      <c r="H84" t="inlineStr"/>
      <c r="I84" t="inlineStr">
        <is>
          <t>Sr Data Engineer \- GE07BE
 Sr Developer \- IE07GE
 We’re determined to make a difference and are proud to be an insurance company that goes well beyond coverages and policies. Working here means having every opportunity to achieve your goals – and to help others accomplish theirs, too. Join our team as we help shape the future.
**Senior Data Engineer**
 The Hartford's Data Science Organization is seeking a Senior Data Engineer \- Developer to directly support its patented NLP (natural language processing) data asset. The Senior Data Engineer will be responsible for sourcing unstructured data from a variety of disparate sources and formats (free\-form narratives, scanned documents, transcribed conversations, etc.) into its core NLP asset in support of predictive models and operational processes.
 The successful candidate will bring to this role an intellectually curious mindset, a talent for creative problem solving using a variety of technologies, and the strategic vision to propose and execute technical solutions to business problems in the context of cost versus benefit. S/He will work with NLP developers, business partners and IT staff to maintain and enhance the existing asset as well as develop new data flows using existing and new technologies. Leadership skills are required to 1\.) independently drive solutions to success, 2\.) recommend strategic designs, and 3\.) mentor and direct junior data engineers.
 We are looking for a collaborative member of a small, highly effective team who can work independently to remove impediments and execute technical solutions to business problems.
 We are seeking a highly skilled and experienced Senior Data Engineer \- Developer to design, develop, and maintain robust and scalable data pipelines and solutions. This role will play a critical part in shaping our data architecture and ensuring the availability and quality of data for analytics and business intelligence.
**Job Responsibilities**
* Design, develop, and implement complex ETL/ELT processes using various data integration tools and programming language Python , SQL.
* Build and optimize data pipelines from diverse sources, including relational databases, NoSQL databases, APIs, and streaming data platforms.
* Collaborate with data architects, data scientists, and business stakeholders to understand data requirements and translate them into technical solutions.
* Develop and maintain data warehouses and data lakes, ensuring data integrity, security, and performance.
* Implement data governance policies and best practices, including data quality checks, metadata management, and data lineage tracking.
* Automate data workflows, monitoring, and alerting systems to ensure data pipeline reliability and efficiency.
* Troubleshoot and resolve data\-related issues, performing root cause analysis and implementing corrective actions.
* Participate in code reviews, mentor junior data engineers, and contribute to the continuous improvement of our data engineering practices.
* Evaluate and recommend new data technologies and tools to enhance our data platform capabilities.
* Ensure compliance with data privacy regulations and company security policies.
**Job Qualifications**
* Bachelor's degree in Computer Science, Engineering, Information Technology, or a related field. Master's degree preferred.
* 3\+ years of experience in data engineering, software development, or a related role with a strong focus on data.
* Proven expertise in designing, building, and maintaining scalable data pipelines and ETL/ELT processes.
* Strong proficiency in SQL and Python, JavaScript.
* Experience with python packages FastApi, SpaCy, Pydantic, DBduck
* Familiarity with cloud data platforms (e.g., AWS, Azure, GCP) and their respective data services (e.g., S3, Redshift, Snowflake, Databricks).
* Solid understanding of data warehousing concepts, data modeling (dimensional and relational), and database design.
* Experience with version control systems (e.g., Git) and CI/CD pipelines.
* Excellent problem\-solving, analytical, and communication skills.
* Ability to work independently and collaboratively in a fast\-paced, agile environment.
* Experience in the insurance or financial services industry is a plus.
 This role will have a Hybrid work schedule, with the expectation of working in an office (Columbus, OH, Chicago, IL, Hartford, CT or Charlotte, NC)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The posted salary range reflects our ability to hire at different position titles and levels depending on background and experience.
 Equal Opportunity Employer/Sex/Race/Color/Veterans/Disability/Sexual Orientation/Gender Identity or Expression/Religion/Age</t>
        </is>
      </c>
    </row>
    <row r="85">
      <c r="A85" t="inlineStr">
        <is>
          <t>li-4367252658</t>
        </is>
      </c>
      <c r="B85" t="inlineStr">
        <is>
          <t>Researcher III - Data Engineer</t>
        </is>
      </c>
      <c r="C85" t="inlineStr">
        <is>
          <t>CHEManager International</t>
        </is>
      </c>
      <c r="D85" t="inlineStr">
        <is>
          <t>linkedin</t>
        </is>
      </c>
      <c r="E85">
        <f>HYPERLINK("https://www.linkedin.com/jobs/view/4367252658", "https://www.linkedin.com/jobs/view/4367252658")</f>
        <v/>
      </c>
      <c r="F85">
        <f>HYPERLINK("https://www.diversityinresearch.careers/job/1947882/researcher-iii-data-engineer/&amp;urlHash=BkZj", "https://www.diversityinresearch.careers/job/1947882/researcher-iii-data-engineer/&amp;urlHash=BkZj")</f>
        <v/>
      </c>
      <c r="G85" t="inlineStr">
        <is>
          <t>Golden, CO</t>
        </is>
      </c>
      <c r="H85" t="inlineStr"/>
      <c r="I85" t="inlineStr">
        <is>
          <t>****Posting Title****
 Researcher III \- Data Engineer
****Location****
 CO \- Golden
****Position Type****
 Regular
****Hours Per Week****
 40
****Working at NLR****
 NLR is located at the foothills of the Rocky Mountains in Golden, Colorado is the nation's primary laboratory for energy systems research and development.
 Join the National Laboratory of the Rockies (NLR), where world\-class scientists, engineers, and experts are accelerating energy innovation through breakthrough research and systems integration. From our mission to our collaborative culture, NLR stands out in the research community for its commitment to an affordable and secure energy future. Spanning foundational science to applied systems engineering and analysis, we focus on solving complex challenges to deliver advanced, secure, reliable, and cost\-effective energy solutions. Our work helps strengthen U.S. industries, support job creation, and promote national economic growth.
 At NLR, you'll find a mission\-driven environment supported by state\-of\-the\-art facilities, multidisciplinary research teams, and strong collaborations with industry, academia, and other national laboratories. We offer robust professional development opportunities, and a competitive benefits package designed to support your career and well\-being.
**Job Description**
 NLR is seeking a skilled and versatile Data Engineer to join our Data Engineering Group. This role will help to design, build, and maintain scalable and robust data pipelines and architectures that will drive our analytics and data\-driven decision\-making capabilities. The Data Engineering team is a multi\-disciplinary team of data and software engineers, data scientists, and product developers that are at the forefront of developing advanced data solutions for strategic energy analysis at scale. Our work is focused on making energy data and software more accessible, usable, and actionable for researchers and engineers at NLR and beyond.
 For this position, we are looking for a candidate with experience working with lifecycle assessment, statistical techniques, model framework development, sensitivity and uncertainty analysis, and energy policy is required. The successful candidate must be able to operate within a large team of analysts and be responsive to quick turnaround requests and handle shifting priorities and project uncertainty.
**Key Responsibilities**
* Develop bespoke applications using diverse technologies and hybrid (on\-prem/cloud/HPC) solutions that meet specific requirements of our varied client projects.
* Design, construct, test, and maintain scalable data architectures, data lakes, databases, and datasets, as well as large\-scale data processing systems.
* Develop high\-quality software solutions to manage data workflow, optimization, and retrieval.
* Design and implement secure and compliant data models, ETL and analytical pipelines in a distributed and/or hybrid computing environment.
* Work closely with data scientists, analysts, and stakeholders to improve data collection, processing methods, and develop tailored software solutions.
* Ensure data quality and integrity by adhering to data privacy policies and compliance with data protection regulations.
* Proactively research and integrate new technologies, tools, and best practices in data and software engineering.
* Train and deploy machine learning models to accelerate data processes for energy research.
* Explore the use of large language models to enable better energy systems research.
* Develop documentation of data, software, processes and procedures as appropriate.
**Our Team**
**About**
 You will join a team where everyone is striving to improve their knowledge of software development best\-practices, while caring about creating the best possible solution to cutting edge problems. Our team creates secure, reusable, and efficient code, while supporting a variety of teams:
* A dynamic, interdisciplinary research and development environment at a leading national laboratory.
* Opportunities to collaborate with a diverse group of experts in software, data, and engineering domains.
* Work developing cutting\-edge projects and contributing to research in the energy innovation industry.
* Access to world\-class computational resources and datasets.
* A flexible work environment with hybrid remote and onsite work options.
* Professional development opportunities, including mentoring, training, and networking.
**Basic Qualifications**
 Relevant PhD . Or, relevant Master's Degree and 3 or more years of experience . Or, relevant Bachelor's Degree and 5 or more years of experience . Demonstrates complete understanding and wide application of scientific technical procedures, principles, theories and concepts in the field. General knowledge of other related disciplines. Demonstrates leadership in one or more areas of team, task or project lead responsibilities. Demonstrated experience in management of projects. Very good technical writing, interpersonal and communication skills.
* Must meet educational requirements prior to employment start date.
**Additional Required Qualifications**
* Familiarity with data engineering technologies (e.g., Python, SQL, ETL processes)
* Extensive experience developing software and analyzing data with Python.
* Ability to translate technical requirements into structured data configurations.
* Strong understanding of data management concepts, data quality, and data cleaning.
* Experience with a diversity of data technologies.
* Strong analytical and problem\-solving skills.
* Excellent interpersonal skills for engaging with both technical and non\-technical users.
* Strong written and verbal communication skills for documenting workflows and explaining technical concepts.
* Ability to collaborate effectively in a team setting to meet project objectives.
**Preferred Qualifications**
 The ideal candidate will have a strong blend of both data engineering and software engineering skills with the ability to work on hybrid tech stacks. Cross\-cutting, multi\-disciplined candidates will be preferred as we are looking for an engineer who can be a "data\-do\-all" that can implement high quality, production ready code to solve a variety of research and big data problems.
**Strong Candidates Will Have Many Of The Following Expertise**
* Experience with big data (tens to hundreds of TB)
* Experience with version control (git/GitHub)
* Basic understanding of data management practices, such as multi\-source data collection, workflow management, data storage, security, and availability, data governance \&amp; privacy.
* Familiarity with agile development
* Software and/or data quality assurance (verification and validation, testing, etc.)
* Experience with big data tools (e.g., Hadoop, Spark, Kafka, etc.), data pipelines, and software development frameworks
* Experience with parallel programming (High Performance Computing experience is a plus) and hybrid computing (on prem and in the cloud)
* Familiarity with cloud services (such as AWS S3/Glue/Athena/Lambda, Azure Blob Storage, GCP Storage/BigQuery), data warehousing solutions, and containerization technologies (Docker, Kubernetes).
* Experience with SQL, relational databases, and NoSQL databases.
* Knowledge of machine learning frameworks, statistical analysis, and algorithm optimization.
* Experience working with meteorological data (e.g., wind or solar data in NetCDF of HDF5 format). And cloud\-friendly formats, like Parquet.
* Excellent analytical, problem\-solving, and troubleshooting skills.
* Strong communication skills and the ability to collaborate effectively in a multi\-project environment with a multidisciplinary team.
* Web and API development experience is a bonus.
* Prior experience in the energy sector or a research environment is a plus.
****Job Application Submission Window****
 The anticipated closing window for application submission is up to 30 days and may be extended as needed.
****Annual Salary Range (based on full\-time 40 hours per week)****
 Job Profile: Researcher III / Annual Salary Range: $83,600 \- $150,500
 NLR takes into consideration a candidate's education, training, and experience, expected quality and quantity of work, required travel (if any), external market and internal value, including seniority and merit systems, and internal pay alignment when determining the salary level for potential new employees. In compliance with the Colorado Equal Pay for Equal Work Act, a potential new employee's salary history will not be used in compensation decisions.
**Benefits Summary**
 Benefits include medical, dental, and vision insurance; short\*\- and long\-term disability insurance; pension benefits\*; 403(b) Employee Savings Plan with employer match\*; life and accidental death and dismemberment (AD\&amp;D) insurance; personal time off (PTO) and sick leave; paid holidays; and tuition reimbursement\*. NLR employees may be eligible for, but are not guaranteed, performance\-, merit\-, and achievement\- based awards that include a monetary component. Some positions may be eligible for relocation expense reimbursement. Limited\-term positions are not eligible for long\-term disability or tuition reimbursement.
* Based on eligibility rules
****Badging Requirement****
 NLR is subject to Department of Energy (DOE) access restrictions. All employees must also be able to obtain and maintain a federal Personal Identity Verification (PIV) card as required by Homeland Security Presidential Directive 12 (HSPD\-12\), which includes a favorable background investigation.
****Drug Free Workplace****
 NLR is committed to maintaining a drug\-free workplace in accordance with the federal Drug\-Free Workplace Act and complies with federal laws prohibiting the possession and use of illegal drugs. Under federal law, marijuana remains an illegal drug.
 If you are offered employment at NLR, you must pass a pre\-employment drug test prior to commencing employment. Unless prohibited by state or local law, the pre\-employment drug test will include marijuana. If you test positive on the pre\-employment drug test, your offer of employment may be withdrawn.
****Submission Guidelines****
 Please note that in order to be considered an applicant for any position at NLR you must submit an application form for each position for which you believe you are qualified. Applications are not kept on file for future positions. Please include a cover letter and resume with each position application.
****Equal Opportunity Employer****
 All qualified applicants will receive consideration for employment without regard basis of age (40 and over), color, disability, gender identity, genetic information, marital status, domestic partner status, military or veteran status, national origin/ancestry, race, religion, creed, sex (including pregnancy, childbirth, breastfeeding), sexual orientation, and any other applicable status protected by federal, state, or local laws.
**Reasonable Accommodations**
****E\-Verify www.dhs.gov/E\-Verify** 
 For information about right to work, click here for English or here for Spanish.**
 E\-Verify is a registered trademark of the U.S. Department of Homeland Security. This business uses E\-Verify in its hiring practices to achieve a lawful workforce.</t>
        </is>
      </c>
    </row>
    <row r="86">
      <c r="A86" t="inlineStr">
        <is>
          <t>li-4356711275</t>
        </is>
      </c>
      <c r="B86" t="inlineStr">
        <is>
          <t>Data Platform Engineer - AI Development</t>
        </is>
      </c>
      <c r="C86" t="inlineStr">
        <is>
          <t>The Hartford</t>
        </is>
      </c>
      <c r="D86" t="inlineStr">
        <is>
          <t>linkedin</t>
        </is>
      </c>
      <c r="E86">
        <f>HYPERLINK("https://www.linkedin.com/jobs/view/4356711275", "https://www.linkedin.com/jobs/view/4356711275")</f>
        <v/>
      </c>
      <c r="F86">
        <f>HYPERLINK("https://www.jointhehartford.com/apply/2413/data-platform-engineer-ai-development-data-analytics-us-ct-hartford/?source=LinkedIn&amp;urlHash=bNel", "https://www.jointhehartford.com/apply/2413/data-platform-engineer-ai-development-data-analytics-us-ct-hartford/?source=LinkedIn&amp;urlHash=bNel")</f>
        <v/>
      </c>
      <c r="G86" t="inlineStr">
        <is>
          <t>Hartford, CT</t>
        </is>
      </c>
      <c r="H86" t="inlineStr"/>
      <c r="I86"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t>
        </is>
      </c>
    </row>
    <row r="87">
      <c r="A87" t="inlineStr">
        <is>
          <t>li-4367618304</t>
        </is>
      </c>
      <c r="B87" t="inlineStr">
        <is>
          <t>Databricks Data Engineer</t>
        </is>
      </c>
      <c r="C87" t="inlineStr">
        <is>
          <t>Guidehouse</t>
        </is>
      </c>
      <c r="D87" t="inlineStr">
        <is>
          <t>linkedin</t>
        </is>
      </c>
      <c r="E87">
        <f>HYPERLINK("https://www.linkedin.com/jobs/view/4367618304", "https://www.linkedin.com/jobs/view/4367618304")</f>
        <v/>
      </c>
      <c r="F87" t="inlineStr"/>
      <c r="G87" t="inlineStr">
        <is>
          <t>Arlington, VA</t>
        </is>
      </c>
      <c r="H87" t="inlineStr"/>
      <c r="I87" t="inlineStr">
        <is>
          <t>**Job Family**
 Data Engineering \&amp; Architecture Consulting
**Travel Required**
 None
**Clearance Required**
 None
**What You Will Do**
* Develop and implement CI/CD pipelines for Databricks notebooks and jobs.
* Develop ETL pipelines using PySpark and Databricks.
* Implement Delta Lake for ACID transactions and data reliability.
* Optimize ingestion from APIs, streaming, and batch sources.
* Ensure compliance with data governance and security standards.
* Collaborate with data engineers and scientists to support data pipelines and ML workflows.
* Conduct ETL and data quality analysis using various technologies (i.e., Python, Databricks).
* Ensure data governance and quality assurance standards are met.
* Organize and lead meetings, including scheduling meetings; drafting and delivering agendas and meeting minutes; providing and archiving required documentation; and documenting, tracking, and following up on action items.
* Summarize and present information and reports to the team and make recommendations (both oral and written).
**What You Will Need**
* Bachelor’s degree is required
* Minimum SEVEN (7\) years of total experience in cloud\-based data platforms
* Minimum FIVE (5\) years experience with Databricks
* Strong scripting skills (Python, Bash).
* Experience with Delta Lake and Unity Catalog.
* Strong knowledge of Spark architecture and distributed computing.
* Hands\-on experience with Terraform or other IaC tools.
* Experience with Unity Catalog and Delta Lake.
* Experience with data modeling and performance tuning.
* Experience with streaming technologies (Kafka, Event Hub).
* Experience with using CI/CD for data pipelines.
* Familiarity with Kubernetes and container orchestration.
* Excellent problem\-solving skills and attention to detail.
* Strong communication and collaboration skills, with the ability to work effectively in a team environment.
**What Would Be Nice To Have**
* Databricks Certified Data Engineer Associate or Professional.
* Azure Data Engineer Associate or AWS Big Data Specialty.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8">
      <c r="A88" t="inlineStr">
        <is>
          <t>li-4367241938</t>
        </is>
      </c>
      <c r="B88" t="inlineStr">
        <is>
          <t>Lead Data Engineer</t>
        </is>
      </c>
      <c r="C88" t="inlineStr">
        <is>
          <t>Apexon</t>
        </is>
      </c>
      <c r="D88" t="inlineStr">
        <is>
          <t>linkedin</t>
        </is>
      </c>
      <c r="E88">
        <f>HYPERLINK("https://www.linkedin.com/jobs/view/4367241938", "https://www.linkedin.com/jobs/view/4367241938")</f>
        <v/>
      </c>
      <c r="F88" t="inlineStr"/>
      <c r="G88" t="inlineStr">
        <is>
          <t>Dallas, TX</t>
        </is>
      </c>
      <c r="H88" t="inlineStr"/>
      <c r="I88" t="inlineStr">
        <is>
          <t>* Should have strong capabilities and a deep understanding of the credit card and cards domain is sought to support the Data Engineering team. This role requires expertise in Agile practices and a solid grasp of data engineering concepts, including Directed Acyclic Graphs (DAGs), Data Warehousing, SQL, APIs, and microservices, to facilitate report production and robust data solutions.
* Lead Data Engineer will be instrumental in coordinating diverse teams, fostering strong relationships with upstream and downstream stakeholders, and assisting with documentation, ultimately driving the successful delivery of data engineering projects
* Should be able to prioritize the issue, work with internal \&amp; external teams to resolve the issue.
* Tech POC for the exception Management Process
 Skills: Python, SQL, Snowflakes, Familiarity with Airflow, Jira, AWS, Data Dog, Splunk, Databricks, Pyspark, Good understanding of SQS \&amp; KAFKA, Tableau</t>
        </is>
      </c>
    </row>
    <row r="89">
      <c r="A89" t="inlineStr">
        <is>
          <t>li-4356771500</t>
        </is>
      </c>
      <c r="B89" t="inlineStr">
        <is>
          <t>Senior Data Engineer (REMOTE OR HYBRID MA)</t>
        </is>
      </c>
      <c r="C89" t="inlineStr">
        <is>
          <t>The Hanover Insurance Group</t>
        </is>
      </c>
      <c r="D89" t="inlineStr">
        <is>
          <t>linkedin</t>
        </is>
      </c>
      <c r="E89">
        <f>HYPERLINK("https://www.linkedin.com/jobs/view/4356771500", "https://www.linkedin.com/jobs/view/4356771500")</f>
        <v/>
      </c>
      <c r="F89" t="inlineStr"/>
      <c r="G89" t="inlineStr">
        <is>
          <t>Worcester County, MA</t>
        </is>
      </c>
      <c r="H89" t="inlineStr"/>
      <c r="I89" t="inlineStr">
        <is>
          <t>For more than 170 years, The Hanover has been committed to delivering on our promises and being there when it matters the most. We live our values every day, demonstrating we CARE through our values, Sustainability initiatives and inclusive corporate culture.
 Our technology team is currently seeking a Senior Data Engineer to join our growing team in our Worcester, MA office or remote work arrangement.
**POSITION OVERVIEW:**
 Data engineering is the aspect of data science that focuses on practical applications of data collection and analysis. This role will primarily involve becoming proficient with all internal and external data produced and consumed by THG.
 This role will be driving larger, more complicated projects independently as well as mentoring less experienced engineers. The Senior Data Engineer will collaborate with business partners and assume a data/tech lead role on cross\-functional teams delivering data/reporting solutions. The assignments will usually require originality and ingenuity.
 This role will be accountable for successful outcomes related to designing, developing, implementing, optimizing, and maintaining data integrations, pipelines, and solutions.
 This is a full\-time, exempt position.
**IN THIS ROLE, YOU WILL HAVE:**
* Proven experience in data engineering and best practices for data storage, integration, transformation, and access within Azure and on\-premises platforms.
* Proven expertise in designing and implementing data solutions utilizing Azure Resources (Azure Data Factory, Azure Synapse, ADLS, etc).
* Strong experience with data integration, ETL processes, and data warehousing.
* Advanced proficiency in SQL, Python, and PowerShell.
* Proven knowledge of data modeling, governance, and data engineering best practices and patterns.
* Hands\-on experience with optimizing data ingestion pipelines and notebooks for scale, performance, reliability, and cost efficiency.
* Familiarity with integration connectors (APIs, File, SFTP/FTPS, Streaming Data, DB Connectors, SOAP, REST).
* Strong problem\-solving, communication, and collaboration skills.
* Ability to create documentation for data processes and solutions.
* Ensure data security and compliance with industry standards.
* Experienced in agile development methodologies and DevOps best practices.
* Git/Github experience for CI/CD.
* Coaching, mentoring, and technical guidance for junior team members.
* Analytical skills for profiling and analyzing large data sets.
* Critical thinking and attention to detail.
* Debugging skills for data solution issues.
* Collaborate with data scientists, analysts, and stakeholders.
* Monitor and maintain data pipelines.
* Design, develop, and test data mapping with transformation rules.
* Ensure data quality and reliability.
* Develop and maintain documentation for data integration and ETL solutions.
**WHAT YOU NEED TO APPLY:**
* Bachelor’s degree or higher in Data Science, Mathematics, Statistics, Computer Science, Information Systems, Business Information Technology, or equivalent.
* 5 plus years professional experience in data engineering, data architecture, data integration.
* Must be eligible to work in the United States without requiring sponsorship now or in the future (i.e., US Citizen or green card holder).
**PREFERRED:**
* Microsoft DP\-203 or DP\-700 certification.
* Microsoft Fabric experience
* Power BI experience.
* Master’s degree in data science, Mathematics, Statistics, Computer Science, Information Systems, Business Information Technology, or equivalent.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90">
      <c r="A90" t="inlineStr">
        <is>
          <t>li-4367469538</t>
        </is>
      </c>
      <c r="B90" t="inlineStr">
        <is>
          <t>Full time Jr. AI/ML Data Engineer - LLM</t>
        </is>
      </c>
      <c r="C90" t="inlineStr">
        <is>
          <t>E-Solutions</t>
        </is>
      </c>
      <c r="D90" t="inlineStr">
        <is>
          <t>linkedin</t>
        </is>
      </c>
      <c r="E90">
        <f>HYPERLINK("https://www.linkedin.com/jobs/view/4367469538", "https://www.linkedin.com/jobs/view/4367469538")</f>
        <v/>
      </c>
      <c r="F90" t="inlineStr"/>
      <c r="G90" t="inlineStr"/>
      <c r="H90" t="inlineStr"/>
      <c r="I90" t="inlineStr">
        <is>
          <t>**AI/ML Data Engineer \- LLM** 
**Remote** 
**Required Qualifications** 
* **7\+ years** 
 of experience in AI/ML engineering, data science, or applied machine learning roles.
* Strong proficiency in
 **Python** 
 , ML/NLP libraries, and AI development frameworks.
* Hands\-on experience with
 **LLMs, LangChain, LangGraph** 
 , and GenAI architectures.
* Experience deploying GenAI systems using
 **AWS Bedrock, Azure AI Foundry** 
 .
* Strong understanding of
 **LLM security** 
 , prompt engineering, and Responsible AI principles.
* Good foundational experience with
 **data engineering tools and cloud data services** 
 .</t>
        </is>
      </c>
    </row>
    <row r="91">
      <c r="A91" t="inlineStr">
        <is>
          <t>li-4352603917</t>
        </is>
      </c>
      <c r="B91" t="inlineStr">
        <is>
          <t>Senior Data Engineer</t>
        </is>
      </c>
      <c r="C91" t="inlineStr">
        <is>
          <t>NLB Services</t>
        </is>
      </c>
      <c r="D91" t="inlineStr">
        <is>
          <t>linkedin</t>
        </is>
      </c>
      <c r="E91">
        <f>HYPERLINK("https://www.linkedin.com/jobs/view/4352603917", "https://www.linkedin.com/jobs/view/4352603917")</f>
        <v/>
      </c>
      <c r="F91" t="inlineStr"/>
      <c r="G91" t="inlineStr">
        <is>
          <t>Richardson, TX</t>
        </is>
      </c>
      <c r="H91" t="inlineStr"/>
      <c r="I91" t="inlineStr">
        <is>
          <t>**Position:** 
 Lead Data engineer
**Employment Type:** 
 Full\-Time (Permanent)
**Work Mode:** 
 Onsite
**Locations:** 
 Richardson TX
 10\+ Profiles
**Job Description:** 
**Skillset** 
 Python, SQL, Snowflakes, Familiarity with Airflow, Jira, AWS, Data Dog, Splunk, Databricks, Pyspark Good understanding of SQS \&amp; KAFKA, Tableau
 Lead Data Engineer:
 Should have strong Business Analyst capabilities and a deep understanding of the credit card and cards domain is sought to support the Data Engineering team. This role requires expertise in Agile practices and a solid grasp of data engineering concepts, including Directed Acyclic Graphs (DAGs), Data Warehousing, SQL, APIs, and microservices, to facilitate report production and robust data solutions.
 Lead Data Engineer will be instrumental in coordinating diverse teams, fostering strong relationships with upstream and downstream stakeholders, and assisting with documentation, ultimately driving the successful delivery of data engineering projects
 Should be able to prioritize the issue, work with internal \&amp; external teams to resolve the issue.
 Tech POC for the exception Management Process</t>
        </is>
      </c>
    </row>
    <row r="92">
      <c r="A92" t="inlineStr">
        <is>
          <t>li-4356821089</t>
        </is>
      </c>
      <c r="B92" t="inlineStr">
        <is>
          <t>Lead AI Data Engineer</t>
        </is>
      </c>
      <c r="C92" t="inlineStr">
        <is>
          <t>The Hartford</t>
        </is>
      </c>
      <c r="D92" t="inlineStr">
        <is>
          <t>linkedin</t>
        </is>
      </c>
      <c r="E92">
        <f>HYPERLINK("https://www.linkedin.com/jobs/view/4356821089", "https://www.linkedin.com/jobs/view/4356821089")</f>
        <v/>
      </c>
      <c r="F92">
        <f>HYPERLINK("https://www.jointhehartford.com/apply/2479/lead-ai-data-engineer-data-engineering-us-ct-hartford/?source=LinkedIn&amp;urlHash=HJYz", "https://www.jointhehartford.com/apply/2479/lead-ai-data-engineer-data-engineering-us-ct-hartford/?source=LinkedIn&amp;urlHash=HJYz")</f>
        <v/>
      </c>
      <c r="G92" t="inlineStr">
        <is>
          <t>Hartford, CT</t>
        </is>
      </c>
      <c r="H92" t="inlineStr"/>
      <c r="I92"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Lead AI Data Engineer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This role will have a Hybrid work schedule, with the expectation of working in an office (Columbus, OH, Chicago, IL, Hartford, CT or Charlotte, NC) 3 days a week (Tuesday through Thursday).
**Key Responsibilities**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93">
      <c r="A93" t="inlineStr">
        <is>
          <t>li-4367284267</t>
        </is>
      </c>
      <c r="B93" t="inlineStr">
        <is>
          <t>Data Engineer (Op AI)</t>
        </is>
      </c>
      <c r="C93" t="inlineStr">
        <is>
          <t>Jobs via Dice</t>
        </is>
      </c>
      <c r="D93" t="inlineStr">
        <is>
          <t>linkedin</t>
        </is>
      </c>
      <c r="E93">
        <f>HYPERLINK("https://www.linkedin.com/jobs/view/4367284267", "https://www.linkedin.com/jobs/view/4367284267")</f>
        <v/>
      </c>
      <c r="F93" t="inlineStr"/>
      <c r="G93" t="inlineStr">
        <is>
          <t>San Diego, CA</t>
        </is>
      </c>
      <c r="H93" t="inlineStr"/>
      <c r="I93" t="inlineStr">
        <is>
          <t>Job ID: 2600881
**Location:** 
 SAN DIEGO, CA, US
**Date Posted:** 
 2026\-01\-29
**Category:** 
 Information Technology
**Subcategory:** 
 Database Engr
**Schedule:** 
 Full\-time
**Shift:** 
 Day Job
**Travel:** 
 No
**Minimum Clearance Required:** 
 Top Secret
**Clearance Level Must Be Able to Obtain:** 
 TS/SCI
**Potential for Remote Work:** 
 No
**Description**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SAIC is seeking a
 **Data Engineer** 
 in support of NAVWAR's Naval Operational Architecture (NOA) program in San Diego, CA. The Data Engineer will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CA.**
 Please view our program page for more information and to view all open positions available:
**Job Duties:**
 Conduct data pre\-processing, exploratory data analysis, and data pipeline engineering to ensure performant and high\-quality data output.
 Conduct thorough testing and validation of data pipelines and analytics to ensure accuracy, reliability, and robustness.
 Design or normalize data to common standards to support interoperability and analytical workflows.
 Develop and deploy data pipelines and analytics in real\-world applications.
 Work with multiple data formats, including CSV, JSON, XML, Parquet, and ORC.
 Perform exploratory data analysis, algorithm development, and testing.
 Deploy, monitor, and improve data pipelines for operational environments.
 Implement event streaming pipelines using Apache Kafka, RabbitMQ, or ZeroMQ.
 Collaborate with analytics, engineering, and mission teams to ensure effective data integration and output quality.
 Stay current with emerging trends in data engineering, distributed systems, and modern data architecture.
 Document data processes, pipeline structures, and engineering best practices.
**Qualifications**
**Education and Years of Experience Requirements:**
* Bachelor's degree in computer science, Data Science, Engineering, Mathematics, Statistics, or a related STEM field and eight (8\) years of experience in of AI/ML experience in defense or intelligence environments.
**Citizenship and Clearance requirements:**
* No dual citizenship.
* Active Top Secret clearance required; TS SCI clearance preferred.
**Required Skills and Experience:**
* Experience as a business analyst, data analyst, data scientist, data engineer, database administrator, geospatial analyst/engineer, machine learning engineer, or software engineer.
* Strong programming skills in Python.
* Experience designing or normalizing data to common standards.
* Experience with data pipeline development and real\-world deployment.
* Experience with multiple data formats: CSV, JSON, XML, Parquet, ORC.
* Familiarity with event streaming platforms (Kafka, RabbitMQ, ZeroMQ).
* Experience with exploratory data analysis, algorithm development, and testing.
* Experience deploying, monitoring, and improving data pipelines.
* Strong problem\-solving and analytical skills.
* Excellent communication skills and ability to work effectively in a collaborative team environment.
* Familiarity with data pipeline frameworks and libraries (AirByte, Apache Airflow, dbt, Apache Iceberg, Snowflake).
* Experience retrieving and managing GIS data (ArcGIS, PostGIS).
* Programming skills in Go or Rust.
* Expertise with Elasticsearch, Redis, S3, PostgreSQL, or similar data stores.
* Experience with AWS native data services: EFS, RDS, S3, SNS, SQS.
* Experience with distributed computing and parallel processing (AWS Lambda, DASK, Spark).
* Familiarity with cloud platforms (AWS, Azure) and containerization (Docker, Kubernetes).
* Understanding of cybersecurity principles in the context of data applications.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 Ability to operate in a DDIL office environment
**Preferred Skills and Experience:**
* Experience with large\-scale data architecture across secure DoD or government environments.
* Experience supporting NAVWAR, NIWC Pacific, or other Navy programs.
* Experience integrating data pipelines into operational mission systems.
* Familiarity with ML Ops or data engineering in classified or cross\-domain environments.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94">
      <c r="A94" t="inlineStr">
        <is>
          <t>li-4367254802</t>
        </is>
      </c>
      <c r="B94" t="inlineStr">
        <is>
          <t>Senior Data Engineer</t>
        </is>
      </c>
      <c r="C94" t="inlineStr">
        <is>
          <t>Capital One</t>
        </is>
      </c>
      <c r="D94" t="inlineStr">
        <is>
          <t>linkedin</t>
        </is>
      </c>
      <c r="E94">
        <f>HYPERLINK("https://www.linkedin.com/jobs/view/4367254802", "https://www.linkedin.com/jobs/view/4367254802")</f>
        <v/>
      </c>
      <c r="F94">
        <f>HYPERLINK("https://dsp.prng.co/HS_GA2b&amp;urlHash=2BH-", "https://dsp.prng.co/HS_GA2b&amp;urlHash=2BH-")</f>
        <v/>
      </c>
      <c r="G94" t="inlineStr">
        <is>
          <t>New York, NY</t>
        </is>
      </c>
      <c r="H94" t="inlineStr"/>
      <c r="I9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li-4343952069</t>
        </is>
      </c>
      <c r="B95" t="inlineStr">
        <is>
          <t>Healthcare Senior Data Engineer, Analytics Hub</t>
        </is>
      </c>
      <c r="C95" t="inlineStr">
        <is>
          <t>ECG Management Consultants</t>
        </is>
      </c>
      <c r="D95" t="inlineStr">
        <is>
          <t>linkedin</t>
        </is>
      </c>
      <c r="E95">
        <f>HYPERLINK("https://www.linkedin.com/jobs/view/4343952069", "https://www.linkedin.com/jobs/view/4343952069")</f>
        <v/>
      </c>
      <c r="F95" t="inlineStr"/>
      <c r="G95" t="inlineStr">
        <is>
          <t>Arlington, VA</t>
        </is>
      </c>
      <c r="H95" t="inlineStr"/>
      <c r="I95"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96">
      <c r="A96" t="inlineStr">
        <is>
          <t>li-4367281324</t>
        </is>
      </c>
      <c r="B96" t="inlineStr">
        <is>
          <t>Sr. BI Analytics Engineer</t>
        </is>
      </c>
      <c r="C96" t="inlineStr">
        <is>
          <t>Jobs via Dice</t>
        </is>
      </c>
      <c r="D96" t="inlineStr">
        <is>
          <t>linkedin</t>
        </is>
      </c>
      <c r="E96">
        <f>HYPERLINK("https://www.linkedin.com/jobs/view/4367281324", "https://www.linkedin.com/jobs/view/4367281324")</f>
        <v/>
      </c>
      <c r="F96">
        <f>HYPERLINK("https://click.appcast.io/t/O9be6agH3oEdeaHdUFlG9my6AAfqNMBeEI94dZbaDTo=&amp;urlHash=AM44", "https://click.appcast.io/t/O9be6agH3oEdeaHdUFlG9my6AAfqNMBeEI94dZbaDTo=&amp;urlHash=AM44")</f>
        <v/>
      </c>
      <c r="G96" t="inlineStr"/>
      <c r="H96" t="inlineStr"/>
      <c r="I96" t="inlineStr">
        <is>
          <t>Dice is the leading career destination for tech experts at every stage of their careers. Our client, AIT Global, Inc., is seeking the following. Apply via Dice today!
**Job Title: Sr. BI Analytics Engineer
 Location: Remote**
**Experience:**
* 7\+ years of experience in BI, analytics engineering, or data analytics roles.
* Strong expertise in Power BI: DAX, Power Query (M), Data modeling and performance optimization
* Extensive experience with Snowflake: Analytics data modeling, Query optimization and cost management, Secure data sharing
* Advanced SQL skills.
* Proficiency in Python or R for analytics and ML development.
* Hands\-on experience with machine learning frameworks (scikit\-learn, TensorFlow, PyTorch, or similar).
* Strong understanding of statistical analysis and predictive modeling techniques.
* Experience with ETL/ELT concepts and analytics engineering workflows.
* Familiarity with Git and CI/CD for analytics and ML solutions.
* Excellent communication and stakeholder management skills.</t>
        </is>
      </c>
    </row>
    <row r="97">
      <c r="A97" t="inlineStr">
        <is>
          <t>li-4367464888</t>
        </is>
      </c>
      <c r="B97" t="inlineStr">
        <is>
          <t>Risk Technology - Lead Data Platform Engineer</t>
        </is>
      </c>
      <c r="C97" t="inlineStr">
        <is>
          <t>Selby Jennings</t>
        </is>
      </c>
      <c r="D97" t="inlineStr">
        <is>
          <t>linkedin</t>
        </is>
      </c>
      <c r="E97">
        <f>HYPERLINK("https://www.linkedin.com/jobs/view/4367464888", "https://www.linkedin.com/jobs/view/4367464888")</f>
        <v/>
      </c>
      <c r="F97" t="inlineStr"/>
      <c r="G97" t="inlineStr">
        <is>
          <t>Chicago, IL</t>
        </is>
      </c>
      <c r="H97" t="inlineStr"/>
      <c r="I97" t="inlineStr">
        <is>
          <t>**Data Platform Engineering Lead \-** 
**Role Overview** 
 We are seeking an experienced technical leader to drive the design and development of our next‑generation Data Platform\-a core strategic asset enabling scalable data onboarding, processing, and transformation across the organization. The ideal candidate combines deep engineering expertise, hands‑on distributed systems experience, and a proven record of managing high‑performing teams. Candidates from financial services\-especially hedge funds or similarly data‑intensive trading environments\-are strongly preferred.
 This role is hands‑on. Whether operating as a manager or as an IC technical lead, the candidate must actively contribute to architecture, coding, design reviews, and technical problem‑solving.
 The position requires onsite presence in Chicago or New York at least four days per week; candidates must be open to relocating.
 What You'll Do
* Build and enhance systems, tools, and frameworks supporting data engineers, analysts, and scientists.
* Architect and evolve distributed data systems to support enterprise‑scale workloads.
* Lead, manage, and mentor a team of developers while remaining deeply hands‑on in technical design and implementation.
* Plan, organize, and deliver development initiatives using Agile methodologies.
* Utilize AWS services for logging, monitoring, orchestration, and data storage.
* Investigate and resolve time‑critical production issues in a fast‑paced environment.
 Minimum Qualifications
* 6\+ years of hands‑on Python development experience.
* 6\+ years of experience working with SQL databases.
* 5\+ years building distributed systems with web‑service or event‑driven architectures.
* 5\+ years managing engineering teams, with demonstrated hands‑on technical involvement.
* 3\+ years of AWS development experience.
* Strong written and verbal communication skills.
* Bachelor's degree or higher in Computer Science or another STEM field.
* Willingness to work onsite in Chicago or New York at least four days per week and relocate if needed.
 Preferred Qualifications
* Experience in financial services\-ideally within a hedge fund or similar data‑intensive environment.
* 5\+ years working with big data technologies (e.g., Snowflake, Trino, Iceberg, DataHub, Airflow).
* Prior experience developing large‑scale, data‑centric systems.</t>
        </is>
      </c>
    </row>
    <row r="98">
      <c r="A98" t="inlineStr">
        <is>
          <t>li-4356861066</t>
        </is>
      </c>
      <c r="B98" t="inlineStr">
        <is>
          <t>Lead AI Data Engineer - Hybrid</t>
        </is>
      </c>
      <c r="C98" t="inlineStr">
        <is>
          <t>The Hartford</t>
        </is>
      </c>
      <c r="D98" t="inlineStr">
        <is>
          <t>linkedin</t>
        </is>
      </c>
      <c r="E98">
        <f>HYPERLINK("https://www.linkedin.com/jobs/view/4356861066", "https://www.linkedin.com/jobs/view/4356861066")</f>
        <v/>
      </c>
      <c r="F98" t="inlineStr"/>
      <c r="G98" t="inlineStr">
        <is>
          <t>Charlotte, NC</t>
        </is>
      </c>
      <c r="H98" t="inlineStr"/>
      <c r="I98"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99">
      <c r="A99" t="inlineStr">
        <is>
          <t>li-4352302550</t>
        </is>
      </c>
      <c r="B99" t="inlineStr">
        <is>
          <t>Databricks Data Engineer - Manager - Consulting - Miami</t>
        </is>
      </c>
      <c r="C99" t="inlineStr">
        <is>
          <t>EY</t>
        </is>
      </c>
      <c r="D99" t="inlineStr">
        <is>
          <t>linkedin</t>
        </is>
      </c>
      <c r="E99">
        <f>HYPERLINK("https://www.linkedin.com/jobs/view/4352302550", "https://www.linkedin.com/jobs/view/4352302550")</f>
        <v/>
      </c>
      <c r="F99" t="inlineStr"/>
      <c r="G99" t="inlineStr">
        <is>
          <t>Rochester, NY</t>
        </is>
      </c>
      <c r="H99" t="inlineStr"/>
      <c r="I9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0">
      <c r="A100" t="inlineStr">
        <is>
          <t>li-4367250970</t>
        </is>
      </c>
      <c r="B100" t="inlineStr">
        <is>
          <t>Senior Data Engineer</t>
        </is>
      </c>
      <c r="C100" t="inlineStr">
        <is>
          <t>Capital One</t>
        </is>
      </c>
      <c r="D100" t="inlineStr">
        <is>
          <t>linkedin</t>
        </is>
      </c>
      <c r="E100">
        <f>HYPERLINK("https://www.linkedin.com/jobs/view/4367250970", "https://www.linkedin.com/jobs/view/4367250970")</f>
        <v/>
      </c>
      <c r="F100">
        <f>HYPERLINK("https://dsp.prng.co/qr33vrb&amp;urlHash=1MfD", "https://dsp.prng.co/qr33vrb&amp;urlHash=1MfD")</f>
        <v/>
      </c>
      <c r="G100" t="inlineStr">
        <is>
          <t>McLean, VA</t>
        </is>
      </c>
      <c r="H100" t="inlineStr"/>
      <c r="I10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1">
      <c r="A101" t="inlineStr">
        <is>
          <t>li-4367264582</t>
        </is>
      </c>
      <c r="B101" t="inlineStr">
        <is>
          <t>Senior Data Engineer</t>
        </is>
      </c>
      <c r="C101" t="inlineStr">
        <is>
          <t>Capital One</t>
        </is>
      </c>
      <c r="D101" t="inlineStr">
        <is>
          <t>linkedin</t>
        </is>
      </c>
      <c r="E101">
        <f>HYPERLINK("https://www.linkedin.com/jobs/view/4367264582", "https://www.linkedin.com/jobs/view/4367264582")</f>
        <v/>
      </c>
      <c r="F101">
        <f>HYPERLINK("https://dsp.prng.co/Z8aAGPb&amp;urlHash=dERp", "https://dsp.prng.co/Z8aAGPb&amp;urlHash=dERp")</f>
        <v/>
      </c>
      <c r="G101" t="inlineStr">
        <is>
          <t>Richmond, VA</t>
        </is>
      </c>
      <c r="H101" t="inlineStr"/>
      <c r="I1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2">
      <c r="A102" t="inlineStr">
        <is>
          <t>li-4367275536</t>
        </is>
      </c>
      <c r="B102" t="inlineStr">
        <is>
          <t>Data Engineer</t>
        </is>
      </c>
      <c r="C102" t="inlineStr">
        <is>
          <t>Jobs via Dice</t>
        </is>
      </c>
      <c r="D102" t="inlineStr">
        <is>
          <t>linkedin</t>
        </is>
      </c>
      <c r="E102">
        <f>HYPERLINK("https://www.linkedin.com/jobs/view/4367275536", "https://www.linkedin.com/jobs/view/4367275536")</f>
        <v/>
      </c>
      <c r="F102">
        <f>HYPERLINK("https://click.appcast.io/t/Ejs_HNpg96Wwu-BQ7whzCL8KxNyZKAoVl6X06wPFEUY=&amp;urlHash=Ux0O", "https://click.appcast.io/t/Ejs_HNpg96Wwu-BQ7whzCL8KxNyZKAoVl6X06wPFEUY=&amp;urlHash=Ux0O")</f>
        <v/>
      </c>
      <c r="G102" t="inlineStr">
        <is>
          <t>Albany, NY</t>
        </is>
      </c>
      <c r="H102" t="inlineStr"/>
      <c r="I102" t="inlineStr">
        <is>
          <t>Dice is the leading career destination for tech experts at every stage of their careers. Our client, PETADATA, is seeking the following. Apply via Dice today!
**Position: Data Engineer**
**Location: Albany, NY (Onsite/Remote)**
**Experience: 10\+ Years**
**Work type: C2C only**
**Visa Type: H1\-B, and**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Google Cloud Platform
* Work with services like:
* AWS: S3, Glue, Redshift, EMR, Athena
* Azure: Data Factory, Synapse
* Google Cloud Platform: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Google Cloud Platform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Google Cloud Platform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row>
    <row r="103">
      <c r="A103" t="inlineStr">
        <is>
          <t>li-4356811160</t>
        </is>
      </c>
      <c r="B103" t="inlineStr">
        <is>
          <t>Sr. Staff Data Engineer (Tech Lead) - Hybrid</t>
        </is>
      </c>
      <c r="C103" t="inlineStr">
        <is>
          <t>The Hartford</t>
        </is>
      </c>
      <c r="D103" t="inlineStr">
        <is>
          <t>linkedin</t>
        </is>
      </c>
      <c r="E103">
        <f>HYPERLINK("https://www.linkedin.com/jobs/view/4356811160", "https://www.linkedin.com/jobs/view/4356811160")</f>
        <v/>
      </c>
      <c r="F103">
        <f>HYPERLINK("https://www.jointhehartford.com/apply/2110/sr-staff-data-engineer-tech-lead-hybrid-data-analytics-us-il-chicago/?source=LinkedIn&amp;urlHash=tmAT", "https://www.jointhehartford.com/apply/2110/sr-staff-data-engineer-tech-lead-hybrid-data-analytics-us-il-chicago/?source=LinkedIn&amp;urlHash=tmAT")</f>
        <v/>
      </c>
      <c r="G103" t="inlineStr">
        <is>
          <t>Chicago, IL</t>
        </is>
      </c>
      <c r="H103" t="inlineStr"/>
      <c r="I103"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Enterprise Data Services \- Sales \&amp; Distribution IT is undergoing a transformation to the Cloud, and we are looking for an enthusiastic Sr. Staff Data Engineer to join our team. In this role, you will be leading the efforts to develop, enhance, and support new and existing ETL data pipelines, ingestions, and storage across various medium and large sized projects concurrently. This is an individual contributor position responsible for expanding and optimizing data pipeline and product architecture, as well as optimizing data flow and collection for cross functional teams. The ideal candidate is an experienced data pipeline builder and data wrangler who enjoys optimizing data systems and building them from the ground up.
 You will work on implementing complex data projects, focusing on collecting, parsing, managing, analyzing, and visualizing large sets of data to turn information into insights using multiple platforms. You will support our software developers, data architects, analysts and data scientists on vital initiatives and ensure optimal data delivery architecture.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data engineers.
 This role can have a Hybrid work schedule. Candidates who live near one of our office locations (Charlotte NC, Hartford CT, Chicago, IL, Columbus, OH) will have the expectation of working in an office 3 days a week (Tuesday through Thursday)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04">
      <c r="A104" t="inlineStr">
        <is>
          <t>li-4356701310</t>
        </is>
      </c>
      <c r="B104" t="inlineStr">
        <is>
          <t>Senior Staff AI Data Engineer - Hybrid</t>
        </is>
      </c>
      <c r="C104" t="inlineStr">
        <is>
          <t>The Hartford</t>
        </is>
      </c>
      <c r="D104" t="inlineStr">
        <is>
          <t>linkedin</t>
        </is>
      </c>
      <c r="E104">
        <f>HYPERLINK("https://www.linkedin.com/jobs/view/4356701310", "https://www.linkedin.com/jobs/view/4356701310")</f>
        <v/>
      </c>
      <c r="F104">
        <f>HYPERLINK("https://www.jointhehartford.com/apply/1420/senior-staff-ai-data-engineer-hybrid-data-analytics-us-ct-danbury/?source=LinkedIn&amp;urlHash=ZIwr", "https://www.jointhehartford.com/apply/1420/senior-staff-ai-data-engineer-hybrid-data-analytics-us-ct-danbury/?source=LinkedIn&amp;urlHash=ZIwr")</f>
        <v/>
      </c>
      <c r="G104" t="inlineStr">
        <is>
          <t>Danbury, CT</t>
        </is>
      </c>
      <c r="H104" t="inlineStr"/>
      <c r="I104"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Senior Staff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location (Hartford, CT; Danbury, CT; Chicago, IL; Columbus, OH; and Charlotte, NC) 3 days a week (Tuesday through Thursday).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SnowPipe.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Python/Spark, Datamesh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 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or GCP or Azure)
* Strong written and verbal communication skills and ability to explain technical concepts to various stakeholders.
**Preferred Qualifications**
* Experience in multi cloud hybrid AI solutions.
* AI Certifications
* Experience in P\&amp;C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05">
      <c r="A105" t="inlineStr">
        <is>
          <t>li-4367282280</t>
        </is>
      </c>
      <c r="B105" t="inlineStr">
        <is>
          <t>Azure Data Engineer</t>
        </is>
      </c>
      <c r="C105" t="inlineStr">
        <is>
          <t>Jobs via Dice</t>
        </is>
      </c>
      <c r="D105" t="inlineStr">
        <is>
          <t>linkedin</t>
        </is>
      </c>
      <c r="E105">
        <f>HYPERLINK("https://www.linkedin.com/jobs/view/4367282280", "https://www.linkedin.com/jobs/view/4367282280")</f>
        <v/>
      </c>
      <c r="F105">
        <f>HYPERLINK("https://click.appcast.io/t/tafwpuUqs-27-F65pyqDFKKv2TAz5jDnpmgizZlBkQ8=&amp;urlHash=u_Vx", "https://click.appcast.io/t/tafwpuUqs-27-F65pyqDFKKv2TAz5jDnpmgizZlBkQ8=&amp;urlHash=u_Vx")</f>
        <v/>
      </c>
      <c r="G105" t="inlineStr">
        <is>
          <t>Weehawken, NJ</t>
        </is>
      </c>
      <c r="H105" t="inlineStr"/>
      <c r="I105" t="inlineStr">
        <is>
          <t>Dice is the leading career destination for tech experts at every stage of their careers. Our client, ClifyX, is seeking the following. Apply via Dice today!
 Employment Type:
 **Open on both W2 and C2C**
 Work Location \&amp; Reporting Address:
 **Weehawken, NJ 07086**
 Work Mode:
 **All 5 days from Client Office**
 Minimum years of experience:
 **12\+ years**
 Interview Process:
 **In\-Person Interview at the client's side is mandatory**
**Detailed Job Description:**
 As Azure Data Engineer you will be responsible for building and managing data pipelines on Microsoft Azure, integrating, transforming, and loading data for analytics using services like Azure Data Factory, Databricks, and Synapse, requiring strong SQL, Python, and cloud skills for creating reliable, scalable data solutions for analysts and scientists. The field is shifting towards Microsoft Fabric, a unified data platform, and demands expertise in big data, data modeling, and cloud architecture.
**Core Responsibilities:**
* Build Data Pipelines: Design, develop, and maintain ETL/ELT processes to move and transform data.
* Data Transformation: Cleanse, map, and optimize data for analysis.
* Manage Data Stores: Work with data lakes, data warehouses (like Synapse), and databases.
* Automate Tasks: Deploy production code and automate data workflows.
* Collaborate: Support data scientists, analysts, and developers.
**Key Skills \&amp; Technologies:**
* Languages: SQL (essential for querying), Python (for scripting, PySpark).
* Azure Services: Azure Data Factory (ADF), Azure Databricks, Azure Synapse Analytics, Azure Cosmos DB, Azure DevOps.
* Big Data: Apache Spark, DataBricks, Hadoop (foundational knowledge).
* Concepts: Data Warehousing, Data Modeling, ETL, CI/CD.</t>
        </is>
      </c>
    </row>
    <row r="106">
      <c r="A106" t="inlineStr">
        <is>
          <t>li-4367288172</t>
        </is>
      </c>
      <c r="B106" t="inlineStr">
        <is>
          <t>Data Engineer III</t>
        </is>
      </c>
      <c r="C106" t="inlineStr">
        <is>
          <t>Jobs via Dice</t>
        </is>
      </c>
      <c r="D106" t="inlineStr">
        <is>
          <t>linkedin</t>
        </is>
      </c>
      <c r="E106">
        <f>HYPERLINK("https://www.linkedin.com/jobs/view/4367288172", "https://www.linkedin.com/jobs/view/4367288172")</f>
        <v/>
      </c>
      <c r="F106" t="inlineStr"/>
      <c r="G106" t="inlineStr">
        <is>
          <t>Redmond, WA</t>
        </is>
      </c>
      <c r="H106" t="inlineStr"/>
      <c r="I106" t="inlineStr">
        <is>
          <t>**Data Engineer**
**100% Onsite in Redmond, WA**
**Description**
 Key Technical Requirements:
 SQL Expertise:
* Strong knowledge of SQL for complex querying optimization and database design.
* Experience with time\-series databases preferably Amazon Timestream.
 Amazon Timestream:
* Hands\-on experience in designing implementing and managing time\-series data in Amazon Timestream.
* Proficiency in defining retention policies querying and optimizing time\-series data workflows.
 Python Development:
* Proficiency in Python for data engineering tasks including integration with AWS services.
* Experience with Python libraries such as Pandas SQLAlchemy or PySpark for handling data processing and analysis.
 AWS Cloud Services:
* Deep knowledge of AWS services related to data engineering such as Amazon S3 Lambda Redshift.
* Experience with managing data pipelines security and automation on AWS.
 Database Design Management:
* Experience in schema design performance optimization and maintenance for both relational and NoSQL databases.
* Understanding of best practices for cloud\-based database management including backup disaster recovery and monitoring.
 Problem Solving Performance Optimization:
* Strong troubleshooting skills for performance issues in both data pipelines and databases.
* Experience with scaling databases and pipelines to accommodate increasing data volume and complexity.
**Job Type \&amp; Location**
 This is a Contract position based out of Redmond, WA.
**Pay And Benefits**
 The pay range for this position is $80\.00 \- $85\.00/hr.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Redmond,WA.
**Application Deadline**
 This position is anticipated to close on Jan 31,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07">
      <c r="A107" t="inlineStr">
        <is>
          <t>li-4367282277</t>
        </is>
      </c>
      <c r="B107" t="inlineStr">
        <is>
          <t>Sr. Data Engineer</t>
        </is>
      </c>
      <c r="C107" t="inlineStr">
        <is>
          <t>Jobs via Dice</t>
        </is>
      </c>
      <c r="D107" t="inlineStr">
        <is>
          <t>linkedin</t>
        </is>
      </c>
      <c r="E107">
        <f>HYPERLINK("https://www.linkedin.com/jobs/view/4367282277", "https://www.linkedin.com/jobs/view/4367282277")</f>
        <v/>
      </c>
      <c r="F107" t="inlineStr"/>
      <c r="G107" t="inlineStr">
        <is>
          <t>San Jose, CA</t>
        </is>
      </c>
      <c r="H107" t="inlineStr"/>
      <c r="I107" t="inlineStr">
        <is>
          <t>Dice is the leading career destination for tech experts at every stage of their careers. Our client, NMK Global Inc., is seeking the following. Apply via Dice today!
**Job Title: Sr. Data Engineer**
**Location: Bay Area: CA (Day 1 Onsite)**
**Duration: Long Term**
**Visa: H1/ EAD/Citizen**
**15\+ years of exp**
**Note: Strong Python and Pyspark, Good with Data Structures and algorithms**
**Job Description:**
 Develop and enhance data\-processing, orchestration, monitoring, and more by leveraging popular open\-source software, AWS, and GitLab automation.
 Collaborate with product and technology teams to design and validate the capabilities of the data platform
 Identify, design, and implement process improvements: automating manual processes, optimizing for usability, re\-designing for greater scalability
 Provide technical support and usage guidance to the users of our platform s services.
 Drive the creation and refinement of metrics, monitoring, and alerting mechanisms to give us the visibility we need into our production services.
**Qualifications** 
 :
 Experience building and optimizing data pipelines in a distributed environment
 Experience supporting and working with cross\-functional teams..
 Proficiency working in Linux environment
 working knowledge of SQL, Python, and PySpark
 Git/Bitbucket, Jenkins/Code Build, Code Pipeline</t>
        </is>
      </c>
    </row>
    <row r="108">
      <c r="A108" t="inlineStr">
        <is>
          <t>li-4365366130</t>
        </is>
      </c>
      <c r="B108" t="inlineStr">
        <is>
          <t>Front &amp; Middle Office Data Engineer - Alpha, AVP</t>
        </is>
      </c>
      <c r="C108" t="inlineStr">
        <is>
          <t>State Street</t>
        </is>
      </c>
      <c r="D108" t="inlineStr">
        <is>
          <t>linkedin</t>
        </is>
      </c>
      <c r="E108">
        <f>HYPERLINK("https://www.linkedin.com/jobs/view/4365366130", "https://www.linkedin.com/jobs/view/4365366130")</f>
        <v/>
      </c>
      <c r="F108" t="inlineStr"/>
      <c r="G108" t="inlineStr">
        <is>
          <t>Quincy, MA</t>
        </is>
      </c>
      <c r="H108" t="inlineStr"/>
      <c r="I108" t="inlineStr">
        <is>
          <t>**Who We Are Looking For**
 We are looking for an experienced individual to lead projects in design, implementation and represent Alpha’s requirements with the client reporting team. The incumbent will work with operations teams, technology teams and clients to deliver various projects.
 In this role you will lead the efforts to analyze business requirements and technical solutions to deliver high quality data solutions to our clients.
 This position will interface with data experts, data sourcing resources and assist in the validation of required data. The incumbent will serve as the primary subject matter expert across the Alpha organization and assist with development schedules, prioritization and requirements gathering with our client reporting project team.
 Ensure project activity is customer focused, result orientated and performance driven.
**Why this role is important to us**
 We gather data from multiple sources internally and externally (IBOR, ABOR, performance, market data vendors and client supplied data), and make that data available for consumption by our clients. Clients will have direct access to their data in ADP.
**What You Will Be Responsible For**
* Lead projects in design and implementation of data flow and data accuracy. Work with operations, clients, and technology to deliver various projects.
* Analyze technical solutions to business requirements and work with the business teams to identify requirements.
* Develop data, functional requirements, and estimates for deploying new capabilities.
* Participate in information delivery and business intelligence strategy sessions.
* Complete data analysis, profiling, and data mappings.
* Interface with data experts, data sourcing resources and assist in the data validation.
* Assist in the development the conceptual/logical data models with appropriate business contexts.
* Perform gap analysis on complex financial data.
* Ensure project activity is customer focused, results oriented, performance driven, and in compliance with all applicable internal and external requirements.
* Employ analytical, conceptual, and creative thinking skills to improve performance.
* Study, evaluate, and document current and future business processes while staying aligned with strategic goals.
* Support user training, documentation, and rollout
* Support overall project management and business strategy related to information delivery.
* Maintain effective working relationships with organizational team and clients.
**What We Value**
 These skills will help you succeed in this role.
* Ability to write SQL code for strong data analysis through queries, data profiling, and data validation exercises.
* Understands BI/reporting tool architecture, functions, and features.
* Demonstrated excellence in business writing, development of business process flow diagrams, making comparisons regarding current and future processes, and effective communication.
* Ability to articulate basic project methodology concepts using either SDLC or Agile
* Ability to analyze entity\-relationship diagrams and logical data models to validate design against requirements.
* Familiarity with financial reporting, business intelligence, and data warehousing principles
* Excellent oral and written communication skills for diverse audiences with excellent facilitation
**Education \&amp; Preferred Qualifications**
* Bachelor's degree in Business, Accounting, Finance, MIS, Information Technology, or related field of study
* 7\+ years’ experience data analysis or client reporting
**Salary Range**
 $80,000 \- $140,000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R\-780133</t>
        </is>
      </c>
    </row>
    <row r="109">
      <c r="A109" t="inlineStr">
        <is>
          <t>li-4367278428</t>
        </is>
      </c>
      <c r="B109" t="inlineStr">
        <is>
          <t>Data Engineer with Azure</t>
        </is>
      </c>
      <c r="C109" t="inlineStr">
        <is>
          <t>Jobs via Dice</t>
        </is>
      </c>
      <c r="D109" t="inlineStr">
        <is>
          <t>linkedin</t>
        </is>
      </c>
      <c r="E109">
        <f>HYPERLINK("https://www.linkedin.com/jobs/view/4367278428", "https://www.linkedin.com/jobs/view/4367278428")</f>
        <v/>
      </c>
      <c r="F109">
        <f>HYPERLINK("https://click.appcast.io/t/4GGrIcjVf0CesJMoM0jf47Wz28t0dZN8fklcnMuTU9Q=&amp;urlHash=YFKP", "https://click.appcast.io/t/4GGrIcjVf0CesJMoM0jf47Wz28t0dZN8fklcnMuTU9Q=&amp;urlHash=YFKP")</f>
        <v/>
      </c>
      <c r="G109" t="inlineStr">
        <is>
          <t>Los Angeles, CA</t>
        </is>
      </c>
      <c r="H109" t="inlineStr"/>
      <c r="I109" t="inlineStr">
        <is>
          <t>Dice is the leading career destination for tech experts at every stage of their careers. Our client, Rivago infotech inc, is seeking the following. Apply via Dice today!
 We are looking for an experienced
 **Databricks Data Engineer** 
 with strong
 **DevOps expertise** 
 to join our data engineering team. The ideal candidate will design, build, and optimize large\-scale data pipelines on the Databricks Lakehouse platform while implementing robust CI/CD and deployment practices. This role requires strong skills in PySpark, SQL, Azure cloud services, and modern DevOps tooling. You will collaborate with cross\-functional teams to deliver scalable, secure, and high‑performance data solutions.
**Technical Skills**
* Strong hands\-on experience with Databricks, including:
+ Delta Lake
+ Unity Catalog
+ Lakehouse Architecture
+ Delta Live Pipelines
+ Databricks Runtime
+ Table Triggers
* Proficiency in PySpark, Spark, and advanced SQL.
* Expertise with Azure cloud services (ADLS, ADF, Key Vault, Functions, etc.).
* Experience with relational databases and data warehousing concepts.
* Strong understanding of DevOps tools:
+ Git/GitLab
+ CI/CD pipelines
+ Databricks Asset Bundles
* Familiarity with infrastructure\-as\-code (Terraform is a plus).
**Key Responsibilities**
* Data Pipeline Development
* Design, build, and maintain scalable ETL/ELT pipelines using Databricks.
* Develop data processing workflows using PySpark/Spark and SQL for large‑volume datasets.
* Integrate data from ADLS, Azure Blob Storage, and relational/non\-relational data sources.
* Implement Delta Lake best practices including schema evolution, ACID transactions, OPTIMIZE, ZORDER, and performance tuning.
* DevOps \&amp; CI/CD
* Implement CI/CD pipelines for Databricks using Git, GitLab, Azure DevOps, or similar tools.
* Build and manage automated deployments using Databricks Asset Bundles.
* Manage version control for notebooks, workflows, libraries, and configuration artifacts.
* Automate cluster configuration, job creation, and environment provisioning.
* Collaboration \&amp; Business Support
* Work with data analysts and BI teams to prepare datasets for reporting and dashboarding.
* Collaborate with product owners, business partners, and engineering teams to translate requirements into scalable data solutions.
* Document data flows, architecture, and deployment processes.
* Performance \&amp; Optimization
* Tune Databricks clusters, jobs, and pipelines for cost efficiency and high performance.
* Monitor workflows, debug failures, and ensure pipeline stability and reliability.
* Implement job instrumentation and observability using logging/monitoring tools.
* Governance \&amp; Security
* Implement and manage data governance using Unity Catalog.
* Enforce access controls, data security, and compliance with enterprise policies.
* Ensure best practices around data quality, lineage, and auditability.
**Preferred Experience**
* Knowledge of streaming technologies like Structured Streaming or Spark Streaming.
* Experience building real\-time or near real\-time pipelines.
* Exposure to advanced Databricks runtime configurations and tuning.
**Certifications (Optional)**
* Databricks Certified Data Engineer Associate / Professional
* Azure Data Engineer Associate</t>
        </is>
      </c>
    </row>
    <row r="110">
      <c r="A110" t="inlineStr">
        <is>
          <t>li-4356711981</t>
        </is>
      </c>
      <c r="B110" t="inlineStr">
        <is>
          <t>Data Engineer - Data Control and Delivery AVP</t>
        </is>
      </c>
      <c r="C110" t="inlineStr">
        <is>
          <t>Barclays</t>
        </is>
      </c>
      <c r="D110" t="inlineStr">
        <is>
          <t>linkedin</t>
        </is>
      </c>
      <c r="E110">
        <f>HYPERLINK("https://www.linkedin.com/jobs/view/4356711981", "https://www.linkedin.com/jobs/view/4356711981")</f>
        <v/>
      </c>
      <c r="F110">
        <f>HYPERLINK("https://search.jobs.barclays/job/-/-/13015/91201459888?src=JB-12860&amp;urlHash=XqDD", "https://search.jobs.barclays/job/-/-/13015/91201459888?src=JB-12860&amp;urlHash=XqDD")</f>
        <v/>
      </c>
      <c r="G110" t="inlineStr">
        <is>
          <t>Whippany, NJ</t>
        </is>
      </c>
      <c r="H110" t="inlineStr"/>
      <c r="I110" t="inlineStr">
        <is>
          <t>Embark on a transformative journey as a Data Engineer \- Data Control and Delivery AVP. At Barclays, our vision is clear — to redefine the future of banking and craft innovative solutions. Join our team as we continue our transition to a Cloud\-First Data Strategy. In this role, you will be part of a highly collaborative, dynamic team that delivers projects in rapid, iterative cycles.
 To be successful as a Data Engineer \- Data Control and Delivery AVP, you should have experience with:
* Architecting enterprise\-grade, modern solutions in hybrid, multi\-cloud environments (preferably AWS)
* Developing enterprise\-scale data pipelines on the cloud, including migrations from on\-premises sources
* Developing enterprise grade data products to support the principle of data mesh
* Designing transitional architectures that integrate existing systems while navigating multi\-layered architectural trade\-offs
* Ensuring data governance frameworks and overseeing data flow mechanisms to ensure security, compliance, and lifecycle integrity
**Some Other Highly Valued Skills May Include**
* Experience in the financial industry
* Ample knowledge of CI/CD and DevOps/DevSecOps practices using GitLab
* Skilled in influencing partners and stakeholders through clear, impactful communication
* Excellent verbal and written communication skills
* Driving technical product selection processes and executing technical spikes/PoCs
* Snowflake and Databricks, and certification as a Cloud Solution Architect
 You may be assessed on the key critical skills relevant for success in this role, such as risk and controls, change and transformation, business acumen, strategic thinking, digital and technology, as well as job\-specific technical skills.
 This role is located in our Whippany, NJ office.
 Minimum Salary: $120,000
 Maximum Salary: $175,000
 The minimum and maximum salary/rate information above includes only base salary or base hourly rate. It does not include any other type of compensation or benefits that may be available.
 Barclays employees are eligible for a suite of competitive and generous employee benefits, including medical, dental and vision coverage, 401(k), life insurance, and other paid leave for qualifying circumstances.
 This position is eligible for an incentive award.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2026-01-30T21:09:32Z</dcterms:created>
  <dcterms:modified xsi:type="dcterms:W3CDTF">2026-01-30T21:09:32Z</dcterms:modified>
</cp:coreProperties>
</file>