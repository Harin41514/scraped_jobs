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in-e4f8926e0b1d1854</t>
        </is>
      </c>
      <c r="B2" t="inlineStr">
        <is>
          <t>Senior Data Scientist</t>
        </is>
      </c>
      <c r="C2" t="inlineStr">
        <is>
          <t>ICF</t>
        </is>
      </c>
      <c r="D2" t="inlineStr">
        <is>
          <t>indeed</t>
        </is>
      </c>
      <c r="E2" t="inlineStr"/>
      <c r="F2" t="inlineStr"/>
      <c r="G2" t="inlineStr">
        <is>
          <t>Reston, VA, US</t>
        </is>
      </c>
      <c r="H2" s="2" t="n">
        <v>46051</v>
      </c>
      <c r="I2" t="inlineStr">
        <is>
          <t>Description
ICF is looking for a Senior Data Scientist to join our team. In this role, you’ll utilize your expertise in text and data analytics at a high level. We are seeking a confident, enthusiastic and self\-motivated individual to conduct this valuable work in a fully remote capacity within the USA. This position is open to senior\- and principal\-level professionals, depending on experience.
**Job Location:** Remote within the U.S.
If you accept this position, you should note that ICF does monitor employee work locations blocks access from foreign locations/foreign IP addresses and also prohibits personal VPN connections.
**Responsibilities**
* Create Dashboards using Tableau with Databricks with both visuals (charts, graphs, etc...) as well as tables for end users to slice and dice data to gain insights to various business processes.
* Demo work in small and large virtual settings, obtaining client and end\-user feedback to enhance dashboards to meet business requirements
* Within an Agile environment, collaborate with other data scientists, data engineers, quality engineers, business analysts and product owners to ensure solutions meet client needs
* Create and maintain datasets from disparate data sources and provide analysis there of using SQL and Databricks within an Azure Cloud Environment
* Utilizing Tableau in a Databricks Azure Cloud Environment, create dashboards containing visuals (e.g.: charts, graphs) and tables that allow end\-users to slice\-and\-dice data to gain insights to various business processes
* Balance technical data architecture and data flows with end\-user UX best practices
* Tell stories with data; educate and instill confidence to motivate stakeholders to act on recommendations
* Engage with Data Engineers to build\-out next\-level data infrastructure
* Participate in GitHub code reviews and knowledge sharing, especially when building solutions within a business domain that other team members may not work in
* Partner with customers, product owners and business analysts to gather requirements and/or mockup potential dashboard solutions.
**Basic Qualifications**
* US Citizenship is required by the federal government for this position
* Must be able to obtain and maintain a Public Trust clearance.
* MUST RESIDE IN THE United States (U.S.) and the work MUST BE PERFORMED in the United States (U.S.), as this work is for a federal contract and laws do apply.
* Bachelor’s degree in data science, computer science, analytics or other field.
* 7 years’ experience in: Data and analytics projects using data applications to develop insights from large datasets.
**Preferred Qualifications**
* 2 years’ experience in:
	+ JIRA, GitHub and Confluence
	+ Statistical software and database management software packages (e.g., R, Python, SAS)
	+ Cloud platforms
	+ Relational databases and data warehousing (e.g., OLAP, dimensional modeling)
	+ Creating dashboards that contain visuals and tables using Tableau with Databricks
	+ Creating and maintaining datasets from disparate data sources and providing analysis utilizing SQL and Databricks
	+ Agile methodology.
* Excellent problem\-solving skills and end\-to\-end quantitative thinking.
* Experience with data linking / advanced data management, combining data from different sources, automation, and deploying data science solutions at scale
* Experience in data organization, cleaning, treating, etc.; knowledge of version control and reproducibility.
* Prior experience in consulting and/or healthcare business segment.
* Secret Clearance, nice to have but not required.
**Professional Skills**
* Leadership and team\-working skills
* Ability to self\-organize, prioritize and conduct research on multiple projects under tight deadlines in a fast\-paced environment
* Ability to communicate and write clearly in English.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$108,476\.00 \- $184,409\.00
Nationwide Remote Office (US99\)</t>
        </is>
      </c>
    </row>
    <row r="3">
      <c r="A3" t="inlineStr">
        <is>
          <t>in-77a1d701462d49d3</t>
        </is>
      </c>
      <c r="B3" t="inlineStr">
        <is>
          <t>Data Scientist &amp; Foundry Visualization Specialist (Secret)</t>
        </is>
      </c>
      <c r="C3" t="inlineStr">
        <is>
          <t>Xcelerate Solutions</t>
        </is>
      </c>
      <c r="D3" t="inlineStr">
        <is>
          <t>indeed</t>
        </is>
      </c>
      <c r="E3" t="inlineStr"/>
      <c r="F3" t="inlineStr"/>
      <c r="G3" t="inlineStr">
        <is>
          <t>McLean, VA, US</t>
        </is>
      </c>
      <c r="H3" s="2" t="n">
        <v>46052</v>
      </c>
      <c r="I3" t="inlineStr">
        <is>
          <t>**Company Description**  
Founded in 2009 and headquartered in McLean, VA, Xcelerate Solutions (www.xceleratesolutions.com) is one of America's fastest\-growing companies. Xcelerate’s culture is defined by our diversified workforce of dynamic and versatile professionals, supported with growth and development opportunities that contribute to individual and company growth. This strong commitment to our employees has been recognized by our inclusion on the Washington Business Journal’s “50 Best Places to Work” list as well as being a “Great Place to Work” certified company with a 4\.6 star, and a 99% CEO approval Glassdoor rating. Come find out why Xcelerate Solutions is one of the DC Metro top employers!
 **Job Description**  
Xcelerate Solutions is seeking an experienced Data Scientist \&amp; Visualization. We are seeking a Data Scientist / Visualization Specialist to design and deliver intuitive, interactive analytic applications and dashboards in Palantir Foundry. This role emphasizes application development, data visualization, and UI/UX ensuring developed products are easy to use and can support decision\-makers and operators across the enterprise. You will partner closely with data scientists and data engineers to bring analytics to life. Come join our award\-winning organization and work with some of the most talented and brightest minds in the GovCon industry.  
**Location:** Remote
**Security Clearance:** Secret
**Responsibilities:**
* Design and develop user\-facing analytic applications and dashboards in Palantir Foundry
* Translate complex data models and analytics into clear, compelling visualizations
* Build interactive, data\-driven UIs that embed analytics and metrics into workflows
* Collaborate with data scientists and engineers to integrate analytics, AI outputs, and ontologies
* Apply UX/UI best practices to deliver accessible, intuitive, and scalable applications
* Collaborate in an Agile/Scrum environment to rapidly iterate on solutions
* Communicate insights effectively to technical and non\-technical stakeholders
**Qualifications** **Minimum Requirements:**
* Experience building data\-driven applications or dashboards
* Strong data visualization and storytelling skills
* Experience with BI and visualization tools (PowerBI, Tableau, Qlik, or similar)
* Proficiency in Python
* Experience with Python\-based visualization libraries (plotly, matplotlib, seaborn)
* Understanding of data analysis and EDA to work effectively with source data
* Experience wrangling and aggregating data from multiple data sources
* Grasp of UX/UI best practices for analytic applications
* Comfort working in a dynamic Agile/Scrum environment with evolving or loosely defined requirements
* Excellent collaboration and communication skills.
* Experience with Palantir Foundry, Databricks, or similar data platforms
* Active Secret Clearance
**Preferred Qualifications**
* Prior Army Contractor experience
* Experience supporting modernization cloud project
* Knowledge of TypeScript for front\-end or application\-layer development.
* Experience building rapid analytic demos or apps (e.g., Streamlit)
* Hands\-on experience with Palantir Foundry (pipelines, transforms, Workshop, Ontologies, AIP, etc.) – particular focus on Workshop and Ontologies
* Experience with data platform operations, monitoring, or optimization
* Experience building and maintaining ETL pipelines supporting analytic applications
* Experience with AI/ML and statistical modeling tools and python libraries (e.g., scikit\-learn, statsmodels, Prophet; NLP tools such as spaCy or NLTK)
* Proficiency in Python for analytics and data pipelines (e.g., pandas, polars, PySpark)
**Additional Information** *Xcelerate Solutions is an Equal Employment Opportunity/Affirmative Action Employer. We evaluate qualified applicants without regard to race, color, national origin, religion, age, equal pay, disability, veteran status, sex, sexual orientation, gender identity, genetic information, or expression of another protected characteristic. As part of this commitment to the full inclusion of all qualified individuals, Xcelerate provides reasonable accommodations if needed because of an applicant's or an employee's disability.*
*Pay Transparency Notice: Xcelerate Solutions will not discharge or in any other manner discriminate against employees or applicants because they have inquired about, discussed, or disclosed their own pay or the pay of another employee or applicant.*</t>
        </is>
      </c>
    </row>
    <row r="4">
      <c r="A4" t="inlineStr">
        <is>
          <t>in-2d77ea4fb9dcfdcd</t>
        </is>
      </c>
      <c r="B4" t="inlineStr">
        <is>
          <t>Senior Data Scientist</t>
        </is>
      </c>
      <c r="C4" t="inlineStr">
        <is>
          <t>Artefact</t>
        </is>
      </c>
      <c r="D4" t="inlineStr">
        <is>
          <t>indeed</t>
        </is>
      </c>
      <c r="E4" t="inlineStr"/>
      <c r="F4" t="inlineStr"/>
      <c r="G4" t="inlineStr">
        <is>
          <t>New York, NY, US</t>
        </is>
      </c>
      <c r="H4" s="2" t="n">
        <v>46051</v>
      </c>
      <c r="I4" t="inlineStr">
        <is>
          <t>**About the job**
*Do you think like a management consultant, thrive in a startup environment, and can't stop thinking about the intersection of data, technology, and marketing?*
*With over 1700 employees, offices on five continents, and world\-class clients like Samsung, L'Oreal, and Mattel,* ***Artefact*** *is a consulting firm that transforms data into value and business impact. We've recently launched in the US with offices located in NYC and Los Angeles, and we want you to join us as an integral part of our founding team!*
**Who We Are**
Founded and headquartered in Paris, Artefact is a next\-generation consulting firm, specializing in data, analytics \&amp; Ai consulting, dedicated to transforming data into business impact across the entire value chain of organizations. We are proud to say that we help our clients grow their data and digital capabilities, and that we're also growing in parallel.
We have 2000 employees across 36 offices who are focused on accelerating digital transformation. Our state\-of\-the\-art data technologies, lean AI agile methodologies, and cohesive teams of the finest business consultants, data analysts, data scientists, data engineers, and digital experts are all dedicated to bringing extra value to every client. We design data\-based solutions to meet our clients' specific needs, always conceived with a business\-centric approach and delivered with tangible results. Our data\-driven services are built upon the deep AI expertise we've acquired with our 1000\+ client base around the globe.
Find out more at artefact.com.
**What you will be doing**
In addition to the core Data Science and ML Engineering Team, you will work with different stakeholders to:
* Translate marketing and business challenges into analytical use cases, assess feasibility, and define clear hypotheses.
* Develop statistical and machine learning models including regression, forecasting, classification, and clustering to identify performance drivers and predict business outcomes.
* Build and maintain scalable data pipelines for data ingestion, transformation, and quality assurance across diverse marketing data sources.
* Develop production ready modeling solutions including model training, deployment, monitoring, and ongoing refinement.
* Evaluate and select appropriate statistical and machine learning techniques based on business context, constraints, and data availability.
* Create clear and compelling data visualizations and dashboards to support data storytelling and decision making.
* Collaborate with cross functional partners in an agile environment and iterate on solutions to maximize business impact.
**What we are looking for**
* The ideal candidate has a substantial quantitative skill set with 5\+ years of relevant experience.
* Master's degree (or higher) in statistics/mathematics, engineering, computer science, economics, or a related field.
* Excellent interpersonal and communication skills
* Strong knowledge of data science algorithms and at least one proven experience in developing Statistical and ML algorithms
* Proficient in Python (preferred) and/or R
**Preferred:**
* Preference in Causal Inference topics, Time Series, Advanced Statistics
* Cloud technologies (GCP, Azure, AWS) especially Google Cloud Platform
**Why you should join us**
* We are united by our **values** and strengthened by our hybrid **expertise**.
* **There is always a way:** We're from the breed of does, of diggers, of makers. Because ideas are valuable only if executed.
* **Client trust is won on the field:** Addressing client needs flows better hands on at their side.
* **If not used, it is useless:** Our love for technology translates into a steep desire for adoption, true brilliance is about impact.
* **If not shared, our work is not done:** Sharing knowledge is the best way to button up a mission, benefitting clients and colleagues.
* **We learn everyday:** Tech is a land where everything move at the speed of light, you better be ready to challenge yourself.
*The estimated base compensation for this role is $125,000\-$135,000\. Individual compensation is determined by skills, qualifications, and experience. In addition, this role is eligible for competitive benefits.*
* \#LI\-Hybrid</t>
        </is>
      </c>
    </row>
    <row r="5">
      <c r="A5" t="inlineStr">
        <is>
          <t>in-8310bbe61de5035b</t>
        </is>
      </c>
      <c r="B5" t="inlineStr">
        <is>
          <t>Senior AI/ML Scientist - Remote</t>
        </is>
      </c>
      <c r="C5" t="inlineStr">
        <is>
          <t>Experian</t>
        </is>
      </c>
      <c r="D5" t="inlineStr">
        <is>
          <t>indeed</t>
        </is>
      </c>
      <c r="E5" t="inlineStr"/>
      <c r="F5" t="inlineStr"/>
      <c r="G5" t="inlineStr">
        <is>
          <t>CA, US</t>
        </is>
      </c>
      <c r="H5" s="2" t="n">
        <v>46052</v>
      </c>
      <c r="I5" t="inlineStr">
        <is>
          <t>**Company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Experian is looking for a Senior Data Scientist to join our Global Analytics team within Experian Software Solutions. This is an exciting opportunity for someone to work on impactful AI and machine learning projects, contribute to solutions, and grow alongside experienced scientists and engineers. You will help build and support machine learning models and AI systems that power Experian's products and services. You will work remotely and report to the Senior Director of Analytics and AI.
You'll have opportunity to:
* Architect and implement a closed\-loop learning system integrating synthetic data generation, automated pattern discovery, and scenario\-based stress testing
* Develop GenAI\-powered data mining algorithms to identify latent structures, cross\-domain patterns, and evolving risk signals across credit, transactional, and fraud datasets.
* Lead bias diagnosis and counterfactual testing to ensure fairness and regulatory compliance under stress scenarios.
* Collaborate with risk, compliance, and fraud teams to align AI\-driven insights with business objectives and regulatory standards.
* Create dynamic segmentation models that evolve with customer states and macroeconomic conditions.
* Stay current with advancements in AI/ML and proactively integrate emerging technologies into Experian's solutions
**Qualifications**  
* 7\+ years of experience in AI/ML, with hands\-on expertise in building, deploying and monitoring models at scale
* Strong knowledge of modern language models (Transformers, GPT APIs, SLMs, RLHF), and agent\-based architectures
* Proficiency in Python, TensorFlow, PyTorch, and colud\-based ML platform
* Advanced degree (MS or PhD) in computer science, AL/ML or related field
* Experience with machine learning algorithms and processes (such as xgboost, GANs, Clustering, Graph Algorithms, Reinforcement Learning)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 \#LI\-Remote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6">
      <c r="A6" t="inlineStr">
        <is>
          <t>in-06e742865d747fc9</t>
        </is>
      </c>
      <c r="B6" t="inlineStr">
        <is>
          <t>Lead Data Scientist - Remote</t>
        </is>
      </c>
      <c r="C6" t="inlineStr">
        <is>
          <t>Experian</t>
        </is>
      </c>
      <c r="D6" t="inlineStr">
        <is>
          <t>indeed</t>
        </is>
      </c>
      <c r="E6" t="inlineStr"/>
      <c r="F6" t="inlineStr"/>
      <c r="G6" t="inlineStr">
        <is>
          <t>CA, US</t>
        </is>
      </c>
      <c r="H6" s="2" t="n">
        <v>46052</v>
      </c>
      <c r="I6" t="inlineStr">
        <is>
          <t>**Company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**Job description**
Experian is looking for a Lead Data Scientist to join our Global Analytics team within Experian Software Solutions. This is an exciting opportunity for someone to work on impactful AI and machine learning projects, contribute to solutions, and grow alongside experienced scientists and engineers. You will help build and support machine learning models and AI systems that power Experian's products and services. You will work remotely and report to the Senior Director of Analytics and AI.
* Perform comprehensive evaluations of data assets across the full credit and fraud lifecycle, ensuring strong regulatory compliance and risk governance.
* Conduct rigorous benchmarking and champion/challenger analyses to compare external data assets against internal attributes, scores, and predictive models, ensuring measurable lift, ROI and benefits.
* Develop advanced machine learning solutions and algorithms to solve complex analytical challenges.
* Lead the design, development, and deployment of advanced AI/ML systems with a focus on multi\-agent and intelligent systems.
* Collaborate cross\-functionally with engineering, product, and analytics teams to translate cutting\-edge research into impactful solutions.
* Stay current with advancements in AI/ML and proactively integrate emerging technologies into Experian's solutions
**Qualifications** **Qualifications**
* 10\+ years of experience driving data science, credit risk and advanced analytics initiatives at scale within financial services industry
* Advanced degree in statistics, data science, AI/ML or related field
* Expertise with machine learning algorithms and processes (such as xgboost, GANs, hyperparameter tuning, clustering, graph algorithms)
* Expertise in knowledge of modern language models (Transformers, GPT APIs, SLMs, RLHF), and agent\-based architectures
* Proficiency in Python, PyTorch, and distributed computing frameworks (e.g., Spark, AWS)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 \#LI\-Remote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7">
      <c r="A7" t="inlineStr">
        <is>
          <t>in-43ca791c67c0aa00</t>
        </is>
      </c>
      <c r="B7" t="inlineStr">
        <is>
          <t>Lead Data Scientist (Pricing)</t>
        </is>
      </c>
      <c r="C7" t="inlineStr">
        <is>
          <t>Redwood Logistics</t>
        </is>
      </c>
      <c r="D7" t="inlineStr">
        <is>
          <t>indeed</t>
        </is>
      </c>
      <c r="E7" t="inlineStr"/>
      <c r="F7" t="inlineStr"/>
      <c r="G7" t="inlineStr">
        <is>
          <t>Remote, US</t>
        </is>
      </c>
      <c r="H7" s="2" t="n">
        <v>46051</v>
      </c>
      <c r="I7" t="inlineStr">
        <is>
          <t>**Lead Data Scientist (Pricing)**
Reports To: **Vice President of Data Science**
Location: **Remote or** **Chicago, IL**
Environment: **Remote**
Status: **Exempt, salaried**
**Who We Are:**
Recognized by Gartner in their Modern 4PL Market Guide, Redwood Logistics is at the forefront of industry innovation. Our cutting\-edge supply chain technology pairs with the expertise of our brilliant minds to empower logistics execution across North America and Mexico.
Leveraging a comprehensive range of services, data\-centric network solutions, and a seamlessly integrated platform, we have established our prominence as a key player in the mid\-market segment within the freight tech industry.
Whether you’re just starting your career or are an established professional looking for your next opportunity, Redwood inspires innovation across teams to provide transformative solutions for our customers.
**Purpose of Your Work:**
As a **Lead Data Scientist (Pricing)** working within Shared Services (one of our entities), you will be responsible for developing tech\-forward solutions to drive automation and informed decision\-making within our business. You will delve into unique and complex issues within the logistics space and partner with cross\-functional teams across business, technology, and product to ideate, develop, recommend, and implement solutions. You will leverage your skill set in statistics, machine learning, and MLOps to build various models and infrastructure, delivering results and communicating actionable insights.
**How You Make a Difference Every Day:**
* Develop and implement pricing models and simulations that leverage statistics, data science, and machine learning technologies without our business that impact metrics, and streamline network operations.
* Identify new opportunities to drive business impact through data exploration and collaboration with key stakeholders.
* Conduct a root cause analysis to identify the key drivers influencing operational performance associated with our buying patterns
* Collaborate with cross\-functional teams, including software engineers, data scientists, business stakeholders, and product teams, to gather inputs, assumptions, and understand business processes along the way.
**You’ve Got This?**
* MS or PhD in Computer Science, Data Science, Applied Mathematics, Physics, or equivalent work experience.
* 6\+ years of experience applying Machine Learning and data science solutions to solve business problems.
* Experience solving pricing problems in multi\-sided marketplaces
* Experience with Data Science and/or Machine Learning in supply chain, logistics, transportation, or a similar space is a plus.
* Experience managing a small team of Data Scientist
* Proficient in leveraging Azure or AWS to deploy scalable machine learning algorithms into production
* Hands\-on experience with open\-source languages and tooling for large\-scale ML (e.g., Ray, Flink, Feast).
* Experience working with Data Warehouses and ETL pipelines (e.g., Redshift, Databricks, Snowflake, Airflow).
* Strong Python and SQL skills
* Ability to communicate with technical and non\-technical stakeholders is a plus.
**What We Offer:**
* Access to experts and resources for your Learning \&amp; Development journey
* Opportunity for internal mobility
* Employee referral bonus program
* Employee Resource Groups (ERGs)
* Annual fundraising and volunteer events to give back to communities
* Paid time off, floating holidays, time off to volunteer, and rollover
* Paid parental leave
* Medical, dental, vision, and 401k plans (with match)
* Flexible spending account, mass transit, and dependent care plans available
* Health savings account, with an annual company contribution for plan participants
* Short\-term and long\-term disability, life insurance policies subsidized by the company
* Additional benefits include pet insurance, accident care, access to legal advice, and more
**Work Schedule:**
This position is full\-time and remote, Monday through Friday, from 8:00 AM to 5:00 PM, with an hour break. However, flexibility is available based on coverage needs.
**Compensation Range:**
Salary Range:
$170,000 \- $220,000
This position is eligible to earn annual incentives based on individual and company performance.
*The estimated pay range reflects an anticipated range for this position. The actual base salary offered will depend on a variety of factors, including the qualifications of the individual applicant for the position, years of relevant experience, specific and unique skills, level of education attained, certifications or other professional licenses held, and the geographical location in which the applicant lives and/or which they will be performing the job.*
Redwood is an equal opportunity employer. Employment decisions at the Company are based on individual merit, qualifications, abilities, and the Company’s needs and resources. The Company does not discriminate in recruiting, hiring, compensation, promotions, discipline, termination or any other aspect of employment on the basis of an individual’s actual or perceived race, color, creed, religion, sex (including pregnancy, childbirth and related medical conditions), sexual orientation, gender identity, national origin, ancestry, citizenship status, age, disability, marital status, military service or status, genetic information, arrest and conviction record, credit history, or any other basis protected by applicable law.</t>
        </is>
      </c>
    </row>
    <row r="8">
      <c r="A8" t="inlineStr">
        <is>
          <t>in-d07bbc6f07e9b941</t>
        </is>
      </c>
      <c r="B8" t="inlineStr">
        <is>
          <t>Staff Data Scientist | Content Gen</t>
        </is>
      </c>
      <c r="C8" t="inlineStr">
        <is>
          <t>Machinify</t>
        </is>
      </c>
      <c r="D8" t="inlineStr">
        <is>
          <t>indeed</t>
        </is>
      </c>
      <c r="E8" t="inlineStr"/>
      <c r="F8" t="inlineStr"/>
      <c r="G8" t="inlineStr">
        <is>
          <t>Palo Alto, CA, US</t>
        </is>
      </c>
      <c r="H8" s="2" t="n">
        <v>46051</v>
      </c>
      <c r="I8"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**Staff Data Scientist \| Content Generation Team**
We are seeking a Staff Data Scientist. This role will be responsible for leading the build and deployment of classical ML and GenAI systems that generate and validate billing error, audit, and fraud concepts in healthcare payments. You will partner with SMEs and cross\-functional stakeholders to deliver production\-grade capabilities with clear customer and financial impact.
 **What you will do:**
* Build and ship classical ML and GenAI pipelines that surface, rank, and explain candidate billing error, audit, and fraud concepts across large\-scale healthcare claims data
* Advance state\-of\-the\-art research in anomaly detection, information retrieval, and weak supervision, turning research into robust production systems
* Accelerate concept generation and concept validation with SMEs by designing human\-in\-the\-loop workflows that enable high\-throughput review with strong precision, recall, and traceability
* Own end\-to\-end delivery from problem framing and data strategy to model development, evaluation, deployment, and monitoring, with a focus on reliability and customer outcomes
* Partner cross\-functionally with Product, Data Engineering, Operations, SMEs, and business leaders to prioritize work, unblock execution, and unlock material financial value
* Help scale the team and platform as Machinify grows aggressively toward resale and IPO readiness
 **What you bring:**
* Degree in Computer Science, Engineering, or a related field
* 10\+ years of data science experience, with at least 5 years in a leadership role, including a leadership role at a start\-up. Proven track record of managing data teams and delivering complex, high\-impact products from concept to deployment
* Strong knowledge of data privacy regulations and best practices in data security
* Exceptional team management abilities, with experience in building and leading high\-performing teams
* Ability to think strategically and execute methodically
* Ability to drive change and inspire a distributed team
* Strong problem\-solving skills and a data\-driven mindset
* Ability to communicate effectively, collaborating with diverse groups to solve complex problems
* You embrace challenges with optimism and a balanced, and bring a business\-oriented approach to product development
* You prioritize customer impact, ensuring your work significantly advances our product value
 **What we offer:**
* A flexible and trusting environment where you'll feel empowered to do your best work.
* Work from anywhere in the US! Our team is distributed and most of us work from home.
* Hardworking and supportive colleagues, and a leadership team that understands the importance of recruiting and retaining top talent.
* Incredible medical, vision, and dental benefits for employees \&amp; their families.
* Competitive salary and equity, 401(k) sponsorship.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9">
      <c r="A9" t="inlineStr">
        <is>
          <t>in-7d0401e370d1172a</t>
        </is>
      </c>
      <c r="B9" t="inlineStr">
        <is>
          <t>Data Scientist</t>
        </is>
      </c>
      <c r="C9" t="inlineStr">
        <is>
          <t>Lincare</t>
        </is>
      </c>
      <c r="D9" t="inlineStr">
        <is>
          <t>indeed</t>
        </is>
      </c>
      <c r="E9" t="inlineStr"/>
      <c r="F9" t="inlineStr"/>
      <c r="G9" t="inlineStr">
        <is>
          <t>Clearwater, FL, US</t>
        </is>
      </c>
      <c r="H9" s="2" t="n">
        <v>46051</v>
      </c>
      <c r="I9" t="inlineStr">
        <is>
          <t>The Data Scientist is primarily responsible for supporting/leading AI\-driven initiatives that will help drive revenue growth, efficiency/productivity, and patient Lifetime Value. The individual will be conducting prescriptive, predictive and informational analytics to identify actionable insights. Skills required include, but are not limited to:
* building machine learning algorithms
* data engineering
* natural language processing (NLP)
* large language models (LLMs) and any other required AI skills
* Technical coding skills are also required and include SQL code, R\-Markdown and Python.
Through the combination of statistical knowledge, AI skills and technical coding languages, a data scientist will be required to complete any assigned analytical projects in a timely and efficient manner. Additionally, this position will be required to identify, plan and implement any other use cases for AI technology to help drive business success and improvement. They will also take a key role in the planning and development of Lincare's AI platform and strategy. Projects and long\-term strategy development should always focus on business impact and have measurable outcomes for success measurement. Additionally, this position will be required to work with other teams to gain insight and to provide technical training to others.
**JOB FUNCTIONS:**
* Responsible for data analytics / data science on massive sets of complex and, sometimes, unstructured data to prepare for statistical analysis.
* Manipulates or converts data according to analysis needs; and develops approaches to deal with imperfections in data (e.g. missing values or inconsistent data formatting)
* Identifies and executes on best approach for assigned project which may include skills including machine learning, NLP, LLMs, deep learning, neural networks or any other data science function.
* Develops reports using complex formulas; analyzes and reviews results for accuracy.
* Understands how to work with multiple data sources, and accurately accesses the correct data within complex databases based on business needs and reporting requirements.
* Will be comfortable interacting at all levels of technology teams both internal and external to Lincare. (project managers, database designer, information architecture, multilayer off\-shore support centers, etc.)
* Manages projects to ensure they are delivered successfully and in a timely manner.
* Identifies opportunities to improve revenue, productivity/efficiency as well as enhance patient life time value using data science technologies.
* Performs other duties as assigned.
* Complies with all policies and standards.
Requirements:
* Strong knowledge of basic Structured Query Language (SQL), python and R.
* Advanced algorithm skills including logical regression, decision trees, random forest, clustering etc.
* Specialized experience in statistics, data analysis with large datasets.
* Knowledge of database technologies including DB2, Oracle, Microsoft SQL Server.
* High interpersonal, communication, analytical, presentation skills, with a high business maturity.
* Able to think creatively and analytically to solve problems.
* Strong organizational skills and the ability to meet deadlines/work independently.
* Must be 18 years of age or older.
**Education** **and Experience:**
* Bachelor's Degree in Mathematics, Analytics, Finance or other related field Required
* Master's Degree in Machine Learning, Analytics, or MBA Preferred
* A Minimum of 1 years' experience working with Tableau, or similar BI product, to  
produce visual analytics and dashboards Required
* Experience working as an analyst or data scientist in a healthcare related field Preferred
* Experience in developing Machine Learning Models/ LLMs, streamlining ETL operations, Database management and Predictive analytics Preferred
**Physical Demands:**
The employee may frequently lift and/or move up to 10 pounds and may occasionally lift and/or move up to 25 pounds.</t>
        </is>
      </c>
    </row>
    <row r="10">
      <c r="A10" t="inlineStr">
        <is>
          <t>in-cb6baad972873afb</t>
        </is>
      </c>
      <c r="B10" t="inlineStr">
        <is>
          <t>Member of Technical Staff, Applied Scientist - Windows Copilot</t>
        </is>
      </c>
      <c r="C10" t="inlineStr">
        <is>
          <t>Microsoft</t>
        </is>
      </c>
      <c r="D10" t="inlineStr">
        <is>
          <t>indeed</t>
        </is>
      </c>
      <c r="E10" t="inlineStr"/>
      <c r="F10" t="inlineStr"/>
      <c r="G10" t="inlineStr">
        <is>
          <t>Washington, DC, US</t>
        </is>
      </c>
      <c r="H10" s="2" t="n">
        <v>46049</v>
      </c>
      <c r="I10" t="inlineStr">
        <is>
          <t>**Overview**  
The Windows Copilot team is at the forefront of redefining how AI enhances everyday computing. This team owns the full stack—from cutting\-edge AI infrastructure and model development, to crafting seamless user experiences directly in Windows.
We’re building and shipping consumer\-scale services that are transforming how users interact with their PCs. Whether it’s designing intelligent prompts, engineering robust backends to interface with models, or developing native Windows platform and UX features, this team does it all.
We are hiring an Applied Scientist to lead the end\-to\-end model\-building process, including problem understanding, data curation, model development, deployment, and iteration based on real\-world feedback. This role will serve as a critical bridge between Microsoft Research and the engineering team, taking increasing ownership of model training responsibilities.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*MAI employees are expected to work from a designated Microsoft office at least four days a week if they live within 50 miles (U.S.) or 25 miles (non\-U.S., country\-specific) of that location. This expectation is subject to local law and may vary by jurisdiction.*  
**Responsibilities**  
* Develop and refine data pipelines and infrastructure to support AI model development for Copilot.
* Collaborate with research teams to integrate cutting\-edge AI advancements into production systems.
* Design, train, and evaluate machine learning models, ensuring performance optimization and scalability.
* Work closely with engineering and product teams to ensure AI\-driven experiences meet quality and user experience standards.
* Conduct rigorous data analysis and experimentation, leveraging insights to improve Copilot’s intelligence.
* Overcome obstacles to deliver iterative improvements in AI performance and responsiveness.
* Stay ahead of the latest innovations in deep learning, reinforcement learning, and generative AI.
Embody our Culture and Values.  
* 
**Qualifications** **Required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Proven track record of deploying machine learning models in large\-scale production environments.
* 9\+ years of experience building data pipelines, training deep learning models, and optimizing AI workflows.
* Proven track record of deploying machine learning models in large\-scale production environments.
* 4\+ years of experience building data pipelines, training deep learning models, and optimizing AI workflows.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in-92c498a129702989</t>
        </is>
      </c>
      <c r="B11" t="inlineStr">
        <is>
          <t>Senior Data and Applied Scientist - Xbox</t>
        </is>
      </c>
      <c r="C11" t="inlineStr">
        <is>
          <t>Microsoft</t>
        </is>
      </c>
      <c r="D11" t="inlineStr">
        <is>
          <t>indeed</t>
        </is>
      </c>
      <c r="E11" t="inlineStr"/>
      <c r="F11" t="inlineStr"/>
      <c r="G11" t="inlineStr">
        <is>
          <t>Redmond, WA, US</t>
        </is>
      </c>
      <c r="H11" s="2" t="n">
        <v>46048</v>
      </c>
      <c r="I11" t="inlineStr">
        <is>
          <t>**Overview**  
Have you or someone you know ever wanted to work in gaming? How about building safe and inclusive communities? How about impacting experience for millions of customers? What if you could do all three of those things at the same time?
Microsoft is committed to ensuring that we develop and deploy our AI technologies in ways that uphold our AI principles and warrant people’s trust.
Here in Microsoft Gaming, we are on a mission to bring the joy and community of gaming to everyone on the planet. We deliver on that vision by putting players at the center, enabling you to play the games you want, with the people you want, anywhere you want.
Gaming Player Services and Operations is at the heart of our ambition to reach billions of players across the globe, ensuring that every player feels included and engaged across Xbox. We do this through our commitment to driving operational excellence through innovation and ensuring player and partner delight across Microsoft Gaming.
As a Senior Data and Applied Scientist, you will work with cross\-functional teams to apply state\-of\-the\-art AI that supports community moderation experiences for some of the largest online communities around the globe. You will also collaborate with other teams across Xbox, Microsoft, and the gaming industry to ensure the developed technology complies with legal and regulatory requirements, as well as best practices for online safety, privacy and responsible AI. You will be a peer mentor and role model on the team, fostering a culture of customer focus, collaboration, diversity, inclusion, and drive technical excellence and innovation.
Within the Safety, Trust, \&amp; Responsibility team, our mission is to grow and protect global player communities. We believe that wherever you play, it should be a fun, safe, and inclusive environment—and it’s our job to provide the services, expertise, and support to make accessible, world\-class player experiences possible. We champion transparency, compliance, and the responsible use of AI, with trust at the core of how we operate. We embrace experimentation to reach more players, inform business decisions, and deepen our understanding of customer and player needs. Through a culture of innovation, collaboration, and continuous improvement, we support and challenge one another to perform at our best.  
**Responsibilities**  
* Advancing the state\-of\-the\-art artificial intelligence (AI) and natural language processing (NLP) algorithms, especially applying large language models and small language models, (LLM/SLM) to real\-world large\-scale content moderation systems.
* Developing tools, algorithms, fine\-tuning and optimizing AI models, and automated systems that help identify and moderate high\-risk behaviors and user generated text, image, video, audio and mixed media content on social networks
* Working on the full lifecycle of AI development including training data collection, feature engineering, model training, offline and online experimentation, and deployment and maintenance.
* Collaborating and working cross functionally, focusing on strategic business questions, and sharing learnings.
* Driving product and business innovations for measurable impact on moderation product effectiveness.
* Investigating new technologies, tools, and prototypes, the latest techniques to evolve AI capabilities of the product and organization.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Several years of industry experience across multiple AI modalities, such as multimodal models, Automatic Speech Recognition (ASR), Computer Vision, and Natural Language Processing (NLP).
* Hands\-on experience with advanced fine\-tuning methods, including self\-supervised, semi\-supervised, and supervised learning techniques.
* Hands\-on experience building or evaluating large language models and small language models, (LLM/SLM) applications in production, ensuring AI meets or exceeds targets for functionality, responsiveness and compliance.
* Product\-driven thinking.
* Experience designing and implementing processes/systems to measure and improve AI product performance throughout the product life cycle.
* Ability to work in a fast\-paced environment, manage multiple priorities, and adapt to changing requirements and deadlines
* Experience building large data sets using SQL, Spark, Snowflake etc., for model training, testing and/or deriving actionable insights.
* Strong communication skills to explain insights in an understandable way to non\-experts, in both formal presentations and informal group conversations.
* Committed to contributing to an inclusive workplace that focuses on respect, integrity, and personal accountability.
This would be a great role for you if…
* You want to make gaming a safer and more positive experience for everyone.
* You are passionate about applying the latest in AI / ML technology to challenging problems involving text, images, video, audio and mixed\-media classification and moderation.
* You are a role model and active participant in creating a culture of inclusion and respect within the organization.
* You believe in making data\-driven decisions through telemetry and customer feedback.
* You have a passion for engineering excellence.
\#gamingjobs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
      <c r="A12" t="inlineStr">
        <is>
          <t>in-3c76089d94523104</t>
        </is>
      </c>
      <c r="B12" t="inlineStr">
        <is>
          <t>Principal AI Data Scientist</t>
        </is>
      </c>
      <c r="C12" t="inlineStr">
        <is>
          <t>HP</t>
        </is>
      </c>
      <c r="D12" t="inlineStr">
        <is>
          <t>indeed</t>
        </is>
      </c>
      <c r="E12" t="inlineStr"/>
      <c r="F12" t="inlineStr"/>
      <c r="G12" t="inlineStr">
        <is>
          <t>Spring, TX, US</t>
        </is>
      </c>
      <c r="H12" s="2" t="n">
        <v>46026</v>
      </c>
      <c r="I12" t="inlineStr">
        <is>
          <t>**Description \-**
**About the Position**  
The HP Enterprise AI \&amp; Machine Learning organization is a centralized team of data scientists and machine learning engineers building GenAI\-based tools and digital products that enable increased productivity for 50,000\+ employees and improve the effectiveness of hundreds of critical business processes. We collaborate closely with business stakeholders across HP to scope, prototype, and develop models and products in the cloud and on the edge. We also serve as HP’s AI Center of Excellence, providing consulting assistance, reuseable components and frameworks, and training to other teams across the company.
As a Principal Data Scientist focused on Generative AI, you will lead multiple HP projects involving large language and multi\-model models and other cutting\-edge Generative AI capabilities for deployment on the cloud or edge. In addition to working with our core technical team, you’ll collaborate with business stakeholders and across various units to develop and deploy solutions at scale. Your primary focus and mindset will be on delivering real business value to our internal customers. Please note, this is not a research role.  
**Responsibilities**  
* Leads organization\-wide team or teams of other data science professionals in complex projects to create GenAI\-based models and digital products.
* Develops monitoring metrics to reflect real\-world model performance and makes recommendations to shape the future direction of models and digital solutions.
* Manages relationships with senior business partners to evaluate and foster data driven innovation, provides domain\-specific expertise in cross\-organization projects/initiatives.
* Ties insights into effective visualizations communicating business value and innovation potential.
* Works with development teams and business units to ensure models are scalable and can be implemented as part of the delivered solution.
* Leads project team(s) of data science professionals, assuring insights are communicated regularly and effectively, reviewing designs, models and data compliance.
* Represents the data science team for all phases of larger and more\-complex development projects.
* Provides guidance, training and mentoring to less experienced staff members.
**Education \&amp; Experience** Recommended
* PhD related to AI and 5\+ years of experience or Master’s degree related to AI and 10\+ years of experience.
* Relevant experience must involve Generative AI and related technologies including machine learning. data analytics, and statistical modeling.
**Preferred Certifications**  
* Programming Language/s Certification (SQL, Python, or similar)
**Knowledge \&amp; Skills*** Strong foundation in data science and core machine learning concepts.
* Experience with large language models, multi\-modal modals, prompt engineering, vector databases, Retrieval\-Augmented Generation (RAG), and search engines.
* Solid technical background. Experience working on software development teams, especially in cloud\-based business applications, is a strong plus.
* Familiarity with tools such as Azure Machine Learning, Azure Prompt Flow, Python, LangChain, Streamlit, and Docker.
* Experience working in distributed, diverse teams, with bonus points for time spent in small fast\-paced start\-ups.
* Comfortable representing the team in meetings with multiple stakeholders and driving discussions clearly and respectfully. Mastery of English is required.
* Able to explain technical concepts (e.g., LLMs) to non\-technical audiences.
* You suggest pragmatic solutions that are as simple as possible—even if that means no AI is required.
**Cross\-Org Skills**  
* Effective Communication
* Results Orientation
* Learning Agility
* Digital Fluency
* Customer Centricity
The base pay range for this role is $147,050 to $230,850 annually with additional opportunities for pay in the form of bonus and/or equity (applies to US candidates only). Pay varies by work location, job\-related knowledge, skills, and experience.
**Benefits:**
HP offers a comprehensive benefits package for this position, including:
Health insurance
Dental insurance
Vision insurance
Long term/short term disability insurance
Employee assistance program
Flexible spending account
Life insurance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Data \&amp; Information Technology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13">
      <c r="A13" t="inlineStr">
        <is>
          <t>in-c32d267917b87e0d</t>
        </is>
      </c>
      <c r="B13" t="inlineStr">
        <is>
          <t>Applied Scientist, Amazon Special Projects</t>
        </is>
      </c>
      <c r="C13" t="inlineStr">
        <is>
          <t>Amazon.com</t>
        </is>
      </c>
      <c r="D13" t="inlineStr">
        <is>
          <t>indeed</t>
        </is>
      </c>
      <c r="E13" t="inlineStr"/>
      <c r="F13" t="inlineStr"/>
      <c r="G13" t="inlineStr">
        <is>
          <t>Boston, MA, US</t>
        </is>
      </c>
      <c r="H13" s="2" t="n">
        <v>46026</v>
      </c>
      <c r="I1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in-22a0e23c2ae6ad05</t>
        </is>
      </c>
      <c r="B14" t="inlineStr">
        <is>
          <t>Applied Scientist, Amazon Special Projects</t>
        </is>
      </c>
      <c r="C14" t="inlineStr">
        <is>
          <t>Amazon.com</t>
        </is>
      </c>
      <c r="D14" t="inlineStr">
        <is>
          <t>indeed</t>
        </is>
      </c>
      <c r="E14" t="inlineStr"/>
      <c r="F14" t="inlineStr"/>
      <c r="G14" t="inlineStr">
        <is>
          <t>Seattle, WA, US</t>
        </is>
      </c>
      <c r="H14" s="2" t="n">
        <v>46026</v>
      </c>
      <c r="I1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in-667beac1516a6ee7</t>
        </is>
      </c>
      <c r="B15" t="inlineStr">
        <is>
          <t>Sr. Applied Scientist, Amazon Ads</t>
        </is>
      </c>
      <c r="C15" t="inlineStr">
        <is>
          <t>Amazon.com</t>
        </is>
      </c>
      <c r="D15" t="inlineStr">
        <is>
          <t>indeed</t>
        </is>
      </c>
      <c r="E15" t="inlineStr"/>
      <c r="F15" t="inlineStr"/>
      <c r="G15" t="inlineStr">
        <is>
          <t>Boston, MA,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in-4468643db4da48bd</t>
        </is>
      </c>
      <c r="B16" t="inlineStr">
        <is>
          <t>Sr. Applied Scientist, Amazon Ads</t>
        </is>
      </c>
      <c r="C16" t="inlineStr">
        <is>
          <t>Amazon.com</t>
        </is>
      </c>
      <c r="D16" t="inlineStr">
        <is>
          <t>indeed</t>
        </is>
      </c>
      <c r="E16" t="inlineStr"/>
      <c r="F16" t="inlineStr"/>
      <c r="G16" t="inlineStr">
        <is>
          <t>Palo Alto, CA,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in-eef03d7739d54820</t>
        </is>
      </c>
      <c r="B17" t="inlineStr">
        <is>
          <t>Sr. Applied Scientist, Amazon Ads</t>
        </is>
      </c>
      <c r="C17" t="inlineStr">
        <is>
          <t>Amazon.com</t>
        </is>
      </c>
      <c r="D17" t="inlineStr">
        <is>
          <t>indeed</t>
        </is>
      </c>
      <c r="E17" t="inlineStr"/>
      <c r="F17" t="inlineStr"/>
      <c r="G17" t="inlineStr">
        <is>
          <t>Tukwila, WA,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in-fb8157a547bef50e</t>
        </is>
      </c>
      <c r="B18" t="inlineStr">
        <is>
          <t>Sr. Applied Scientist, Amazon Ads</t>
        </is>
      </c>
      <c r="C18" t="inlineStr">
        <is>
          <t>Amazon.com</t>
        </is>
      </c>
      <c r="D18" t="inlineStr">
        <is>
          <t>indeed</t>
        </is>
      </c>
      <c r="E18" t="inlineStr"/>
      <c r="F18" t="inlineStr"/>
      <c r="G18" t="inlineStr">
        <is>
          <t>Brooklyn, NY,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in-0588b1e9775825ba</t>
        </is>
      </c>
      <c r="B19" t="inlineStr">
        <is>
          <t>Sr. Applied Scientist, Amazon Ads</t>
        </is>
      </c>
      <c r="C19" t="inlineStr">
        <is>
          <t>Amazon.com</t>
        </is>
      </c>
      <c r="D19" t="inlineStr">
        <is>
          <t>indeed</t>
        </is>
      </c>
      <c r="E19" t="inlineStr"/>
      <c r="F19" t="inlineStr"/>
      <c r="G19" t="inlineStr">
        <is>
          <t>Santa Monica, CA,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in-0c0bde76fdb7f70e</t>
        </is>
      </c>
      <c r="B20" t="inlineStr">
        <is>
          <t>Sr. Applied Scientist, Amazon Ads</t>
        </is>
      </c>
      <c r="C20" t="inlineStr">
        <is>
          <t>Amazon.com</t>
        </is>
      </c>
      <c r="D20" t="inlineStr">
        <is>
          <t>indeed</t>
        </is>
      </c>
      <c r="E20" t="inlineStr"/>
      <c r="F20" t="inlineStr"/>
      <c r="G20" t="inlineStr">
        <is>
          <t>New York, NY, US</t>
        </is>
      </c>
      <c r="H20" s="2" t="n">
        <v>45998</v>
      </c>
      <c r="I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
      <c r="A21" t="inlineStr">
        <is>
          <t>in-5b14e9603ff2c578</t>
        </is>
      </c>
      <c r="B21" t="inlineStr">
        <is>
          <t>Sr. Applied Scientist, Amazon Ads</t>
        </is>
      </c>
      <c r="C21" t="inlineStr">
        <is>
          <t>Amazon.com</t>
        </is>
      </c>
      <c r="D21" t="inlineStr">
        <is>
          <t>indeed</t>
        </is>
      </c>
      <c r="E21" t="inlineStr"/>
      <c r="F21" t="inlineStr"/>
      <c r="G21" t="inlineStr">
        <is>
          <t>Sunnyvale, CA, US</t>
        </is>
      </c>
      <c r="H21" s="2" t="n">
        <v>45998</v>
      </c>
      <c r="I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
      <c r="A22" t="inlineStr">
        <is>
          <t>in-c66d39ed3d596d2f</t>
        </is>
      </c>
      <c r="B22" t="inlineStr">
        <is>
          <t>Sr. Applied Scientist, Amazon Ads</t>
        </is>
      </c>
      <c r="C22" t="inlineStr">
        <is>
          <t>Amazon.com</t>
        </is>
      </c>
      <c r="D22" t="inlineStr">
        <is>
          <t>indeed</t>
        </is>
      </c>
      <c r="E22" t="inlineStr"/>
      <c r="F22" t="inlineStr"/>
      <c r="G22" t="inlineStr">
        <is>
          <t>Boulder, CO,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in-3014a49123f75362</t>
        </is>
      </c>
      <c r="B23" t="inlineStr">
        <is>
          <t>Sr. Applied Scientist, Amazon Ads</t>
        </is>
      </c>
      <c r="C23" t="inlineStr">
        <is>
          <t>Amazon.com</t>
        </is>
      </c>
      <c r="D23" t="inlineStr">
        <is>
          <t>indeed</t>
        </is>
      </c>
      <c r="E23" t="inlineStr"/>
      <c r="F23" t="inlineStr"/>
      <c r="G23" t="inlineStr">
        <is>
          <t>Seattle, WA, US</t>
        </is>
      </c>
      <c r="H23" s="2" t="n">
        <v>45998</v>
      </c>
      <c r="I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
      <c r="A24" t="inlineStr">
        <is>
          <t>in-dd55decd6c1e80ec</t>
        </is>
      </c>
      <c r="B24" t="inlineStr">
        <is>
          <t>Sr. Applied Scientist, Amazon Ads</t>
        </is>
      </c>
      <c r="C24" t="inlineStr">
        <is>
          <t>Amazon.com</t>
        </is>
      </c>
      <c r="D24" t="inlineStr">
        <is>
          <t>indeed</t>
        </is>
      </c>
      <c r="E24" t="inlineStr"/>
      <c r="F24" t="inlineStr"/>
      <c r="G24" t="inlineStr">
        <is>
          <t>Corvallis, OR, US</t>
        </is>
      </c>
      <c r="H24" s="2" t="n">
        <v>45998</v>
      </c>
      <c r="I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
      <c r="A25" t="inlineStr">
        <is>
          <t>in-599eb55c7bba3f54</t>
        </is>
      </c>
      <c r="B25" t="inlineStr">
        <is>
          <t>Applied Scientist, ML Compiler</t>
        </is>
      </c>
      <c r="C25" t="inlineStr">
        <is>
          <t>Amazon Web Services</t>
        </is>
      </c>
      <c r="D25" t="inlineStr">
        <is>
          <t>indeed</t>
        </is>
      </c>
      <c r="E25" t="inlineStr"/>
      <c r="F25" t="inlineStr"/>
      <c r="G25" t="inlineStr">
        <is>
          <t>Cupertino, CA, US</t>
        </is>
      </c>
      <c r="H25" s="2" t="n">
        <v>45993</v>
      </c>
      <c r="I25"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in-3a553b4958b9fb3a</t>
        </is>
      </c>
      <c r="B26" t="inlineStr">
        <is>
          <t>Applied Scientist, ML Compiler</t>
        </is>
      </c>
      <c r="C26" t="inlineStr">
        <is>
          <t>Amazon Web Services</t>
        </is>
      </c>
      <c r="D26" t="inlineStr">
        <is>
          <t>indeed</t>
        </is>
      </c>
      <c r="E26" t="inlineStr"/>
      <c r="F26" t="inlineStr"/>
      <c r="G26" t="inlineStr">
        <is>
          <t>Seattle, WA, US</t>
        </is>
      </c>
      <c r="H26" s="2" t="n">
        <v>45993</v>
      </c>
      <c r="I26"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in-52c1857891b68c05</t>
        </is>
      </c>
      <c r="B27" t="inlineStr">
        <is>
          <t>Senior Data Scientist, Data and Machine Learning, WWPS US Federal</t>
        </is>
      </c>
      <c r="C27" t="inlineStr">
        <is>
          <t>Amazon Web Services</t>
        </is>
      </c>
      <c r="D27" t="inlineStr">
        <is>
          <t>indeed</t>
        </is>
      </c>
      <c r="E27" t="inlineStr"/>
      <c r="F27" t="inlineStr"/>
      <c r="G27" t="inlineStr">
        <is>
          <t>Denver, CO, US</t>
        </is>
      </c>
      <c r="H27" s="2" t="n">
        <v>45993</v>
      </c>
      <c r="I27"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28">
      <c r="A28" t="inlineStr">
        <is>
          <t>in-195ced4d46608491</t>
        </is>
      </c>
      <c r="B28" t="inlineStr">
        <is>
          <t>Data Scientist, Data and Machine Learning, WWPS US Federal</t>
        </is>
      </c>
      <c r="C28" t="inlineStr">
        <is>
          <t>Amazon Web Services</t>
        </is>
      </c>
      <c r="D28" t="inlineStr">
        <is>
          <t>indeed</t>
        </is>
      </c>
      <c r="E28" t="inlineStr"/>
      <c r="F28" t="inlineStr"/>
      <c r="G28" t="inlineStr">
        <is>
          <t>Herndon, VA, US</t>
        </is>
      </c>
      <c r="H28" s="2" t="n">
        <v>45993</v>
      </c>
      <c r="I28"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29">
      <c r="A29" t="inlineStr">
        <is>
          <t>in-d53bc4ff49f0d2dd</t>
        </is>
      </c>
      <c r="B29" t="inlineStr">
        <is>
          <t>Senior Data Scientist, Data and Machine Learning, WWPS US Federal</t>
        </is>
      </c>
      <c r="C29" t="inlineStr">
        <is>
          <t>Amazon Web Services</t>
        </is>
      </c>
      <c r="D29" t="inlineStr">
        <is>
          <t>indeed</t>
        </is>
      </c>
      <c r="E29" t="inlineStr"/>
      <c r="F29" t="inlineStr"/>
      <c r="G29" t="inlineStr">
        <is>
          <t>Arlington, VA, US</t>
        </is>
      </c>
      <c r="H29" s="2" t="n">
        <v>45993</v>
      </c>
      <c r="I29"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0">
      <c r="A30" t="inlineStr">
        <is>
          <t>in-47deaf379d8ba699</t>
        </is>
      </c>
      <c r="B30" t="inlineStr">
        <is>
          <t>Data Scientist, Data and Machine Learning, WWPS US Federal</t>
        </is>
      </c>
      <c r="C30" t="inlineStr">
        <is>
          <t>Amazon Web Services</t>
        </is>
      </c>
      <c r="D30" t="inlineStr">
        <is>
          <t>indeed</t>
        </is>
      </c>
      <c r="E30" t="inlineStr"/>
      <c r="F30" t="inlineStr"/>
      <c r="G30" t="inlineStr">
        <is>
          <t>Denver, CO, US</t>
        </is>
      </c>
      <c r="H30" s="2" t="n">
        <v>45993</v>
      </c>
      <c r="I30"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1">
      <c r="A31" t="inlineStr">
        <is>
          <t>in-d9568479bd1bb0e3</t>
        </is>
      </c>
      <c r="B31" t="inlineStr">
        <is>
          <t>Data Scientist, Data and Machine Learning, WWPS US Federal</t>
        </is>
      </c>
      <c r="C31" t="inlineStr">
        <is>
          <t>Amazon Web Services</t>
        </is>
      </c>
      <c r="D31" t="inlineStr">
        <is>
          <t>indeed</t>
        </is>
      </c>
      <c r="E31" t="inlineStr"/>
      <c r="F31" t="inlineStr"/>
      <c r="G31" t="inlineStr">
        <is>
          <t>St. Louis, MO, US</t>
        </is>
      </c>
      <c r="H31" s="2" t="n">
        <v>45993</v>
      </c>
      <c r="I31"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2">
      <c r="A32" t="inlineStr">
        <is>
          <t>in-7c7ff2c2fe8cd283</t>
        </is>
      </c>
      <c r="B32" t="inlineStr">
        <is>
          <t>Data Scientist, Data and Machine Learning, WWPS US Federal</t>
        </is>
      </c>
      <c r="C32" t="inlineStr">
        <is>
          <t>Amazon Web Services</t>
        </is>
      </c>
      <c r="D32" t="inlineStr">
        <is>
          <t>indeed</t>
        </is>
      </c>
      <c r="E32" t="inlineStr"/>
      <c r="F32" t="inlineStr"/>
      <c r="G32" t="inlineStr">
        <is>
          <t>Arlington, VA, US</t>
        </is>
      </c>
      <c r="H32" s="2" t="n">
        <v>45993</v>
      </c>
      <c r="I32"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33">
      <c r="A33" t="inlineStr">
        <is>
          <t>in-dc4fabaad822fb76</t>
        </is>
      </c>
      <c r="B33" t="inlineStr">
        <is>
          <t>Senior Data Scientist, Data and Machine Learning, WWPS US Federal</t>
        </is>
      </c>
      <c r="C33" t="inlineStr">
        <is>
          <t>Amazon Web Services</t>
        </is>
      </c>
      <c r="D33" t="inlineStr">
        <is>
          <t>indeed</t>
        </is>
      </c>
      <c r="E33" t="inlineStr"/>
      <c r="F33" t="inlineStr"/>
      <c r="G33" t="inlineStr">
        <is>
          <t>Jessup, MD, US</t>
        </is>
      </c>
      <c r="H33" s="2" t="n">
        <v>45993</v>
      </c>
      <c r="I33"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4">
      <c r="A34" t="inlineStr">
        <is>
          <t>in-8d2dd248da3f3305</t>
        </is>
      </c>
      <c r="B34" t="inlineStr">
        <is>
          <t>Senior Data Scientist, Data and Machine Learning, WWPS US Federal</t>
        </is>
      </c>
      <c r="C34" t="inlineStr">
        <is>
          <t>Amazon Web Services</t>
        </is>
      </c>
      <c r="D34" t="inlineStr">
        <is>
          <t>indeed</t>
        </is>
      </c>
      <c r="E34" t="inlineStr"/>
      <c r="F34" t="inlineStr"/>
      <c r="G34" t="inlineStr">
        <is>
          <t>St. Louis, MO, US</t>
        </is>
      </c>
      <c r="H34" s="2" t="n">
        <v>45993</v>
      </c>
      <c r="I3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35">
      <c r="A35" t="inlineStr">
        <is>
          <t>in-c127b08aa5cdc10b</t>
        </is>
      </c>
      <c r="B35" t="inlineStr">
        <is>
          <t>Senior Applied Scientist, Locomotion, Amazon Industrial Robotics</t>
        </is>
      </c>
      <c r="C35" t="inlineStr">
        <is>
          <t>Amazon.com</t>
        </is>
      </c>
      <c r="D35" t="inlineStr">
        <is>
          <t>indeed</t>
        </is>
      </c>
      <c r="E35" t="inlineStr"/>
      <c r="F35" t="inlineStr"/>
      <c r="G35" t="inlineStr">
        <is>
          <t>Reading, MA, US</t>
        </is>
      </c>
      <c r="H35" s="2" t="n">
        <v>45992</v>
      </c>
      <c r="I3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in-46adf66a7b4af279</t>
        </is>
      </c>
      <c r="B36" t="inlineStr">
        <is>
          <t>Senior Applied Scientist, Locomotion, Amazon Industrial Robotics</t>
        </is>
      </c>
      <c r="C36" t="inlineStr">
        <is>
          <t>Amazon.com</t>
        </is>
      </c>
      <c r="D36" t="inlineStr">
        <is>
          <t>indeed</t>
        </is>
      </c>
      <c r="E36" t="inlineStr"/>
      <c r="F36" t="inlineStr"/>
      <c r="G36" t="inlineStr">
        <is>
          <t>Reading, MA, US</t>
        </is>
      </c>
      <c r="H36" s="2" t="n">
        <v>45992</v>
      </c>
      <c r="I3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in-c829f6c903328dfa</t>
        </is>
      </c>
      <c r="B37" t="inlineStr">
        <is>
          <t>Principal Applied Scientist, Amazon Special Projects</t>
        </is>
      </c>
      <c r="C37" t="inlineStr">
        <is>
          <t>Amazon.com</t>
        </is>
      </c>
      <c r="D37" t="inlineStr">
        <is>
          <t>indeed</t>
        </is>
      </c>
      <c r="E37" t="inlineStr"/>
      <c r="F37" t="inlineStr"/>
      <c r="G37" t="inlineStr">
        <is>
          <t>Seattle, WA, US</t>
        </is>
      </c>
      <c r="H37" s="2" t="n">
        <v>45982</v>
      </c>
      <c r="I3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in-e067daab2cc0c55b</t>
        </is>
      </c>
      <c r="B38" t="inlineStr">
        <is>
          <t>Principal Applied Scientist, Amazon Special Projects</t>
        </is>
      </c>
      <c r="C38" t="inlineStr">
        <is>
          <t>Amazon.com</t>
        </is>
      </c>
      <c r="D38" t="inlineStr">
        <is>
          <t>indeed</t>
        </is>
      </c>
      <c r="E38" t="inlineStr"/>
      <c r="F38" t="inlineStr"/>
      <c r="G38" t="inlineStr">
        <is>
          <t>Boston, MA, US</t>
        </is>
      </c>
      <c r="H38" s="2" t="n">
        <v>45982</v>
      </c>
      <c r="I3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in-f28733469904d74d</t>
        </is>
      </c>
      <c r="B39" t="inlineStr">
        <is>
          <t>Senior Applied Scientist, Artificial General Intelligence</t>
        </is>
      </c>
      <c r="C39" t="inlineStr">
        <is>
          <t>Amazon.com</t>
        </is>
      </c>
      <c r="D39" t="inlineStr">
        <is>
          <t>indeed</t>
        </is>
      </c>
      <c r="E39" t="inlineStr"/>
      <c r="F39" t="inlineStr"/>
      <c r="G39" t="inlineStr">
        <is>
          <t>Seattle, WA, US</t>
        </is>
      </c>
      <c r="H39" s="2" t="n">
        <v>45980</v>
      </c>
      <c r="I3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in-cbbd759b816ed355</t>
        </is>
      </c>
      <c r="B40" t="inlineStr">
        <is>
          <t>Senior Applied Scientist, Artificial General Intelligence</t>
        </is>
      </c>
      <c r="C40" t="inlineStr">
        <is>
          <t>Amazon.com</t>
        </is>
      </c>
      <c r="D40" t="inlineStr">
        <is>
          <t>indeed</t>
        </is>
      </c>
      <c r="E40" t="inlineStr"/>
      <c r="F40" t="inlineStr"/>
      <c r="G40" t="inlineStr">
        <is>
          <t>Sunnyvale, CA, US</t>
        </is>
      </c>
      <c r="H40" s="2" t="n">
        <v>45980</v>
      </c>
      <c r="I4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in-c4b2acf91f27bc78</t>
        </is>
      </c>
      <c r="B41" t="inlineStr">
        <is>
          <t>Senior Applied Scientist, Artificial General Intelligence</t>
        </is>
      </c>
      <c r="C41" t="inlineStr">
        <is>
          <t>Amazon.com</t>
        </is>
      </c>
      <c r="D41" t="inlineStr">
        <is>
          <t>indeed</t>
        </is>
      </c>
      <c r="E41" t="inlineStr"/>
      <c r="F41" t="inlineStr"/>
      <c r="G41" t="inlineStr">
        <is>
          <t>Boston, MA, US</t>
        </is>
      </c>
      <c r="H41" s="2" t="n">
        <v>45980</v>
      </c>
      <c r="I4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in-89a2769fa963ded8</t>
        </is>
      </c>
      <c r="B42" t="inlineStr">
        <is>
          <t>Senior Applied Scientist, Artificial General Intelligence</t>
        </is>
      </c>
      <c r="C42" t="inlineStr">
        <is>
          <t>Amazon.com</t>
        </is>
      </c>
      <c r="D42" t="inlineStr">
        <is>
          <t>indeed</t>
        </is>
      </c>
      <c r="E42" t="inlineStr"/>
      <c r="F42" t="inlineStr"/>
      <c r="G42" t="inlineStr">
        <is>
          <t>New York, NY, US</t>
        </is>
      </c>
      <c r="H42" s="2" t="n">
        <v>45980</v>
      </c>
      <c r="I4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in-fe63b053535a2dc6</t>
        </is>
      </c>
      <c r="B43" t="inlineStr">
        <is>
          <t>Applied Scientist II, SPB Advertiser Guidance</t>
        </is>
      </c>
      <c r="C43" t="inlineStr">
        <is>
          <t>Amazon.com</t>
        </is>
      </c>
      <c r="D43" t="inlineStr">
        <is>
          <t>indeed</t>
        </is>
      </c>
      <c r="E43" t="inlineStr"/>
      <c r="F43" t="inlineStr"/>
      <c r="G43" t="inlineStr">
        <is>
          <t>Palo Alto, CA, US</t>
        </is>
      </c>
      <c r="H43" s="2" t="n">
        <v>45980</v>
      </c>
      <c r="I4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in-223244bc5e0ab61b</t>
        </is>
      </c>
      <c r="B44" t="inlineStr">
        <is>
          <t>Applied Scientist II, SPB Advertiser Guidance</t>
        </is>
      </c>
      <c r="C44" t="inlineStr">
        <is>
          <t>Amazon.com</t>
        </is>
      </c>
      <c r="D44" t="inlineStr">
        <is>
          <t>indeed</t>
        </is>
      </c>
      <c r="E44" t="inlineStr"/>
      <c r="F44" t="inlineStr"/>
      <c r="G44" t="inlineStr">
        <is>
          <t>Seattle, WA, US</t>
        </is>
      </c>
      <c r="H44" s="2" t="n">
        <v>45980</v>
      </c>
      <c r="I4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in-01742db2e7e0b229</t>
        </is>
      </c>
      <c r="B45" t="inlineStr">
        <is>
          <t>Applied Scientist II, SPB Advertiser Guidance</t>
        </is>
      </c>
      <c r="C45" t="inlineStr">
        <is>
          <t>Amazon.com</t>
        </is>
      </c>
      <c r="D45" t="inlineStr">
        <is>
          <t>indeed</t>
        </is>
      </c>
      <c r="E45" t="inlineStr"/>
      <c r="F45" t="inlineStr"/>
      <c r="G45" t="inlineStr">
        <is>
          <t>New York, NY, US</t>
        </is>
      </c>
      <c r="H45" s="2" t="n">
        <v>45980</v>
      </c>
      <c r="I4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in-69ae43cedfbaa394</t>
        </is>
      </c>
      <c r="B46" t="inlineStr">
        <is>
          <t>Principal Applied Scientist, Sponsored Products and Brands</t>
        </is>
      </c>
      <c r="C46" t="inlineStr">
        <is>
          <t>Amazon.com</t>
        </is>
      </c>
      <c r="D46" t="inlineStr">
        <is>
          <t>indeed</t>
        </is>
      </c>
      <c r="E46" t="inlineStr"/>
      <c r="F46" t="inlineStr"/>
      <c r="G46" t="inlineStr">
        <is>
          <t>New York, NY, US</t>
        </is>
      </c>
      <c r="H46" s="2" t="n">
        <v>45979</v>
      </c>
      <c r="I4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in-64ab8e63c8ac52c0</t>
        </is>
      </c>
      <c r="B47" t="inlineStr">
        <is>
          <t>Principal Applied Scientist, Sponsored Products and Brands</t>
        </is>
      </c>
      <c r="C47" t="inlineStr">
        <is>
          <t>Amazon.com</t>
        </is>
      </c>
      <c r="D47" t="inlineStr">
        <is>
          <t>indeed</t>
        </is>
      </c>
      <c r="E47" t="inlineStr"/>
      <c r="F47" t="inlineStr"/>
      <c r="G47" t="inlineStr">
        <is>
          <t>Seattle, WA, US</t>
        </is>
      </c>
      <c r="H47" s="2" t="n">
        <v>45979</v>
      </c>
      <c r="I4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in-487cee7fb1049847</t>
        </is>
      </c>
      <c r="B48" t="inlineStr">
        <is>
          <t>Sr. Applied Scientist, AGI Foundations</t>
        </is>
      </c>
      <c r="C48" t="inlineStr">
        <is>
          <t>Amazon.com</t>
        </is>
      </c>
      <c r="D48" t="inlineStr">
        <is>
          <t>indeed</t>
        </is>
      </c>
      <c r="E48" t="inlineStr"/>
      <c r="F48" t="inlineStr"/>
      <c r="G48" t="inlineStr">
        <is>
          <t>Boston, MA, US</t>
        </is>
      </c>
      <c r="H48" s="2" t="n">
        <v>45978</v>
      </c>
      <c r="I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in-0c3e54015655b925</t>
        </is>
      </c>
      <c r="B49" t="inlineStr">
        <is>
          <t>Sr. Applied Scientist, AGI Foundations</t>
        </is>
      </c>
      <c r="C49" t="inlineStr">
        <is>
          <t>Amazon.com</t>
        </is>
      </c>
      <c r="D49" t="inlineStr">
        <is>
          <t>indeed</t>
        </is>
      </c>
      <c r="E49" t="inlineStr"/>
      <c r="F49" t="inlineStr"/>
      <c r="G49" t="inlineStr">
        <is>
          <t>Bellevue, WA, US</t>
        </is>
      </c>
      <c r="H49" s="2" t="n">
        <v>45978</v>
      </c>
      <c r="I4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in-5deb31a44567c354</t>
        </is>
      </c>
      <c r="B50" t="inlineStr">
        <is>
          <t>Sr. Applied Scientist, AGI Foundations</t>
        </is>
      </c>
      <c r="C50" t="inlineStr">
        <is>
          <t>Amazon.com</t>
        </is>
      </c>
      <c r="D50" t="inlineStr">
        <is>
          <t>indeed</t>
        </is>
      </c>
      <c r="E50" t="inlineStr"/>
      <c r="F50" t="inlineStr"/>
      <c r="G50" t="inlineStr">
        <is>
          <t>Sunnyvale, CA, US</t>
        </is>
      </c>
      <c r="H50" s="2" t="n">
        <v>45978</v>
      </c>
      <c r="I5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in-09b3a1c36645d6da</t>
        </is>
      </c>
      <c r="B51" t="inlineStr">
        <is>
          <t>Sr. Applied Scientist, AGI Foundations</t>
        </is>
      </c>
      <c r="C51" t="inlineStr">
        <is>
          <t>Amazon.com</t>
        </is>
      </c>
      <c r="D51" t="inlineStr">
        <is>
          <t>indeed</t>
        </is>
      </c>
      <c r="E51" t="inlineStr"/>
      <c r="F51" t="inlineStr"/>
      <c r="G51" t="inlineStr">
        <is>
          <t>New York, NY, US</t>
        </is>
      </c>
      <c r="H51" s="2" t="n">
        <v>45978</v>
      </c>
      <c r="I5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in-16bc7e9ba5f06991</t>
        </is>
      </c>
      <c r="B52" t="inlineStr">
        <is>
          <t>Applied Scientist II, Robotics and ML, Amazon Industrial Robotics</t>
        </is>
      </c>
      <c r="C52" t="inlineStr">
        <is>
          <t>Amazon.com</t>
        </is>
      </c>
      <c r="D52" t="inlineStr">
        <is>
          <t>indeed</t>
        </is>
      </c>
      <c r="E52" t="inlineStr"/>
      <c r="F52" t="inlineStr"/>
      <c r="G52" t="inlineStr">
        <is>
          <t>Reading, MA, US</t>
        </is>
      </c>
      <c r="H52" s="2" t="n">
        <v>45975</v>
      </c>
      <c r="I5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in-5b4206cee2adec46</t>
        </is>
      </c>
      <c r="B53" t="inlineStr">
        <is>
          <t>Applied Scientist II, Robotics and ML, Amazon Industrial Robotics</t>
        </is>
      </c>
      <c r="C53" t="inlineStr">
        <is>
          <t>Amazon.com</t>
        </is>
      </c>
      <c r="D53" t="inlineStr">
        <is>
          <t>indeed</t>
        </is>
      </c>
      <c r="E53" t="inlineStr"/>
      <c r="F53" t="inlineStr"/>
      <c r="G53" t="inlineStr">
        <is>
          <t>Reading, MA, US</t>
        </is>
      </c>
      <c r="H53" s="2" t="n">
        <v>45975</v>
      </c>
      <c r="I5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in-c1cafa895a11a84c</t>
        </is>
      </c>
      <c r="B54" t="inlineStr">
        <is>
          <t>Sr. Applied Scientist, Amazon Industrial Robotics</t>
        </is>
      </c>
      <c r="C54" t="inlineStr">
        <is>
          <t>Amazon.com</t>
        </is>
      </c>
      <c r="D54" t="inlineStr">
        <is>
          <t>indeed</t>
        </is>
      </c>
      <c r="E54" t="inlineStr"/>
      <c r="F54" t="inlineStr"/>
      <c r="G54" t="inlineStr">
        <is>
          <t>Reading, MA, US</t>
        </is>
      </c>
      <c r="H54" s="2" t="n">
        <v>45973</v>
      </c>
      <c r="I5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in-e92c44eebacc1b91</t>
        </is>
      </c>
      <c r="B55" t="inlineStr">
        <is>
          <t>Sr. Applied Scientist, Amazon Industrial Robotics</t>
        </is>
      </c>
      <c r="C55" t="inlineStr">
        <is>
          <t>Amazon.com</t>
        </is>
      </c>
      <c r="D55" t="inlineStr">
        <is>
          <t>indeed</t>
        </is>
      </c>
      <c r="E55" t="inlineStr"/>
      <c r="F55" t="inlineStr"/>
      <c r="G55" t="inlineStr">
        <is>
          <t>Reading, MA, US</t>
        </is>
      </c>
      <c r="H55" s="2" t="n">
        <v>45973</v>
      </c>
      <c r="I5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in-318d378e80de255d</t>
        </is>
      </c>
      <c r="B56" t="inlineStr">
        <is>
          <t>Principal Applied Scientist, Amazon AGI</t>
        </is>
      </c>
      <c r="C56" t="inlineStr">
        <is>
          <t>Amazon.com</t>
        </is>
      </c>
      <c r="D56" t="inlineStr">
        <is>
          <t>indeed</t>
        </is>
      </c>
      <c r="E56" t="inlineStr"/>
      <c r="F56" t="inlineStr"/>
      <c r="G56" t="inlineStr">
        <is>
          <t>Boston, MA, US</t>
        </is>
      </c>
      <c r="H56" s="2" t="n">
        <v>45964</v>
      </c>
      <c r="I5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in-e1b2a923c6f6f066</t>
        </is>
      </c>
      <c r="B57" t="inlineStr">
        <is>
          <t>Principal Applied Scientist, Amazon AGI</t>
        </is>
      </c>
      <c r="C57" t="inlineStr">
        <is>
          <t>Amazon.com</t>
        </is>
      </c>
      <c r="D57" t="inlineStr">
        <is>
          <t>indeed</t>
        </is>
      </c>
      <c r="E57" t="inlineStr"/>
      <c r="F57" t="inlineStr"/>
      <c r="G57" t="inlineStr">
        <is>
          <t>San Francisco, CA, US</t>
        </is>
      </c>
      <c r="H57" s="2" t="n">
        <v>45964</v>
      </c>
      <c r="I5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in-0f38b5d324f98e27</t>
        </is>
      </c>
      <c r="B58" t="inlineStr">
        <is>
          <t>Sr. Applied Scientist, AGI Foundations</t>
        </is>
      </c>
      <c r="C58" t="inlineStr">
        <is>
          <t>Amazon.com</t>
        </is>
      </c>
      <c r="D58" t="inlineStr">
        <is>
          <t>indeed</t>
        </is>
      </c>
      <c r="E58" t="inlineStr"/>
      <c r="F58" t="inlineStr"/>
      <c r="G58" t="inlineStr">
        <is>
          <t>Boston, MA, US</t>
        </is>
      </c>
      <c r="H58" s="2" t="n">
        <v>45963</v>
      </c>
      <c r="I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in-e7aa5fdaf203ca85</t>
        </is>
      </c>
      <c r="B59" t="inlineStr">
        <is>
          <t>Sr. Applied Scientist, AGI Foundations</t>
        </is>
      </c>
      <c r="C59" t="inlineStr">
        <is>
          <t>Amazon.com</t>
        </is>
      </c>
      <c r="D59" t="inlineStr">
        <is>
          <t>indeed</t>
        </is>
      </c>
      <c r="E59" t="inlineStr"/>
      <c r="F59" t="inlineStr"/>
      <c r="G59" t="inlineStr">
        <is>
          <t>Bellevue, WA, US</t>
        </is>
      </c>
      <c r="H59" s="2" t="n">
        <v>45963</v>
      </c>
      <c r="I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in-b3328c077d1bab9e</t>
        </is>
      </c>
      <c r="B60" t="inlineStr">
        <is>
          <t>Sr. Applied Scientist, AGI Foundations</t>
        </is>
      </c>
      <c r="C60" t="inlineStr">
        <is>
          <t>Amazon.com</t>
        </is>
      </c>
      <c r="D60" t="inlineStr">
        <is>
          <t>indeed</t>
        </is>
      </c>
      <c r="E60" t="inlineStr"/>
      <c r="F60" t="inlineStr"/>
      <c r="G60" t="inlineStr">
        <is>
          <t>New York, NY, US</t>
        </is>
      </c>
      <c r="H60" s="2" t="n">
        <v>45963</v>
      </c>
      <c r="I6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in-c96f85561e67635d</t>
        </is>
      </c>
      <c r="B61" t="inlineStr">
        <is>
          <t>Principal Applied Scientist, AWS Agentic AI Science</t>
        </is>
      </c>
      <c r="C61" t="inlineStr">
        <is>
          <t>Amazon Web Services</t>
        </is>
      </c>
      <c r="D61" t="inlineStr">
        <is>
          <t>indeed</t>
        </is>
      </c>
      <c r="E61" t="inlineStr"/>
      <c r="F61" t="inlineStr"/>
      <c r="G61" t="inlineStr">
        <is>
          <t>Santa Clara, CA, US</t>
        </is>
      </c>
      <c r="H61" s="2" t="n">
        <v>45963</v>
      </c>
      <c r="I6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in-a7bca95c2e4501b4</t>
        </is>
      </c>
      <c r="B62" t="inlineStr">
        <is>
          <t>Principal Applied Scientist, AWS Agentic AI Science</t>
        </is>
      </c>
      <c r="C62" t="inlineStr">
        <is>
          <t>Amazon Web Services</t>
        </is>
      </c>
      <c r="D62" t="inlineStr">
        <is>
          <t>indeed</t>
        </is>
      </c>
      <c r="E62" t="inlineStr"/>
      <c r="F62" t="inlineStr"/>
      <c r="G62" t="inlineStr">
        <is>
          <t>New York, NY, US</t>
        </is>
      </c>
      <c r="H62" s="2" t="n">
        <v>45963</v>
      </c>
      <c r="I6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in-0fdfb02a38d4cc38</t>
        </is>
      </c>
      <c r="B63" t="inlineStr">
        <is>
          <t>Sr. Applied Scientist, Sponsored Product Off-Search</t>
        </is>
      </c>
      <c r="C63" t="inlineStr">
        <is>
          <t>Amazon.com</t>
        </is>
      </c>
      <c r="D63" t="inlineStr">
        <is>
          <t>indeed</t>
        </is>
      </c>
      <c r="E63" t="inlineStr"/>
      <c r="F63" t="inlineStr"/>
      <c r="G63" t="inlineStr">
        <is>
          <t>Seattle, WA, US</t>
        </is>
      </c>
      <c r="H63" s="2" t="n">
        <v>45963</v>
      </c>
      <c r="I6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in-f64df9c69bf306a0</t>
        </is>
      </c>
      <c r="B64" t="inlineStr">
        <is>
          <t>Sr. Applied Scientist, Sponsored Product Off-Search</t>
        </is>
      </c>
      <c r="C64" t="inlineStr">
        <is>
          <t>Amazon.com</t>
        </is>
      </c>
      <c r="D64" t="inlineStr">
        <is>
          <t>indeed</t>
        </is>
      </c>
      <c r="E64" t="inlineStr"/>
      <c r="F64" t="inlineStr"/>
      <c r="G64" t="inlineStr">
        <is>
          <t>New York, NY, US</t>
        </is>
      </c>
      <c r="H64" s="2" t="n">
        <v>45963</v>
      </c>
      <c r="I6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in-4ed560bd557c027e</t>
        </is>
      </c>
      <c r="B65" t="inlineStr">
        <is>
          <t>Applied Scientist, AWS Agentic AI</t>
        </is>
      </c>
      <c r="C65" t="inlineStr">
        <is>
          <t>Amazon Web Services</t>
        </is>
      </c>
      <c r="D65" t="inlineStr">
        <is>
          <t>indeed</t>
        </is>
      </c>
      <c r="E65" t="inlineStr"/>
      <c r="F65" t="inlineStr"/>
      <c r="G65" t="inlineStr">
        <is>
          <t>Santa Clara, CA, US</t>
        </is>
      </c>
      <c r="H65" s="2" t="n">
        <v>45962</v>
      </c>
      <c r="I6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in-ca56c11f800e97c3</t>
        </is>
      </c>
      <c r="B66" t="inlineStr">
        <is>
          <t>Applied Scientist, AWS Agentic AI</t>
        </is>
      </c>
      <c r="C66" t="inlineStr">
        <is>
          <t>Amazon Web Services</t>
        </is>
      </c>
      <c r="D66" t="inlineStr">
        <is>
          <t>indeed</t>
        </is>
      </c>
      <c r="E66" t="inlineStr"/>
      <c r="F66" t="inlineStr"/>
      <c r="G66" t="inlineStr">
        <is>
          <t>New York, NY, US</t>
        </is>
      </c>
      <c r="H66" s="2" t="n">
        <v>45962</v>
      </c>
      <c r="I6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in-cf2e5f543de0d665</t>
        </is>
      </c>
      <c r="B67" t="inlineStr">
        <is>
          <t>Applied Scientist, AWS Agentic AI</t>
        </is>
      </c>
      <c r="C67" t="inlineStr">
        <is>
          <t>Amazon Web Services</t>
        </is>
      </c>
      <c r="D67" t="inlineStr">
        <is>
          <t>indeed</t>
        </is>
      </c>
      <c r="E67" t="inlineStr"/>
      <c r="F67" t="inlineStr"/>
      <c r="G67" t="inlineStr">
        <is>
          <t>Seattle, WA, US</t>
        </is>
      </c>
      <c r="H67" s="2" t="n">
        <v>45962</v>
      </c>
      <c r="I6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in-04c472f860d5b25d</t>
        </is>
      </c>
      <c r="B68" t="inlineStr">
        <is>
          <t>Principal Applied Scientist, Advertiser Growth, Amazon Sponsored Products &amp; Brands</t>
        </is>
      </c>
      <c r="C68" t="inlineStr">
        <is>
          <t>Amazon.com</t>
        </is>
      </c>
      <c r="D68" t="inlineStr">
        <is>
          <t>indeed</t>
        </is>
      </c>
      <c r="E68" t="inlineStr"/>
      <c r="F68" t="inlineStr"/>
      <c r="G68" t="inlineStr">
        <is>
          <t>Seattle, WA, US</t>
        </is>
      </c>
      <c r="H68" s="2" t="n">
        <v>45942</v>
      </c>
      <c r="I6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in-6b14d036995ca275</t>
        </is>
      </c>
      <c r="B69" t="inlineStr">
        <is>
          <t>Principal Applied Scientist, Advertiser Growth, Amazon Sponsored Products &amp; Brands</t>
        </is>
      </c>
      <c r="C69" t="inlineStr">
        <is>
          <t>Amazon.com</t>
        </is>
      </c>
      <c r="D69" t="inlineStr">
        <is>
          <t>indeed</t>
        </is>
      </c>
      <c r="E69" t="inlineStr"/>
      <c r="F69" t="inlineStr"/>
      <c r="G69" t="inlineStr">
        <is>
          <t>Palo Alto, CA, US</t>
        </is>
      </c>
      <c r="H69" s="2" t="n">
        <v>45942</v>
      </c>
      <c r="I6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in-0ba2094aaf88306b</t>
        </is>
      </c>
      <c r="B70" t="inlineStr">
        <is>
          <t>Principal Applied Scientist, Advertiser Growth, Amazon Sponsored Products &amp; Brands</t>
        </is>
      </c>
      <c r="C70" t="inlineStr">
        <is>
          <t>Amazon.com</t>
        </is>
      </c>
      <c r="D70" t="inlineStr">
        <is>
          <t>indeed</t>
        </is>
      </c>
      <c r="E70" t="inlineStr"/>
      <c r="F70" t="inlineStr"/>
      <c r="G70" t="inlineStr">
        <is>
          <t>New York, NY, US</t>
        </is>
      </c>
      <c r="H70" s="2" t="n">
        <v>45942</v>
      </c>
      <c r="I7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in-53e9860227060c05</t>
        </is>
      </c>
      <c r="B71" t="inlineStr">
        <is>
          <t>Applied Scientist</t>
        </is>
      </c>
      <c r="C71" t="inlineStr">
        <is>
          <t>Amazon.com</t>
        </is>
      </c>
      <c r="D71" t="inlineStr">
        <is>
          <t>indeed</t>
        </is>
      </c>
      <c r="E71" t="inlineStr"/>
      <c r="F71" t="inlineStr"/>
      <c r="G71" t="inlineStr">
        <is>
          <t>Palo Alto, CA, US</t>
        </is>
      </c>
      <c r="H71" s="2" t="n">
        <v>45939</v>
      </c>
      <c r="I7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in-426f0c2fc023e620</t>
        </is>
      </c>
      <c r="B72" t="inlineStr">
        <is>
          <t>Applied Scientist</t>
        </is>
      </c>
      <c r="C72" t="inlineStr">
        <is>
          <t>Amazon.com</t>
        </is>
      </c>
      <c r="D72" t="inlineStr">
        <is>
          <t>indeed</t>
        </is>
      </c>
      <c r="E72" t="inlineStr"/>
      <c r="F72" t="inlineStr"/>
      <c r="G72" t="inlineStr">
        <is>
          <t>Seattle, WA, US</t>
        </is>
      </c>
      <c r="H72" s="2" t="n">
        <v>45939</v>
      </c>
      <c r="I7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in-2e2a6a5f0b5b60ed</t>
        </is>
      </c>
      <c r="B73" t="inlineStr">
        <is>
          <t>Applied Scientist</t>
        </is>
      </c>
      <c r="C73" t="inlineStr">
        <is>
          <t>Amazon.com</t>
        </is>
      </c>
      <c r="D73" t="inlineStr">
        <is>
          <t>indeed</t>
        </is>
      </c>
      <c r="E73" t="inlineStr"/>
      <c r="F73" t="inlineStr"/>
      <c r="G73" t="inlineStr">
        <is>
          <t>New York, NY, US</t>
        </is>
      </c>
      <c r="H73" s="2" t="n">
        <v>45939</v>
      </c>
      <c r="I7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in-70bc1637fa2e18ea</t>
        </is>
      </c>
      <c r="B74" t="inlineStr">
        <is>
          <t>Sr. Applied Scientist, SPB Advertiser Guidance</t>
        </is>
      </c>
      <c r="C74" t="inlineStr">
        <is>
          <t>Amazon.com</t>
        </is>
      </c>
      <c r="D74" t="inlineStr">
        <is>
          <t>indeed</t>
        </is>
      </c>
      <c r="E74" t="inlineStr"/>
      <c r="F74" t="inlineStr"/>
      <c r="G74" t="inlineStr">
        <is>
          <t>Seattle, WA, US</t>
        </is>
      </c>
      <c r="H74" s="2" t="n">
        <v>45939</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in-6d71a249dc11f27d</t>
        </is>
      </c>
      <c r="B75" t="inlineStr">
        <is>
          <t>Sr. Applied Scientist, SPB Advertiser Guidance</t>
        </is>
      </c>
      <c r="C75" t="inlineStr">
        <is>
          <t>Amazon.com</t>
        </is>
      </c>
      <c r="D75" t="inlineStr">
        <is>
          <t>indeed</t>
        </is>
      </c>
      <c r="E75" t="inlineStr"/>
      <c r="F75" t="inlineStr"/>
      <c r="G75" t="inlineStr">
        <is>
          <t>New York, NY, US</t>
        </is>
      </c>
      <c r="H75" s="2" t="n">
        <v>45939</v>
      </c>
      <c r="I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in-07a96cceaf4e3cd0</t>
        </is>
      </c>
      <c r="B76" t="inlineStr">
        <is>
          <t>Sr. Applied Scientist, SPB Advertiser Guidance</t>
        </is>
      </c>
      <c r="C76" t="inlineStr">
        <is>
          <t>Amazon.com</t>
        </is>
      </c>
      <c r="D76" t="inlineStr">
        <is>
          <t>indeed</t>
        </is>
      </c>
      <c r="E76" t="inlineStr"/>
      <c r="F76" t="inlineStr"/>
      <c r="G76" t="inlineStr">
        <is>
          <t>Palo Alto, CA, US</t>
        </is>
      </c>
      <c r="H76" s="2" t="n">
        <v>45939</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in-663df2dec1a45d9b</t>
        </is>
      </c>
      <c r="B77" t="inlineStr">
        <is>
          <t>Applied Scientist II, Prime Video - Personalization and Discovery Science, Personalization and Discovery Science</t>
        </is>
      </c>
      <c r="C77" t="inlineStr">
        <is>
          <t>Amazon.com</t>
        </is>
      </c>
      <c r="D77" t="inlineStr">
        <is>
          <t>indeed</t>
        </is>
      </c>
      <c r="E77" t="inlineStr"/>
      <c r="F77" t="inlineStr"/>
      <c r="G77" t="inlineStr">
        <is>
          <t>Seattle, WA, US</t>
        </is>
      </c>
      <c r="H77" s="2" t="n">
        <v>45930</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in-42148a6e57659a79</t>
        </is>
      </c>
      <c r="B78" t="inlineStr">
        <is>
          <t>Applied Scientist II, Prime Video - Personalization and Discovery Science, Personalization and Discovery Science</t>
        </is>
      </c>
      <c r="C78" t="inlineStr">
        <is>
          <t>Amazon.com</t>
        </is>
      </c>
      <c r="D78" t="inlineStr">
        <is>
          <t>indeed</t>
        </is>
      </c>
      <c r="E78" t="inlineStr"/>
      <c r="F78" t="inlineStr"/>
      <c r="G78" t="inlineStr">
        <is>
          <t>New York, NY, US</t>
        </is>
      </c>
      <c r="H78" s="2" t="n">
        <v>45930</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in-ab5403b5d04867d9</t>
        </is>
      </c>
      <c r="B79" t="inlineStr">
        <is>
          <t>Applied Scientist II, Prime Video - Personalization and Discovery Science, Personalization and Discovery Science</t>
        </is>
      </c>
      <c r="C79" t="inlineStr">
        <is>
          <t>Amazon.com</t>
        </is>
      </c>
      <c r="D79" t="inlineStr">
        <is>
          <t>indeed</t>
        </is>
      </c>
      <c r="E79" t="inlineStr"/>
      <c r="F79" t="inlineStr"/>
      <c r="G79" t="inlineStr">
        <is>
          <t>Sunnyvale, CA, US</t>
        </is>
      </c>
      <c r="H79" s="2" t="n">
        <v>45930</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in-ddca2303aa6e950f</t>
        </is>
      </c>
      <c r="B80" t="inlineStr">
        <is>
          <t>Senior Applied Scientist, Sponsored Products and Brands</t>
        </is>
      </c>
      <c r="C80" t="inlineStr">
        <is>
          <t>Amazon.com</t>
        </is>
      </c>
      <c r="D80" t="inlineStr">
        <is>
          <t>indeed</t>
        </is>
      </c>
      <c r="E80" t="inlineStr"/>
      <c r="F80" t="inlineStr"/>
      <c r="G80" t="inlineStr">
        <is>
          <t>Seattle, WA, US</t>
        </is>
      </c>
      <c r="H80" s="2" t="n">
        <v>45922</v>
      </c>
      <c r="I8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in-680c8001a683ff60</t>
        </is>
      </c>
      <c r="B81" t="inlineStr">
        <is>
          <t>Senior Applied Scientist, Sponsored Products and Brands</t>
        </is>
      </c>
      <c r="C81" t="inlineStr">
        <is>
          <t>Amazon.com</t>
        </is>
      </c>
      <c r="D81" t="inlineStr">
        <is>
          <t>indeed</t>
        </is>
      </c>
      <c r="E81" t="inlineStr"/>
      <c r="F81" t="inlineStr"/>
      <c r="G81" t="inlineStr">
        <is>
          <t>New York, NY, US</t>
        </is>
      </c>
      <c r="H81" s="2" t="n">
        <v>45922</v>
      </c>
      <c r="I8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in-f7b4a4c08cae75d5</t>
        </is>
      </c>
      <c r="B82" t="inlineStr">
        <is>
          <t>Applied Scientist, Workplace Health &amp; Safety</t>
        </is>
      </c>
      <c r="C82" t="inlineStr">
        <is>
          <t>Amazon.com</t>
        </is>
      </c>
      <c r="D82" t="inlineStr">
        <is>
          <t>indeed</t>
        </is>
      </c>
      <c r="E82" t="inlineStr"/>
      <c r="F82" t="inlineStr"/>
      <c r="G82" t="inlineStr">
        <is>
          <t>Bellevue, WA, US</t>
        </is>
      </c>
      <c r="H82" s="2" t="n">
        <v>45917</v>
      </c>
      <c r="I8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in-1957795dfa64d58b</t>
        </is>
      </c>
      <c r="B83" t="inlineStr">
        <is>
          <t>Applied Scientist, Workplace Health &amp; Safety</t>
        </is>
      </c>
      <c r="C83" t="inlineStr">
        <is>
          <t>Amazon.com</t>
        </is>
      </c>
      <c r="D83" t="inlineStr">
        <is>
          <t>indeed</t>
        </is>
      </c>
      <c r="E83" t="inlineStr"/>
      <c r="F83" t="inlineStr"/>
      <c r="G83" t="inlineStr">
        <is>
          <t>Nashville, TN, US</t>
        </is>
      </c>
      <c r="H83" s="2" t="n">
        <v>45917</v>
      </c>
      <c r="I8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in-ce8d75b681f4cc7b</t>
        </is>
      </c>
      <c r="B84" t="inlineStr">
        <is>
          <t>Applied Scientist II, Prime Video - Personalization and Discovery Science</t>
        </is>
      </c>
      <c r="C84" t="inlineStr">
        <is>
          <t>Amazon.com</t>
        </is>
      </c>
      <c r="D84" t="inlineStr">
        <is>
          <t>indeed</t>
        </is>
      </c>
      <c r="E84" t="inlineStr"/>
      <c r="F84" t="inlineStr"/>
      <c r="G84" t="inlineStr">
        <is>
          <t>Sunnyvale, CA, US</t>
        </is>
      </c>
      <c r="H84" s="2" t="n">
        <v>45915</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in-b45841e87a9b2df2</t>
        </is>
      </c>
      <c r="B85" t="inlineStr">
        <is>
          <t>Applied Scientist II, Prime Video - Personalization and Discovery Science</t>
        </is>
      </c>
      <c r="C85" t="inlineStr">
        <is>
          <t>Amazon.com</t>
        </is>
      </c>
      <c r="D85" t="inlineStr">
        <is>
          <t>indeed</t>
        </is>
      </c>
      <c r="E85" t="inlineStr"/>
      <c r="F85" t="inlineStr"/>
      <c r="G85" t="inlineStr">
        <is>
          <t>New York, NY, US</t>
        </is>
      </c>
      <c r="H85" s="2" t="n">
        <v>45915</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in-4908ecf26fb4f51e</t>
        </is>
      </c>
      <c r="B86" t="inlineStr">
        <is>
          <t>Applied Scientist II, Prime Video - Personalization and Discovery Science</t>
        </is>
      </c>
      <c r="C86" t="inlineStr">
        <is>
          <t>Amazon.com</t>
        </is>
      </c>
      <c r="D86" t="inlineStr">
        <is>
          <t>indeed</t>
        </is>
      </c>
      <c r="E86" t="inlineStr"/>
      <c r="F86" t="inlineStr"/>
      <c r="G86" t="inlineStr">
        <is>
          <t>Seattle, WA, US</t>
        </is>
      </c>
      <c r="H86" s="2" t="n">
        <v>45915</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in-2fe792e5012293b8</t>
        </is>
      </c>
      <c r="B87" t="inlineStr">
        <is>
          <t>Sr. Applied Scientist, Prime Video - Personalization and Discovery Science</t>
        </is>
      </c>
      <c r="C87" t="inlineStr">
        <is>
          <t>Amazon.com</t>
        </is>
      </c>
      <c r="D87" t="inlineStr">
        <is>
          <t>indeed</t>
        </is>
      </c>
      <c r="E87" t="inlineStr"/>
      <c r="F87" t="inlineStr"/>
      <c r="G87" t="inlineStr">
        <is>
          <t>Sunnyvale, CA, US</t>
        </is>
      </c>
      <c r="H87" s="2" t="n">
        <v>45881</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in-f84efcc50cf5d8ad</t>
        </is>
      </c>
      <c r="B88" t="inlineStr">
        <is>
          <t>Sr. Applied Scientist, Prime Video - Personalization and Discovery Science</t>
        </is>
      </c>
      <c r="C88" t="inlineStr">
        <is>
          <t>Amazon.com</t>
        </is>
      </c>
      <c r="D88" t="inlineStr">
        <is>
          <t>indeed</t>
        </is>
      </c>
      <c r="E88" t="inlineStr"/>
      <c r="F88" t="inlineStr"/>
      <c r="G88" t="inlineStr">
        <is>
          <t>New York, NY, US</t>
        </is>
      </c>
      <c r="H88" s="2" t="n">
        <v>45881</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in-67fcb8610e3b2972</t>
        </is>
      </c>
      <c r="B89" t="inlineStr">
        <is>
          <t>Sr. Applied Scientist, Prime Video - Personalization and Discovery Science</t>
        </is>
      </c>
      <c r="C89" t="inlineStr">
        <is>
          <t>Amazon.com</t>
        </is>
      </c>
      <c r="D89" t="inlineStr">
        <is>
          <t>indeed</t>
        </is>
      </c>
      <c r="E89" t="inlineStr"/>
      <c r="F89" t="inlineStr"/>
      <c r="G89" t="inlineStr">
        <is>
          <t>Seattle, WA, US</t>
        </is>
      </c>
      <c r="H89" s="2" t="n">
        <v>45881</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in-13cd38d7861c4a3c</t>
        </is>
      </c>
      <c r="B90" t="inlineStr">
        <is>
          <t>Applied Scientist II, Prime Video - Personalization and Discovery Science</t>
        </is>
      </c>
      <c r="C90" t="inlineStr">
        <is>
          <t>Amazon.com</t>
        </is>
      </c>
      <c r="D90" t="inlineStr">
        <is>
          <t>indeed</t>
        </is>
      </c>
      <c r="E90" t="inlineStr"/>
      <c r="F90" t="inlineStr"/>
      <c r="G90" t="inlineStr">
        <is>
          <t>New York, NY, US</t>
        </is>
      </c>
      <c r="H90" s="2" t="n">
        <v>45881</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in-35087a51ed5408aa</t>
        </is>
      </c>
      <c r="B91" t="inlineStr">
        <is>
          <t>Applied Scientist II, Prime Video - Personalization and Discovery Science</t>
        </is>
      </c>
      <c r="C91" t="inlineStr">
        <is>
          <t>Amazon.com</t>
        </is>
      </c>
      <c r="D91" t="inlineStr">
        <is>
          <t>indeed</t>
        </is>
      </c>
      <c r="E91" t="inlineStr"/>
      <c r="F91" t="inlineStr"/>
      <c r="G91" t="inlineStr">
        <is>
          <t>Sunnyvale, CA, US</t>
        </is>
      </c>
      <c r="H91" s="2" t="n">
        <v>45881</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in-557e08066c564c65</t>
        </is>
      </c>
      <c r="B92" t="inlineStr">
        <is>
          <t>Applied Scientist II, Prime Video - Personalization and Discovery Science</t>
        </is>
      </c>
      <c r="C92" t="inlineStr">
        <is>
          <t>Amazon.com</t>
        </is>
      </c>
      <c r="D92" t="inlineStr">
        <is>
          <t>indeed</t>
        </is>
      </c>
      <c r="E92" t="inlineStr"/>
      <c r="F92" t="inlineStr"/>
      <c r="G92" t="inlineStr">
        <is>
          <t>Seattle, WA, US</t>
        </is>
      </c>
      <c r="H92" s="2" t="n">
        <v>45881</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in-02297722a5585091</t>
        </is>
      </c>
      <c r="B93" t="inlineStr">
        <is>
          <t>Sr. Applied Scientist, Amazon Advertising</t>
        </is>
      </c>
      <c r="C93" t="inlineStr">
        <is>
          <t>Amazon.com</t>
        </is>
      </c>
      <c r="D93" t="inlineStr">
        <is>
          <t>indeed</t>
        </is>
      </c>
      <c r="E93" t="inlineStr"/>
      <c r="F93" t="inlineStr"/>
      <c r="G93" t="inlineStr">
        <is>
          <t>West Hollywood,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in-b1d13d5f7df32d04</t>
        </is>
      </c>
      <c r="B94" t="inlineStr">
        <is>
          <t>Sr. Applied Scientist, Amazon Advertising</t>
        </is>
      </c>
      <c r="C94" t="inlineStr">
        <is>
          <t>Amazon.com</t>
        </is>
      </c>
      <c r="D94" t="inlineStr">
        <is>
          <t>indeed</t>
        </is>
      </c>
      <c r="E94" t="inlineStr"/>
      <c r="F94" t="inlineStr"/>
      <c r="G94" t="inlineStr">
        <is>
          <t>Arlington, VA,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in-242b7823e06af0c7</t>
        </is>
      </c>
      <c r="B95" t="inlineStr">
        <is>
          <t>Sr. Applied Scientist, Amazon Advertising</t>
        </is>
      </c>
      <c r="C95" t="inlineStr">
        <is>
          <t>Amazon.com</t>
        </is>
      </c>
      <c r="D95" t="inlineStr">
        <is>
          <t>indeed</t>
        </is>
      </c>
      <c r="E95" t="inlineStr"/>
      <c r="F95" t="inlineStr"/>
      <c r="G95" t="inlineStr">
        <is>
          <t>Austin, TX,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in-33d0103d4e3afdcd</t>
        </is>
      </c>
      <c r="B96" t="inlineStr">
        <is>
          <t>Sr. Applied Scientist, Amazon Advertising</t>
        </is>
      </c>
      <c r="C96" t="inlineStr">
        <is>
          <t>Amazon.com</t>
        </is>
      </c>
      <c r="D96" t="inlineStr">
        <is>
          <t>indeed</t>
        </is>
      </c>
      <c r="E96" t="inlineStr"/>
      <c r="F96" t="inlineStr"/>
      <c r="G96" t="inlineStr">
        <is>
          <t>Simi Valley, CA,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in-131f275c18adad76</t>
        </is>
      </c>
      <c r="B97" t="inlineStr">
        <is>
          <t>Sr. Applied Scientist, Amazon Advertising</t>
        </is>
      </c>
      <c r="C97" t="inlineStr">
        <is>
          <t>Amazon.com</t>
        </is>
      </c>
      <c r="D97" t="inlineStr">
        <is>
          <t>indeed</t>
        </is>
      </c>
      <c r="E97" t="inlineStr"/>
      <c r="F97" t="inlineStr"/>
      <c r="G97" t="inlineStr">
        <is>
          <t>Seattle, WA,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in-6960d9a3fe3b53eb</t>
        </is>
      </c>
      <c r="B98" t="inlineStr">
        <is>
          <t>Sr. Applied Scientist, Amazon Advertising</t>
        </is>
      </c>
      <c r="C98" t="inlineStr">
        <is>
          <t>Amazon.com</t>
        </is>
      </c>
      <c r="D98" t="inlineStr">
        <is>
          <t>indeed</t>
        </is>
      </c>
      <c r="E98" t="inlineStr"/>
      <c r="F98" t="inlineStr"/>
      <c r="G98" t="inlineStr">
        <is>
          <t>Los Angeles, CA,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in-a8943828eb35c87f</t>
        </is>
      </c>
      <c r="B99" t="inlineStr">
        <is>
          <t>Sr. Applied Scientist, Amazon Advertising</t>
        </is>
      </c>
      <c r="C99" t="inlineStr">
        <is>
          <t>Amazon.com</t>
        </is>
      </c>
      <c r="D99" t="inlineStr">
        <is>
          <t>indeed</t>
        </is>
      </c>
      <c r="E99" t="inlineStr"/>
      <c r="F99" t="inlineStr"/>
      <c r="G99" t="inlineStr">
        <is>
          <t>Palo Alto, CA,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in-7264817ae2943b1e</t>
        </is>
      </c>
      <c r="B100" t="inlineStr">
        <is>
          <t>Sr. Applied Scientist, Amazon Advertising</t>
        </is>
      </c>
      <c r="C100" t="inlineStr">
        <is>
          <t>Amazon.com</t>
        </is>
      </c>
      <c r="D100" t="inlineStr">
        <is>
          <t>indeed</t>
        </is>
      </c>
      <c r="E100" t="inlineStr"/>
      <c r="F100" t="inlineStr"/>
      <c r="G100" t="inlineStr">
        <is>
          <t>New York, NY, US</t>
        </is>
      </c>
      <c r="H100" s="2"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in-afb5daeb33da7ee0</t>
        </is>
      </c>
      <c r="B101" t="inlineStr">
        <is>
          <t>Applied Scientist, Prime Video - Personalization and Discovery Science</t>
        </is>
      </c>
      <c r="C101" t="inlineStr">
        <is>
          <t>Amazon.com</t>
        </is>
      </c>
      <c r="D101" t="inlineStr">
        <is>
          <t>indeed</t>
        </is>
      </c>
      <c r="E101" t="inlineStr"/>
      <c r="F101" t="inlineStr"/>
      <c r="G101" t="inlineStr">
        <is>
          <t>Sunnyvale, CA, US</t>
        </is>
      </c>
      <c r="H101" s="2" t="n">
        <v>45845</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in-fb4e6d7b8d0939d1</t>
        </is>
      </c>
      <c r="B102" t="inlineStr">
        <is>
          <t>Applied Scientist, Prime Video - Personalization and Discovery Science</t>
        </is>
      </c>
      <c r="C102" t="inlineStr">
        <is>
          <t>Amazon.com</t>
        </is>
      </c>
      <c r="D102" t="inlineStr">
        <is>
          <t>indeed</t>
        </is>
      </c>
      <c r="E102" t="inlineStr"/>
      <c r="F102" t="inlineStr"/>
      <c r="G102" t="inlineStr">
        <is>
          <t>Seattle, WA, US</t>
        </is>
      </c>
      <c r="H102" s="2" t="n">
        <v>45845</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in-46da64ce38b8a73c</t>
        </is>
      </c>
      <c r="B103" t="inlineStr">
        <is>
          <t>Applied Scientist, Prime Video - Personalization and Discovery Science</t>
        </is>
      </c>
      <c r="C103" t="inlineStr">
        <is>
          <t>Amazon.com</t>
        </is>
      </c>
      <c r="D103" t="inlineStr">
        <is>
          <t>indeed</t>
        </is>
      </c>
      <c r="E103" t="inlineStr"/>
      <c r="F103" t="inlineStr"/>
      <c r="G103" t="inlineStr">
        <is>
          <t>New York, NY, US</t>
        </is>
      </c>
      <c r="H103" s="2" t="n">
        <v>45845</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in-cf6f1ca54edbb81f</t>
        </is>
      </c>
      <c r="B104" t="inlineStr">
        <is>
          <t>Senior Applied Scientist, Artificial General Intelligence</t>
        </is>
      </c>
      <c r="C104" t="inlineStr">
        <is>
          <t>Amazon.com</t>
        </is>
      </c>
      <c r="D104" t="inlineStr">
        <is>
          <t>indeed</t>
        </is>
      </c>
      <c r="E104" t="inlineStr"/>
      <c r="F104" t="inlineStr"/>
      <c r="G104" t="inlineStr">
        <is>
          <t>Boston, MA, US</t>
        </is>
      </c>
      <c r="H104" s="2" t="n">
        <v>45838</v>
      </c>
      <c r="I10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in-3c8037b695afc4b0</t>
        </is>
      </c>
      <c r="B105" t="inlineStr">
        <is>
          <t>Senior Applied Scientist, Artificial General Intelligence</t>
        </is>
      </c>
      <c r="C105" t="inlineStr">
        <is>
          <t>Amazon.com</t>
        </is>
      </c>
      <c r="D105" t="inlineStr">
        <is>
          <t>indeed</t>
        </is>
      </c>
      <c r="E105" t="inlineStr"/>
      <c r="F105" t="inlineStr"/>
      <c r="G105" t="inlineStr">
        <is>
          <t>Sunnyvale, CA, US</t>
        </is>
      </c>
      <c r="H105" s="2" t="n">
        <v>45838</v>
      </c>
      <c r="I1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in-39cf514f75b1bdd8</t>
        </is>
      </c>
      <c r="B106" t="inlineStr">
        <is>
          <t>Senior Applied Scientist, Artificial General Intelligence</t>
        </is>
      </c>
      <c r="C106" t="inlineStr">
        <is>
          <t>Amazon.com</t>
        </is>
      </c>
      <c r="D106" t="inlineStr">
        <is>
          <t>indeed</t>
        </is>
      </c>
      <c r="E106" t="inlineStr"/>
      <c r="F106" t="inlineStr"/>
      <c r="G106" t="inlineStr">
        <is>
          <t>New York, NY, US</t>
        </is>
      </c>
      <c r="H106" s="2" t="n">
        <v>45838</v>
      </c>
      <c r="I10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in-70b6cc1a370ddd67</t>
        </is>
      </c>
      <c r="B107" t="inlineStr">
        <is>
          <t>Sr. Applied Scientist, Sales AI</t>
        </is>
      </c>
      <c r="C107" t="inlineStr">
        <is>
          <t>Amazon.com</t>
        </is>
      </c>
      <c r="D107" t="inlineStr">
        <is>
          <t>indeed</t>
        </is>
      </c>
      <c r="E107" t="inlineStr"/>
      <c r="F107" t="inlineStr"/>
      <c r="G107" t="inlineStr">
        <is>
          <t>New York, NY, US</t>
        </is>
      </c>
      <c r="H107" s="2" t="n">
        <v>45830</v>
      </c>
      <c r="I10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in-a3558857680d303f</t>
        </is>
      </c>
      <c r="B108" t="inlineStr">
        <is>
          <t>Sr. Applied Scientist, Sales AI</t>
        </is>
      </c>
      <c r="C108" t="inlineStr">
        <is>
          <t>Amazon.com</t>
        </is>
      </c>
      <c r="D108" t="inlineStr">
        <is>
          <t>indeed</t>
        </is>
      </c>
      <c r="E108" t="inlineStr"/>
      <c r="F108" t="inlineStr"/>
      <c r="G108" t="inlineStr">
        <is>
          <t>Sunnyvale, CA, US</t>
        </is>
      </c>
      <c r="H108" s="2" t="n">
        <v>45830</v>
      </c>
      <c r="I1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in-21cdae38202ff937</t>
        </is>
      </c>
      <c r="B109" t="inlineStr">
        <is>
          <t>Sr. Applied Scientist, Sales AI</t>
        </is>
      </c>
      <c r="C109" t="inlineStr">
        <is>
          <t>Amazon.com</t>
        </is>
      </c>
      <c r="D109" t="inlineStr">
        <is>
          <t>indeed</t>
        </is>
      </c>
      <c r="E109" t="inlineStr"/>
      <c r="F109" t="inlineStr"/>
      <c r="G109" t="inlineStr">
        <is>
          <t>Seattle, WA, US</t>
        </is>
      </c>
      <c r="H109" s="2" t="n">
        <v>45830</v>
      </c>
      <c r="I1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in-f28ad69437a6d603</t>
        </is>
      </c>
      <c r="B110" t="inlineStr">
        <is>
          <t>Principal Applied Scientist, Delivery Foundation Model</t>
        </is>
      </c>
      <c r="C110" t="inlineStr">
        <is>
          <t>Amazon.com</t>
        </is>
      </c>
      <c r="D110" t="inlineStr">
        <is>
          <t>indeed</t>
        </is>
      </c>
      <c r="E110" t="inlineStr"/>
      <c r="F110" t="inlineStr"/>
      <c r="G110" t="inlineStr">
        <is>
          <t>New York, NY, US</t>
        </is>
      </c>
      <c r="H110" s="2"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in-e0f56055a41b588b</t>
        </is>
      </c>
      <c r="B111" t="inlineStr">
        <is>
          <t>Principal Applied Scientist, Delivery Foundation Model</t>
        </is>
      </c>
      <c r="C111" t="inlineStr">
        <is>
          <t>Amazon.com</t>
        </is>
      </c>
      <c r="D111" t="inlineStr">
        <is>
          <t>indeed</t>
        </is>
      </c>
      <c r="E111" t="inlineStr"/>
      <c r="F111" t="inlineStr"/>
      <c r="G111" t="inlineStr">
        <is>
          <t>Santa Clara, CA, US</t>
        </is>
      </c>
      <c r="H111" s="2"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in-d726b37d5cc02d2b</t>
        </is>
      </c>
      <c r="B112" t="inlineStr">
        <is>
          <t>Principal Applied Scientist, Delivery Foundation Model</t>
        </is>
      </c>
      <c r="C112" t="inlineStr">
        <is>
          <t>Amazon.com</t>
        </is>
      </c>
      <c r="D112" t="inlineStr">
        <is>
          <t>indeed</t>
        </is>
      </c>
      <c r="E112" t="inlineStr"/>
      <c r="F112" t="inlineStr"/>
      <c r="G112" t="inlineStr">
        <is>
          <t>Austin, TX, US</t>
        </is>
      </c>
      <c r="H112" s="2" t="n">
        <v>45810</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in-7635d79e5196cd83</t>
        </is>
      </c>
      <c r="B113" t="inlineStr">
        <is>
          <t>Principal Applied Scientist, Delivery Foundation Model</t>
        </is>
      </c>
      <c r="C113" t="inlineStr">
        <is>
          <t>Amazon.com</t>
        </is>
      </c>
      <c r="D113" t="inlineStr">
        <is>
          <t>indeed</t>
        </is>
      </c>
      <c r="E113" t="inlineStr"/>
      <c r="F113" t="inlineStr"/>
      <c r="G113" t="inlineStr">
        <is>
          <t>Bellevue, WA, US</t>
        </is>
      </c>
      <c r="H113" s="2" t="n">
        <v>45810</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in-56c115fb80ab832a</t>
        </is>
      </c>
      <c r="B114" t="inlineStr">
        <is>
          <t>Senior Applied Scientist, Delivery Foundation Model</t>
        </is>
      </c>
      <c r="C114" t="inlineStr">
        <is>
          <t>Amazon.com</t>
        </is>
      </c>
      <c r="D114" t="inlineStr">
        <is>
          <t>indeed</t>
        </is>
      </c>
      <c r="E114" t="inlineStr"/>
      <c r="F114" t="inlineStr"/>
      <c r="G114" t="inlineStr">
        <is>
          <t>Bellevue, WA, US</t>
        </is>
      </c>
      <c r="H114" s="2" t="n">
        <v>45806</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in-0d17f77d33e704d7</t>
        </is>
      </c>
      <c r="B115" t="inlineStr">
        <is>
          <t>Senior Applied Scientist, Delivery Foundation Model</t>
        </is>
      </c>
      <c r="C115" t="inlineStr">
        <is>
          <t>Amazon.com</t>
        </is>
      </c>
      <c r="D115" t="inlineStr">
        <is>
          <t>indeed</t>
        </is>
      </c>
      <c r="E115" t="inlineStr"/>
      <c r="F115" t="inlineStr"/>
      <c r="G115" t="inlineStr">
        <is>
          <t>New York, NY, US</t>
        </is>
      </c>
      <c r="H115" s="2" t="n">
        <v>45806</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in-2b4edcdcda13a6be</t>
        </is>
      </c>
      <c r="B116" t="inlineStr">
        <is>
          <t>Senior Applied Scientist, Delivery Foundation Model</t>
        </is>
      </c>
      <c r="C116" t="inlineStr">
        <is>
          <t>Amazon.com</t>
        </is>
      </c>
      <c r="D116" t="inlineStr">
        <is>
          <t>indeed</t>
        </is>
      </c>
      <c r="E116" t="inlineStr"/>
      <c r="F116" t="inlineStr"/>
      <c r="G116" t="inlineStr">
        <is>
          <t>Santa Clara, CA, US</t>
        </is>
      </c>
      <c r="H116" s="2" t="n">
        <v>45806</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in-6bdadea63b52602a</t>
        </is>
      </c>
      <c r="B117" t="inlineStr">
        <is>
          <t>Principal Applied Scientist, Delivery Foundation Model</t>
        </is>
      </c>
      <c r="C117" t="inlineStr">
        <is>
          <t>Amazon.com</t>
        </is>
      </c>
      <c r="D117" t="inlineStr">
        <is>
          <t>indeed</t>
        </is>
      </c>
      <c r="E117" t="inlineStr"/>
      <c r="F117" t="inlineStr"/>
      <c r="G117" t="inlineStr">
        <is>
          <t>Santa Clara, CA, US</t>
        </is>
      </c>
      <c r="H117" s="2" t="n">
        <v>45757</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in-643e392691058279</t>
        </is>
      </c>
      <c r="B118" t="inlineStr">
        <is>
          <t>Principal Applied Scientist, Delivery Foundation Model</t>
        </is>
      </c>
      <c r="C118" t="inlineStr">
        <is>
          <t>Amazon.com</t>
        </is>
      </c>
      <c r="D118" t="inlineStr">
        <is>
          <t>indeed</t>
        </is>
      </c>
      <c r="E118" t="inlineStr"/>
      <c r="F118" t="inlineStr"/>
      <c r="G118" t="inlineStr">
        <is>
          <t>Bellevue, WA, US</t>
        </is>
      </c>
      <c r="H118" s="2" t="n">
        <v>45757</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in-72c0277c51092e9c</t>
        </is>
      </c>
      <c r="B119" t="inlineStr">
        <is>
          <t>Principal Applied Scientist, Delivery Foundation Model</t>
        </is>
      </c>
      <c r="C119" t="inlineStr">
        <is>
          <t>Amazon.com</t>
        </is>
      </c>
      <c r="D119" t="inlineStr">
        <is>
          <t>indeed</t>
        </is>
      </c>
      <c r="E119" t="inlineStr"/>
      <c r="F119" t="inlineStr"/>
      <c r="G119" t="inlineStr">
        <is>
          <t>New York, NY, US</t>
        </is>
      </c>
      <c r="H119" s="2" t="n">
        <v>45757</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in-8db30e8d9a581484</t>
        </is>
      </c>
      <c r="B120" t="inlineStr">
        <is>
          <t>Principal Applied Scientist, FAR (Frontier AI &amp; Robotics)</t>
        </is>
      </c>
      <c r="C120" t="inlineStr">
        <is>
          <t>Amazon.com</t>
        </is>
      </c>
      <c r="D120" t="inlineStr">
        <is>
          <t>indeed</t>
        </is>
      </c>
      <c r="E120" t="inlineStr"/>
      <c r="F120" t="inlineStr"/>
      <c r="G120" t="inlineStr">
        <is>
          <t>San Francisco, CA, US</t>
        </is>
      </c>
      <c r="H120" s="2" t="n">
        <v>45740</v>
      </c>
      <c r="I12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in-07981c6b5f2ad974</t>
        </is>
      </c>
      <c r="B121" t="inlineStr">
        <is>
          <t>Principal Applied Scientist, FAR (Frontier AI &amp; Robotics)</t>
        </is>
      </c>
      <c r="C121" t="inlineStr">
        <is>
          <t>Amazon.com</t>
        </is>
      </c>
      <c r="D121" t="inlineStr">
        <is>
          <t>indeed</t>
        </is>
      </c>
      <c r="E121" t="inlineStr"/>
      <c r="F121" t="inlineStr"/>
      <c r="G121" t="inlineStr">
        <is>
          <t>Seattle, WA, US</t>
        </is>
      </c>
      <c r="H121" s="2" t="n">
        <v>45740</v>
      </c>
      <c r="I12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in-04890b95e515f9ac</t>
        </is>
      </c>
      <c r="B122" t="inlineStr">
        <is>
          <t>Applied Scientist, Alexa Smart Home</t>
        </is>
      </c>
      <c r="C122" t="inlineStr">
        <is>
          <t>Amazon.com</t>
        </is>
      </c>
      <c r="D122" t="inlineStr">
        <is>
          <t>indeed</t>
        </is>
      </c>
      <c r="E122" t="inlineStr"/>
      <c r="F122" t="inlineStr"/>
      <c r="G122" t="inlineStr">
        <is>
          <t>Sunnyvale, CA, US</t>
        </is>
      </c>
      <c r="H122" s="2" t="n">
        <v>46033</v>
      </c>
      <c r="I12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3">
      <c r="A123" t="inlineStr">
        <is>
          <t>in-de0b43b901cba6b1</t>
        </is>
      </c>
      <c r="B123" t="inlineStr">
        <is>
          <t>Applied Scientist, Alexa Smart Home</t>
        </is>
      </c>
      <c r="C123" t="inlineStr">
        <is>
          <t>Amazon.com</t>
        </is>
      </c>
      <c r="D123" t="inlineStr">
        <is>
          <t>indeed</t>
        </is>
      </c>
      <c r="E123" t="inlineStr"/>
      <c r="F123" t="inlineStr"/>
      <c r="G123" t="inlineStr">
        <is>
          <t>Seattle, WA, US</t>
        </is>
      </c>
      <c r="H123" s="2" t="n">
        <v>46033</v>
      </c>
      <c r="I12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4">
      <c r="A124" t="inlineStr">
        <is>
          <t>in-d3d363631c8afe27</t>
        </is>
      </c>
      <c r="B124" t="inlineStr">
        <is>
          <t>Senior, Data Scientist</t>
        </is>
      </c>
      <c r="C124" t="inlineStr">
        <is>
          <t>Walmart</t>
        </is>
      </c>
      <c r="D124" t="inlineStr">
        <is>
          <t>indeed</t>
        </is>
      </c>
      <c r="E124">
        <f>HYPERLINK("https://www.indeed.com/viewjob?jk=d3d363631c8afe27", "https://www.indeed.com/viewjob?jk=d3d363631c8afe27")</f>
        <v/>
      </c>
      <c r="F124">
        <f>HYPERLINK("https://click.appcast.io/t/EJB_e0a6QOFJg0s4i_mWUqXs9gsSVL7AW0_xTzbhX3s=", "https://click.appcast.io/t/EJB_e0a6QOFJg0s4i_mWUqXs9gsSVL7AW0_xTzbhX3s=")</f>
        <v/>
      </c>
      <c r="G124" t="inlineStr">
        <is>
          <t>Sunnyvale, CA, US</t>
        </is>
      </c>
      <c r="H124" s="3" t="n">
        <v>46051</v>
      </c>
      <c r="I124" t="inlineStr">
        <is>
          <t>**Position Summary...**
-----------------------
**What you'll do...**
---------------------
We are looking for a Senior Data Scientist to join our science team and build state of the art solutions to detect, prevent, and mitigate fraud across Walmart’s multiple international markets. Our mission is to protect customers, sellers, and the business by enabling safe, trusted, and seamless commerce throughout the online shopping journey. We develop powerful AI and ML driven systems to address highly complex, real world fraud problems at scale. In this role, you will work on industry defining challenges and push the boundaries of fraud detection and prevention by advancing areas such as machine learning, applied statistics, graph and network analysis, optimization, anomaly detection, NLP, and large scale, customer and platform facing system design.
### **What you will do**
* Partner with data scientists, engineers, and product managers to design, train, test, and deploy machine learning models that prevent and mitigate fraud across multiple international markets.
* Work on problem spaces with high ambiguity and translate business, risk, and engineering requirements into a clear roadmap for delivering fraud detection and prevention solutions.
* Design and evaluate models that mathematically express and solve complex fraud problems with limited historical precedent or evolving adversarial behavior.
* Perform rigorous offline analysis and controlled A/B testing, and communicate results and tradeoffs to both technical and non technical stakeholders through clear verbal and written communication.
* Apply and adapt cutting edge academic research and industry best practices to develop novel approaches for fraud detection, risk scoring, anomaly detection, and abuse prevention.
* Own models post deployment by monitoring performance, retraining as needed, and continuously improving them within a highly scalable, production grade infrastructure.
* Publish meaningful research findings internally and externally, contribute to conferences and journals where appropriate, and file patent applications for novel fraud solutions.
### **What you will bring**
* MS or PhD in a relevant technical field such as Computer Science, Machine Learning, Applied Mathematics, Statistics, Operations Research, or Engineering, with at least 4 years of relevant industry or applied research experience.
* Strong foundation in machine learning, deep learning, optimization, algorithms, applied statistics, and software development, with proven ability to apply these skills to real world fraud problems.
* Experience or strong interest in areas such as fraud detection, risk modeling, anomaly detection, graph and network analysis, and adversarial modeling.
* Proficiency in Python, SQL, PySpark, machine learning libraries, and large scale data processing systems in a cloud based environment.
* Experience publishing in peer reviewed conferences or journals, or demonstrated ability to translate advanced research into production ready systems.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25">
      <c r="A125" t="inlineStr">
        <is>
          <t>in-77a1d701462d49d3</t>
        </is>
      </c>
      <c r="B125" t="inlineStr">
        <is>
          <t>Data Scientist &amp; Foundry Visualization Specialist (Secret)</t>
        </is>
      </c>
      <c r="C125" t="inlineStr">
        <is>
          <t>Xcelerate Solutions</t>
        </is>
      </c>
      <c r="D125" t="inlineStr">
        <is>
          <t>indeed</t>
        </is>
      </c>
      <c r="E125">
        <f>HYPERLINK("https://www.indeed.com/viewjob?jk=77a1d701462d49d3", "https://www.indeed.com/viewjob?jk=77a1d701462d49d3")</f>
        <v/>
      </c>
      <c r="F125">
        <f>HYPERLINK("https://jobs.smartrecruiters.com/VMDCorp/744000106570144-data-scientist-foundry-visualization-specialist-secret-", "https://jobs.smartrecruiters.com/VMDCorp/744000106570144-data-scientist-foundry-visualization-specialist-secret-")</f>
        <v/>
      </c>
      <c r="G125" t="inlineStr">
        <is>
          <t>McLean, VA, US</t>
        </is>
      </c>
      <c r="H125" s="3" t="n">
        <v>46052</v>
      </c>
      <c r="I125" t="inlineStr">
        <is>
          <t>**Company Description**  
Founded in 2009 and headquartered in McLean, VA, Xcelerate Solutions (www.xceleratesolutions.com) is one of America's fastest\-growing companies. Xcelerate’s culture is defined by our diversified workforce of dynamic and versatile professionals, supported with growth and development opportunities that contribute to individual and company growth. This strong commitment to our employees has been recognized by our inclusion on the Washington Business Journal’s “50 Best Places to Work” list as well as being a “Great Place to Work” certified company with a 4\.6 star, and a 99% CEO approval Glassdoor rating. Come find out why Xcelerate Solutions is one of the DC Metro top employers!
 **Job Description**  
Xcelerate Solutions is seeking an experienced Data Scientist \&amp; Visualization. We are seeking a Data Scientist / Visualization Specialist to design and deliver intuitive, interactive analytic applications and dashboards in Palantir Foundry. This role emphasizes application development, data visualization, and UI/UX ensuring developed products are easy to use and can support decision\-makers and operators across the enterprise. You will partner closely with data scientists and data engineers to bring analytics to life. Come join our award\-winning organization and work with some of the most talented and brightest minds in the GovCon industry.  
**Location:** Remote
**Security Clearance:** Secret
**Responsibilities:**
* Design and develop user\-facing analytic applications and dashboards in Palantir Foundry
* Translate complex data models and analytics into clear, compelling visualizations
* Build interactive, data\-driven UIs that embed analytics and metrics into workflows
* Collaborate with data scientists and engineers to integrate analytics, AI outputs, and ontologies
* Apply UX/UI best practices to deliver accessible, intuitive, and scalable applications
* Collaborate in an Agile/Scrum environment to rapidly iterate on solutions
* Communicate insights effectively to technical and non\-technical stakeholders
**Qualifications** **Minimum Requirements:**
* Experience building data\-driven applications or dashboards
* Strong data visualization and storytelling skills
* Experience with BI and visualization tools (PowerBI, Tableau, Qlik, or similar)
* Proficiency in Python
* Experience with Python\-based visualization libraries (plotly, matplotlib, seaborn)
* Understanding of data analysis and EDA to work effectively with source data
* Experience wrangling and aggregating data from multiple data sources
* Grasp of UX/UI best practices for analytic applications
* Comfort working in a dynamic Agile/Scrum environment with evolving or loosely defined requirements
* Excellent collaboration and communication skills.
* Experience with Palantir Foundry, Databricks, or similar data platforms
* Active Secret Clearance
**Preferred Qualifications**
* Prior Army Contractor experience
* Experience supporting modernization cloud project
* Knowledge of TypeScript for front\-end or application\-layer development.
* Experience building rapid analytic demos or apps (e.g., Streamlit)
* Hands\-on experience with Palantir Foundry (pipelines, transforms, Workshop, Ontologies, AIP, etc.) – particular focus on Workshop and Ontologies
* Experience with data platform operations, monitoring, or optimization
* Experience building and maintaining ETL pipelines supporting analytic applications
* Experience with AI/ML and statistical modeling tools and python libraries (e.g., scikit\-learn, statsmodels, Prophet; NLP tools such as spaCy or NLTK)
* Proficiency in Python for analytics and data pipelines (e.g., pandas, polars, PySpark)
**Additional Information** *Xcelerate Solutions is an Equal Employment Opportunity/Affirmative Action Employer. We evaluate qualified applicants without regard to race, color, national origin, religion, age, equal pay, disability, veteran status, sex, sexual orientation, gender identity, genetic information, or expression of another protected characteristic. As part of this commitment to the full inclusion of all qualified individuals, Xcelerate provides reasonable accommodations if needed because of an applicant's or an employee's disability.*
*Pay Transparency Notice: Xcelerate Solutions will not discharge or in any other manner discriminate against employees or applicants because they have inquired about, discussed, or disclosed their own pay or the pay of another employee or applicant.*</t>
        </is>
      </c>
    </row>
    <row r="126">
      <c r="A126" t="inlineStr">
        <is>
          <t>in-e4f8926e0b1d1854</t>
        </is>
      </c>
      <c r="B126" t="inlineStr">
        <is>
          <t>Senior Data Scientist</t>
        </is>
      </c>
      <c r="C126" t="inlineStr">
        <is>
          <t>ICF</t>
        </is>
      </c>
      <c r="D126" t="inlineStr">
        <is>
          <t>indeed</t>
        </is>
      </c>
      <c r="E126">
        <f>HYPERLINK("https://www.indeed.com/viewjob?jk=e4f8926e0b1d1854", "https://www.indeed.com/viewjob?jk=e4f8926e0b1d1854")</f>
        <v/>
      </c>
      <c r="F126">
        <f>HYPERLINK("https://careers.icf.com/us/en/job/IIIIIIUSR2600309EXTERNALENUS/Senior-Data-Scientist?utm_source=indeed&amp;utm_medium=phenom-feeds", "https://careers.icf.com/us/en/job/IIIIIIUSR2600309EXTERNALENUS/Senior-Data-Scientist?utm_source=indeed&amp;utm_medium=phenom-feeds")</f>
        <v/>
      </c>
      <c r="G126" t="inlineStr">
        <is>
          <t>Reston, VA, US</t>
        </is>
      </c>
      <c r="H126" s="3" t="n">
        <v>46051</v>
      </c>
      <c r="I126" t="inlineStr">
        <is>
          <t>Description
ICF is looking for a Senior Data Scientist to join our team. In this role, you’ll utilize your expertise in text and data analytics at a high level. We are seeking a confident, enthusiastic and self\-motivated individual to conduct this valuable work in a fully remote capacity within the USA. This position is open to senior\- and principal\-level professionals, depending on experience.
**Job Location:** Remote within the U.S.
If you accept this position, you should note that ICF does monitor employee work locations blocks access from foreign locations/foreign IP addresses and also prohibits personal VPN connections.
**Responsibilities**
* Create Dashboards using Tableau with Databricks with both visuals (charts, graphs, etc...) as well as tables for end users to slice and dice data to gain insights to various business processes.
* Demo work in small and large virtual settings, obtaining client and end\-user feedback to enhance dashboards to meet business requirements
* Within an Agile environment, collaborate with other data scientists, data engineers, quality engineers, business analysts and product owners to ensure solutions meet client needs
* Create and maintain datasets from disparate data sources and provide analysis there of using SQL and Databricks within an Azure Cloud Environment
* Utilizing Tableau in a Databricks Azure Cloud Environment, create dashboards containing visuals (e.g.: charts, graphs) and tables that allow end\-users to slice\-and\-dice data to gain insights to various business processes
* Balance technical data architecture and data flows with end\-user UX best practices
* Tell stories with data; educate and instill confidence to motivate stakeholders to act on recommendations
* Engage with Data Engineers to build\-out next\-level data infrastructure
* Participate in GitHub code reviews and knowledge sharing, especially when building solutions within a business domain that other team members may not work in
* Partner with customers, product owners and business analysts to gather requirements and/or mockup potential dashboard solutions.
**Basic Qualifications**
* US Citizenship is required by the federal government for this position
* Must be able to obtain and maintain a Public Trust clearance.
* MUST RESIDE IN THE United States (U.S.) and the work MUST BE PERFORMED in the United States (U.S.), as this work is for a federal contract and laws do apply.
* Bachelor’s degree in data science, computer science, analytics or other field.
* 7 years’ experience in: Data and analytics projects using data applications to develop insights from large datasets.
**Preferred Qualifications**
* 2 years’ experience in:
	+ JIRA, GitHub and Confluence
	+ Statistical software and database management software packages (e.g., R, Python, SAS)
	+ Cloud platforms
	+ Relational databases and data warehousing (e.g., OLAP, dimensional modeling)
	+ Creating dashboards that contain visuals and tables using Tableau with Databricks
	+ Creating and maintaining datasets from disparate data sources and providing analysis utilizing SQL and Databricks
	+ Agile methodology.
* Excellent problem\-solving skills and end\-to\-end quantitative thinking.
* Experience with data linking / advanced data management, combining data from different sources, automation, and deploying data science solutions at scale
* Experience in data organization, cleaning, treating, etc.; knowledge of version control and reproducibility.
* Prior experience in consulting and/or healthcare business segment.
* Secret Clearance, nice to have but not required.
**Professional Skills**
* Leadership and team\-working skills
* Ability to self\-organize, prioritize and conduct research on multiple projects under tight deadlines in a fast\-paced environment
* Ability to communicate and write clearly in English.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$108,476\.00 \- $184,409\.00
Nationwide Remote Office (US99\)</t>
        </is>
      </c>
    </row>
    <row r="127">
      <c r="A127" t="inlineStr">
        <is>
          <t>in-2d77ea4fb9dcfdcd</t>
        </is>
      </c>
      <c r="B127" t="inlineStr">
        <is>
          <t>Senior Data Scientist</t>
        </is>
      </c>
      <c r="C127" t="inlineStr">
        <is>
          <t>Artefact</t>
        </is>
      </c>
      <c r="D127" t="inlineStr">
        <is>
          <t>indeed</t>
        </is>
      </c>
      <c r="E127">
        <f>HYPERLINK("https://www.indeed.com/viewjob?jk=2d77ea4fb9dcfdcd", "https://www.indeed.com/viewjob?jk=2d77ea4fb9dcfdcd")</f>
        <v/>
      </c>
      <c r="F127">
        <f>HYPERLINK("https://grnh.se/qauft3872us", "https://grnh.se/qauft3872us")</f>
        <v/>
      </c>
      <c r="G127" t="inlineStr">
        <is>
          <t>New York, NY, US</t>
        </is>
      </c>
      <c r="H127" s="3" t="n">
        <v>46051</v>
      </c>
      <c r="I127" t="inlineStr">
        <is>
          <t>**About the job**
*Do you think like a management consultant, thrive in a startup environment, and can't stop thinking about the intersection of data, technology, and marketing?*
*With over 1700 employees, offices on five continents, and world\-class clients like Samsung, L'Oreal, and Mattel,* ***Artefact*** *is a consulting firm that transforms data into value and business impact. We've recently launched in the US with offices located in NYC and Los Angeles, and we want you to join us as an integral part of our founding team!*
**Who We Are**
Founded and headquartered in Paris, Artefact is a next\-generation consulting firm, specializing in data, analytics \&amp; Ai consulting, dedicated to transforming data into business impact across the entire value chain of organizations. We are proud to say that we help our clients grow their data and digital capabilities, and that we're also growing in parallel.
We have 2000 employees across 36 offices who are focused on accelerating digital transformation. Our state\-of\-the\-art data technologies, lean AI agile methodologies, and cohesive teams of the finest business consultants, data analysts, data scientists, data engineers, and digital experts are all dedicated to bringing extra value to every client. We design data\-based solutions to meet our clients' specific needs, always conceived with a business\-centric approach and delivered with tangible results. Our data\-driven services are built upon the deep AI expertise we've acquired with our 1000\+ client base around the globe.
Find out more at artefact.com.
**What you will be doing**
In addition to the core Data Science and ML Engineering Team, you will work with different stakeholders to:
* Translate marketing and business challenges into analytical use cases, assess feasibility, and define clear hypotheses.
* Develop statistical and machine learning models including regression, forecasting, classification, and clustering to identify performance drivers and predict business outcomes.
* Build and maintain scalable data pipelines for data ingestion, transformation, and quality assurance across diverse marketing data sources.
* Develop production ready modeling solutions including model training, deployment, monitoring, and ongoing refinement.
* Evaluate and select appropriate statistical and machine learning techniques based on business context, constraints, and data availability.
* Create clear and compelling data visualizations and dashboards to support data storytelling and decision making.
* Collaborate with cross functional partners in an agile environment and iterate on solutions to maximize business impact.
**What we are looking for**
* The ideal candidate has a substantial quantitative skill set with 5\+ years of relevant experience.
* Master's degree (or higher) in statistics/mathematics, engineering, computer science, economics, or a related field.
* Excellent interpersonal and communication skills
* Strong knowledge of data science algorithms and at least one proven experience in developing Statistical and ML algorithms
* Proficient in Python (preferred) and/or R
**Preferred:**
* Preference in Causal Inference topics, Time Series, Advanced Statistics
* Cloud technologies (GCP, Azure, AWS) especially Google Cloud Platform
**Why you should join us**
* We are united by our **values** and strengthened by our hybrid **expertise**.
* **There is always a way:** We're from the breed of does, of diggers, of makers. Because ideas are valuable only if executed.
* **Client trust is won on the field:** Addressing client needs flows better hands on at their side.
* **If not used, it is useless:** Our love for technology translates into a steep desire for adoption, true brilliance is about impact.
* **If not shared, our work is not done:** Sharing knowledge is the best way to button up a mission, benefitting clients and colleagues.
* **We learn everyday:** Tech is a land where everything move at the speed of light, you better be ready to challenge yourself.
*The estimated base compensation for this role is $125,000\-$135,000\. Individual compensation is determined by skills, qualifications, and experience. In addition, this role is eligible for competitive benefits.*
* \#LI\-Hybrid</t>
        </is>
      </c>
    </row>
    <row r="128">
      <c r="A128" t="inlineStr">
        <is>
          <t>in-8310bbe61de5035b</t>
        </is>
      </c>
      <c r="B128" t="inlineStr">
        <is>
          <t>Senior AI/ML Scientist - Remote</t>
        </is>
      </c>
      <c r="C128" t="inlineStr">
        <is>
          <t>Experian</t>
        </is>
      </c>
      <c r="D128" t="inlineStr">
        <is>
          <t>indeed</t>
        </is>
      </c>
      <c r="E128">
        <f>HYPERLINK("https://www.indeed.com/viewjob?jk=8310bbe61de5035b", "https://www.indeed.com/viewjob?jk=8310bbe61de5035b")</f>
        <v/>
      </c>
      <c r="F128">
        <f>HYPERLINK("https://jobs.smartrecruiters.com/Experian/744000106561224-senior-ai-ml-scientist-remote", "https://jobs.smartrecruiters.com/Experian/744000106561224-senior-ai-ml-scientist-remote")</f>
        <v/>
      </c>
      <c r="G128" t="inlineStr">
        <is>
          <t>CA, US</t>
        </is>
      </c>
      <c r="H128" s="3" t="n">
        <v>46052</v>
      </c>
      <c r="I128" t="inlineStr">
        <is>
          <t>**Company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Experian is looking for a Senior Data Scientist to join our Global Analytics team within Experian Software Solutions. This is an exciting opportunity for someone to work on impactful AI and machine learning projects, contribute to solutions, and grow alongside experienced scientists and engineers. You will help build and support machine learning models and AI systems that power Experian's products and services. You will work remotely and report to the Senior Director of Analytics and AI.
You'll have opportunity to:
* Architect and implement a closed\-loop learning system integrating synthetic data generation, automated pattern discovery, and scenario\-based stress testing
* Develop GenAI\-powered data mining algorithms to identify latent structures, cross\-domain patterns, and evolving risk signals across credit, transactional, and fraud datasets.
* Lead bias diagnosis and counterfactual testing to ensure fairness and regulatory compliance under stress scenarios.
* Collaborate with risk, compliance, and fraud teams to align AI\-driven insights with business objectives and regulatory standards.
* Create dynamic segmentation models that evolve with customer states and macroeconomic conditions.
* Stay current with advancements in AI/ML and proactively integrate emerging technologies into Experian's solutions
**Qualifications**  
* 7\+ years of experience in AI/ML, with hands\-on expertise in building, deploying and monitoring models at scale
* Strong knowledge of modern language models (Transformers, GPT APIs, SLMs, RLHF), and agent\-based architectures
* Proficiency in Python, TensorFlow, PyTorch, and colud\-based ML platform
* Advanced degree (MS or PhD) in computer science, AL/ML or related field
* Experience with machine learning algorithms and processes (such as xgboost, GANs, Clustering, Graph Algorithms, Reinforcement Learning)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 \#LI\-Remote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129">
      <c r="A129" t="inlineStr">
        <is>
          <t>in-06e742865d747fc9</t>
        </is>
      </c>
      <c r="B129" t="inlineStr">
        <is>
          <t>Lead Data Scientist - Remote</t>
        </is>
      </c>
      <c r="C129" t="inlineStr">
        <is>
          <t>Experian</t>
        </is>
      </c>
      <c r="D129" t="inlineStr">
        <is>
          <t>indeed</t>
        </is>
      </c>
      <c r="E129">
        <f>HYPERLINK("https://www.indeed.com/viewjob?jk=06e742865d747fc9", "https://www.indeed.com/viewjob?jk=06e742865d747fc9")</f>
        <v/>
      </c>
      <c r="F129">
        <f>HYPERLINK("https://jobs.smartrecruiters.com/Experian/744000106560462-lead-data-scientist-remote", "https://jobs.smartrecruiters.com/Experian/744000106560462-lead-data-scientist-remote")</f>
        <v/>
      </c>
      <c r="G129" t="inlineStr">
        <is>
          <t>CA, US</t>
        </is>
      </c>
      <c r="H129" s="3" t="n">
        <v>46052</v>
      </c>
      <c r="I129" t="inlineStr">
        <is>
          <t>**Company Description**  
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**Job description**
Experian is looking for a Lead Data Scientist to join our Global Analytics team within Experian Software Solutions. This is an exciting opportunity for someone to work on impactful AI and machine learning projects, contribute to solutions, and grow alongside experienced scientists and engineers. You will help build and support machine learning models and AI systems that power Experian's products and services. You will work remotely and report to the Senior Director of Analytics and AI.
* Perform comprehensive evaluations of data assets across the full credit and fraud lifecycle, ensuring strong regulatory compliance and risk governance.
* Conduct rigorous benchmarking and champion/challenger analyses to compare external data assets against internal attributes, scores, and predictive models, ensuring measurable lift, ROI and benefits.
* Develop advanced machine learning solutions and algorithms to solve complex analytical challenges.
* Lead the design, development, and deployment of advanced AI/ML systems with a focus on multi\-agent and intelligent systems.
* Collaborate cross\-functionally with engineering, product, and analytics teams to translate cutting\-edge research into impactful solutions.
* Stay current with advancements in AI/ML and proactively integrate emerging technologies into Experian's solutions
**Qualifications** **Qualifications**
* 10\+ years of experience driving data science, credit risk and advanced analytics initiatives at scale within financial services industry
* Advanced degree in statistics, data science, AI/ML or related field
* Expertise with machine learning algorithms and processes (such as xgboost, GANs, hyperparameter tuning, clustering, graph algorithms)
* Expertise in knowledge of modern language models (Transformers, GPT APIs, SLMs, RLHF), and agent\-based architectures
* Proficiency in Python, PyTorch, and distributed computing frameworks (e.g., Spark, AWS)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 \#LI\-Remote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130">
      <c r="A130" t="inlineStr">
        <is>
          <t>in-291b1aedbd010b9e</t>
        </is>
      </c>
      <c r="B130" t="inlineStr">
        <is>
          <t>Data Scientist</t>
        </is>
      </c>
      <c r="C130" t="inlineStr">
        <is>
          <t>Jabil</t>
        </is>
      </c>
      <c r="D130" t="inlineStr">
        <is>
          <t>indeed</t>
        </is>
      </c>
      <c r="E130">
        <f>HYPERLINK("https://www.indeed.com/viewjob?jk=291b1aedbd010b9e", "https://www.indeed.com/viewjob?jk=291b1aedbd010b9e")</f>
        <v/>
      </c>
      <c r="F130">
        <f>HYPERLINK("https://jabil.wd5.myworkdayjobs.com/en-US/Jabil_Careers/job/Florence-KY/Data-Scientist_J2437941", "https://jabil.wd5.myworkdayjobs.com/en-US/Jabil_Careers/job/Florence-KY/Data-Scientist_J2437941")</f>
        <v/>
      </c>
      <c r="G130" t="inlineStr">
        <is>
          <t>Florence, KY, US</t>
        </is>
      </c>
      <c r="H130" s="3" t="n">
        <v>46051</v>
      </c>
      <c r="I130" t="inlineStr">
        <is>
          <t>At Jabil we strive to make ANYTHING POSSIBLE and EVERYTHING BETTER. We are proud to be a trusted partner for the world's top brands, offering comprehensive engineering, manufacturing, and supply chain solutions. With over 50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vibrant and diverse communities around the globe.  
We are seeking a highly analytical and customer\-focused **Data** **Scientist** with a strong industry experience in compute server/rack with a test or quality engineering background. This role is ideal for someone who thrives on solving complex problems through data and can translate customer needs into actionable insights. The successful candidate will work closely with engineering and site leadership to accelerate decision\-making and drive continuous improvement.
**Key Responsibilities**
* Collaborate with customers and internal stakeholders to understand business challenges and define data requirements.
* Read and interpret production process documentation (e.g., flow charts, FMEAs) and adapt raw data to reflect real\-world production processes.
* Build and validate queries to extract meaningful insights from complex datasets.
* Characterize data distributions using statistical tools (mean, median, standard deviation, skewness, etc.).
* Use programming logic tools (e.g., Boolean logic: AND, OR, NOR, NAND, XOR; If \&gt; Then statements) to support data analysis and automation.
* Analyze and interpret data to identify trends, patterns, and opportunities for improvement.
* Transform raw data into actionable knowledge using advanced analytics techniques.
* Develop predictive models and simulations using methods such as time series analysis, multivariate analysis, constraint programming, and pattern recognition.
* Create compelling dashboards and visualizations using Power BI, Kibana, and Elastic Search.
* Use Minitab to validate statistical tests between samples and support quality improvement initiatives.
* Leverage advanced Excel functions and features for data manipulation and reporting.
* Present business cases and recommendations to technical and non\-technical audiences.
* Create and maintain project timelines and budget plans to support platform evolution.
* Interface with all levels of the organization, from shop floor personnel to upper management.
**Required Qualifications**
* Bachelor’s degree in a technical field, such as Electrical Engineering, Information Technology, Data Science, or a related discipline. A combination of education and equivalent experience may be considered on a case\-by\-case basis.
* Strong background in test or quality engineering is a must.
* Proven ability to listen to customer needs, define complex requirements, and deliver data solutions.
* Experience with Power BI, Kibana, Elastic Search, and open\-source analytics tools.
* Proficiency in Office Suite, including advanced Excel and Minitab.
* Solid understanding of server/rack assembly and test processes.
* Strong written and verbal communication skills; multi\-lingual capability is a plus.
* Ability to work effectively in teams and under pressure.
* Demonstrated ability to build business cases and drive measurable outcomes.
* Highly motivated, creative, and capable of thinking “outside the box.”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the Federal Bureau of Investigations internet crime hotline (www.ic3\.gov), the Federal Trade Commission identity theft hotline (www.identitytheft.gov) and/or your local police department. Any scam job listings should be reported to whatever website it was posted in.
**Jabil, including its subsidiaries, is an equal opportunity employer and considers qualified applicants for employment without regard to race, color, religion, national origin, sex, sexual orientation, gender identity, age, disability, genetic information, veteran status, or any other characteristic protected by law.**
**Accessibility Accommodation**
===============================
If you are a qualified individual with a disability, you have the right to request a reasonable accommodation if you are unable or limited in your ability to use or access Jabil.com/Careers site as a result of your disability. You can request a reasonable accommodation by sending an e\-mail to Always\_Accessible@Jabil.com or calling 727\-803\-7988 with the nature of your request and contact information. Please do not direct any other general employment related questions to this e\-mail or phone number. Please note that only those inquiries concerning a request for reasonable accommodation will be responded to.  
\#whereyoubelong  
\#AWorldofPossibilities</t>
        </is>
      </c>
    </row>
    <row r="131">
      <c r="A131" t="inlineStr">
        <is>
          <t>in-35aa4cb5eaf6ad82</t>
        </is>
      </c>
      <c r="B131" t="inlineStr">
        <is>
          <t>Data Scientist, Fraud Analytics &amp; Technical Writing (3951)</t>
        </is>
      </c>
      <c r="C131" t="inlineStr">
        <is>
          <t>GBG</t>
        </is>
      </c>
      <c r="D131" t="inlineStr">
        <is>
          <t>indeed</t>
        </is>
      </c>
      <c r="E131">
        <f>HYPERLINK("https://www.indeed.com/viewjob?jk=35aa4cb5eaf6ad82", "https://www.indeed.com/viewjob?jk=35aa4cb5eaf6ad82")</f>
        <v/>
      </c>
      <c r="F131">
        <f>HYPERLINK("https://apply.workable.com/j/D591C2A7F5", "https://apply.workable.com/j/D591C2A7F5")</f>
        <v/>
      </c>
      <c r="G131" t="inlineStr">
        <is>
          <t>Atlanta, GA, US</t>
        </is>
      </c>
      <c r="H131" s="3" t="n">
        <v>46051</v>
      </c>
      <c r="I131" t="inlineStr">
        <is>
          <t>**Enabling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
**Data Scientist – Fraud Analytics \&amp; Technical Writing**
Join GBG’s **Go‑to‑Market Data Science \&amp; Analytics** team, a newly established, high‑impact function shaping how we demonstrate value to customers and empower internal teams with actionable insights. As a **Data Scientist – Fraud Analytics \&amp; Technical Writing**, you’ll analyze large, complex datasets to surface fraud patterns, translate findings into clear business narratives, and create high‑quality technical documentation that standardizes methods and accelerates adoption across the organization. You’ll partner cross‑functionally with Sales, Product, and Operations, design dashboards that communicate trends, and influence roadmap and strategy—while building scalable, automated processes that elevate decision‑making and customer outcomes
**What you will do**
**Fraud Detection \&amp; Analysis**
* Analyze large, complex datasets to detect patterns, anomalies, and emerging fraud trends
* Collaborate with internal teams to validate findings and refine detection strategies
* Translate key findings into clear, compelling insights that demonstrate solution value to prospective customers
* Support the development of standardized frameworks to quantify business impact across customer profiles
 **Technical Documentation**
* Create and maintain high\-quality technical documentation, including methodologies, workflows, and system processes
* Translate complex analytical findings into clear, actionable insights for both technical and non\-technical audiences
* Ensure documentation is standardized, accurate, and easily accessible for internal teams
 **Collaboration \&amp; Reporting**
* Work closely with cross\-functional teams to implement data\-driven solutions
* Design dashboards and reports to communicate fraud trends and detection results effectively
* Provide regular updates and recommendations to stakeholders based on data\-driven findings
**Requirements**
**Skills we are looking for**
**Technical Foundation**
* 2\+ years of hands\-on experience in data analytics, with demonstrated success in customer\-facing teams or process automation roles
* Excellent technical writing and communication skills
* Strong proficiency in Python/R, SQL, and statistical analysis libraries (pandas, scikit\-learn, etc.)
* Experience with data visualization tools (Quicksight, Tableau, Power BI, or similar)
* Familiarity with cloud platforms (AWS, Azure, or GCP) and modern data stack tools
* Master’s degree in Data Science or related field preferred; PhD a plus
 **Preferred Qualifications**
* Domain expertise in identity verification, fraud detection, and/or financial services
* Experience presenting technical findings to prospects or clients during sales processes
* Knowledge of predictive modeling and machine learning
 **Business Acumen**
* Experience analyzing customer data and translating technical findings into compelling business narratives
* Knowledge of statistics and ROI calculation frameworks
* Ability to create presentations that communicate value propositions to both technical and business stakeholders
* Familiarity with cross\-functional collaboration processes
**Benefits**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t>
        </is>
      </c>
    </row>
    <row r="132">
      <c r="A132" t="inlineStr">
        <is>
          <t>in-f0cf12b0bac84b40</t>
        </is>
      </c>
      <c r="B132" t="inlineStr">
        <is>
          <t>Data Scientist, Fraud Analytics &amp; Technical Writing (3951)</t>
        </is>
      </c>
      <c r="C132" t="inlineStr">
        <is>
          <t>GBG</t>
        </is>
      </c>
      <c r="D132" t="inlineStr">
        <is>
          <t>indeed</t>
        </is>
      </c>
      <c r="E132">
        <f>HYPERLINK("https://www.indeed.com/viewjob?jk=f0cf12b0bac84b40", "https://www.indeed.com/viewjob?jk=f0cf12b0bac84b40")</f>
        <v/>
      </c>
      <c r="F132">
        <f>HYPERLINK("https://apply.workable.com/j/1F941D43A0", "https://apply.workable.com/j/1F941D43A0")</f>
        <v/>
      </c>
      <c r="G132" t="inlineStr">
        <is>
          <t>Manchester, NH, US</t>
        </is>
      </c>
      <c r="H132" s="3" t="n">
        <v>46051</v>
      </c>
      <c r="I132" t="inlineStr">
        <is>
          <t>**Enabling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
**Data Scientist – Fraud Analytics \&amp; Technical Writing**
Join GBG’s **Go‑to‑Market Data Science \&amp; Analytics** team, a newly established, high‑impact function shaping how we demonstrate value to customers and empower internal teams with actionable insights. As a **Data Scientist – Fraud Analytics \&amp; Technical Writing**, you’ll analyze large, complex datasets to surface fraud patterns, translate findings into clear business narratives, and create high‑quality technical documentation that standardizes methods and accelerates adoption across the organization. You’ll partner cross‑functionally with Sales, Product, and Operations, design dashboards that communicate trends, and influence roadmap and strategy—while building scalable, automated processes that elevate decision‑making and customer outcomes
**What you will do**
**Fraud Detection \&amp; Analysis**
* Analyze large, complex datasets to detect patterns, anomalies, and emerging fraud trends
* Collaborate with internal teams to validate findings and refine detection strategies
* Translate key findings into clear, compelling insights that demonstrate solution value to prospective customers
* Support the development of standardized frameworks to quantify business impact across customer profiles
 **Technical Documentation**
* Create and maintain high\-quality technical documentation, including methodologies, workflows, and system processes
* Translate complex analytical findings into clear, actionable insights for both technical and non\-technical audiences
* Ensure documentation is standardized, accurate, and easily accessible for internal teams
 **Collaboration \&amp; Reporting**
* Work closely with cross\-functional teams to implement data\-driven solutions
* Design dashboards and reports to communicate fraud trends and detection results effectively
* Provide regular updates and recommendations to stakeholders based on data\-driven findings
**Requirements**
**Skills we are looking for**
**Technical Foundation**
* 2\+ years of hands\-on experience in data analytics, with demonstrated success in customer\-facing teams or process automation roles
* Excellent technical writing and communication skills
* Strong proficiency in Python/R, SQL, and statistical analysis libraries (pandas, scikit\-learn, etc.)
* Experience with data visualization tools (Quicksight, Tableau, Power BI, or similar)
* Familiarity with cloud platforms (AWS, Azure, or GCP) and modern data stack tools
* Master’s degree in Data Science or related field preferred; PhD a plus
 **Preferred Qualifications**
* Domain expertise in identity verification, fraud detection, and/or financial services
* Experience presenting technical findings to prospects or clients during sales processes
* Knowledge of predictive modeling and machine learning
 **Business Acumen**
* Experience analyzing customer data and translating technical findings into compelling business narratives
* Knowledge of statistics and ROI calculation frameworks
* Ability to create presentations that communicate value propositions to both technical and business stakeholders
* Familiarity with cross\-functional collaboration processes
**Benefits**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t>
        </is>
      </c>
    </row>
    <row r="133">
      <c r="A133" t="inlineStr">
        <is>
          <t>in-659aad67d66c7f66</t>
        </is>
      </c>
      <c r="B133" t="inlineStr">
        <is>
          <t>Principal Data Scientist</t>
        </is>
      </c>
      <c r="C133" t="inlineStr">
        <is>
          <t>Paylocity</t>
        </is>
      </c>
      <c r="D133" t="inlineStr">
        <is>
          <t>indeed</t>
        </is>
      </c>
      <c r="E133">
        <f>HYPERLINK("https://www.indeed.com/viewjob?jk=659aad67d66c7f66", "https://www.indeed.com/viewjob?jk=659aad67d66c7f66")</f>
        <v/>
      </c>
      <c r="F133">
        <f>HYPERLINK("https://2000recruiting.paylocity.com/recruiting/jobs/Details/42237/PAYLOCITY-CORPORATION/Principal-Data-Scientist?source=Indeed_Feed", "https://2000recruiting.paylocity.com/recruiting/jobs/Details/42237/PAYLOCITY-CORPORATION/Principal-Data-Scientist?source=Indeed_Feed")</f>
        <v/>
      </c>
      <c r="G133" t="inlineStr">
        <is>
          <t>US</t>
        </is>
      </c>
      <c r="H133" s="3" t="n">
        <v>46051</v>
      </c>
      <c r="I133" t="inlineStr">
        <is>
          <t>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**Position Overview**
Our data science team is responsible for developing AI and machine learning solutions to meet client needs in domains ranging from NLP and supervised learning to time series forecasting and anomaly detection. The team is focused on building high impact software solutions that deliver automation, insights, and assistance to millions of users every day. You can learn more about the type of work we do on our Paylocity AI page.
As a Principal Data Scientist, you will help Paylocity discover the information hidden in vast amounts of data, to help our customers make smarter human capital decisions that drive organizational success. Your primary focus will be to apply knowledge of statistics, machine learning, programming, data modeling, to recognize patterns, identify opportunities, pose business questions, and make valuable discoveries leading to prototype development and product improvement.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Select, build, and optimize machine learning models using advanced techniques such as time series analysis, regression, random forests, gradient boosting, and neural networks.
* Leverage cutting\-edge big data technologies on cloud platforms, utilizing tools such as Databricks and Spark to deliver scalable solutions.
* Independently design and develop proof\-of\-concept projects, taking them from initial ideation through to full productization and delivery.
* Build agentic AI applications powered by large language models (LLMs) that enable autonomous decision\-making and advanced automation capabilities.
* Create and maintain automated data and modeling pipelines, as well as custom performance tracking systems to ensure robust model deployment and monitoring.
* Work closely with full stack software engineers in an agile product development environment to deliver machine learning\-powered software features.
* Collaborate with Product Managers, Enterprise Architects, Software Development Managers, and other organizational leaders to translate complex human capital management challenges into actionable data science projects.
* Conduct ad\-hoc analyses and clearly present results to both technical and non\-technical stakeholders.
* Solve the most complex technical challenges across data science and engineering domains, ensuring technical health and quality of critical platforms.
* Drive organization\-wide technical strategies and AI platform adoption, enabling rapid team onboarding to new systems and technologies.
* Lead the discovery, design, and implementation of organization\-wide systems that balance technical capabilities with evolving business objectives and market needs.
* Proactively identify, communicate, and address emerging technical challenges, while maintaining system reliability, scalability, and fostering technical innovation.
* Effectively communicate technical vision, strategy, and insights to executive leadership and cross\-functional teams.
* Participate in rigorous architecture planning and review processes, actively engaging throughout the product development lifecycle to ensure best practices and alignment with strategic objectives.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12 years of demonstrated data science success or similar experience; or, advanced degree (master’s or PhD) in data science, computer science, engineering, statistics, mathematics or other quantitative field, with 5 years of demonstrated data science success or similar experience.
* Experience in writing production grade machine learning models in Python.
* Deep understanding of distributed systems, architecture, and scalability.
* Proven experience successfully executing organization\-wide technical initiatives.
* Demonstrated experience with cloud infrastructure (e.g., AWS, Azure, GCP).
* Demonstrated ability to leverage data science to drive business results.
* Skilled at translating business problems into data science problems and communicating the results to non\-technical audiences.
* Able to work in a collaborative environment with a desire to share your ideas.
* Able to work independently and complete tasks with high quality, but unafraid to seek out suggestions from other team members.
* Self\-motivated, adaptable, and highly detail oriented.
**Preferred Skills:**
* Professional or academic experience in HR, social science or psychology.
* Significant experience with cloud development and infrastructure\-as\-code (IAC) tools such as Pulumi, Terraform, AWS CDK.
* Be invested in staying current in data science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 This email address is exclusively
designated for such requests, aligning with federal and state disability laws. Please do not send resumes
to this email address, as they will be removed.
The pay range for this position is $163,300 \- $303,300 /yr; however, base pay offered may vary depending on job\-related knowledge, skills, and experience. This position is eligible for a restricted stock unit grant based on individual performance in addition to a full range of benefits . This information is provided per the relevant state and local pay transparency laws for the location in which this position will be performed. Base pay information is based on market location. Applicants should apply via www.paylocity.com/careers.
\#LIRemote</t>
        </is>
      </c>
    </row>
    <row r="134">
      <c r="A134" t="inlineStr">
        <is>
          <t>in-ed7caa5751ecd119</t>
        </is>
      </c>
      <c r="B134" t="inlineStr">
        <is>
          <t>Senior Applied Scientist, Machine Learning</t>
        </is>
      </c>
      <c r="C134" t="inlineStr">
        <is>
          <t>McAfee</t>
        </is>
      </c>
      <c r="D134" t="inlineStr">
        <is>
          <t>indeed</t>
        </is>
      </c>
      <c r="E134">
        <f>HYPERLINK("https://www.indeed.com/viewjob?jk=ed7caa5751ecd119", "https://www.indeed.com/viewjob?jk=ed7caa5751ecd119")</f>
        <v/>
      </c>
      <c r="F134">
        <f>HYPERLINK("https://careers.mcafee.com/global/en/job/JR0032278/Senior-Applied-Scientist-Machine-Learning", "https://careers.mcafee.com/global/en/job/JR0032278/Senior-Applied-Scientist-Machine-Learning")</f>
        <v/>
      </c>
      <c r="G134" t="inlineStr">
        <is>
          <t>Frisco, TX, US</t>
        </is>
      </c>
      <c r="H134" s="3" t="n">
        <v>46051</v>
      </c>
      <c r="I134" t="inlineStr">
        <is>
          <t>***Role Overview:***
We are seeking a Senior Applied Scientist to join McAfee's Consumer ML team and drive AI\-powered solutions that deliver personalized experiences, optimize pricing, and improve payment success for millions of global customers. In this role, you will lead the end\-to\-end development and deployment of high\-impact ML models across fraud detection, dynamic pricing, journey optimization, and contextual recommendation systems. You'll design and execute experimentation frameworks, champion GenAI tooling adoption to accelerate development, and apply advanced techniques, including deep learning and reinforcement learning. This is a hands\-on technical leadership role requiring 8\+ years of Applied ML experience, proven expertise in personalization, pricing optimization, or churn/propensity modeling for digital subscriptions, and strong cross\-functional collaboration skills to translate ML innovation into measurable business outcomes.  
This is a Hybrid position located in Frisco, TX. You will be required to be on\-site on an as\-needed basis; when you are not working on\-site, you will work from your home office. You must be within commutable distance of Frisco, TX. We are not offering relocation assistance at this time.**About the Role**
* **Strategic Vision:** Drive the ML science strategy for pricing, recommendation systems, and personalized consumer experiences, to maximize McAfee’s customer value.
* **Model Development:** Lead the research, implementation, and delivery of Applied AI/ML models using user behavior and subscription data to enhance personalization and product value.
* **Optimization \&amp; Experimentation:** Lead algorithm development to optimize consumer journeys, increase conversion rates, and drive monetization strategies. Design and execute controlled experiments (A/B and multivariate tests) to validate and enhance model performance.
* **Generative AI Enablement:** Leverage GenAI tools—such as GitHub Copilot, Claude Code, and other AI coding assistants—to amplify development productivity in data preparation, model tuning, and orchestration workflows. Champion the integration of GenAI capabilities into the ML lifecycle to accelerate experimentation and reduce time\-to\-market.
* **Research \&amp; Knowledge Sharing:** Stay at the forefront of ML science, contributing to the development of new algorithms and applications. Share knowledge through internal presentations, publications, and participation in academic or industry forums.
* **Reinforcement Learning is a Plus:** Guide the team in applying reinforcement learning methods such as contextual bandits, SARSA, and Q\-learning. Implement exploration\-exploitation strategies, including epsilon\-greedy, Thompson sampling, and Upper Confidence Bound (UCB) to optimize decision\-making for pricing and recommendation engines.
* **Cross\-Functional Collaboration:** Partner with Marketing, Product, Sales, and Engineering teams to ensure ML solutions align with strategic objectives and deliver measurable business impact.
**About You**
* **Experience:** 8\+ years of expertise in Applied AI \&amp; ML, complemented by at least 3 years of technical leadership experience mentoring machine learning scientists in technical capacities.
* **Mandatory Qualification:** Proven track record in at least one of the following: implementing AI/ML\-based personalized messaging techniques to enhance consumer/customer product experiences; developing AI/ML\-based dynamic pricing and personalized offer strategies for pricing optimization; or creating customer/consumer churn and propensity models specifically for digital subscription use cases
* **Technical Expertise:** Deep proficiency in classical ML and deep learning techniques (e.g., XGBoost, Random Forest, SVMs, deep neural networks), **autoencoders, representation learning, and deep recommender system techniques**, as well as reinforcement learning methods (contextual bandits, SARSA, Q\-learning). Strong programming skills in Python, SQL, and ML frameworks.
* **Tooling \&amp; Libraries:** Proficient with ML libraries such as PyTorch and Scikit\-learn, with a strong background in feature engineering, model validation, and evaluation metrics.
* **Mathematical Foundations:** Solid understanding of the mathematical and statistical principles underpinning ML algorithms (linear algebra, calculus, probability) and a passion for solving complex problems through research and application of emerging techniques.
* **Communication \&amp; Collaboration:** Excellent communicator who can distill complex ML concepts for both technical and non\-technical stakeholders and collaborate effectively across cross\-functional teams to align ML models with business goals.
\#LI\-Hybrid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
We offer a variety of social programs, flexible work hours and family\-friendly benefits to all of our employees.
* Bonus Program
* Pension and Retirement Plans
* Medical, Dental and Vision Coverage
* Paid Time Off
* Paid Parental Leave
*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
        </is>
      </c>
    </row>
    <row r="135">
      <c r="A135" t="inlineStr">
        <is>
          <t>in-e003e604617ac043</t>
        </is>
      </c>
      <c r="B135" t="inlineStr">
        <is>
          <t>Data Scientist</t>
        </is>
      </c>
      <c r="C135" t="inlineStr">
        <is>
          <t>Xcelerate Solutions</t>
        </is>
      </c>
      <c r="D135" t="inlineStr">
        <is>
          <t>indeed</t>
        </is>
      </c>
      <c r="E135">
        <f>HYPERLINK("https://www.indeed.com/viewjob?jk=e003e604617ac043", "https://www.indeed.com/viewjob?jk=e003e604617ac043")</f>
        <v/>
      </c>
      <c r="F135">
        <f>HYPERLINK("https://app.jobvite.com/CompanyJobs/Job.aspx?j=oWcwzfwX&amp;s=Indeed", "https://app.jobvite.com/CompanyJobs/Job.aspx?j=oWcwzfwX&amp;s=Indeed")</f>
        <v/>
      </c>
      <c r="G135" t="inlineStr">
        <is>
          <t>Remote, US</t>
        </is>
      </c>
      <c r="H135" s="3" t="n">
        <v>46051</v>
      </c>
      <c r="I135" t="inlineStr">
        <is>
          <t>**Data Scientist \- Secret**
Xcelerate Solutions is seeking an experienced Data Scientist. Provide expertise in testing and implementing computer database. We are seeking a Data Scientist / Application Developer to design and build AI\-enabled applications and perform analyses in Palantir Foundry that drive operational decision\-making. This role emphasizes data science, advanced analytics, visualization, and user\-facing application development. You will work in a fast\-paced Agile environment alongside engineers and domain experts to translate ambiguous or evolving requirements into intuitive, scalable products. Successful candidates are comfortable moving from exploratory analysis to production\-grade applications that deliver measurable mission impact. Come join our award\-winning organization and work with some of the most talented and brightest minds in the GovCon industry.  
**Location:**  
Remote**Security Clearance:**  
Secret
**Responsibilities:*** Conduct data discovery and exploratory data analysis (EDA) across structured and unstructured data
* Perform data cleansing, normalization, aggregation, and modeling
* Design and build analytic applications in Palantir Foundry, including dashboards and interactive workflows
* Apply advanced analytics and statistical methods (e.g., regression, clustering, hypothesis testing, A/B testing)
* Develop and embed AI/ML capabilities (e.g., LLMs, NLP, RAG/GraphRAG) into analytic workflows
* Create clear visualizations and metrics to support executive and operational decision\-making
* Collaborate in an Agile/Scrum environment to rapidly iterate on solutions
* Communicate insights effectively to technical and non\-technical stakeholders
**Minimum Requirements:*** Strong experience in data science and analytics, including EDA, data wrangling, modeling, and statistical analysis
* Proficiency in Python for analytics and data pipelines (e.g., pandas, polars, PySpark)
* Experience with AI/ML and statistical modeling tools and python libraries (e.g., scikit\-learn, statsmodels, Prophet; NLP tools such as spaCy or NLTK)
* Experience building production\-grade analytics (apps, dashboards, notebooks)
* Experience with data visualization i.e using Python libraries (matplotlib, seaborn, plotly) and/or BI tools (PowerBI, Tableau, Qlik)
* Comfort working in a dynamic Agile/Scrum environment with evolving or loosely defined requirements
* Strong communication skills with the ability to explain insights to non\-technical audiences
* Background in statistics, mathematics, operations research, or applied sciences
* Experience with Palantir Foundry, Databricks, or similar data platforms
* Secret Clearance
**Preferred Qualifications*** Prior Army Contractor experience
* Experience supporting modernization cloud project
* Hands\-on experience with Palantir Foundry (pipelines, transforms, Workshop, Ontologies, AIP)
* Experience building AI\-enabled applications using LLMs, NLP, RAG, or GraphRAG
* Experience developing rapid analytic demos using Streamlit
* Familiarity with model deployment and ML/AI serving architectures
* Exposure to TypeScript
* Experience with data platform operations, monitoring, or optimization
* Experience building and maintaining ETL pipelines supporting analytic applications
**About Xcelerate Solutions:**  
Founded in 2009 and headquartered in McLean, VA, Xcelerate Solutions (www.xceleratesolutions.com) is one of America's fastest\-growing companies. Xcelerate’s culture is defined by our diversified workforce of dynamic and versatile professionals, supported with growth and development opportunities that contribute to individual and company growth. This strong commitment to our employees has been recognized by our inclusion on the Washington Business Journal’s “50 Best Places to Work” list as well as being a “Great Place to Work” certified company with a 4\.6 star, and a 99% CEO approval Glassdoor rating. Come find out why Xcelerate Solutions is one of the DC Metro top employers!
*Xcelerate Solutions is an Equal Employment Opportunity/Affirmative Action Employer.**We evaluate qualified applicants without regard to race, color, national origin, religion, age, equal pay, disability, veteran status, sex, sexual orientation, gender identity, genetic information, or expression of another protected characteristic. As part of this commitment to the full inclusion of all qualified individuals,**Xcelerate provides reasonable accommodations if needed because of an applicant's or an employee's disability.*  
*Pay Transparency Notice: Xcelerate Solutions will not discharge or in any other manner discriminate against employees or applicants because they have inquired about, discussed, or disclosed their own pay or the pay of another employee or applicant.*</t>
        </is>
      </c>
    </row>
    <row r="136">
      <c r="A136" t="inlineStr">
        <is>
          <t>in-43ca791c67c0aa00</t>
        </is>
      </c>
      <c r="B136" t="inlineStr">
        <is>
          <t>Lead Data Scientist (Pricing)</t>
        </is>
      </c>
      <c r="C136" t="inlineStr">
        <is>
          <t>Redwood Logistics</t>
        </is>
      </c>
      <c r="D136" t="inlineStr">
        <is>
          <t>indeed</t>
        </is>
      </c>
      <c r="E136">
        <f>HYPERLINK("https://www.indeed.com/viewjob?jk=43ca791c67c0aa00", "https://www.indeed.com/viewjob?jk=43ca791c67c0aa00")</f>
        <v/>
      </c>
      <c r="F136">
        <f>HYPERLINK("https://redwoodlogistics.hrmdirect.com/employment/view.php?req=3627622&amp;jbsrc=1014&amp;location=a6fba112-0044-9085-93ff-35751c5c9d29", "https://redwoodlogistics.hrmdirect.com/employment/view.php?req=3627622&amp;jbsrc=1014&amp;location=a6fba112-0044-9085-93ff-35751c5c9d29")</f>
        <v/>
      </c>
      <c r="G136" t="inlineStr">
        <is>
          <t>Remote, US</t>
        </is>
      </c>
      <c r="H136" s="3" t="n">
        <v>46051</v>
      </c>
      <c r="I136" t="inlineStr">
        <is>
          <t>**Lead Data Scientist (Pricing)**
Reports To: **Vice President of Data Science**
Location: **Remote or** **Chicago, IL**
Environment: **Remote**
Status: **Exempt, salaried**
**Who We Are:**
Recognized by Gartner in their Modern 4PL Market Guide, Redwood Logistics is at the forefront of industry innovation. Our cutting\-edge supply chain technology pairs with the expertise of our brilliant minds to empower logistics execution across North America and Mexico.
Leveraging a comprehensive range of services, data\-centric network solutions, and a seamlessly integrated platform, we have established our prominence as a key player in the mid\-market segment within the freight tech industry.
Whether you’re just starting your career or are an established professional looking for your next opportunity, Redwood inspires innovation across teams to provide transformative solutions for our customers.
**Purpose of Your Work:**
As a **Lead Data Scientist (Pricing)** working within Shared Services (one of our entities), you will be responsible for developing tech\-forward solutions to drive automation and informed decision\-making within our business. You will delve into unique and complex issues within the logistics space and partner with cross\-functional teams across business, technology, and product to ideate, develop, recommend, and implement solutions. You will leverage your skill set in statistics, machine learning, and MLOps to build various models and infrastructure, delivering results and communicating actionable insights.
**How You Make a Difference Every Day:**
* Develop and implement pricing models and simulations that leverage statistics, data science, and machine learning technologies without our business that impact metrics, and streamline network operations.
* Identify new opportunities to drive business impact through data exploration and collaboration with key stakeholders.
* Conduct a root cause analysis to identify the key drivers influencing operational performance associated with our buying patterns
* Collaborate with cross\-functional teams, including software engineers, data scientists, business stakeholders, and product teams, to gather inputs, assumptions, and understand business processes along the way.
**You’ve Got This?**
* MS or PhD in Computer Science, Data Science, Applied Mathematics, Physics, or equivalent work experience.
* 6\+ years of experience applying Machine Learning and data science solutions to solve business problems.
* Experience solving pricing problems in multi\-sided marketplaces
* Experience with Data Science and/or Machine Learning in supply chain, logistics, transportation, or a similar space is a plus.
* Experience managing a small team of Data Scientist
* Proficient in leveraging Azure or AWS to deploy scalable machine learning algorithms into production
* Hands\-on experience with open\-source languages and tooling for large\-scale ML (e.g., Ray, Flink, Feast).
* Experience working with Data Warehouses and ETL pipelines (e.g., Redshift, Databricks, Snowflake, Airflow).
* Strong Python and SQL skills
* Ability to communicate with technical and non\-technical stakeholders is a plus.
**What We Offer:**
* Access to experts and resources for your Learning \&amp; Development journey
* Opportunity for internal mobility
* Employee referral bonus program
* Employee Resource Groups (ERGs)
* Annual fundraising and volunteer events to give back to communities
* Paid time off, floating holidays, time off to volunteer, and rollover
* Paid parental leave
* Medical, dental, vision, and 401k plans (with match)
* Flexible spending account, mass transit, and dependent care plans available
* Health savings account, with an annual company contribution for plan participants
* Short\-term and long\-term disability, life insurance policies subsidized by the company
* Additional benefits include pet insurance, accident care, access to legal advice, and more
**Work Schedule:**
This position is full\-time and remote, Monday through Friday, from 8:00 AM to 5:00 PM, with an hour break. However, flexibility is available based on coverage needs.
**Compensation Range:**
Salary Range:
$170,000 \- $220,000
This position is eligible to earn annual incentives based on individual and company performance.
*The estimated pay range reflects an anticipated range for this position. The actual base salary offered will depend on a variety of factors, including the qualifications of the individual applicant for the position, years of relevant experience, specific and unique skills, level of education attained, certifications or other professional licenses held, and the geographical location in which the applicant lives and/or which they will be performing the job.*
Redwood is an equal opportunity employer. Employment decisions at the Company are based on individual merit, qualifications, abilities, and the Company’s needs and resources. The Company does not discriminate in recruiting, hiring, compensation, promotions, discipline, termination or any other aspect of employment on the basis of an individual’s actual or perceived race, color, creed, religion, sex (including pregnancy, childbirth and related medical conditions), sexual orientation, gender identity, national origin, ancestry, citizenship status, age, disability, marital status, military service or status, genetic information, arrest and conviction record, credit history, or any other basis protected by applicable law.</t>
        </is>
      </c>
    </row>
    <row r="137">
      <c r="A137" t="inlineStr">
        <is>
          <t>in-d07bbc6f07e9b941</t>
        </is>
      </c>
      <c r="B137" t="inlineStr">
        <is>
          <t>Staff Data Scientist | Content Gen</t>
        </is>
      </c>
      <c r="C137" t="inlineStr">
        <is>
          <t>Machinify</t>
        </is>
      </c>
      <c r="D137" t="inlineStr">
        <is>
          <t>indeed</t>
        </is>
      </c>
      <c r="E137">
        <f>HYPERLINK("https://www.indeed.com/viewjob?jk=d07bbc6f07e9b941", "https://www.indeed.com/viewjob?jk=d07bbc6f07e9b941")</f>
        <v/>
      </c>
      <c r="F137">
        <f>HYPERLINK("https://jobs.ashbyhq.com/machinify/74c2d461-be36-4934-a2b6-20649d5c0088?utm_source=91kRzwqPAe", "https://jobs.ashbyhq.com/machinify/74c2d461-be36-4934-a2b6-20649d5c0088?utm_source=91kRzwqPAe")</f>
        <v/>
      </c>
      <c r="G137" t="inlineStr">
        <is>
          <t>Palo Alto, CA, US</t>
        </is>
      </c>
      <c r="H137" s="3" t="n">
        <v>46051</v>
      </c>
      <c r="I137"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**Staff Data Scientist \| Content Generation Team**
We are seeking a Staff Data Scientist. This role will be responsible for leading the build and deployment of classical ML and GenAI systems that generate and validate billing error, audit, and fraud concepts in healthcare payments. You will partner with SMEs and cross\-functional stakeholders to deliver production\-grade capabilities with clear customer and financial impact.
 **What you will do:**
* Build and ship classical ML and GenAI pipelines that surface, rank, and explain candidate billing error, audit, and fraud concepts across large\-scale healthcare claims data
* Advance state\-of\-the\-art research in anomaly detection, information retrieval, and weak supervision, turning research into robust production systems
* Accelerate concept generation and concept validation with SMEs by designing human\-in\-the\-loop workflows that enable high\-throughput review with strong precision, recall, and traceability
* Own end\-to\-end delivery from problem framing and data strategy to model development, evaluation, deployment, and monitoring, with a focus on reliability and customer outcomes
* Partner cross\-functionally with Product, Data Engineering, Operations, SMEs, and business leaders to prioritize work, unblock execution, and unlock material financial value
* Help scale the team and platform as Machinify grows aggressively toward resale and IPO readiness
 **What you bring:**
* Degree in Computer Science, Engineering, or a related field
* 10\+ years of data science experience, with at least 5 years in a leadership role, including a leadership role at a start\-up. Proven track record of managing data teams and delivering complex, high\-impact products from concept to deployment
* Strong knowledge of data privacy regulations and best practices in data security
* Exceptional team management abilities, with experience in building and leading high\-performing teams
* Ability to think strategically and execute methodically
* Ability to drive change and inspire a distributed team
* Strong problem\-solving skills and a data\-driven mindset
* Ability to communicate effectively, collaborating with diverse groups to solve complex problems
* You embrace challenges with optimism and a balanced, and bring a business\-oriented approach to product development
* You prioritize customer impact, ensuring your work significantly advances our product value
 **What we offer:**
* A flexible and trusting environment where you'll feel empowered to do your best work.
* Work from anywhere in the US! Our team is distributed and most of us work from home.
* Hardworking and supportive colleagues, and a leadership team that understands the importance of recruiting and retaining top talent.
* Incredible medical, vision, and dental benefits for employees \&amp; their families.
* Competitive salary and equity, 401(k) sponsorship.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138">
      <c r="A138" t="inlineStr">
        <is>
          <t>in-7d0401e370d1172a</t>
        </is>
      </c>
      <c r="B138" t="inlineStr">
        <is>
          <t>Data Scientist</t>
        </is>
      </c>
      <c r="C138" t="inlineStr">
        <is>
          <t>Lincare</t>
        </is>
      </c>
      <c r="D138" t="inlineStr">
        <is>
          <t>indeed</t>
        </is>
      </c>
      <c r="E138">
        <f>HYPERLINK("https://www.indeed.com/viewjob?jk=7d0401e370d1172a", "https://www.indeed.com/viewjob?jk=7d0401e370d1172a")</f>
        <v/>
      </c>
      <c r="F138">
        <f>HYPERLINK("https://recruiting.adp.com/srccsh/public/RTI.home?r=5001149205306&amp;c=1165551&amp;d=ExternalCareerSite&amp;rb=INDEED&amp;idUnique=5001149205306", "https://recruiting.adp.com/srccsh/public/RTI.home?r=5001149205306&amp;c=1165551&amp;d=ExternalCareerSite&amp;rb=INDEED&amp;idUnique=5001149205306")</f>
        <v/>
      </c>
      <c r="G138" t="inlineStr">
        <is>
          <t>Clearwater, FL, US</t>
        </is>
      </c>
      <c r="H138" s="3" t="n">
        <v>46051</v>
      </c>
      <c r="I138" t="inlineStr">
        <is>
          <t>The Data Scientist is primarily responsible for supporting/leading AI\-driven initiatives that will help drive revenue growth, efficiency/productivity, and patient Lifetime Value. The individual will be conducting prescriptive, predictive and informational analytics to identify actionable insights. Skills required include, but are not limited to:
* building machine learning algorithms
* data engineering
* natural language processing (NLP)
* large language models (LLMs) and any other required AI skills
* Technical coding skills are also required and include SQL code, R\-Markdown and Python.
Through the combination of statistical knowledge, AI skills and technical coding languages, a data scientist will be required to complete any assigned analytical projects in a timely and efficient manner. Additionally, this position will be required to identify, plan and implement any other use cases for AI technology to help drive business success and improvement. They will also take a key role in the planning and development of Lincare's AI platform and strategy. Projects and long\-term strategy development should always focus on business impact and have measurable outcomes for success measurement. Additionally, this position will be required to work with other teams to gain insight and to provide technical training to others.
**JOB FUNCTIONS:**
* Responsible for data analytics / data science on massive sets of complex and, sometimes, unstructured data to prepare for statistical analysis.
* Manipulates or converts data according to analysis needs; and develops approaches to deal with imperfections in data (e.g. missing values or inconsistent data formatting)
* Identifies and executes on best approach for assigned project which may include skills including machine learning, NLP, LLMs, deep learning, neural networks or any other data science function.
* Develops reports using complex formulas; analyzes and reviews results for accuracy.
* Understands how to work with multiple data sources, and accurately accesses the correct data within complex databases based on business needs and reporting requirements.
* Will be comfortable interacting at all levels of technology teams both internal and external to Lincare. (project managers, database designer, information architecture, multilayer off\-shore support centers, etc.)
* Manages projects to ensure they are delivered successfully and in a timely manner.
* Identifies opportunities to improve revenue, productivity/efficiency as well as enhance patient life time value using data science technologies.
* Performs other duties as assigned.
* Complies with all policies and standards.
Requirements:
* Strong knowledge of basic Structured Query Language (SQL), python and R.
* Advanced algorithm skills including logical regression, decision trees, random forest, clustering etc.
* Specialized experience in statistics, data analysis with large datasets.
* Knowledge of database technologies including DB2, Oracle, Microsoft SQL Server.
* High interpersonal, communication, analytical, presentation skills, with a high business maturity.
* Able to think creatively and analytically to solve problems.
* Strong organizational skills and the ability to meet deadlines/work independently.
* Must be 18 years of age or older.
**Education** **and Experience:**
* Bachelor's Degree in Mathematics, Analytics, Finance or other related field Required
* Master's Degree in Machine Learning, Analytics, or MBA Preferred
* A Minimum of 1 years' experience working with Tableau, or similar BI product, to  
produce visual analytics and dashboards Required
* Experience working as an analyst or data scientist in a healthcare related field Preferred
* Experience in developing Machine Learning Models/ LLMs, streamlining ETL operations, Database management and Predictive analytics Preferred
**Physical Demands:**
The employee may frequently lift and/or move up to 10 pounds and may occasionally lift and/or move up to 25 pounds.</t>
        </is>
      </c>
    </row>
    <row r="139">
      <c r="A139" t="inlineStr">
        <is>
          <t>in-d9d1790c3a750ff1</t>
        </is>
      </c>
      <c r="B139" t="inlineStr">
        <is>
          <t>Data Scientist (Bioinformatics Developer) - Next Generation Sequencing (NGS)</t>
        </is>
      </c>
      <c r="C139" t="inlineStr">
        <is>
          <t>MD Anderson Cancer Center</t>
        </is>
      </c>
      <c r="D139" t="inlineStr">
        <is>
          <t>indeed</t>
        </is>
      </c>
      <c r="E139">
        <f>HYPERLINK("https://www.indeed.com/viewjob?jk=d9d1790c3a750ff1", "https://www.indeed.com/viewjob?jk=d9d1790c3a750ff1")</f>
        <v/>
      </c>
      <c r="F139">
        <f>HYPERLINK("https://jsv3.recruitics.com/redirect?rx_cid=3708&amp;rx_jobId=177954&amp;rx_url=https%3A%2F%2Fjobs.mdanderson.org%2Fsearch%2Fjobdetails%2Fdata-scientist-bioinformatics-developer---next-generation-sequencing-ngs%2F9463fe42-7249-44c8-a71d-0db3d95d2d3a%3Fafid%3Dbb5141b5-ab13-405b-a113-690fda969884%26rx_a%3D0%26rx_c%3D%26rx_ch%3Djobp4p%26rx_group%3D460772%26rx_id%3D91aa7fb8-fdea-11f0-a2fa-9defb14c4f73%26rx_job%3D177954%26rx_medium%3Dcpc%26rx_r%3Dnone%26rx_source%3Dindeed%26rx_ts%3D20260130T200443Z%26rx_vp%3Dcpc%26utm_source%3Drecruitics_indeed_organic", "https://jsv3.recruitics.com/redirect?rx_cid=3708&amp;rx_jobId=177954&amp;rx_url=https%3A%2F%2Fjobs.mdanderson.org%2Fsearch%2Fjobdetails%2Fdata-scientist-bioinformatics-developer---next-generation-sequencing-ngs%2F9463fe42-7249-44c8-a71d-0db3d95d2d3a%3Fafid%3Dbb5141b5-ab13-405b-a113-690fda969884%26rx_a%3D0%26rx_c%3D%26rx_ch%3Djobp4p%26rx_group%3D460772%26rx_id%3D91aa7fb8-fdea-11f0-a2fa-9defb14c4f73%26rx_job%3D177954%26rx_medium%3Dcpc%26rx_r%3Dnone%26rx_source%3Dindeed%26rx_ts%3D20260130T200443Z%26rx_vp%3Dcpc%26utm_source%3Drecruitics_indeed_organic")</f>
        <v/>
      </c>
      <c r="G139" t="inlineStr">
        <is>
          <t>Houston, TX, US</t>
        </is>
      </c>
      <c r="H139" s="3" t="n">
        <v>46050</v>
      </c>
      <c r="I139" t="inlineStr">
        <is>
          <t>The Department of Molecular Diagnostics at MD Anderson Cancer Center is at the forefront of precision oncology, leveraging advanced genomic technologies to deliver clinically actionable insights that directly impact patient care. The department supports a wide range of next\-generation sequencing (NGS)\-based assays and computational platforms that enable accurate diagnosis, prognostication, and treatment selection for cancer patients in a highly regulated clinical environment.  
As a Data Scientist (Bioinformatics Developer), you will develop, implement, and maintain clinical informatics applications and bioinformatics pipelines that support molecular diagnostic testing and genomic reporting. Working closely with molecular diagnostics scientists, bioinformaticians, pathologists, software engineers, and clinical stakeholders, you will translate complex biological and clinical questions into scalable, reproducible computational solutions.  
In this role, you will support and enhance enterprise\-level platforms such as the **OncoSeek genomics annotation and reporting engine**, which has been used at MD Anderson for clinical NGS reporting for over a decade. You will also contribute to the development and ongoing maintenance of the **MDLConductor laboratory informatics system (LIS)**, integrating laboratory workflows with hospital informatics systems and automating critical processes such as sample tracking, labeling, robotic storage, quantitation, and plate\-based workflows. Your work will directly enable high\-throughput, high\-fidelity clinical laboratory operations.  
You will design and implement algorithms and statistical methods for interpreting genomic data, including variant detection, differential expression, pathway analysis, and other advanced analytics. This position requires deep expertise in bioinformatics theory and hands\-on data analysis, along with the ability to apply these methods to real\-world clinical datasets in compliance with laboratory and regulatory standards.  
The role includes developing and maintaining bioinformatics pipelines for a broad range of NGS applications, including whole genome, whole exome, whole transcriptome, targeted sequencing, single\-cell sequencing, liquid biopsy analysis, and minimal residual disease detection. You will perform and optimize key analytical steps such as quality control, alignment, variant calling, annotation, and reporting, adapting pipelines to meet evolving clinical and research needs.  
You will also integrate existing bioinformatics tools and databases into custom workflows, evaluate emerging technologies, and incorporate new methods to improve efficiency, accuracy, and reproducibility. Maintaining thorough documentation, version control, and software development best practices is essential to ensure transparency and long\-term sustainability of analytical pipelines.  
Collaboration is central to this role. You will actively participate in interdisciplinary project teams, contribute to scientific discussions, present work in meetings and seminars, and provide training and technical support to laboratory staff, precision oncology scientists, pathologists, and clinicians. Through these interactions, you will help drive innovation, support clinical decision\-making, and expand the effective use of genomics and artificial intelligence in cancer care.  
MD Anderson offers a comprehensive total rewards package, including **paid medical benefits, generous paid time off, retirement plans, and additional benefits**, providing stability and long\-term career growth within one of the world's leading cancer centers.  
\*\*The ideal candidate will have a PHD, NGS \&amp; C\#/.NET experience\*\*
**JOB SPECIFIC COMPETENCIES**  
**Development, Optimization, Deployment and Maintenance of Clinical Informatics Applications and Bioinformatics Pipelines**  
Support functional development of the OncoSeek genomics annotation and reporting engine which has been used to generate genomic next\-generation sequencing panel reports at MD Anderson since 2012\.  
Support, develop and maintain MDLConductor laboratory informatics system(LIS) and applications for MDL. Specific efforts include but are not limited to, integrate MDL LIS with hospital informatics system, develop automated rack label and vial label printing with real\-time Micronics tube mapping for stock tube management for all derivative sample types (e.g. DNA, RNA, cDNA), coordinate interfacing with existing robotic sample storage (ASR), quantitation devices (Synergy), and robotic fluid handlers for plate setups \&amp; core laboratory workflows.  
Design and implement algorithms and statistical methods for the interpretation of genomic data, including identification of genetic variants, differential expression analysis, and pathway analysis. This requires a deep understanding of both bioinformatics theory and practical applications to derive meaningful insights from complex genomic datasets.  
Collaborate with molecular diagnostics professionals to understand project requirements, propose solutions, and provide technical support for data analysis and interpretation. This involves actively engaging with project teams to translate biological questions into computational workflows and troubleshooting issues that arise during data analysis.  
Develop Bioinformatics pipelines for various next generation sequencing (NGS) applications such as whole transcriptome sequencing(WTS), whole genome sequencing (WGS), exome sequencing (WES), targeted sequencing, single\-cell sequencing, liquid biopsy analysis, and minimal residual disease (MRD) detection. This includes adapting existing pipelines and developing new methodologies to address the specific requirements and challenges associated with each application. This also includes processing and analyzing NGS and other genomic data, including tasks such as quality control, alignment, variant calling, and annotation.
Integrate existing bioinformatics tools and databases into custom workflows to address specific clinical application needs and improve analysis efficiency. This includes evaluating the suitability of available tools and databases for particular analyses and developing scripts or wrappers to automate data processing tasks and facilitate reproducibility. This involves staying up\-to\-date with the latest tools and methods in the field and integrating them into existing pipelines to ensure accurate and efficient analysis, and actively monitoring scientific literature, attending conferences, and participating in online forums and community discussions to identify emerging trends and technologies relevant to genomics research.  
Maintain documentation and version control for developed software and pipelines, ensuring reproducibility and transparency of analyses. This includes writing comprehensive documentation for code and pipelines, managing code repositories using version control systems such as Git, and adhering to best practices for software development and data management.  
Participate in team meetings, seminars, and training sessions to share knowledge and best practices in bioinformatics analysis. This includes presenting updates on ongoing projects, leading discussions on relevant topics in bioinformatics, and providing training to team members on new tools and methods.  
Provide support and training to other team members, including laboratory staff, precision oncology scientists, bioinformaticians, pathologists and clinical oncologists, on the use of bioinformatics tools and data analysis techniques. This involves offering guidance on experimental design, data preprocessing, and interpretation of results, as well as troubleshooting issues and answering technical questions to facilitate productive collaborations across disciplines.  
**Required:**  
* Bachelor's Degree in Biomedical Engineering, Electrical Engineering, Computer Engineering, Physics, Applied Mathematics, Science, Engineering, Computer Science, Statistics, Computational Biology, or related field
**Preferred:**  
* Master's Degree in Science, Engineering, or related field
* PhD in Science, Engineering, or related field
**Work Experience**  
**Required:**  
* 3 years of scientific software or industry development/analysis experience **OR**
* 1 year of required experience with a Master's Degree **OR**
* With a PhD, no experience required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177954
* Employment Status: Full\-Time
* Employee Status: Regular
* Work Week: Days
* Minimum Salary: US Dollar (USD) 106,500
* Midpoint Salary: US Dollar (USD) 133,000
* Maximum Salary : US Dollar (USD) 159,500
* FLSA: exempt and not eligible for overtime pay
* Fund Type: Hard
* Work Location: Onsite
* Pivotal Position: Yes
* Referral Bonus Available?: Yes
* Relocation Assistance Available?: Yes
\#LI\-Onsite</t>
        </is>
      </c>
    </row>
    <row r="140">
      <c r="A140" t="inlineStr">
        <is>
          <t>in-cb6baad972873afb</t>
        </is>
      </c>
      <c r="B140" t="inlineStr">
        <is>
          <t>Member of Technical Staff, Applied Scientist - Windows Copilot</t>
        </is>
      </c>
      <c r="C140" t="inlineStr">
        <is>
          <t>Microsoft</t>
        </is>
      </c>
      <c r="D140" t="inlineStr">
        <is>
          <t>indeed</t>
        </is>
      </c>
      <c r="E140">
        <f>HYPERLINK("https://www.indeed.com/viewjob?jk=cb6baad972873afb", "https://www.indeed.com/viewjob?jk=cb6baad972873afb")</f>
        <v/>
      </c>
      <c r="F140">
        <f>HYPERLINK("https://apply.careers.microsoft.com/careers/job/1970393556749077?utm_source=indeed&amp;domain=microsoft.com", "https://apply.careers.microsoft.com/careers/job/1970393556749077?utm_source=indeed&amp;domain=microsoft.com")</f>
        <v/>
      </c>
      <c r="G140" t="inlineStr">
        <is>
          <t>Washington, DC, US</t>
        </is>
      </c>
      <c r="H140" s="3" t="n">
        <v>46049</v>
      </c>
      <c r="I140" t="inlineStr">
        <is>
          <t>**Overview**  
The Windows Copilot team is at the forefront of redefining how AI enhances everyday computing. This team owns the full stack—from cutting\-edge AI infrastructure and model development, to crafting seamless user experiences directly in Windows.
We’re building and shipping consumer\-scale services that are transforming how users interact with their PCs. Whether it’s designing intelligent prompts, engineering robust backends to interface with models, or developing native Windows platform and UX features, this team does it all.
We are hiring an Applied Scientist to lead the end\-to\-end model\-building process, including problem understanding, data curation, model development, deployment, and iteration based on real\-world feedback. This role will serve as a critical bridge between Microsoft Research and the engineering team, taking increasing ownership of model training responsibilities.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*MAI employees are expected to work from a designated Microsoft office at least four days a week if they live within 50 miles (U.S.) or 25 miles (non\-U.S., country\-specific) of that location. This expectation is subject to local law and may vary by jurisdiction.*  
**Responsibilities**  
* Develop and refine data pipelines and infrastructure to support AI model development for Copilot.
* Collaborate with research teams to integrate cutting\-edge AI advancements into production systems.
* Design, train, and evaluate machine learning models, ensuring performance optimization and scalability.
* Work closely with engineering and product teams to ensure AI\-driven experiences meet quality and user experience standards.
* Conduct rigorous data analysis and experimentation, leveraging insights to improve Copilot’s intelligence.
* Overcome obstacles to deliver iterative improvements in AI performance and responsiveness.
* Stay ahead of the latest innovations in deep learning, reinforcement learning, and generative AI.
Embody our Culture and Values.  
* 
**Qualifications** **Required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Proven track record of deploying machine learning models in large\-scale production environments.
* 9\+ years of experience building data pipelines, training deep learning models, and optimizing AI workflows.
* Proven track record of deploying machine learning models in large\-scale production environments.
* 4\+ years of experience building data pipelines, training deep learning models, and optimizing AI workflows.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1">
      <c r="A141" t="inlineStr">
        <is>
          <t>in-92c498a129702989</t>
        </is>
      </c>
      <c r="B141" t="inlineStr">
        <is>
          <t>Senior Data and Applied Scientist - Xbox</t>
        </is>
      </c>
      <c r="C141" t="inlineStr">
        <is>
          <t>Microsoft</t>
        </is>
      </c>
      <c r="D141" t="inlineStr">
        <is>
          <t>indeed</t>
        </is>
      </c>
      <c r="E141">
        <f>HYPERLINK("https://www.indeed.com/viewjob?jk=92c498a129702989", "https://www.indeed.com/viewjob?jk=92c498a129702989")</f>
        <v/>
      </c>
      <c r="F141">
        <f>HYPERLINK("https://apply.careers.microsoft.com/careers/job/1970393556748676?utm_source=indeed&amp;domain=microsoft.com", "https://apply.careers.microsoft.com/careers/job/1970393556748676?utm_source=indeed&amp;domain=microsoft.com")</f>
        <v/>
      </c>
      <c r="G141" t="inlineStr">
        <is>
          <t>Redmond, WA, US</t>
        </is>
      </c>
      <c r="H141" s="3" t="n">
        <v>46048</v>
      </c>
      <c r="I141" t="inlineStr">
        <is>
          <t>**Overview**  
Have you or someone you know ever wanted to work in gaming? How about building safe and inclusive communities? How about impacting experience for millions of customers? What if you could do all three of those things at the same time?
Microsoft is committed to ensuring that we develop and deploy our AI technologies in ways that uphold our AI principles and warrant people’s trust.
Here in Microsoft Gaming, we are on a mission to bring the joy and community of gaming to everyone on the planet. We deliver on that vision by putting players at the center, enabling you to play the games you want, with the people you want, anywhere you want.
Gaming Player Services and Operations is at the heart of our ambition to reach billions of players across the globe, ensuring that every player feels included and engaged across Xbox. We do this through our commitment to driving operational excellence through innovation and ensuring player and partner delight across Microsoft Gaming.
As a Senior Data and Applied Scientist, you will work with cross\-functional teams to apply state\-of\-the\-art AI that supports community moderation experiences for some of the largest online communities around the globe. You will also collaborate with other teams across Xbox, Microsoft, and the gaming industry to ensure the developed technology complies with legal and regulatory requirements, as well as best practices for online safety, privacy and responsible AI. You will be a peer mentor and role model on the team, fostering a culture of customer focus, collaboration, diversity, inclusion, and drive technical excellence and innovation.
Within the Safety, Trust, \&amp; Responsibility team, our mission is to grow and protect global player communities. We believe that wherever you play, it should be a fun, safe, and inclusive environment—and it’s our job to provide the services, expertise, and support to make accessible, world\-class player experiences possible. We champion transparency, compliance, and the responsible use of AI, with trust at the core of how we operate. We embrace experimentation to reach more players, inform business decisions, and deepen our understanding of customer and player needs. Through a culture of innovation, collaboration, and continuous improvement, we support and challenge one another to perform at our best.  
**Responsibilities**  
* Advancing the state\-of\-the\-art artificial intelligence (AI) and natural language processing (NLP) algorithms, especially applying large language models and small language models, (LLM/SLM) to real\-world large\-scale content moderation systems.
* Developing tools, algorithms, fine\-tuning and optimizing AI models, and automated systems that help identify and moderate high\-risk behaviors and user generated text, image, video, audio and mixed media content on social networks
* Working on the full lifecycle of AI development including training data collection, feature engineering, model training, offline and online experimentation, and deployment and maintenance.
* Collaborating and working cross functionally, focusing on strategic business questions, and sharing learnings.
* Driving product and business innovations for measurable impact on moderation product effectiveness.
* Investigating new technologies, tools, and prototypes, the latest techniques to evolve AI capabilities of the product and organization.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Several years of industry experience across multiple AI modalities, such as multimodal models, Automatic Speech Recognition (ASR), Computer Vision, and Natural Language Processing (NLP).
* Hands\-on experience with advanced fine\-tuning methods, including self\-supervised, semi\-supervised, and supervised learning techniques.
* Hands\-on experience building or evaluating large language models and small language models, (LLM/SLM) applications in production, ensuring AI meets or exceeds targets for functionality, responsiveness and compliance.
* Product\-driven thinking.
* Experience designing and implementing processes/systems to measure and improve AI product performance throughout the product life cycle.
* Ability to work in a fast\-paced environment, manage multiple priorities, and adapt to changing requirements and deadlines
* Experience building large data sets using SQL, Spark, Snowflake etc., for model training, testing and/or deriving actionable insights.
* Strong communication skills to explain insights in an understandable way to non\-experts, in both formal presentations and informal group conversations.
* Committed to contributing to an inclusive workplace that focuses on respect, integrity, and personal accountability.
This would be a great role for you if…
* You want to make gaming a safer and more positive experience for everyone.
* You are passionate about applying the latest in AI / ML technology to challenging problems involving text, images, video, audio and mixed\-media classification and moderation.
* You are a role model and active participant in creating a culture of inclusion and respect within the organization.
* You believe in making data\-driven decisions through telemetry and customer feedback.
* You have a passion for engineering excellence.
\#gamingjobs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2">
      <c r="A142" t="inlineStr">
        <is>
          <t>in-3c76089d94523104</t>
        </is>
      </c>
      <c r="B142" t="inlineStr">
        <is>
          <t>Principal AI Data Scientist</t>
        </is>
      </c>
      <c r="C142" t="inlineStr">
        <is>
          <t>HP</t>
        </is>
      </c>
      <c r="D142" t="inlineStr">
        <is>
          <t>indeed</t>
        </is>
      </c>
      <c r="E142">
        <f>HYPERLINK("https://www.indeed.com/viewjob?jk=3c76089d94523104", "https://www.indeed.com/viewjob?jk=3c76089d94523104")</f>
        <v/>
      </c>
      <c r="F142">
        <f>HYPERLINK("https://hp.wd5.myworkdayjobs.com/en-US/ExternalCareerSite/job/Spring-Texas-United-States-of-America/Principal-AI-Data-Scientist_3151308-2", "https://hp.wd5.myworkdayjobs.com/en-US/ExternalCareerSite/job/Spring-Texas-United-States-of-America/Principal-AI-Data-Scientist_3151308-2")</f>
        <v/>
      </c>
      <c r="G142" t="inlineStr">
        <is>
          <t>Spring, TX, US</t>
        </is>
      </c>
      <c r="H142" s="3" t="n">
        <v>46026</v>
      </c>
      <c r="I142" t="inlineStr">
        <is>
          <t>**Description \-**
**About the Position**  
The HP Enterprise AI \&amp; Machine Learning organization is a centralized team of data scientists and machine learning engineers building GenAI\-based tools and digital products that enable increased productivity for 50,000\+ employees and improve the effectiveness of hundreds of critical business processes. We collaborate closely with business stakeholders across HP to scope, prototype, and develop models and products in the cloud and on the edge. We also serve as HP’s AI Center of Excellence, providing consulting assistance, reuseable components and frameworks, and training to other teams across the company.
As a Principal Data Scientist focused on Generative AI, you will lead multiple HP projects involving large language and multi\-model models and other cutting\-edge Generative AI capabilities for deployment on the cloud or edge. In addition to working with our core technical team, you’ll collaborate with business stakeholders and across various units to develop and deploy solutions at scale. Your primary focus and mindset will be on delivering real business value to our internal customers. Please note, this is not a research role.  
**Responsibilities**  
* Leads organization\-wide team or teams of other data science professionals in complex projects to create GenAI\-based models and digital products.
* Develops monitoring metrics to reflect real\-world model performance and makes recommendations to shape the future direction of models and digital solutions.
* Manages relationships with senior business partners to evaluate and foster data driven innovation, provides domain\-specific expertise in cross\-organization projects/initiatives.
* Ties insights into effective visualizations communicating business value and innovation potential.
* Works with development teams and business units to ensure models are scalable and can be implemented as part of the delivered solution.
* Leads project team(s) of data science professionals, assuring insights are communicated regularly and effectively, reviewing designs, models and data compliance.
* Represents the data science team for all phases of larger and more\-complex development projects.
* Provides guidance, training and mentoring to less experienced staff members.
**Education \&amp; Experience** Recommended
* PhD related to AI and 5\+ years of experience or Master’s degree related to AI and 10\+ years of experience.
* Relevant experience must involve Generative AI and related technologies including machine learning. data analytics, and statistical modeling.
**Preferred Certifications**  
* Programming Language/s Certification (SQL, Python, or similar)
**Knowledge \&amp; Skills*** Strong foundation in data science and core machine learning concepts.
* Experience with large language models, multi\-modal modals, prompt engineering, vector databases, Retrieval\-Augmented Generation (RAG), and search engines.
* Solid technical background. Experience working on software development teams, especially in cloud\-based business applications, is a strong plus.
* Familiarity with tools such as Azure Machine Learning, Azure Prompt Flow, Python, LangChain, Streamlit, and Docker.
* Experience working in distributed, diverse teams, with bonus points for time spent in small fast\-paced start\-ups.
* Comfortable representing the team in meetings with multiple stakeholders and driving discussions clearly and respectfully. Mastery of English is required.
* Able to explain technical concepts (e.g., LLMs) to non\-technical audiences.
* You suggest pragmatic solutions that are as simple as possible—even if that means no AI is required.
**Cross\-Org Skills**  
* Effective Communication
* Results Orientation
* Learning Agility
* Digital Fluency
* Customer Centricity
The base pay range for this role is $147,050 to $230,850 annually with additional opportunities for pay in the form of bonus and/or equity (applies to US candidates only). Pay varies by work location, job\-related knowledge, skills, and experience.
**Benefits:**
HP offers a comprehensive benefits package for this position, including:
Health insurance
Dental insurance
Vision insurance
Long term/short term disability insurance
Employee assistance program
Flexible spending account
Life insurance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Data \&amp; Information Technology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li-4367474056</t>
        </is>
      </c>
      <c r="B2" t="inlineStr">
        <is>
          <t>Data Scientist– Python &amp; PySpark</t>
        </is>
      </c>
      <c r="C2" t="inlineStr">
        <is>
          <t>NuStar Technologies</t>
        </is>
      </c>
      <c r="D2" t="inlineStr">
        <is>
          <t>linkedin</t>
        </is>
      </c>
      <c r="E2" t="inlineStr"/>
      <c r="F2" t="inlineStr"/>
      <c r="G2" t="inlineStr">
        <is>
          <t>Salt Lake City, UT</t>
        </is>
      </c>
      <c r="H2" t="inlineStr"/>
      <c r="I2" t="inlineStr">
        <is>
          <t>Remote Job
**Must Have Technical/Functional Skills**
* 7\-10 years hands\-on with Python for machine learning – especially XGBoost, scikit\-learn and NumPy/pandas.
* Proficiency in PySpark for reading, transforming and analyzing large datasets stored in parquet.
* Experience in validating or reverse engineering ML models from business logic or legacy implementation.
* Exposure to Java\-based ML libraries or understanding of how internals map across languages.
* Hands\-on with Python frameworks for meta\-modelling libraries.
**Roles \&amp; Responsibilities**
* Interpret data transformation logic and validate feature pipelines from existing Java implementations.
* Run Python\-converted models on historical datasets and validate output metrics against Java model benchmarks.
* Collaborate with model validation teams to review performance, consistency and explain metric deviations if any.
* Design unit tests and validation scenarios to support each migrated model’s readiness for signoff.
* Ingest model input data from parquet files using PySpark and pandas to reproduce training and scoring workflows.
* Conduct EDA and spot\-check row\-level predictions where needed Collaborate with the customer team to
* understand the logic, structure and parameters of the Java\-based XGBoost models.
 Salary :130,000\-145,000/Per Annum</t>
        </is>
      </c>
    </row>
    <row r="3">
      <c r="A3" t="inlineStr">
        <is>
          <t>li-4367484130</t>
        </is>
      </c>
      <c r="B3" t="inlineStr">
        <is>
          <t>Data Scientist I</t>
        </is>
      </c>
      <c r="C3" t="inlineStr">
        <is>
          <t>Boston Scientific</t>
        </is>
      </c>
      <c r="D3" t="inlineStr">
        <is>
          <t>linkedin</t>
        </is>
      </c>
      <c r="E3" t="inlineStr"/>
      <c r="F3" t="inlineStr"/>
      <c r="G3" t="inlineStr">
        <is>
          <t>San Jose, CA</t>
        </is>
      </c>
      <c r="H3" t="inlineStr"/>
      <c r="I3"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Data Scientist I
**About The Role**
 Boston Scientific is a leading company in the healthcare industry, specializing in the development and manufacturing of cutting\-edge medical devices. We are dedicated to transforming lives through innovative medical solutions that improve the health of patients around the world.
 We are seeking a motivated Data Scientist I to join our dynamic team within the Process Development division. As a Data Scientist I, you will work closely with senior data scientists and engineers to help leverage data analytics to drive insights, inform decision\-making processes, derive actionable insights, and optimize performance within our medical device organization. You will collaborate closely with cross\-functional teams to assist in the development and implementation of data analytics solutions that support our mission of delivering high\-quality products and improving patient outcomes.
**Your Responsibilities Will Include**
* Collaborate with cross\-functional teams to understand project requirements and objectives.
* Assess manufacturing processes for automation and analytics opportunities.
* Collect, clean, and preprocess large datasets from various sources, ensuring data quality and integrity.
* Develop and implement statistical models, machine learning algorithms, and data mining techniques to analyze data.
* Assist in designing and conducting experiments to test hypotheses and validate models.
* Generate and visualize insights from data analysis, creating detailed reports and presentations for stakeholders.
* Prepares and presents technical data and recommendations at technical reviews.
* Continuously monitor and improve the performance of existing models and algorithms.
* Stay up\-to\-date with the latest advancements in data science, machine learning, and healthcare technology.
**Required Qualifications**
* 0 \- 2 years of experience in the medical device space.
* Bachelors degree in Data Science.
* Must be eligible to work in the U.S. without company sponsorship, now or in the future, for employment\-based work authorization.
* Previous internship experience with Boston Scientific.
**Preferred Qualifications**
* Proficiency in Python programming language as well as other languages (e.g. R, Matlab, Julia, C\+\+, Java, etc.)
* Experience with data analysis and visualization tools such as Pandas, NumPy, Matplotlib, Plotly, Seaborn, or similar.
* Excellent familiarity with machine learning frameworks and libraries such as PyTorch, Scikit\-learn, TensorFlow, or similar.
* Robust understanding of large language models (LLM) and frameworks including retrieval\-augmented generation (RAG). (e.g. LangChain, LlaMA, GPT, Bard, etc.)
* Basic understanding of statistical modeling, machine learning algorithms, and predictive analytics techniques.
* Experience with cloud platforms such as AWS, Azure, or Google Cloud.
* Basic understanding of database management systems.
* Experience with version control systems such as Git.
* Strong problem\-solving skills and attention to detail.
* Excellent communication skills, with the ability to convey complex technical concepts to non\-technical stakeholders.
* Ability to work independently as well as collaboratively in a team environment.
**Requisition ID: 623566**
**Minimum Salary: $ 68600**
**Maximum Salary: $ 130300**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4">
      <c r="A4" t="inlineStr">
        <is>
          <t>li-4367265235</t>
        </is>
      </c>
      <c r="B4" t="inlineStr">
        <is>
          <t>Data Scientist</t>
        </is>
      </c>
      <c r="C4" t="inlineStr">
        <is>
          <t>CenterCheck</t>
        </is>
      </c>
      <c r="D4" t="inlineStr">
        <is>
          <t>linkedin</t>
        </is>
      </c>
      <c r="E4" t="inlineStr"/>
      <c r="F4" t="inlineStr"/>
      <c r="G4" t="inlineStr">
        <is>
          <t>Los Angeles County, CA</t>
        </is>
      </c>
      <c r="H4" t="inlineStr"/>
      <c r="I4" t="inlineStr">
        <is>
          <t>**Join the CenterCheck Team – Data Scientist** 
**Location:** 
 Remote \- HQ in Los Angeles
**Industry:** 
 Commercial Real Estate Technology
**3\-Month Contract to Hire Full Time Employment** 
**At CenterCheck** 
 , we’re transforming how property owners, retail stores, and brokerages gain insights into store\-level performance nationwide. Our platform delivers market\-leading store\-level sales data and customer intelligence that empower clients to develop a more productive real estate portfolio.
 We’re looking for a motivated
**Data Scientist** 
 who’s excited to help improve our real\-world modeling with a fast\-moving company at the intersection of
**technology and retail real estate** 
 .
**You Are:** 
* Passionate about building models of real world behavior.
* An excellent judge of your own abilities.
* An inspired communicator.
* Collaborative by nature with an acute touch for mentorship.
* Extremely self\-sufficient and self\-motivated, and despise micromanagement.
* Thoughtful in your actions.
* Data\-informed.
* Driven and meticulous.
* Motivated by creativity.
* Willing and able to work Pacific Time Zone hours.
**Responsibilities:** 
* Set data requirements based on information from internal teams and user research.
* Have an eagerness to innovate on the product and identify creative data solutions to improve the user experience.
* Analyze how a product solution satisfies market needs and consumer preferences.
* Coordinate with stakeholders and other team members to ensure consistent and accurate communication.
* Seek new data sources to improve our models.
* Ensure quality and accurate fitness of the real world.
* Interface between prospective clients, sales, and customer support to respond to specific customer inquiries.
* Develop customized reports, stylized and branded for professionalism.
* Data entry \- Not afraid to spend full days grinding.
**2\-3 Years of Experience In The Following Areas of Data Science \&amp; Statistics:** 
* **Geospatial Analysis:** 
 Extracting insights from location\-based data.
* **Descriptive \&amp; Inferential Statistics:** 
 Summarizing data and making data\-driven decisions using hypothesis testing and confidence intervals.
* **Correlation Analysis:** 
 Identifying relationships between variables.
* **Machine Learning:** 
 Building models for regression, classification, clustering, and outlier detection.
* **Time Series Analysis:** 
 Analyzing trends, seasonality, and anomalies in temporal data.
* **Data Visualization:** 
 Communicating insights effectively with tools like Tableau, Plotly, and Matplotlib.
* **ETL:** 
 Transforming raw data into usable formats for analysis.
* **Python \&amp; PySpark:** 
 Leveraging Python for workflows and PySpark for processing large\-scale data.
* **SQL:** 
 Querying and managing relational databases for efficient data access.
* **Data Entry: Good data in, good data out. Sometimes you just gotta roll up your sleeves.**
**Bonus:** 
* **Polling Modeling:** 
 Similar to political polling, you have an understanding with methods of extrapolating sample representative data, and extrapolating that to represent the larger whole, and ultimately assigning confidence intervals to grade fitness.
* **Real Estate:** 
 A familiarity or understanding of the world of commercial real estate, retail, and storefront economics. A general curiosity and motivation to learn and seek out inspirations from a variety of areas in Commercial Real Estate.
**Who You Are:** 
* Passionate about Commercial Real Estate and Technology.
* Willing to pick up the phone and make cold calls.
* A natural storyteller.
* An excellent judge of your own abilities.
* An inspired communicator.
* Collaborative by nature.
* Extremely self\-sufficient and self\-motivated, and despise micromanagement.
* A risk taker.
**Who We Are \- Our Values:** 
* **No Micromanagement:** 
 We expect you to find value, and to fill it, with little handholding. We work closely together, but we don’t police each other, and we respect everyone’s autonomy and expertise.
* **We Are True Team Players:** 
 We see the power of a true team and the dynamics that create the greatest sports teams in history not dissimilar to how we must play as a team ourselves \- genuine collaboration, integrity and heartfelt camaraderie.
* **We Are Great Winners:** 
 We are in it to win it. We strive to transform the fan experience while remaining friendly, humble, thoughtful and all\-around good corporate citizens.
* **We Are Great Losers:** 
 Embracing failure is the single most important factor in success. We swing for the fences and if we miss, we study, learn and swing again.
* **We Are Relentless:** 
 If you want your jersey on the wall (or your idea to remain on the whiteboard), you’ve got to put the work in. And we are relentless. We innovate. We think creatively and iterate obsessively. The stakes are high, the challenges are real \- but the possibilities are within grasp.
**Why Join CenterCheck** 
 Be part of a
**rapidly growing startup** 
 changing the future of retail real estate intelligence.
* **Opportunity:** 
 With a small, core team of talented people, iterating and scaling fast, you’ll be hands\-on, collaborating, and learning right away.
* **Total Comp:** 
   A competitive salary based on experience.
* Equity incentive plan.
* Health, vision, and dental benefits.
* Opportunities for growth and advancement as we scale.
* A collaborative, mission\-driven culture where your voice matters.
**3\-Month Contract to Hire Full Time Employment** 
**To Apply:** 
 Start your application with the following sentence, “I read this job description fully”.
 We look forward to reviewing your application!</t>
        </is>
      </c>
    </row>
    <row r="5">
      <c r="A5" t="inlineStr">
        <is>
          <t>li-4367478913</t>
        </is>
      </c>
      <c r="B5" t="inlineStr">
        <is>
          <t>Data Scientist, Fraud Analytics &amp; Technical Writing (3951)</t>
        </is>
      </c>
      <c r="C5" t="inlineStr">
        <is>
          <t>GBG Plc</t>
        </is>
      </c>
      <c r="D5" t="inlineStr">
        <is>
          <t>linkedin</t>
        </is>
      </c>
      <c r="E5" t="inlineStr"/>
      <c r="F5" t="inlineStr"/>
      <c r="G5" t="inlineStr">
        <is>
          <t>New York, NY</t>
        </is>
      </c>
      <c r="H5" t="inlineStr"/>
      <c r="I5" t="inlineStr">
        <is>
          <t>**Enabling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
**Data Scientist \- Fraud Analytics \&amp; Technical Writing**
 Join GBG's
 **Go‑to‑Market Data Science \&amp; Analytics** 
 team, a newly established, high‑impact function shaping how we demonstrate value to customers and empower internal teams with actionable insights. As a
 **Data Scientist \- Fraud Analytics \&amp; Technical Writing** 
 , you'll analyze large, complex datasets to surface fraud patterns, translate findings into clear business narratives, and create high‑quality technical documentation that standardizes methods and accelerates adoption across the organization. You'll partner cross‑functionally with Sales, Product, and Operations, design dashboards that communicate trends, and influence roadmap and strategy—while building scalable, automated processes that elevate decision‑making and customer outcomes
**What You Will Do**
**Fraud Detection \&amp; Analysis**
* Analyze large, complex datasets to detect patterns, anomalies, and emerging fraud trends
* Collaborate with internal teams to validate findings and refine detection strategies
* Translate key findings into clear, compelling insights that demonstrate solution value to prospective customers
* Support the development of standardized frameworks to quantify business impact across customer profiles
**Technical Documentation**
* Create and maintain high\-quality technical documentation, including methodologies, workflows, and system processes
* Translate complex analytical findings into clear, actionable insights for both technical and non\-technical audiences
* Ensure documentation is standardized, accurate, and easily accessible for internal teams
**Collaboration \&amp; Reporting**
* Work closely with cross\-functional teams to implement data\-driven solutions
* Design dashboards and reports to communicate fraud trends and detection results effectively
* Provide regular updates and recommendations to stakeholders based on data\-driven findings
**Requirements**
**Skills we are looking for**
**Technical Foundation**
* 2\+ years of hands\-on experience in data analytics, with demonstrated success in customer\-facing teams or process automation roles
* Excellent technical writing and communication skills
* Strong proficiency in Python/R, SQL, and statistical analysis libraries (pandas, scikit\-learn, etc.)
* Experience with data visualization tools (Quicksight, Tableau, Power BI, or similar)
* Familiarity with cloud platforms (AWS, Azure, or GCP) and modern data stack tools
* Master's degree in Data Science or related field preferred; PhD a plus
**Preferred Qualifications**
* Domain expertise in identity verification, fraud detection, and/or financial services
* Experience presenting technical findings to prospects or clients during sales processes
* Knowledge of predictive modeling and machine learning
**Business Acumen**
* Experience analyzing customer data and translating technical findings into compelling business narratives
* Knowledge of statistics and ROI calculation frameworks
* Ability to create presentations that communicate value propositions to both technical and business stakeholders
* Familiarity with cross\-functional collaboration processes
**Benefits**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t>
        </is>
      </c>
    </row>
    <row r="6">
      <c r="A6" t="inlineStr">
        <is>
          <t>li-4367491010</t>
        </is>
      </c>
      <c r="B6" t="inlineStr">
        <is>
          <t>Data Scientist, Fraud Analytics &amp; Technical Writing (3951)</t>
        </is>
      </c>
      <c r="C6" t="inlineStr">
        <is>
          <t>GBG Plc</t>
        </is>
      </c>
      <c r="D6" t="inlineStr">
        <is>
          <t>linkedin</t>
        </is>
      </c>
      <c r="E6" t="inlineStr"/>
      <c r="F6" t="inlineStr"/>
      <c r="G6" t="inlineStr">
        <is>
          <t>Atlanta, GA</t>
        </is>
      </c>
      <c r="H6" t="inlineStr"/>
      <c r="I6" t="inlineStr">
        <is>
          <t>**Enabling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
**Data Scientist \- Fraud Analytics \&amp; Technical Writing**
 Join GBG's
 **Go‑to‑Market Data Science \&amp; Analytics** 
 team, a newly established, high‑impact function shaping how we demonstrate value to customers and empower internal teams with actionable insights. As a
 **Data Scientist \- Fraud Analytics \&amp; Technical Writing** 
 , you'll analyze large, complex datasets to surface fraud patterns, translate findings into clear business narratives, and create high‑quality technical documentation that standardizes methods and accelerates adoption across the organization. You'll partner cross‑functionally with Sales, Product, and Operations, design dashboards that communicate trends, and influence roadmap and strategy—while building scalable, automated processes that elevate decision‑making and customer outcomes
**What You Will Do**
**Fraud Detection \&amp; Analysis**
* Analyze large, complex datasets to detect patterns, anomalies, and emerging fraud trends
* Collaborate with internal teams to validate findings and refine detection strategies
* Translate key findings into clear, compelling insights that demonstrate solution value to prospective customers
* Support the development of standardized frameworks to quantify business impact across customer profiles
**Technical Documentation**
* Create and maintain high\-quality technical documentation, including methodologies, workflows, and system processes
* Translate complex analytical findings into clear, actionable insights for both technical and non\-technical audiences
* Ensure documentation is standardized, accurate, and easily accessible for internal teams
**Collaboration \&amp; Reporting**
* Work closely with cross\-functional teams to implement data\-driven solutions
* Design dashboards and reports to communicate fraud trends and detection results effectively
* Provide regular updates and recommendations to stakeholders based on data\-driven findings
**Requirements**
**Skills we are looking for**
**Technical Foundation**
* 2\+ years of hands\-on experience in data analytics, with demonstrated success in customer\-facing teams or process automation roles
* Excellent technical writing and communication skills
* Strong proficiency in Python/R, SQL, and statistical analysis libraries (pandas, scikit\-learn, etc.)
* Experience with data visualization tools (Quicksight, Tableau, Power BI, or similar)
* Familiarity with cloud platforms (AWS, Azure, or GCP) and modern data stack tools
* Master's degree in Data Science or related field preferred; PhD a plus
**Preferred Qualifications**
* Domain expertise in identity verification, fraud detection, and/or financial services
* Experience presenting technical findings to prospects or clients during sales processes
* Knowledge of predictive modeling and machine learning
**Business Acumen**
* Experience analyzing customer data and translating technical findings into compelling business narratives
* Knowledge of statistics and ROI calculation frameworks
* Ability to create presentations that communicate value propositions to both technical and business stakeholders
* Familiarity with cross\-functional collaboration processes
**Benefits**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t>
        </is>
      </c>
    </row>
    <row r="7">
      <c r="A7" t="inlineStr">
        <is>
          <t>li-4367469918</t>
        </is>
      </c>
      <c r="B7" t="inlineStr">
        <is>
          <t>Data Scientist, Fraud Analytics &amp; Technical Writing (3951)</t>
        </is>
      </c>
      <c r="C7" t="inlineStr">
        <is>
          <t>GBG Plc</t>
        </is>
      </c>
      <c r="D7" t="inlineStr">
        <is>
          <t>linkedin</t>
        </is>
      </c>
      <c r="E7" t="inlineStr"/>
      <c r="F7" t="inlineStr"/>
      <c r="G7" t="inlineStr">
        <is>
          <t>Manchester, NH</t>
        </is>
      </c>
      <c r="H7" t="inlineStr"/>
      <c r="I7" t="inlineStr">
        <is>
          <t>**Enabling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
**Data Scientist \- Fraud Analytics \&amp; Technical Writing**
 Join GBG's
 **Go‑to‑Market Data Science \&amp; Analytics** 
 team, a newly established, high‑impact function shaping how we demonstrate value to customers and empower internal teams with actionable insights. As a
 **Data Scientist \- Fraud Analytics \&amp; Technical Writing** 
 , you'll analyze large, complex datasets to surface fraud patterns, translate findings into clear business narratives, and create high‑quality technical documentation that standardizes methods and accelerates adoption across the organization. You'll partner cross‑functionally with Sales, Product, and Operations, design dashboards that communicate trends, and influence roadmap and strategy—while building scalable, automated processes that elevate decision‑making and customer outcomes
**What You Will Do**
**Fraud Detection \&amp; Analysis**
* Analyze large, complex datasets to detect patterns, anomalies, and emerging fraud trends
* Collaborate with internal teams to validate findings and refine detection strategies
* Translate key findings into clear, compelling insights that demonstrate solution value to prospective customers
* Support the development of standardized frameworks to quantify business impact across customer profiles
**Technical Documentation**
* Create and maintain high\-quality technical documentation, including methodologies, workflows, and system processes
* Translate complex analytical findings into clear, actionable insights for both technical and non\-technical audiences
* Ensure documentation is standardized, accurate, and easily accessible for internal teams
**Collaboration \&amp; Reporting**
* Work closely with cross\-functional teams to implement data\-driven solutions
* Design dashboards and reports to communicate fraud trends and detection results effectively
* Provide regular updates and recommendations to stakeholders based on data\-driven findings
**Requirements**
**Skills we are looking for**
**Technical Foundation**
* 2\+ years of hands\-on experience in data analytics, with demonstrated success in customer\-facing teams or process automation roles
* Excellent technical writing and communication skills
* Strong proficiency in Python/R, SQL, and statistical analysis libraries (pandas, scikit\-learn, etc.)
* Experience with data visualization tools (Quicksight, Tableau, Power BI, or similar)
* Familiarity with cloud platforms (AWS, Azure, or GCP) and modern data stack tools
* Master's degree in Data Science or related field preferred; PhD a plus
**Preferred Qualifications**
* Domain expertise in identity verification, fraud detection, and/or financial services
* Experience presenting technical findings to prospects or clients during sales processes
* Knowledge of predictive modeling and machine learning
**Business Acumen**
* Experience analyzing customer data and translating technical findings into compelling business narratives
* Knowledge of statistics and ROI calculation frameworks
* Ability to create presentations that communicate value propositions to both technical and business stakeholders
* Familiarity with cross\-functional collaboration processes
**Benefits**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t>
        </is>
      </c>
    </row>
    <row r="8">
      <c r="A8" t="inlineStr">
        <is>
          <t>li-4367474733</t>
        </is>
      </c>
      <c r="B8" t="inlineStr">
        <is>
          <t>Data Scientist</t>
        </is>
      </c>
      <c r="C8" t="inlineStr">
        <is>
          <t>Lincare</t>
        </is>
      </c>
      <c r="D8" t="inlineStr">
        <is>
          <t>linkedin</t>
        </is>
      </c>
      <c r="E8" t="inlineStr"/>
      <c r="F8" t="inlineStr"/>
      <c r="G8" t="inlineStr">
        <is>
          <t>Clearwater, FL</t>
        </is>
      </c>
      <c r="H8" t="inlineStr"/>
      <c r="I8" t="inlineStr">
        <is>
          <t>**Required**
 The Data Scientist is primarily responsible for supporting/leading AI\-driven initiatives that will help drive revenue growth, efficiency/productivity, and patient Lifetime Value. The individual will be conducting prescriptive, predictive and informational analytics to identify actionable insights. Skills required include, but are not limited to:
* building machine learning algorithms
* data engineering
* natural language processing (NLP)
* large language models (LLMs) and any other required AI skills
* Technical coding skills are also required and include SQL code, R\-Markdown and Python.
 Through the combination of statistical knowledge, AI skills and technical coding languages, a data scientist will be required to complete any assigned analytical projects in a timely and efficient manner. Additionally, this position will be required to identify, plan and implement any other use cases for AI technology to help drive business success and improvement. They will also take a key role in the planning and development of Lincare's AI platform and strategy. Projects and long\-term strategy development should always focus on business impact and have measurable outcomes for success measurement. Additionally, this position will be required to work with other teams to gain insight and to provide technical training to others.
**Job Functions**
* Responsible for data analytics / data science on massive sets of complex and, sometimes, unstructured data to prepare for statistical analysis.
* Manipulates or converts data according to analysis needs; and develops approaches to deal with imperfections in data (e.g. missing values or inconsistent data formatting)
* Identifies and executes on best approach for assigned project which may include skills including machine learning, NLP, LLMs, deep learning, neural networks or any other data science function.
* Develops reports using complex formulas; analyzes and reviews results for accuracy.
* Understands how to work with multiple data sources, and accurately accesses the correct data within complex databases based on business needs and reporting requirements.
* Will be comfortable interacting at all levels of technology teams both internal and external to Lincare. (project managers, database designer, information architecture, multilayer off\-shore support centers, etc.)
* Manages projects to ensure they are delivered successfully and in a timely manner.
* Identifies opportunities to improve revenue, productivity/efficiency as well as enhance patient life time value using data science technologies.
* Performs other duties as assigned.
* Complies with all policies and standards.</t>
        </is>
      </c>
    </row>
    <row r="9">
      <c r="A9" t="inlineStr">
        <is>
          <t>li-4367600331</t>
        </is>
      </c>
      <c r="B9" t="inlineStr">
        <is>
          <t>Senior Data Scientist</t>
        </is>
      </c>
      <c r="C9" t="inlineStr">
        <is>
          <t>Outdoorsy</t>
        </is>
      </c>
      <c r="D9" t="inlineStr">
        <is>
          <t>linkedin</t>
        </is>
      </c>
      <c r="E9" t="inlineStr"/>
      <c r="F9" t="inlineStr"/>
      <c r="G9" t="inlineStr">
        <is>
          <t>Austin, TX</t>
        </is>
      </c>
      <c r="H9" t="inlineStr"/>
      <c r="I9"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 
 the largest outdoor travel and hospitality marketplace; the
 **Destination Network** 
 , a growing collection of campgrounds and glamping retreats set in some of the country's most iconic landscapes; and
 **Roamly** 
 ,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
**About the Role:**
 The Outdoorsy Group is seeking a Data Scientist to solve complex advanced analytics challenges for Outdoorsy and Roamly. Reporting to the Senior Director of Analytics, they will be responsible for building dynamic pricing and recommendation engines, as well as predictive retention and claims models. The ideal candidate will be able to show a track record of leveraging advanced analytics and machine learning to solve complex problems in the travel or insurance space. With the role straddling both Outdoorsy and Roamly, they will need to demonstrate a passion and aptitude for pivoting between different business models and goals. If you're self\-driven and looking to make an impact in a fast\-paced environment, then we'd love to have you!
* Candidates in Austin, TX will be prioritized
**Requirements**
**Key Responsibilities \&amp; Deliverables**
* Develop Lead Scoring algorithms that predict the LTV of qualified insurance leads, and pass it back to our ad partners to optimize bidding strategies, as well as to our internal Sales team to prioritize outreach
* Develop models to predict churn and claims losses across our insurance products. Work closely with the Underwriting team to ensure these models are integrated into business processes
* Assist in the development of a dynamic pricing model to help RV marketplace hosts adjust prices seamlessly in response to seasonal and vehicle\-based factors, as well as surges in demand
* Develop models to predict what ancillary products should be recommended for upsell to a given Outdoorsy / Roamly customer
* Use advanced statistical methods to conduct audience clustering and segmentation on both RV Rental and Insurance customers, and evangelize these findings across stakeholders in Marketing and Product
* Collaborate closely with Data Analysts and Engineers to ensure that data pipelines and models are accurate and optimized
**Who You Are (Candidate Profile)**
* Industry Expert: 3\+ years data science experience, with a proven track record of standing up Machine Learning algorithms within consumer\-facing products (Travel, marketplace, or insurance experience preferred)
* Business\-Focused: Proven ability to understand business imperatives and trade\-offs (Bookings vs. Revenue, Premium vs. Risk) and tailor outputs to align with company goals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Technical Proficiency: Advanced expertise in SQL, Python/R, and relevant machine learning libraries. Demonstrated experience with statistical methods such as regression, hypothesis testing, clustering, classification, tree\-based methods, neural networks, and anomaly detection. Familiarity with ELT tools such as FiveTran and DBT, and ability to collaborate with data counterparts on data repositories and models. Expertise with business intelligence tools such as Tableau (preferred)
* Academic Background: Degree in a quantitative field like data science, mathematics, economics, or computer science, or equivalent practical experience (Masters preferred)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10">
      <c r="A10" t="inlineStr">
        <is>
          <t>li-4367494187</t>
        </is>
      </c>
      <c r="B10" t="inlineStr">
        <is>
          <t>Data Scientist</t>
        </is>
      </c>
      <c r="C10" t="inlineStr">
        <is>
          <t>CSG Talent</t>
        </is>
      </c>
      <c r="D10" t="inlineStr">
        <is>
          <t>linkedin</t>
        </is>
      </c>
      <c r="E10" t="inlineStr"/>
      <c r="F10" t="inlineStr"/>
      <c r="G10" t="inlineStr">
        <is>
          <t>Washington, DC</t>
        </is>
      </c>
      <c r="H10" t="inlineStr"/>
      <c r="I10" t="inlineStr">
        <is>
          <t>CSG Talent is recruiting for a Data Scientist to support advanced analytics and modelling initiatives within a high\-performing technical team.
 The successful candidate will work on complex datasets, delivering insights and predictive solutions across key enterprise programmes.
**Key Responsibilities for the Data Scientist position:** 
* Develop statistical, machine learning, and predictive models
* Perform exploratory analysis and feature engineering
* Collaborate with stakeholders to solve data\-driven challenges
* Communicate findings through dashboards, reports, and presentations
**Required Experience:** 
* Strong experience with Python or R in data science applications
* Familiarity with ML techniques and statistical modelling
* Knowledge of SQL and data warehousing environments
* Ability to translate technical outputs into actionable insights
* **DHS and/or Secret clearance is essential for this role**</t>
        </is>
      </c>
    </row>
    <row r="11">
      <c r="A11" t="inlineStr">
        <is>
          <t>li-4367472299</t>
        </is>
      </c>
      <c r="B11" t="inlineStr">
        <is>
          <t>Data Scientist</t>
        </is>
      </c>
      <c r="C11" t="inlineStr">
        <is>
          <t>Alexander Chapman</t>
        </is>
      </c>
      <c r="D11" t="inlineStr">
        <is>
          <t>linkedin</t>
        </is>
      </c>
      <c r="E11" t="inlineStr"/>
      <c r="F11" t="inlineStr"/>
      <c r="G11" t="inlineStr">
        <is>
          <t>Houston, TX</t>
        </is>
      </c>
      <c r="H11" t="inlineStr"/>
      <c r="I11" t="inlineStr">
        <is>
          <t>I'm currently recruiting on behalf of a
 **Global Commodity Trading Firm** 
 who are looking to hire a Data Scientist to join their team and engage in a variety of different responsibilities.
**Responsibilities** 
 :
* Partner closely with business, engineering, and analytics teams to source raw data, design ingestion pipelines, and transform messy inputs into analysis\-ready datasets.
* Own exploratory analysis end\-to\-end: uncover patterns, trends, correlations, and edge cases, and package findings into clear visuals and summaries that actually drive decisions.
* Support the build, testing, and rollout of statistical and machine learning models, collaborating with senior data scientists on feature design, model selection, and validation.
* Assess model performance using appropriate metrics; contribute to tuning, back\-testing, and robustness checks, particularly for trading and analytical applications.
* Help operationalize data science outputs by supporting models, analytical tools, and dashboards used by trading and commercial teams.
* Translate complex analytical work into concrete, actionable insights for both technical stakeholders and non\-technical decision\-makers.
**What You Bring** 
* Bachelor’s or Master’s degree in Data Science, Computer Science, Statistics, Mathematics, or another quantitative discipline.
* 3\+ years of hands\-on experience in data analysis and machine learning through industry roles, internships, academic research, or applied projects.
* Strong Python skills, with practical experience using Pandas, NumPy, scikit\-learn, and adjacent libraries.
* Solid grounding in core statistical and machine learning methods, including regression, classification, clustering, time\-series analysis, and model evaluation.
* Experience communicating insights through effective data visualization and storytelling (Matplotlib, Seaborn, Plotly, or similar).
* Working knowledge of SQL and relational databases for data extraction, transformation, and analysis.
* Familiarity with Jupyter\-based workflows, reproducible analysis practices, and version control (Git).
* Exposure to cloud platforms such as AWS, Azure, or Google Cloud, particularly around data storage or analytics tooling.</t>
        </is>
      </c>
    </row>
    <row r="12">
      <c r="A12" t="inlineStr">
        <is>
          <t>li-4367480404</t>
        </is>
      </c>
      <c r="B12" t="inlineStr">
        <is>
          <t>Data Scientist, D&amp;T</t>
        </is>
      </c>
      <c r="C12" t="inlineStr">
        <is>
          <t>General Mills</t>
        </is>
      </c>
      <c r="D12" t="inlineStr">
        <is>
          <t>linkedin</t>
        </is>
      </c>
      <c r="E12" t="inlineStr"/>
      <c r="F12" t="inlineStr"/>
      <c r="G12" t="inlineStr"/>
      <c r="H12" t="inlineStr"/>
      <c r="I12" t="inlineStr">
        <is>
          <t>**About The Company**
 General Mills is a global leader in the food industry, renowned for its commitment to quality, innovation, and sustainability. With a rich history spanning over a century, the company offers a diverse portfolio of trusted brands that serve consumers across the world. Dedicated to making food people love, General Mills continually invests in research, technology, and talent to enhance its product offerings and operational efficiencies. The organization fosters a collaborative and inclusive work environment, emphasizing growth, integrity, and social responsibility. As a forward\-thinking enterprise, General Mills leverages advanced analytics and data\-driven strategies to maintain its competitive edge and deliver value to shareholders, customers, and communities alike.
**About The Role**
 As a Lead Data Scientist at General Mills, you will play a pivotal role in driving data\-driven decision\-making within the marketing and media space. Your primary focus will be on designing, developing, and deploying advanced analytics engines and models that optimize marketing strategies and measure campaign effectiveness. You will collaborate closely with product owners, business partners, and fellow data scientists to identify key challenges, formulate hypotheses, and develop innovative solutions rooted in statistics, machine learning, and econometrics. Your expertise will enable the organization to better understand marketing ROI, optimize budget allocations, and refine campaign strategies through robust causal measurement and predictive modeling. This leadership position requires a blend of technical mastery, strategic thinking, and effective communication, ensuring that insights translate into actionable business outcomes. You will also mentor junior team members, contribute to technical standards, and shape the data science roadmap aligned with company objectives.
**Qualifications**
* 6\+ years of professional experience as a hands\-on Data Scientist, with at least 4 years of building Marketing Mix Models (MMM) and attribution models
* Bachelor’s degree in Mathematics, Statistics, Data Science, Operations Research, Econometrics, or a related quantitative discipline
* Expert\-level programming proficiency in Python and SQL
* Strong expertise in causal modeling principles, including DAG design, assumptions, and falsification
* Proficiency in regression modeling techniques such as panel, time series, and ridge regression
* Experience with Bayesian modeling frameworks (e.g., PyMC)
* Familiarity with marketing mix model frameworks like Meridian, Robyn, and PyMC
* Knowledge of ensemble methods, including Gradient Boosting and XGBoost
* Ability to work with large datasets and write complex SQL queries efficiently
* Proven track record of partnering with marketing and business leaders to influence strategic decisions
* Highly adaptable, curious, and capable of working independently on complex problems
* Bias for action with excellent task prioritization and time management skills
* Experience with cloud\-based AI platforms is preferred
**Responsibilities**
* Collaborate with data science leadership, machine learning engineers, and business stakeholders to develop and refine optimization and machine learning models
* Provide strategic data science leadership within product teams through strong partnerships and actionable insights
* Design, validate, and maintain causal measurement strategies such as Marketing Mix Models, Difference\-in\-Differences, Regression Discontinuity, and causal ML techniques
* Conduct comprehensive statistical and econometric analyses to evaluate marketing effectiveness and forecast future impacts
* Translate complex analytical findings into clear, actionable recommendations for campaign planning, budget allocation, and marketing strategies
* Design and execute statistically rigorous A/B tests for marketing campaigns to measure effectiveness and optimize results
* Advise business partners on technical solutions and best practices
* Contribute to the technical strategy, standards, and best practices as a senior member of the data science leadership team
* Mentor and coach junior data scientists, fostering technical growth and knowledge sharing
* Monitor and enhance model performance, incorporating feedback from stakeholders to ensure accuracy and relevance
* Engage actively with team members, participate in strategic planning, and contribute to documentation and standardization efforts
**Benefits**
* Competitive salary range of $126,700 to $211,200 annually
* Comprehensive health benefits package including medical, dental, and vision coverage
* Retirement plans and financial wellness programs
* Generous paid time off and holiday leave
* Wellbeing support programs and employee assistance resources
* Opportunities for professional development and career growth
* Participation in incentive programs based on individual and organizational performance
 Equal Opportunity
 General Mills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any other protected status. We believe that diverse perspectives drive innovation and excellence, and we are dedicated to fostering a workplace where everyone can thrive.</t>
        </is>
      </c>
    </row>
    <row r="13">
      <c r="A13" t="inlineStr">
        <is>
          <t>li-4367254605</t>
        </is>
      </c>
      <c r="B13" t="inlineStr">
        <is>
          <t>Senior AI/ML Scientist - Remote</t>
        </is>
      </c>
      <c r="C13" t="inlineStr">
        <is>
          <t>Experian</t>
        </is>
      </c>
      <c r="D13" t="inlineStr">
        <is>
          <t>linkedin</t>
        </is>
      </c>
      <c r="E13" t="inlineStr"/>
      <c r="F13" t="inlineStr"/>
      <c r="G13" t="inlineStr">
        <is>
          <t>California, CA</t>
        </is>
      </c>
      <c r="H13" t="inlineStr"/>
      <c r="I13" t="inlineStr">
        <is>
          <t>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Experian is looking for a Senior Data Scientist to join our Global Analytics team within Experian Software Solutions. This is an exciting opportunity for someone to work on impactful AI and machine learning projects, contribute to solutions, and grow alongside experienced scientists and engineers. You will help build and support machine learning models and AI systems that power Experian's products and services. You will work remotely and report to the Senior Director of Analytics and AI.
 You'll have opportunity to:
* Architect and implement a closed\-loop learning system integrating synthetic data generation, automated pattern discovery, and scenario\-based stress testing
* Develop GenAI\-powered data mining algorithms to identify latent structures, cross\-domain patterns, and evolving risk signals across credit, transactional, and fraud datasets.
* Lead bias diagnosis and counterfactual testing to ensure fairness and regulatory compliance under stress scenarios.
* Collaborate with risk, compliance, and fraud teams to align AI\-driven insights with business objectives and regulatory standards.
* Create dynamic segmentation models that evolve with customer states and macroeconomic conditions.
* Stay current with advancements in AI/ML and proactively integrate emerging technologies into Experian's solutions
**Qualifications**
* 7\+ years of experience in AI/ML, with hands\-on expertise in building, deploying and monitoring models at scale
* Strong knowledge of modern language models (Transformers, GPT APIs, SLMs, RLHF), and agent\-based architectures
* Proficiency in Python, TensorFlow, PyTorch, and colud\-based ML platform
* Advanced degree (MS or PhD) in computer science, AL/ML or related field
* Experience with machine learning algorithms and processes (such as xgboost, GANs, Clustering, Graph Algorithms, Reinforcement Learning)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14">
      <c r="A14" t="inlineStr">
        <is>
          <t>li-4359601110</t>
        </is>
      </c>
      <c r="B14" t="inlineStr">
        <is>
          <t>Data Scientist</t>
        </is>
      </c>
      <c r="C14" t="inlineStr">
        <is>
          <t>Luma AI</t>
        </is>
      </c>
      <c r="D14" t="inlineStr">
        <is>
          <t>linkedin</t>
        </is>
      </c>
      <c r="E14" t="inlineStr"/>
      <c r="F14" t="inlineStr"/>
      <c r="G14" t="inlineStr">
        <is>
          <t>Palo Alto, CA</t>
        </is>
      </c>
      <c r="H14" t="inlineStr"/>
      <c r="I14" t="inlineStr">
        <is>
          <t>**Where You Come In**
 This is a foundational, zero\-to\-one opportunity to build Luma's entire data science discipline from the ground up. As our first Data Scientist, you will be the architect of our data\-driven culture, defining the north\-star metrics that guide our strategy and building the source\-of\-truth systems that empower the entire company. This is not a role for running queries; you will be a strategic partner across product, growth, and research, uncovering the critical insights that will shape the future of our creative AI platform.
**What You'll Do**
* Architect and Build our data science and data engineering infrastructure and source\-of\-truth dashboards from scratch, creating a self\-serve platform that empowers the entire company.
* Define and Champion the north\-star metrics that guide our product, growth, and research initiatives, establishing a data\-driven culture from the ground up.
* Design and Analyze the key experiments that measure the impact of product changes, growth initiatives, and new model deployments on our users.
* Partner Directly with leadership and embed across product, growth, and research teams to uncover and deliver the actionable insights that drive our strategy.
* Translate complex data into clear, compelling narratives that drive alignment and decision\-making across the organization.
**Who You Are**
* You have 7\+ years of experience in data science, ideally as a founding or lead data scientist or data engineer at a high\-growth product or technology company.
* You are a hands\-on builder with experience creating and maintaining a modern data stack (e.g., ETL, data warehousing, visualization tools).
* You are a proactive, first\-principles thinker who is driven to define and implement core metrics and experimentation frameworks in an ambiguous environment.
* You have a deep understanding of product analytics, growth metrics, and A/B testing methodologies.
* You are an exceptional communicator and a natural collaborator, with a proven ability to build strong relationships and influence decision\-making across all levels of an organization.
**What Sets You Apart (Bonus Points)**
* Experience working with data from generative AI, creative tools, or media\-rich products.
* Familiarity with the data infrastructure required to support large\-scale ML systems.
* A strong portfolio of public\-facing analyses, data visualizations, or open\-source contributions.
* Experience setting up a data science function from zero at a previous startup.</t>
        </is>
      </c>
    </row>
    <row r="15">
      <c r="A15" t="inlineStr">
        <is>
          <t>li-4367235851</t>
        </is>
      </c>
      <c r="B15" t="inlineStr">
        <is>
          <t>Data Scientist/Engineer (for Health Tech Startup)🤓</t>
        </is>
      </c>
      <c r="C15" t="inlineStr">
        <is>
          <t>1Phi Inc</t>
        </is>
      </c>
      <c r="D15" t="inlineStr">
        <is>
          <t>linkedin</t>
        </is>
      </c>
      <c r="E15" t="inlineStr"/>
      <c r="F15" t="inlineStr"/>
      <c r="G15" t="inlineStr"/>
      <c r="H15" t="inlineStr"/>
      <c r="I15" t="inlineStr">
        <is>
          <t>❤️ Want to make a tangible difference in the future of healthcare?
 ❤️ Love applying the latest technologies to solve tough problems?
 ❤️ Looking for a fulfilling career with plenty of learning and growth?
**About 1Phi 🤩** 
 1Phi is a new startup building a first of its kind AI\-powered healthcare navigator, called 1Sage, that lets patients find the treatment options with the best clinical outcomes for their unique situation. It continuously monitors and trains on billions of medical records across over 100 million patients nationwide and over 1 million doctors and medical facilities. Patients simply chat with 1Sage, indicating their circumstances and needs. The more information they provide, the better the insights.
 1Phi stands for 1st Principles Healthcare Institute, a name that reflects our commitment to R\&amp;D and taking an unorthodox approach to solving intractable and persistent industry challenges. As a Public Benefit Corporation, we’re grounded in decades of experience with payer financial models, government policy, provider incentives, and patient empowerment. By deploying artificial intelligence across data assets previously available only to industry insiders, 1Phi is uniquely positioned to bring patients the knowledge to make decisions in their own best interest.
 You would be joining an early stage startup team of engineers, healthcare experts and dreamers. You’ll help define the culture, the tech stack, and the future of our industry. Tight\-knit team. Zero bureaucracy. Project ownership. Room to experiment. Accelerated growth.
**Requirements 🤓** 
**What You’ll Do:** 
* Build complex data pipelines, transformations and statistical processing using Python, SQL, Databricks, and a suite of cloud services from AWS and GCP. Ingest, transform, clean and augment internal and external data assets. Automate data pipelines to process patient\-level and aggregated public health data.
* Define predictive models and machine learning applications that run on medical claims data to enable patient\-facing applications. Perform exploratory analytics and develop specifications that enable patients to learn which treatment options and providers might be the most relevant to their specific situation. Leverage medical claims data for patient cohort design, risk adjustment, treatment pathway definition, survival analysis, and outcomes modeling.
* Continuously learn by investigating new technologies and building quick proof of concepts.
**You're a fit if:** 
* **Accomplishments:** 
 Track record of accomplishments in data science and statistics, with at least one major successful implementation you can discuss.
* **Data science:** 
 Proficiency with Python and its data science ecosystem, statistics concepts, ML techniques, EDA (exploratory data analysis). Experience implementing logistic regression, propensity scoring, random forests, gradient boosting, and clustering.
* **Data engineering:** 
 Solid understanding of data pipelines, processing parallelization, and ETL concepts. (Examples may include DBT, Fivetran, and Apache AirFlow). Experience with hands on SQL, writing complex data transformation queries and optimizing for performance on large scale data (Knowledge of Databricks or other Spark environments is preferred).
* **Cloud:** 
 Experience with cloud services providers (AWS, GCP or Azure) and specific services (such as AWS S3, RDS, Redshift, EMR, and Lambda)
**Even better if:** 
* Claims data: 2\+ years working with healthcare claims data (especially Medicare, Medicaid, and prescriptions), statistics and ML
* Healthcare concepts: Mastery over claims data interpretation and analysis, including cohort design, risk adjustment, treatment pathway definition, survival analysis, outcomes modeling
* Familiar with healthcare standards and coding (ICD, CPT, DRG, NDC).
**Salary:** 
 $95k\-$130k depending on experience
**Location:** 
 Remote (
 **United States Only** 
 ) or Hybrid in the Chicago office is available.
**Hiring Process 😎** 
 At 1Phi, we believe hiring should be fair, transparent, and collaborative. We work hard to find the best mix of respecting the candidates time, while also giving our team an efficient way to learn if a candidate is a good fit. Since we also strive to simulate the work environment throughout the process, we encourage you to use all the AI/LLM tools and outside resources at your disposal. During the process, if you ever feel that you are being asked for an onerous amount of work, please do not proceed. The best candidates are those who enjoy the process, regardless of the outcome.
 Here’s the entire process: Apply with email → Project demo call (15 mins) → Skills challenge (1\-3 hrs) → Interviews (2 hours) → Meet the Team Day and micro\-project (1 day) → Offer → Trial period (1\-3 weeks)
**Benefits 🤑** 
* Health insurance within 3 months of starting
* Generous vacation policy \+ company holidays
* 401K \+ profit share contributions
* Quarterly evals and performance bonus (\~10% at start, \~20% after 4 years)
**How to Apply 😇** 
**— 🎗️ We only consider applicants who email us. —** 
 Send us your resume and any relevant links (LinkedIn, GitHub, portfolio site, etc.) to
 **careers\+linkedin@1phi.com** 
 with the subject “Experienced Data Scientist”.
 (
 **Visa considerations:** 
 We no longer accept OPT candidates, but can sponsor existing H1B holders.)</t>
        </is>
      </c>
    </row>
    <row r="16">
      <c r="A16" t="inlineStr">
        <is>
          <t>li-4367482319</t>
        </is>
      </c>
      <c r="B16" t="inlineStr">
        <is>
          <t>Data Scientist</t>
        </is>
      </c>
      <c r="C16" t="inlineStr">
        <is>
          <t>NeerInfo Solutions</t>
        </is>
      </c>
      <c r="D16" t="inlineStr">
        <is>
          <t>linkedin</t>
        </is>
      </c>
      <c r="E16" t="inlineStr"/>
      <c r="F16" t="inlineStr"/>
      <c r="G16" t="inlineStr"/>
      <c r="H16" t="inlineStr"/>
      <c r="I16" t="inlineStr">
        <is>
          <t>We are looking for a
 **hands\-on Gen AI / Agentic AI Lead** 
 to drive the development and deployment of innovative AI systems using LLMs, RAG, and multi\-agent frameworks.
 Note: Only USC and GC or GC\-EAD candidates
**📍 Locations:** 
 Bridgewater, NJ \| Sunnyvale, CA \| Austin, TX \| Raleigh, NC \| Richardson, TX \| Tempe, AZ \| Phoenix, AZ \| Charlotte, NC \| Houston, TX \| Denver, CO \| Hartford, CT \| New York, NY \| Palm Beach, FL \| Tampa, FL \| Alpharetta, GA
 (Relocation support available)
**💼 Role Highlights:** 
 ✔ Design and deploy Gen AI \&amp; Agentic AI solutions
 ✔ Build RAG pipelines and vector search systems
 ✔ Fine\-tune LLMs (LoRA, QLoRA, PEFT)
 ✔ Integrate with AWS Bedrock, Azure OpenAI, GCP Vertex AI
 ✔ Implement LLMOps best practices
 ✔ Mentor and lead engineering teams
**🛠 Required Skills:** 
 ✅ Python, PyTorch, Hugging Face
 ✅ LangChain, LangGraph, AutoGen, Crew AI
 ✅ RAG, FAISS, Pinecone, Weaviate
 ✅ FastAPI / Flask, Docker
 ✅ Cloud: AWS / Azure / GCP
**🎯 Experience:** 
* 10\+ years in Software Engineering / Data Science
* 5 years in Gen AI / LLM systems
* US Work Authorization required (No sponsorship)</t>
        </is>
      </c>
    </row>
    <row r="17">
      <c r="A17" t="inlineStr">
        <is>
          <t>li-4286980133</t>
        </is>
      </c>
      <c r="B17" t="inlineStr">
        <is>
          <t>Data Scientist</t>
        </is>
      </c>
      <c r="C17" t="inlineStr">
        <is>
          <t>Agentio</t>
        </is>
      </c>
      <c r="D17" t="inlineStr">
        <is>
          <t>linkedin</t>
        </is>
      </c>
      <c r="E17" t="inlineStr"/>
      <c r="F17" t="inlineStr"/>
      <c r="G17" t="inlineStr">
        <is>
          <t>New York, NY</t>
        </is>
      </c>
      <c r="H17" t="inlineStr"/>
      <c r="I17"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 Nimble, hungry, humble, and adaptive to change
* Excited to learn and grow in a fast\-paced environment
* Proven track record of applying analytical/statistical methods to tackle real\-world problems using big data.
* A true problem\-solver and self\-starter, with incredible ambition and drive
* Competitive and highly motivated to exceed expectations
* Ready to roll up your sleeves, get things done, and work harder than you’ve likely ever worked before — with far greater reward
* A positive, honest, empathetic, and curious teammate
* You understand that Agentio is building in\-person, and is in\-office 5 days/week
 What You'll Get
* The opportunity to build a first\-of\-its kind business as an early team\-member and make a meaningful impact in the way brands share their stories and creators live off their work.
* Crash\-course in what it takes to scale a start\-up with first\-hand exposure to the different foundational business drivers and needs.
* The chance to work with an exceptional team and help build our engineering culture
* A collaborative, transparent, and engaging work environment.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5x a week!
* Gym in the building! – Your workout, right downstairs
*The estimated base compensation for this role is between $225,000 \&amp; $350,000\. Individual compensation is determined by skills, qualifications, and experience. In addition, this role is eligible for equity and competitive benefits.*</t>
        </is>
      </c>
    </row>
    <row r="18">
      <c r="A18" t="inlineStr">
        <is>
          <t>li-4367255515</t>
        </is>
      </c>
      <c r="B18" t="inlineStr">
        <is>
          <t>Statistician / Data Scientist</t>
        </is>
      </c>
      <c r="C18" t="inlineStr">
        <is>
          <t>CHEManager International</t>
        </is>
      </c>
      <c r="D18" t="inlineStr">
        <is>
          <t>linkedin</t>
        </is>
      </c>
      <c r="E18" t="inlineStr"/>
      <c r="F18" t="inlineStr"/>
      <c r="G18" t="inlineStr">
        <is>
          <t>Suitland, MD</t>
        </is>
      </c>
      <c r="H18" t="inlineStr"/>
      <c r="I18" t="inlineStr">
        <is>
          <t>**Job Title:** 
 Statistician / Data Scientist
**Company:** 
 BLN24
**About Us:** 
 We find strength in teamwork\-a better you is a better us
 BLN24 is an award\-winning Management Consulting Firm that supports the U.S. Federal Government in successfully achieving their mission and goals. Our service and solutions delivery start with understanding each client's end\-state, and then seamlessly integrating within each Agency's organization to improve and enhance strategic and technical operations and deployments.
**Position Overview** 
 : We are seeking a highly skilled Statistician / Data Scientist with experience working with large and unstructured datasets to support advanced statistical research and model development. This role will focus on predictive modeling, data imputation, model validation, and replication research, while also leading the modernization of analytical workflows through the transition from legacy SAS\-based systems to Python\-driven data science platforms.
**Key Responsibilities**
* Lead and support the migration of legacy analytical workflows and models from SAS into cloud ready Python frameworks
* Translate existing SAS codebases into scalable, maintainable Python pipelines and frameworks
* Validate equivalency and performance of SAS and Python implementations
* Develop, test, and validate statistical and predictive models using large, complex, and unstructured datasets
* Conduct replication research to ensure robustness and reproducibility of models and findings
* Design and implement advanced imputation strategies for missing or incomplete data
* Build predictive models for real\-world outcomes (e.g., forecasting future residence, income prediction using internal data sources)
* Apply appropriate methods for complex survey data, including weighting, variance estimation, and uncertainty quantification
* Collaborate with cross\-functional teams to translate analytical outputs into operational and strategic insights
* Document methodologies, pipelines, assumptions, and results for technical and non\-technical audiences
**Required Qualifications**
* Degree in Statistics, Data Science, Biostatistics, Economics, or a related quantitative field
* Experience working with large unstructured datasets
* Strong background in statistical modeling, predictive analytics, and imputation methods
* Demonstrated experience with complex survey data and associated estimation techniques
* Solid understanding of uncertainty quantification and variance estimation
* Proficiency in Python for data science (e.g., pandas, NumPy, scikit\-learn, PyMC, statsmodels)
* Experience with SAS and modernizing legacy analytical systems into Python environments
* Experience with model validation, reproducibility, and cross\-platform equivalency testing
**What BLN24 Brings To The Game**
 BLN24 benefits are game changing. We like our team to play hard and that means they need to be taken care of \- physically, financially, and emotionally. We make sure to keep them in the game by giving them access to generous medical, dental, and vision plans.
* You can join one of the fastest growing companies headquartered in the Washington DC Metro Area. We give you the opportunity to work in different sectors, so you have the chance at variety while maintaining stability.
* Flexibility at BLN24 allows each individual the opportunity to balance quality work and their personal lives. Depending on projects, we allow remote working opportunities so you can always be in the game no matter where you call home.
 BLN24 is an Equal Opportunity Employer. We believe people are our strength and understand diverse talents are key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19">
      <c r="A19" t="inlineStr">
        <is>
          <t>li-4283917990</t>
        </is>
      </c>
      <c r="B19" t="inlineStr">
        <is>
          <t>Senior ML Scientist</t>
        </is>
      </c>
      <c r="C19" t="inlineStr">
        <is>
          <t>Cleerly</t>
        </is>
      </c>
      <c r="D19" t="inlineStr">
        <is>
          <t>linkedin</t>
        </is>
      </c>
      <c r="E19" t="inlineStr"/>
      <c r="F19" t="inlineStr"/>
      <c r="G19" t="inlineStr">
        <is>
          <t>Boston, NY</t>
        </is>
      </c>
      <c r="H19" t="inlineStr"/>
      <c r="I19"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 are seeking a highly skilled Machine Learning Scientist to drive the development and translation of cutting\-edge ML models that have a direct impact on the care pathway for heart disease diagnosis and prognosis. In this role, you will collaborate with ML scientists, data engineers, biostatisticians, regulatory experts, and senior leadership to understand clinical requirements, develop innovative solutions, and support product development and regulatory approvals. You will also engage in high\-impact research collaborations with world\-renowned academic and medical institutions.
**Responsibilities**
* Research and develop state\-of\-the\-art machine learning models for coronary CT angiography imaging applications.
* Conduct rigorous analysis and validation of machine learning algorithms and prototypes.
* Explore novel methods for processing and analyzing large, complex medical imaging datasets.
* Collaborate with engineering teams to deploy ML algorithms in clinical practice.
* Present research findings, insights, and recommendations to internal stakeholders and external collaborators.
* Author scientific publications and contribute to patent development.
* Manage collaborative research projects with leading academic partners.
**Requirements**
* Ph.D. in Computer Science, Data Science, Biomedical Engineering, Biomedical Imaging, or a related technical field; OR an M.S. with 5\+ years of relevant experience.
* Strong theoretical and practical expertise in image science, applied mathematics, machine learning, and deep learning.
* Research experience in applying ML and deep learning techniques to medical image processing, including segmentation, registration, classification, reconstruction, and detection.
* Proven track record of publications in top\-tier medical imaging or computer vision conferences and journals (e.g., MICCAI, IEEE TMI, CVPR, Medical Image Analysis).
* Proficiency in Python, with experience handling large datasets, implementing ML pipelines, and visualizing analysis results.
* Ability to translate complex clinical requirements into machine learning solutions.
* Strong critical thinking, problem\-solving, and project management skills.
* Excellent interpersonal, cross\-functional, and cross\-cultural collaboration skills.
**Preferred Qualifications:**
* 2\+ years of postdoctoral research or industry experience.
* Hands\-on experience in developing and applying advanced deep learning models, including vision transformers, semi\-supervised/self\-supervised/unsupervised learning, incremental learning, and continuous learning techniques.
* Strong domain knowledge in CT imaging and its clinical applications.
**TTC\*: $207k \- $265k**
* Total Target Compensation (TTC): Total Cash Compensation (including base pay, variable pay, commission, bonuses, etc.).
*Each role at Cleerly has a defined salary range based on market data and company stage. We typically hire at the lower to mid\-point of the range, with the top end reserved for internal growth and exceptional performance. Actual pay depends on factors like experience, technical depth, geographic location, and alignment with internal peers.*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20">
      <c r="A20" t="inlineStr">
        <is>
          <t>li-4367235403</t>
        </is>
      </c>
      <c r="B20" t="inlineStr">
        <is>
          <t>Data Scientist</t>
        </is>
      </c>
      <c r="C20" t="inlineStr">
        <is>
          <t>RemoteHunter</t>
        </is>
      </c>
      <c r="D20" t="inlineStr">
        <is>
          <t>linkedin</t>
        </is>
      </c>
      <c r="E20" t="inlineStr"/>
      <c r="F20" t="inlineStr"/>
      <c r="G20" t="inlineStr"/>
      <c r="H20" t="inlineStr"/>
      <c r="I20"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
      <c r="A21" t="inlineStr">
        <is>
          <t>li-4367232680</t>
        </is>
      </c>
      <c r="B21" t="inlineStr">
        <is>
          <t>Data Scientist | Clinical AI</t>
        </is>
      </c>
      <c r="C21" t="inlineStr">
        <is>
          <t>RemoteHunter</t>
        </is>
      </c>
      <c r="D21" t="inlineStr">
        <is>
          <t>linkedin</t>
        </is>
      </c>
      <c r="E21" t="inlineStr"/>
      <c r="F21" t="inlineStr"/>
      <c r="G21" t="inlineStr"/>
      <c r="H21" t="inlineStr"/>
      <c r="I21"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li-4356840752</t>
        </is>
      </c>
      <c r="B22" t="inlineStr">
        <is>
          <t>Sr Data Scientist</t>
        </is>
      </c>
      <c r="C22" t="inlineStr">
        <is>
          <t>PayPal</t>
        </is>
      </c>
      <c r="D22" t="inlineStr">
        <is>
          <t>linkedin</t>
        </is>
      </c>
      <c r="E22" t="inlineStr"/>
      <c r="F22" t="inlineStr"/>
      <c r="G22" t="inlineStr">
        <is>
          <t>San Jose, CA</t>
        </is>
      </c>
      <c r="H22" t="inlineStr"/>
      <c r="I2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PayPal's GFP Fraud Risk team is responsible for partnering with global business units to manage a variety of risk of various types, including identity fraud, account takeover, stolen financial fraud, and credit issues. This is an exciting department that plays an important role in contributing PayPal's bottom line financial savings, ensuring safe and secure global business growth, and delivering the best customer experience. This particular opportunity is within the Debit Card Fraud Risk team. The primary responsibility of the Sr. Data Scientist, Risk Strategy is to help reduce Card losses by developing and optimizing risk strategies throughout the customer lifecycle. A large part of the role is driving business strategy recommendations through data analytics on Card authorization and PayPal customer data.
**Job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**Expected Qualifications:**
* 3\+ years relevant experience and a Bachelor’s degree OR Any equivalent combination of education and experience.
**Additional Responsibilities And Preferred Qualifications**
* Develop and optimize risk strategies for PayPal, leveraging knowledge of U.S. or international financial markets, card networks and customer spending behavior.
* Manage a portfolio of relationships to ensure that payment solutions meet financial and timeline objectives; Creatively leverage partnerships to further PayPal’s strategic business objectives.
* Develop business cases in support of new risk policies, risk vendor integrations, and PayPal risk infrastructure enhancements.
* Come up with risk requirements for product initiatives and prioritize said requirements with partner teams
* Consult/partner with other PayPal business and technology groups to assure the optimal deployment of payment solutions to satisfy customer needs and corporate objectives.
* Work with International team members to exchange and implement best practices across PayPal’s existing footprint.
**What Do You Need To Bring**
* 3\-5 years of experience in payments at an issuer, network, processor, or consultancy. Preference for card network experience.
* Proven track record of driving results in a fast\-paced and constantly changing environment
* Good understanding of the applicable laws and regulations that can influence risk and fraud management policy
* Knowledge and understanding of payment systems, bank credit/fraud policies, structures and operations in relation to card programs
* Energetic, creative and able to deliver innovative solutions.
* Must handle multiple priorities with a strong attention to detail and should possess strong analytic and problem solving skills.
* Excellent written, verbal, and presentation skills.
* Demonstrated ability to establish strategic vision and drive change to achieve business objectives
* Strong interpersonal skills and ability to build relationships and influence at all levels of management
* Experience working externally with third parties who support mission critical processes and deliverables
* Thorough knowledge of product segmentations, credit/fraud loss activities and key business drivers
* Hands on experience with portfolio performance monitoring and diagnostics
* SQL to query risk performance data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R0134334</t>
        </is>
      </c>
    </row>
    <row r="23">
      <c r="A23" t="inlineStr">
        <is>
          <t>li-4356751259</t>
        </is>
      </c>
      <c r="B23" t="inlineStr">
        <is>
          <t>GEN AI Sr Data Scientist/Data Scientist</t>
        </is>
      </c>
      <c r="C23" t="inlineStr">
        <is>
          <t>The Hartford</t>
        </is>
      </c>
      <c r="D23" t="inlineStr">
        <is>
          <t>linkedin</t>
        </is>
      </c>
      <c r="E23" t="inlineStr"/>
      <c r="F23" t="inlineStr"/>
      <c r="G23" t="inlineStr">
        <is>
          <t>Chicago, IL</t>
        </is>
      </c>
      <c r="H23" t="inlineStr"/>
      <c r="I23" t="inlineStr">
        <is>
          <t>Sr Data Scientist \- GD07AE
 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Step into the future with The Hartford as a Data Scientist / Sr Data Scientist, where Generative AI isn't just a buzzword—it's central to our strategy. Join a team that's pioneering AI\-driven solutions in underwriting, claims processing, and customer service, transforming how we operate and make decisions. As part of our horizontal language\-focused Gen AI team, you'll tackle advanced use cases and shape the development of Gen AI capabilities across the organization. Here, your work will have a tangible impact, driving innovation and operational excellence with cutting\-edge AI tools. If you're looking for a role where your expertise is not only valued but essential to our success, The Hartford is the place for you.
 We are looking for a technically proficient GenAI data scientist with deep implementation experience in building and evaluating GenAI systems, and a proven ability to stay at the forefront tools and techniques in the evolving AI landscape.
 This role can have a Hybrid or Remote work schedule. Candidates who live near one of our locations will have the expectation of working in an office 3 days a week (Tuesday through Thursday).
**Responsibilities**
* Support The Hartford’s AI innovation strategy to identify and implement high\-end use cases, ensuring alignment with business objectives and emerging industry trends.
* Support cutting\-edge AI vision and roadmap for the enterprise to make The Hartford a leader in using AI for the insurance industry.
* Partner with stakeholders internal to the Data Science organization, Technology organization and business organization, aligning with business objectives and driving innovation to improve productivity and efficiency of underwriting and sales efforts.
* Design and build GenAI solutions for tasks such as summarization, question answering, search, data synthesis, etc.
* Rapidly prototype with cutting\-edge tools, such as VertexAI/Google agent development kit, LangChain/LangGraph, RAG frameworks, HuggingFace, OpenAI APIs, etc.
* Research and recommend noval foundation model options, tools, and libraries to improve solutions in performance and reliability.
* Develop evaluation pipelines for generative outputs using a mix of automatic metrics, human feedback, and llm\-as\-a\-judge methods.
* Collaborate with ML Ops to ensure best practice is followed for scalable training and deployment.
**Qualifications**
* Master’s or PhD in Computer Science, Artificial Intelligence, Machine Learning, Engineering or a related field.
* 3\+ years of industry experience in machine learning or data science and with 1\+ years focused on GenAI.
* Proven experience in GenAI tools such as Vertex AI/Google agent development kit, LangChain/LangGraph, RAG frameworks, HuggingFace, OpenAI APIs, etc.
* Solid understanding of prompt engineering, retrieval\-augmented generation (RAG), agent workflow, and LLM evaluation.
* Proficiency in Python and ML frameworks such as PyTorch, TensorFlow, etc.
* Experience with vector databases such as Chroma, Pinecone, etc. and cloud platforms such as GCP, AWS, Azure, etc.
* Strong analytical, problem solving and debugging skills.
* Excellent communication and collaboration skills, with the ability to explain complex technical concepts to non\-technical stakeholders across the enterprise.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$90,160 \- $166,080
 The posted salary range reflects our ability to hire at different position titles and levels depending on background and experience.
 Equal Opportunity Employer/Sex/Race/Color/Veterans/Disability/Sexual Orientation/Gender Identity or Expression/Religion/Age</t>
        </is>
      </c>
    </row>
    <row r="24">
      <c r="A24" t="inlineStr">
        <is>
          <t>li-4367466625</t>
        </is>
      </c>
      <c r="B24" t="inlineStr">
        <is>
          <t>Senior Data Scientist</t>
        </is>
      </c>
      <c r="C24" t="inlineStr">
        <is>
          <t>Neoage Services LLC</t>
        </is>
      </c>
      <c r="D24" t="inlineStr">
        <is>
          <t>linkedin</t>
        </is>
      </c>
      <c r="E24" t="inlineStr"/>
      <c r="F24" t="inlineStr"/>
      <c r="G24" t="inlineStr">
        <is>
          <t>Houston, TX</t>
        </is>
      </c>
      <c r="H24" t="inlineStr"/>
      <c r="I24" t="inlineStr">
        <is>
          <t>\[Senior Data Scientist \- Houston, TX. The Senior Data Scientist role is a non\-managerial, expert\-level position focused on technical strategy, coordination, and architecture. The position requires a deep understanding of data science principles and the ability to apply this knowledge to complex business challenges as a Subject Matter Expert. Define the technical architecture and provide strategic guidance for the implementation of advanced data science models (forecasting, anomaly detection, etc.) to drive business outcomes. This includes setting the framework for model design, selecting appropriate algorithms and technologies, and ensuring the end\-to\-end solution is robust, scalable, and directly tied to key business objectives such as customer acquisition, retention, and revenue attribution. Coordinate complex data science projects and provide expert technical guidance as the Subject Matter Expert (SME) to cross\-functional teams to ensure deliverables meet project and business requirements. The SME will work with analysts, engineers, coders, and business leads to translate high\-level business problems into actionable data science initiatives. This role involves providing high\-level troubleshooting advice and ensuring technical solutions are aligned with strategic goals and timelines. Architect and guide the end\-to\-end Machine Learning and Deep Learning infrastructure, including pipelines and decision support systems. This duty involves designing the foundational systems for data ingestion, model training, and deployment. The guidance aspect includes establishing best practices for code quality, security, and reproducibility to maintain a stable and reliable machine learning ecosystem. Establish and ensure data quality standards and methodologies for large\-scale data integration. The Senior Data Scientist will define the procedures for data cleansing, preprocessing, and normalization. This includes implementing robust validation checks and developing strategies to manage data from multiple disparate sources to ensure accuracy, reliability, and security for all modeling efforts. Coordinate strategic partnerships with functional areas like sales, marketing, and engineering to proactively identify and address complex business challenges through advanced data analysis. Coordinate the execution of data science initiatives from inception to completion, encompassing the definition of project scope, timelines, and success metrics. Serve as a key technical resource for high\-level troubleshooting and provide direction to diverse teams, including analysts, engineers, and coders. Work with the following: Python, PySpark, Tensorflow, Keras, PyTorch, SMOTE, Azure Synapse Analytics, Azure SQL, Azure ML Studio, Azure Databricks, Kusto, Cosmos, Power BI, Power Automate, and MLOps. Other similar duties as assigned. M\-F; 40 hrs/week. $133,078\.00/annum.
 ]{\#docs\-internal\-guid\-0873dbf0\-7fff\-d9c4\-ddcf\-be6a39dfdb25}</t>
        </is>
      </c>
    </row>
    <row r="25">
      <c r="A25" t="inlineStr">
        <is>
          <t>li-4356861067</t>
        </is>
      </c>
      <c r="B25" t="inlineStr">
        <is>
          <t>GEN AI Sr Data Scientist/Data Scientist</t>
        </is>
      </c>
      <c r="C25" t="inlineStr">
        <is>
          <t>The Hartford</t>
        </is>
      </c>
      <c r="D25" t="inlineStr">
        <is>
          <t>linkedin</t>
        </is>
      </c>
      <c r="E25" t="inlineStr"/>
      <c r="F25" t="inlineStr"/>
      <c r="G25" t="inlineStr">
        <is>
          <t>Columbus, OH</t>
        </is>
      </c>
      <c r="H25" t="inlineStr"/>
      <c r="I25" t="inlineStr">
        <is>
          <t>Sr Data Scientist \- GD07AE
 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Step into the future with The Hartford as a Data Scientist / Sr Data Scientist, where Generative AI isn't just a buzzword—it's central to our strategy. Join a team that's pioneering AI\-driven solutions in underwriting, claims processing, and customer service, transforming how we operate and make decisions. As part of our horizontal language\-focused Gen AI team, you'll tackle advanced use cases and shape the development of Gen AI capabilities across the organization. Here, your work will have a tangible impact, driving innovation and operational excellence with cutting\-edge AI tools. If you're looking for a role where your expertise is not only valued but essential to our success, The Hartford is the place for you.
 We are looking for a technically proficient GenAI data scientist with deep implementation experience in building and evaluating GenAI systems, and a proven ability to stay at the forefront tools and techniques in the evolving AI landscape.
 This role can have a Hybrid or Remote work schedule. Candidates who live near one of our locations will have the expectation of working in an office 3 days a week (Tuesday through Thursday).
**Responsibilities**
* Support The Hartford’s AI innovation strategy to identify and implement high\-end use cases, ensuring alignment with business objectives and emerging industry trends.
* Support cutting\-edge AI vision and roadmap for the enterprise to make The Hartford a leader in using AI for the insurance industry.
* Partner with stakeholders internal to the Data Science organization, Technology organization and business organization, aligning with business objectives and driving innovation to improve productivity and efficiency of underwriting and sales efforts.
* Design and build GenAI solutions for tasks such as summarization, question answering, search, data synthesis, etc.
* Rapidly prototype with cutting\-edge tools, such as VertexAI/Google agent development kit, LangChain/LangGraph, RAG frameworks, HuggingFace, OpenAI APIs, etc.
* Research and recommend noval foundation model options, tools, and libraries to improve solutions in performance and reliability.
* Develop evaluation pipelines for generative outputs using a mix of automatic metrics, human feedback, and llm\-as\-a\-judge methods.
* Collaborate with ML Ops to ensure best practice is followed for scalable training and deployment.
**Qualifications**
* Master’s or PhD in Computer Science, Artificial Intelligence, Machine Learning, Engineering or a related field.
* 3\+ years of industry experience in machine learning or data science and with 1\+ years focused on GenAI.
* Proven experience in GenAI tools such as Vertex AI/Google agent development kit, LangChain/LangGraph, RAG frameworks, HuggingFace, OpenAI APIs, etc.
* Solid understanding of prompt engineering, retrieval\-augmented generation (RAG), agent workflow, and LLM evaluation.
* Proficiency in Python and ML frameworks such as PyTorch, TensorFlow, etc.
* Experience with vector databases such as Chroma, Pinecone, etc. and cloud platforms such as GCP, AWS, Azure, etc.
* Strong analytical, problem solving and debugging skills.
* Excellent communication and collaboration skills, with the ability to explain complex technical concepts to non\-technical stakeholders across the enterprise.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$90,160 \- $166,080
 The posted salary range reflects our ability to hire at different position titles and levels depending on background and experience.
 Equal Opportunity Employer/Sex/Race/Color/Veterans/Disability/Sexual Orientation/Gender Identity or Expression/Religion/Age</t>
        </is>
      </c>
    </row>
    <row r="26">
      <c r="A26" t="inlineStr">
        <is>
          <t>li-4367261788</t>
        </is>
      </c>
      <c r="B26" t="inlineStr">
        <is>
          <t>Data Scientist</t>
        </is>
      </c>
      <c r="C26" t="inlineStr">
        <is>
          <t>CyberCoders</t>
        </is>
      </c>
      <c r="D26" t="inlineStr">
        <is>
          <t>linkedin</t>
        </is>
      </c>
      <c r="E26" t="inlineStr"/>
      <c r="F26" t="inlineStr"/>
      <c r="G26" t="inlineStr">
        <is>
          <t>Brooklyn, NY</t>
        </is>
      </c>
      <c r="H26" t="inlineStr"/>
      <c r="I26" t="inlineStr">
        <is>
          <t>**Data Scientist** 
**Location:** 
 Brooklyn, NY \- Onsite Monday\-Thursday
**Position Overview**
 We are seeking a skilled Data Scientist to join our team in the ADTECH sector. The ideal candidate will leverage their expertise in data science to extract insights, develop models, and contribute to data\-driven decision making. The primary goal is to optimize our advertising strategies and enhance customer targeting through advanced analytics.
**Key Responsibilities** 
* Design and implement data models to drive insights and recommendations for advertising strategies.
* Analyze large datasets using SQL and Hadoop to uncover trends and patterns.
* Develop and maintain ETL processes to ensure data quality and availability for analysis.
* Utilize Python to build predictive models and perform statistical analysis.
* Collaborate with cross\-functional teams to understand business requirements and deliver actionable insights.
**Qualifications** 
* Bachelor's or Master's degree in Data Science, Statistics, Computer Science, or a related field.
* Proven experience in data analysis and modeling within the ADTECH industry.
* Strong proficiency in SQL for data querying and manipulation.
* Experience with Hadoop for big data processing.
* Familiarity with ETL processes and tools.
* Proficient in Python for data analysis and model development.
**Benefits** 
* Vacation/PTO
* Medical
* Dental
* Vision
* 401k
* Bonus
**Email Your Resume In Word To**
 Lauren.Formby@CyberCoders.com
 Looking forward to receiving your resume through our website and going over the position with you. Clicking apply is the best way to apply.
 Please do NOT change the email subject line in any way. You must keep the JobID: linkedin : LF2\-1976314 \-\- in the email subject line for your application to be considered.
 Lauren Formby \- Director of Recruiting
 For this position, you must be currently authorized to work in the United States without the need for sponsorship for a non\-immigrant visa. This is a new role.
 This job was first posted by CyberCoders on 01/30/2026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27">
      <c r="A27" t="inlineStr">
        <is>
          <t>li-4367474882</t>
        </is>
      </c>
      <c r="B27" t="inlineStr">
        <is>
          <t>Data Scientist, Fraud Analytics &amp; Technical Writing</t>
        </is>
      </c>
      <c r="C27" t="inlineStr">
        <is>
          <t>GBG Plc</t>
        </is>
      </c>
      <c r="D27" t="inlineStr">
        <is>
          <t>linkedin</t>
        </is>
      </c>
      <c r="E27" t="inlineStr"/>
      <c r="F27" t="inlineStr"/>
      <c r="G27" t="inlineStr"/>
      <c r="H27" t="inlineStr"/>
      <c r="I27" t="inlineStr">
        <is>
          <t>**Data Scientist – Fraud Analytics \&amp; Technical Writing** 
 Join GBG’s
 **Go‑to‑Market Data Science \&amp; Analytics** 
 team, a newly established, high‑impact function shaping how we demonstrate value to customers and empower internal teams with actionable insights. As a
 **Data Scientist – Fraud Analytics \&amp; Technical Writing** 
 , you’ll analyze large, complex datasets to surface fraud patterns, translate findings into clear business narratives, and create high‑quality technical documentation that standardizes methods and accelerates adoption across the organization. You’ll partner cross‑functionally with Sales, Product, and Operations, design dashboards that communicate trends, and influence roadmap and strategy—while building scalable, automated processes that elevate decision‑making and customer outcomes
**What you will do** 
**Fraud Detection \&amp; Analysis** 
* Analyze large, complex datasets to detect patterns, anomalies, and emerging fraud trends
* Collaborate with internal teams to validate findings and refine detection strategies
* Translate key findings into clear, compelling insights that demonstrate solution value to prospective customers
* Support the development of standardized frameworks to quantify business impact across customer profiles
**Technical Documentation** 
* Create and maintain high\-quality technical documentation, including methodologies, workflows, and system processes
* Translate complex analytical findings into clear, actionable insights for both technical and non\-technical audiences
* Ensure documentation is standardized, accurate, and easily accessible for internal teams
**Collaboration \&amp; Reporting** 
* Work closely with cross\-functional teams to implement data\-driven solutions
* Design dashboards and reports to communicate fraud trends and detection results effectively
* Provide regular updates and recommendations to stakeholders based on data\-driven findings
**Skills we are looking for** 
**Technical Foundation** 
* 2\+ years of hands\-on experience in data analytics, with demonstrated success in customer\-facing teams or process automation roles
* Excellent technical writing and communication skills
* Strong proficiency in Python/R, SQL, and statistical analysis libraries (pandas, scikit\-learn, etc.)
* Experience with data visualization tools (Quicksight, Tableau, Power BI, or similar)
* Familiarity with cloud platforms (AWS, Azure, or GCP) and modern data stack tools
* Master’s degree in Data Science or related field preferred; PhD a plus
**Preferred Qualifications** 
* Domain expertise in identity verification, fraud detection, and/or financial services
* Experience presenting technical findings to prospects or clients during sales processes
* Knowledge of predictive modeling and machine learning
**Business Acumen** 
* Experience analyzing customer data and translating technical findings into compelling business narratives
* Knowledge of statistics and ROI calculation frameworks
* Ability to create presentations that communicate value propositions to both technical and business stakeholders
* Familiarity with cross\-functional collaboration processes
**Benefits**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t>
        </is>
      </c>
    </row>
    <row r="28">
      <c r="A28" t="inlineStr">
        <is>
          <t>li-4283075389</t>
        </is>
      </c>
      <c r="B28" t="inlineStr">
        <is>
          <t>Senior Data Scientist</t>
        </is>
      </c>
      <c r="C28" t="inlineStr">
        <is>
          <t>Adobe</t>
        </is>
      </c>
      <c r="D28" t="inlineStr">
        <is>
          <t>linkedin</t>
        </is>
      </c>
      <c r="E28" t="inlineStr"/>
      <c r="F28" t="inlineStr"/>
      <c r="G28" t="inlineStr">
        <is>
          <t>San Jose, CA</t>
        </is>
      </c>
      <c r="H28" t="inlineStr"/>
      <c r="I2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As a Sr Data Scientist on the Monetization Growth organization, you will be a critical part of the team building delightful experiences driving customer success and tangible business growth. We are looking for candidates who are passionate about using statistical, analytical, and machine learning techniques to extract, analyze, and interpret large volumes of data, thereby transforming it into meaningful information to drive decision\-making and optimize outcomes. The ideal candidate will have a combination of strong technical skills along with the ability to work with a diverse, distributed multi\-functional team.
**What You'll Do**
* Conduct sound statistical analysis of user revenue growth programs and A/B experiments to recognize patterns that lead to actionable insights. Identify biases in data collection and observation.
* Interpret the results and then simplify and synthesize them for partners, using a wide range of visualization and storytelling techniques.
* Be a specialist of stitching and calibrating sparse and noisy semi\-structured or unstructured data across various data sources.
* Partner with experts across multiple functions to understand customer behavior and pain\-points and use insights to make recommendations to improve product and customer experience.
**What You Need To Succeed**
* Master's or PhD in Computer Science, Data Science, Statistics, or a related field of study. Alternatively, a Bachelor’s degree with relevant practical experience.
* Minimum 8 years of experience as a Data Scientist or in a similar role.
* Experience with hypothesis or A/B test analyses with in\-depth understanding of the statistical concepts involved.
* Hands\-on experience working with large data sets. Prior experience with a big data platform like Databricks, Apache Spark or Apache Hadoop.
* Expert in at least one programming or data manipulation language, preferably Python and SQL.
* Data storytelling skills.
* Excellent oral and written communication.
 Our compensation reflects the cost of labor across several  U.S. geographic markets, and we pay differently based on those defined markets. The U.S. pay range for this position is $133,100 \-\- $236,400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$163,200 \- $236,400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9">
      <c r="A29" t="inlineStr">
        <is>
          <t>li-4356658255</t>
        </is>
      </c>
      <c r="B29" t="inlineStr">
        <is>
          <t>Data Scientist</t>
        </is>
      </c>
      <c r="C29" t="inlineStr">
        <is>
          <t>Ztek Consulting</t>
        </is>
      </c>
      <c r="D29" t="inlineStr">
        <is>
          <t>linkedin</t>
        </is>
      </c>
      <c r="E29" t="inlineStr"/>
      <c r="F29" t="inlineStr"/>
      <c r="G29" t="inlineStr">
        <is>
          <t>Vienna, VA</t>
        </is>
      </c>
      <c r="H29" t="inlineStr"/>
      <c r="I29" t="inlineStr">
        <is>
          <t>**Qualifications** 
* An active security clearance or the ability to obtain one is required.
* Collaborate with various stakeholders to understand requirements and translate those requirements into data science solutions.
* Provide guidance on best practices and industry standards across data science and analytics, data visualization, and share expertise to improve technical capabilities of the team.
* Design, develop, and integrate templates, data, and models for repeatability.
* Develop and implement data quality assurance and management protocols.
* Create, maintain, and organize technical documentation for all data collection, cleaning, and analyses.
* RAG, Embedding, Vector DB, hugging face transformer, BERT, BART, LLMs.
**Required and Preferred Skillsets** 
* Must be familiar with multiple types of data models, including, but not limited to, generalized linear and multilinear regression, logistic and multinomial regression, and time series analysis.
* Must have hands\-on experience with supervised (classification, regression) and unsupervised learning (clustering, dimension reduction).
* 3\+ years of experience evaluating relationships in data using statistical modeling and leveraging analytics tools.
* 3\+ years of experience in advanced Classification and Regression modeling.
* 3\+ years of professional proficiency using R, or Python for data wrangling and model building.
* Experience in SQL or Spark SQL, and basic database design.
* Cloud project work using Google, AWS and/or Azure.
* Demonstrated high proficiency in statistical analysis and data visualization.
* Demonstrated high proficiency in data wrangling and documentation.
* Solid technical skills across a wide variety of tools and data platforms.
* Able to successfully prioritize and manage multiple project tasks simultaneously and complete them in a timely manner with a high degree of accuracy.
* Strong record of applied data analysis.
* Excellent writing and presentation skills with a successful track record of communicating complex concepts to diverse audiences.</t>
        </is>
      </c>
    </row>
    <row r="30">
      <c r="A30" t="inlineStr">
        <is>
          <t>li-4367456650</t>
        </is>
      </c>
      <c r="B30" t="inlineStr">
        <is>
          <t>Data Scientist</t>
        </is>
      </c>
      <c r="C30" t="inlineStr">
        <is>
          <t>SAIC</t>
        </is>
      </c>
      <c r="D30" t="inlineStr">
        <is>
          <t>linkedin</t>
        </is>
      </c>
      <c r="E30" t="inlineStr"/>
      <c r="F30" t="inlineStr"/>
      <c r="G30" t="inlineStr">
        <is>
          <t>Fort Belvoir, VA</t>
        </is>
      </c>
      <c r="H30" t="inlineStr"/>
      <c r="I30" t="inlineStr">
        <is>
          <t>Job ID 2600885
**Location** 
 FORT BELVOIR, VA, US
**Date Posted** 
 2026\-01\-29
**Category** 
 Information Technology
**Subcategory** 
 Data Scientist
**Schedule** 
 Full\-time
**Shift** 
 Day Job
**Travel** 
 Yes, 10 % of the Time
**Minimum Clearance Required TS/SCI**
**Clearance Level Must Be Able to Obtain** 
 None
**Potential for Remote Work** 
 No
**Description**
 SAIC is looking for a Data Scientist to work with a diverse team of OSINT operations staff and interagency partners to provide support to dynamic, global intelligence operations for the Army OSINT Office (AOO).
 This work will be located on site at Fort Belvoir, VA.
 This position requires excellent technical, analytic, communication, and problem\-solving skills, and the ability to operate in a diverse, evolving, and high\-profile environment to oversee the development and execution of technical solutions to Open\-Source Intelligence operations aligned with organizational goals.
**Job Duties**
* Designing and maintaining data pipelines to ensure efficient data flow and interoperability with existing and emerging programs of record
* Collecting and integrating large, complex data sets that meet cross\-organizational requirements
* Ensuring data quality, reliability, and efficiency throughout the data lifecycle
* Collaborating with other data scientists, software developers, operators, project managers, and clients to prepare data for predictive modeling
* Implementing internal process improvements to optimize data delivery and automate manual processes
* Conduct system testing and validation procedures to ensure operational platforms function correctly, including the ability to gather user feedback, identify issues, conduct updates, and perform routine quality assurance checks
* Create and maintain essential technical documentation for reference and reporting, which includes documenting processes, system specifications, and modifications
* Ensure compliance with regulations, develop guidance, and promote ethical use of developed platforms, data repositories, and relevant technical records
**Qualifications**
**Education and Experience**
* Bachelors and fourteen (14\) years of experience; Masters and twelve (12\); four (4\) years of experience in lieu of degree
**Clearance Requirement**
* Must be a U.S. Citizen with an Active Top Secret SCI Clearance with ability to obtain SCI (PR within 6 years)
**Additional Requirements**
* Proficient with Power Apps (e.g., Canvas, Power Automate, PowerBI), SharePoint development, Java and CSHTML scripting
* Strong solutions development and databasing experience with excellent communication, presentation, and interpersonal skills
* Ability to execute multiple tasks and ongoing projects while ensuring compliance with applicable policies, and procedures</t>
        </is>
      </c>
    </row>
    <row r="31">
      <c r="A31" t="inlineStr">
        <is>
          <t>li-4367446984</t>
        </is>
      </c>
      <c r="B31" t="inlineStr">
        <is>
          <t>Data Scientist</t>
        </is>
      </c>
      <c r="C31" t="inlineStr">
        <is>
          <t>Chenega MIOS SBU</t>
        </is>
      </c>
      <c r="D31" t="inlineStr">
        <is>
          <t>linkedin</t>
        </is>
      </c>
      <c r="E31" t="inlineStr"/>
      <c r="F31" t="inlineStr"/>
      <c r="G31" t="inlineStr">
        <is>
          <t>Virginia, United States</t>
        </is>
      </c>
      <c r="H31" t="inlineStr"/>
      <c r="I31" t="inlineStr">
        <is>
          <t>**Summary**
**Data Scientist**
**Remote**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As one of the newest Chenega companies, Chenega Defense \&amp; Aerospace Solutions (CDAS) was developed with the purpose of providing expert Engineering and Technical Support Services to federal customers.
 The
 **Data Scientist** 
 will assist with data analytics and statistical modeling. In this role, the Data Scientist will collect, analyze, and interpret complex data sets to assist the end customer’s financial investigations.
**Responsibilities**
* Develop and execute complex database queries to extract and manipulate both structured and unstructured datasets, streamlining routine business processes and automating report generation.
* Design and optimize business analytics workflows tailored for a US Government organization, enhancing the analysis and visualization of operational datasets.
* Contribute to the development of investigative analysis capabilities and provide technical support for systems, ensuring data integrity and accessibility for analysis.
* Collaborate as part of a small team while also managing independent tasks related to help desk support, efficiently handling ticketing data flows, generating insightful reports, and visualizing key performance indicators through dashboards for enhanced organizational decision\-making.
* Other duties as assigned.
**Qualifications**
* Bachelor’s degree from an accredited college or university
* 3\+ years of experience
+ Data analytics
+ Data wrangling
+ Experience working with financial crimes a plus
* Public Trust required
**Knowledge, Skills, And Abilities**
* Advanced proficiency in SQL required
* Must additionally have advanced proficiency in data wrangling with at least one of the following: R, Python, SAS/SAS Macro Language, Visual Basic
* Self\-starter and problem solver
* Excellent communication skills \- verbal and written
* Flexibility and attention to detail
* Ability to follow verbal and written instructions
* Data visualization using tools such as Power BI, Excel, R, or Python
* Microsoft Power Query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https://chenegamios.com/news/
 Tips from your Talent Acquisition Team
 We Want Job Seekers Exploring Opportunities At Chenega MIOS To Feel Prepared And Confident. To Help You With Your Research, We Suggest You Review The Following Links
 Chenega MIOS web site \- www.chenegamios.com
 Glassdoor \- https://www.glassdoor.com/Overview/Working\-at\-Chenega\-MIOS\-EI\_IE369514\.11,23\.htm
 LinkedIn \- https://www.linkedin.com/company/1472684/
 Facebook \- https://www.facebook.com/chenegamios/
 \#Chenega Defense \&amp; Aerospace Solutions, LLC
**Teleworking Permitted?**
 Yes
**Teleworking Details**
 Remote
**Estimated Salary/Wage**
 Up to USD $135,000\.00/Yr.</t>
        </is>
      </c>
    </row>
    <row r="32">
      <c r="A32" t="inlineStr">
        <is>
          <t>li-4344812029</t>
        </is>
      </c>
      <c r="B32" t="inlineStr">
        <is>
          <t>Lead Data Scientist</t>
        </is>
      </c>
      <c r="C32" t="inlineStr">
        <is>
          <t>ICE</t>
        </is>
      </c>
      <c r="D32" t="inlineStr">
        <is>
          <t>linkedin</t>
        </is>
      </c>
      <c r="E32" t="inlineStr"/>
      <c r="F32" t="inlineStr"/>
      <c r="G32" t="inlineStr">
        <is>
          <t>New York, NY</t>
        </is>
      </c>
      <c r="H32" t="inlineStr"/>
      <c r="I32" t="inlineStr">
        <is>
          <t>**Overview**
**Job Purpose**
 We are looking for individuals with a strong background in statistical modelling and financial engineering to join our research and rapid prototyping team at Intercontinental Exchange. We require candidates to have experience building, enhancing or supporting the pricing of fixed income securities. The role requires individuals to enhance and expand proprietary algorithms designed to bring transparency and standardization to the fixed income market. You will join a fast\-paced team of quants and data scientists tasked with evolving modeling techniques to improve precision and scale across millions of bonds. You will also be tasked with researching new techniques of utilizing AI \&amp; ML to help further improve precision and operational efficiency. The role will require individuals to work with significantly large data sets spanning decades of historical data.
**Responsibilities**
* Learn, research, implement and maintain pricing models across fixed income asset classes
* Work closely with product, engineering and evaluation teams to procure, analyze and validate data sources
* Investigating Ad hoc issues and debugging pricing applications
**Knowledge And Experience**
* An understanding of fixed income instruments
* Strong communications skills
* Hands on experience utilizing Python, C\+\+, SQL, Shell Scripting, R
* 3\+ years of experience doing quantitative analysis
* Master's or higher in Computer Science, Math, Physics, Engineering, or related quantitative field, PhD preferred
* Experience using AI \&amp; ML techniques to solve complex multi\-dimensional problems preferred
**New York Base Salary Range**
 The expected base salary for this role, if located in New York, is between $120,000 \- 172,300 USD.  The base salary range does not include Intercontinental Exchange’s incentive compensation.  While we provide this range as general guidance, at ICE we compensate employees based on the skillset and experience of the individual. Regular full\-time ICE employees are eligible for a suite of competitive employee benefits, including healthcare coverage (medical, dental and vision), a 401(k) plan, life insurance, time off, and paid leave for qualifying circumstances.
 Intercontinental Exchange, Inc. is an Equal Opportunity Employer. All qualified applicants will receive consideration for employment without regard to legally protected characteristics.</t>
        </is>
      </c>
    </row>
    <row r="33">
      <c r="A33" t="inlineStr">
        <is>
          <t>li-4321180713</t>
        </is>
      </c>
      <c r="B33" t="inlineStr">
        <is>
          <t>Staff Data Scientist</t>
        </is>
      </c>
      <c r="C33" t="inlineStr">
        <is>
          <t>Dropbox</t>
        </is>
      </c>
      <c r="D33" t="inlineStr">
        <is>
          <t>linkedin</t>
        </is>
      </c>
      <c r="E33" t="inlineStr"/>
      <c r="F33" t="inlineStr"/>
      <c r="G33" t="inlineStr"/>
      <c r="H33" t="inlineStr"/>
      <c r="I33"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Data Science team transforms data into powerful insights that inform everything we do at Dropbox. Combining applied analytics techniques with deep business insights, we investigate user behavior, product performance, and market trends to uncover new opportunities for growth, optimization, and innovation. Our work is highly collaborative: we work closely with Revenue, Product, and Marketing teams to enable data\-driven development and personalized customer solutions. It’s also highly creative, as we experiment to develop tools and dashboards that democratize insights across Dropbox. If you are driven by solving challenging problems and using the power of data to deliver impactful, user\-centered products and services, join our Data Sciences team. Areas of work include Applied Analytics, Experimentation, Data Engineering, Machine Learning, Business Intelligence, Data Visualization, and Statistical Modeling.
**Role Description**
 We're looking for a Staff Data Scientist to partner with product, engineering, and design teams to answer key questions and drive impact in the Core Experience and Artificial Intelligence (AI) areas. This area focuses on improving key part of the core product through re\-envisioning the home experience, cross platform experience, user onboarding, and building new functionality and launching high impact initiatives. We solve challenging problems and boost business growth through a deep understanding of user behaviors with applied analytics techniques and business insights. An ideal candidate should have robust knowledge of consumer lifecycle, behavior analysis, and customer segmentation. We’re looking for someone who can bring opinions and strong narrative framing to proactively influence the business.
**Responsibilities**
* Perform analytical deep\-dives to analyze problems and opportunities, identify the hypothesis and design \&amp; execute experiments
* Inform future experimentation design and roadmaps by performing exploratory analysis to understand user engagement behavior and derive insights
* Create personalized segmentation strategies leveraging propensity models to enable targeting of offers and experiences based on user attributes
* Identify key trends and build automated reporting \&amp; executive\-facing dashboards to track the progress of acquisition, monetization, and engagement trends.
* Identify opportunities, advocate for new solutions and build momentum cross\-functionally to move ideas forward tha tare grounded in data.
* Monitor and analyze a high volume of experiments designed to optimize the product for user experience and revenue \&amp; promote best practices for multivariate experiments
* Translate complex concepts into implications for the business via excellent communication skills, both verbal and written
* Understand what matters most and prioritize ruthlessly
* Work with cross\-functional teams (including Data Science, Marketing, Product, Engineering, Design, User Research, and senior executives) to rapidly execute and iterate
**Requirements**
* Bachelors’ or above in quantitative discipline: Statistics, Applied Mathematics, Economics, Computer Science, Engineering, or related field
* 8\+ years experience using analytics to drive key business decisions; examples include business/product/marketing analytics, business intelligence, strategy consulting
* Proven track record of being able to work independently and proactively engage with business stakeholders with minimal direction
* Significant experience with SQL
* Deep understanding of statistical analysis, experimentation design, and common analytical techniques like regression, decision trees
* Solid background in running multivariate experiments to optimize a product or revenue flow
* Strong verbal and written communication skills
* Strong leadership and influence skills
* Proficiency in programming/scripting and knowledge of statistical packages like R or Python is a plus
**Preferred Qualifications**
* Product analytics experience in a SAAS company
* Masters’ or above in a quantitative discipline: Statistics, Applied Mathematics, Economics, Computer Science, Engineering, or related field
**Compensation**
 US Zone 1
 This role is not available in Zone 1
 US Zone 2
 $203,200—$274,900 USD
 US Zone 3
 $180,500—$244,300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34">
      <c r="A34" t="inlineStr">
        <is>
          <t>li-4344974833</t>
        </is>
      </c>
      <c r="B34" t="inlineStr">
        <is>
          <t>Senior Data Scientist</t>
        </is>
      </c>
      <c r="C34" t="inlineStr">
        <is>
          <t>Equifax</t>
        </is>
      </c>
      <c r="D34" t="inlineStr">
        <is>
          <t>linkedin</t>
        </is>
      </c>
      <c r="E34" t="inlineStr"/>
      <c r="F34" t="inlineStr"/>
      <c r="G34" t="inlineStr">
        <is>
          <t>Alpharetta, GA</t>
        </is>
      </c>
      <c r="H34" t="inlineStr"/>
      <c r="I34" t="inlineStr">
        <is>
          <t>****Role****
 The Global Data Office is at the center of our enterprise's data\-driven transformation. We are seeking an innovative and experienced Senior Data Scientist to join our Data Innovations \&amp; Solutions team. In this role, you will be a technical leader responsible for researching, building, and deploying cutting\-edge AI, machine learning, and Generative AI solutions. You will tackle some of our most complex challenges, from creating new data\-driven products to inventing novel algorithms that help us govern and understand our vast data ecosystem. If you thrive on solving complex problems at scale, mentoring talented junior colleagues, and turning raw EFX data into tangible business value, this is the role for you.
**What You’ll Do**
* End\-to\-end design, development, and deployment of advanced machine learning, AI, and Generative AI models to power new product initiatives across the enterprise.
* Design and build novel algorithms to enhance our data governance, quality, and metadata management capabilities, creating new ways to automatically know and manage our data assets.
* Proactively collect, analyze, and interpret existing internal data and evaluate new, external data sources to identify and propose new product opportunities for our business units.
* Act as a senior technical consultant and partner to global teams, helping them frame their business problems, identify data\-driven solutions, and overcome their most complex analytical challenges.
* Serve as a technical leader and mentor for junior data scientists and analysts, conducting code reviews, sharing best practices, and fostering a culture of innovation and excellence.
* Translate complex analytical findings and research outputs into clear, compelling presentations and strategic recommendations for diverse stakeholders, including senior leadership.
* Lead the development or projects with multiple deliverables, leveraging business and technical expertise.
**What Experience You Need**
* A Master’s or Ph.D. in Computer Science, Statistics, Mathematics, or a related quantitative field
* 7\-10 years of hands\-on experience building and deploying production\-level data science solutions using advanced machine learning algorithms and statistics: regression, simulation, scenario analysis, modeling, clustering, decision trees, neural networks
* Experience with Agentic AI and writing algorithms
* Proficient skills building models using packages including scikit learn, XGBoost, Tensorflow, PyTorch, Transformers
* 4\+ years of experience in Python and its core data science libraries (e.g., Pandas, NumPy, Scikit\-learn, PyTorch, TensorFlow)
* 4\+ years of experience to work with massive (petabyte\-scale) datasets using strong SQL and big data technologies (e.g., Spark, Dataflow, BigQuery, Snowflake) within a cloud environment (AWS, GCP\-Preferred).
* Deep knowledge of classical machine learning, statistical modeling, and NLP. You should have a strong command of supervised and unsupervised learning, time\-series analysis, and model validation techniques
* Excellent verbal and written communication skills, with a proven ability to collaborate effectively with cross\-functional teams and present complex topics to non\-technical audiences
**What Could Set You Apart**
* Demonstrable, hands\-on experience building and fine\-tuning LLMs, developing Retrieval\-Augmented Generation (RAG) systems, and understanding the MLOps lifecycle for GenAI.
* 1\-3 years of Leadership/Team management experience
* Prior experience working in the financial services industry (e.g., risk modeling, algorithmic trading, fraud detection, or compliance).
* A portfolio or past experience building models specifically for data management (e.g., data quality anomaly detection, PII identification, automated data cataloging).
* 2\+ years’ experience developing and leading the technical vision of an organization and working independently and closely with senior leadership to lead data science to continued success into the future.
* A history of publishing research in relevant AI/ML conferences or contributing to major open\-source data science projects.
* Knowledge in graph mining and graph data model
* Innate talent and passion for trying new technologies and quickly assessing value and implement ability within organizations.</t>
        </is>
      </c>
    </row>
    <row r="35">
      <c r="A35" t="inlineStr">
        <is>
          <t>li-4367436889</t>
        </is>
      </c>
      <c r="B35" t="inlineStr">
        <is>
          <t>Senior Data and Applied Scientist - Xbox</t>
        </is>
      </c>
      <c r="C35" t="inlineStr">
        <is>
          <t>Microsoft</t>
        </is>
      </c>
      <c r="D35" t="inlineStr">
        <is>
          <t>linkedin</t>
        </is>
      </c>
      <c r="E35" t="inlineStr"/>
      <c r="F35" t="inlineStr"/>
      <c r="G35" t="inlineStr">
        <is>
          <t>Redmond, WA</t>
        </is>
      </c>
      <c r="H35" t="inlineStr"/>
      <c r="I35" t="inlineStr">
        <is>
          <t>**Overview**
 Have you or someone you know ever wanted to work in gaming? How about building safe and inclusive communities? How about impacting experience for millions of customers? What if you could do all three of those things at the same time?
 Microsoft is committed to ensuring that we develop and deploy our AI technologies in ways that uphold our AI principles and warrant people’s trust.
 Here in Microsoft Gaming, we are on a mission to bring the joy and community of gaming to everyone on the planet. We deliver on that vision by putting players at the center, enabling you to play the games you want, with the people you want, anywhere you want.
 Gaming Player Services and Operations is at the heart of our ambition to reach billions of players across the globe, ensuring that every player feels included and engaged across Xbox. We do this through our commitment to driving operational excellence through innovation and ensuring player and partner delight across Microsoft Gaming.
 As a Senior Data and Applied Scientist, you will work with cross\-functional teams to apply state\-of\-the\-art AI that supports community moderation experiences for some of the largest online communities around the globe. You will also collaborate with other teams across Xbox, Microsoft, and the gaming industry to ensure the developed technology complies with legal and regulatory requirements, as well as best practices for online safety, privacy and responsible AI. You will be a peer mentor and role model on the team, fostering a culture of customer focus, collaboration, diversity, inclusion, and drive technical excellence and innovation.
 Within the Safety, Trust, \&amp; Responsibility team, our mission is to grow and protect global player communities. We believe that wherever you play, it should be a fun, safe, and inclusive environment—and it’s our job to provide the services, expertise, and support to make accessible, world\-class player experiences possible. We champion transparency, compliance, and the responsible use of AI, with trust at the core of how we operate. We embrace experimentation to reach more players, inform business decisions, and deepen our understanding of customer and player needs. Through a culture of innovation, collaboration, and continuous improvement, we support and challenge one another to perform at our best.
**Responsibilities**
* Advancing the state\-of\-the\-art artificial intelligence (AI) and natural language processing (NLP) algorithms, especially applying large language models and small language models, (LLM/SLM) to real\-world large\-scale content moderation systems.
* Developing tools, algorithms, fine\-tuning and optimizing AI models, and automated systems that help identify and moderate high\-risk behaviors and user generated text, image, video, audio and mixed media content on social networks
* Working on the full lifecycle of AI development including training data collection, feature engineering, model training, offline and online experimentation, and deployment and maintenance.
* Collaborating and working cross functionally, focusing on strategic business questions, and sharing learnings.
* Driving product and business innovations for measurable impact on moderation product effectiveness.
* Investigating new technologies, tools, and prototypes, the latest techniques to evolve AI capabilities of the product and organization.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Several years of industry experience across multiple AI modalities, such as multimodal models, Automatic Speech Recognition (ASR), Computer Vision, and Natural Language Processing (NLP).
* Hands\-on experience with advanced fine\-tuning methods, including self\-supervised, semi\-supervised, and supervised learning techniques.
* Hands\-on experience building or evaluating large language models and small language models, (LLM/SLM) applications in production, ensuring AI meets or exceeds targets for functionality, responsiveness and compliance.
* Product\-driven thinking.
* Experience designing and implementing processes/systems to measure and improve AI product performance throughout the product life cycle.
* Ability to work in a fast\-paced environment, manage multiple priorities, and adapt to changing requirements and deadlines
* Experience building large data sets using SQL, Spark, Snowflake etc., for model training, testing and/or deriving actionable insights.
* Strong communication skills to explain insights in an understandable way to non\-experts, in both formal presentations and informal group conversations.
* Committed to contributing to an inclusive workplace that focuses on respect, integrity, and personal accountability.
 This would be a great role for you if…
* You want to make gaming a safer and more positive experience for everyone.
* You are passionate about applying the latest in AI / ML technology to challenging problems involving text, images, video, audio and mixed\-media classification and moderation.
* You are a role model and active participant in creating a culture of inclusion and respect within the organization.
* You believe in making data\-driven decisions through telemetry and customer feedback.
* You have a passion for engineering excellence.
 \#gamingjobs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
      <c r="A36" t="inlineStr">
        <is>
          <t>li-4367609326</t>
        </is>
      </c>
      <c r="B36" t="inlineStr">
        <is>
          <t>Data Scientist (Bioinformatics Developer) - Next Generation Sequencing (NGS)</t>
        </is>
      </c>
      <c r="C36" t="inlineStr">
        <is>
          <t>Komen Graduate Training Program UT MDACC</t>
        </is>
      </c>
      <c r="D36" t="inlineStr">
        <is>
          <t>linkedin</t>
        </is>
      </c>
      <c r="E36" t="inlineStr"/>
      <c r="F36" t="inlineStr"/>
      <c r="G36" t="inlineStr">
        <is>
          <t>Houston, TX</t>
        </is>
      </c>
      <c r="H36" t="inlineStr"/>
      <c r="I36" t="inlineStr">
        <is>
          <t>The Department of Molecular Diagnostics at MD Anderson Cancer Center is at the forefront of precision oncology, leveraging advanced genomic technologies to deliver clinically actionable insights that directly impact patient care. The department supports a wide range of next\-generation sequencing (NGS)\-based assays and computational platforms that enable accurate diagnosis, prognostication, and treatment selection for cancer patients in a highly regulated clinical environment.
 As a Data Scientist (Bioinformatics Developer), you will develop, implement, and maintain clinical informatics applications and bioinformatics pipelines that support molecular diagnostic testing and genomic reporting. Working closely with molecular diagnostics scientists, bioinformaticians, pathologists, software engineers, and clinical stakeholders, you will translate complex biological and clinical questions into scalable, reproducible computational solutions.
 In this role, you will support and enhance enterprise\-level platforms such as the
 **OncoSeek genomics annotation and reporting engine** 
 , which has been used at MD Anderson for clinical NGS reporting for over a decade. You will also contribute to the development and ongoing maintenance of the
 **MDLConductor laboratory informatics system (LIS)** 
 , integrating laboratory workflows with hospital informatics systems and automating critical processes such as sample tracking, labeling, robotic storage, quantitation, and plate\-based workflows. Your work will directly enable high\-throughput, high\-fidelity clinical laboratory operations.
 You will design and implement algorithms and statistical methods for interpreting genomic data, including variant detection, differential expression, pathway analysis, and other advanced analytics. This position requires deep expertise in bioinformatics theory and hands\-on data analysis, along with the ability to apply these methods to real\-world clinical datasets in compliance with laboratory and regulatory standards.
 The role includes developing and maintaining bioinformatics pipelines for a broad range of NGS applications, including whole genome, whole exome, whole transcriptome, targeted sequencing, single\-cell sequencing, liquid biopsy analysis, and minimal residual disease detection. You will perform and optimize key analytical steps such as quality control, alignment, variant calling, annotation, and reporting, adapting pipelines to meet evolving clinical and research needs.
 You will also integrate existing bioinformatics tools and databases into custom workflows, evaluate emerging technologies, and incorporate new methods to improve efficiency, accuracy, and reproducibility. Maintaining thorough documentation, version control, and software development best practices is essential to ensure transparency and long\-term sustainability of analytical pipelines.
 Collaboration is central to this role. You will actively participate in interdisciplinary project teams, contribute to scientific discussions, present work in meetings and seminars, and provide training and technical support to laboratory staff, precision oncology scientists, pathologists, and clinicians. Through these interactions, you will help drive innovation, support clinical decision\-making, and expand the effective use of genomics and artificial intelligence in cancer care.
 MD Anderson offers a comprehensive total rewards package, including
 **paid medical benefits, generous paid time off, retirement plans, and additional benefits** 
 , providing stability and long\-term career growth within one of the world's leading cancer centers.
 \*\*The ideal candidate will have a PHD, NGS \&amp; C\#/.NET experience\*\*
**JOB SPECIFIC COMPETENCIES**
**Development, Optimization, Deployment and Maintenance of Clinical Informatics Applications and Bioinformatics Pipelines**
 Support functional development of the OncoSeek genomics annotation and reporting engine which has been used to generate genomic next\-generation sequencing panel reports at MD Anderson since 2012\.
 Support, develop and maintain MDLConductor laboratory informatics system(LIS) and applications for MDL. Specific efforts include but are not limited to, integrate MDL LIS with hospital informatics system, develop automated rack label and vial label printing with real\-time Micronics tube mapping for stock tube management for all derivative sample types (e.g. DNA, RNA, cDNA), coordinate interfacing with existing robotic sample storage (ASR), quantitation devices (Synergy), and robotic fluid handlers for plate setups \&amp; core laboratory workflows.
 Design and implement algorithms and statistical methods for the interpretation of genomic data, including identification of genetic variants, differential expression analysis, and pathway analysis. This requires a deep understanding of both bioinformatics theory and practical applications to derive meaningful insights from complex genomic datasets.
 Collaborate with molecular diagnostics professionals to understand project requirements, propose solutions, and provide technical support for data analysis and interpretation. This involves actively engaging with project teams to translate biological questions into computational workflows and troubleshooting issues that arise during data analysis.
 Develop Bioinformatics pipelines for various next generation sequencing (NGS) applications such as whole transcriptome sequencing(WTS), whole genome sequencing (WGS), exome sequencing (WES), targeted sequencing, single\-cell sequencing, liquid biopsy analysis, and minimal residual disease (MRD) detection. This includes adapting existing pipelines and developing new methodologies to address the specific requirements and challenges associated with each application. This also includes processing and analyzing NGS and other genomic data, including tasks such as quality control, alignment, variant calling, and annotation.
 Integrate existing bioinformatics tools and databases into custom workflows to address specific clinical application needs and improve analysis efficiency. This includes evaluating the suitability of available tools and databases for particular analyses and developing scripts or wrappers to automate data processing tasks and facilitate reproducibility. This involves staying up\-to\-date with the latest tools and methods in the field and integrating them into existing pipelines to ensure accurate and efficient analysis, and actively monitoring scientific literature, attending conferences, and participating in online forums and community discussions to identify emerging trends and technologies relevant to genomics research.
 Maintain documentation and version control for developed software and pipelines, ensuring reproducibility and transparency of analyses. This includes writing comprehensive documentation for code and pipelines, managing code repositories using version control systems such as Git, and adhering to best practices for software development and data management.
 Participate in team meetings, seminars, and training sessions to share knowledge and best practices in bioinformatics analysis. This includes presenting updates on ongoing projects, leading discussions on relevant topics in bioinformatics, and providing training to team members on new tools and methods.
 Provide support and training to other team members, including laboratory staff, precision oncology scientists, bioinformaticians, pathologists and clinical oncologists, on the use of bioinformatics tools and data analysis techniques. This involves offering guidance on experimental design, data preprocessing, and interpretation of results, as well as troubleshooting issues and answering technical questions to facilitate productive collaborations across disciplines.
****Required:****
* Bachelor's Degree in Biomedical Engineering, Electrical Engineering, Computer Engineering, Physics, Applied Mathematics, Science, Engineering, Computer Science, Statistics, Computational Biology, or related field
****Preferred:****
* Master's Degree in Science, Engineering, or related field
* PhD in Science, Engineering, or related field
****Required:****
****Work Experience****
* 3 years of scientific software or industry development/analysis experience OR
* 1 year of required experience with a Master's Degree OR
* With a PhD, no experience required
 The University of Texas MD Anderson Cancer Center offers excellent benefits , including medical, dental, paid time off , retirement ,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177954
* Employment Status: Full\-Time
* Employee Status: Regular
* Work Week: Days
* Minimum Salary: US Dollar (USD) 106,500
* Midpoint Salary: US Dollar (USD) 133,000
* Maximum Salary : US Dollar (USD) 159,500
* FLSA: exempt and not eligible for overtime pay
* Fund Type: Hard
* Work Location: Onsite
* Pivotal Position: Yes
* Referral Bonus Available?: Yes
* Relocation Assistance Available?: Yes</t>
        </is>
      </c>
    </row>
    <row r="37">
      <c r="A37" t="inlineStr">
        <is>
          <t>li-4312212661</t>
        </is>
      </c>
      <c r="B37" t="inlineStr">
        <is>
          <t>EY-Parthenon - Strategy and Execution - Growth Platforms - Data Scientist - Director</t>
        </is>
      </c>
      <c r="C37" t="inlineStr">
        <is>
          <t>EY-Parthenon</t>
        </is>
      </c>
      <c r="D37" t="inlineStr">
        <is>
          <t>linkedin</t>
        </is>
      </c>
      <c r="E37" t="inlineStr"/>
      <c r="F37" t="inlineStr"/>
      <c r="G37" t="inlineStr">
        <is>
          <t>Philadelphia, PA</t>
        </is>
      </c>
      <c r="H37" t="inlineStr"/>
      <c r="I37"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Data Scientist Director will collaborate with Business Leaders, AI/ML Engineers, Project Managers, and other team members to design, build, and scale innovative AI solutions that power strategic growth initiatives and create enterprise value for F500 clients.
**Your Key Responsibilities**
 The EY Growth Platforms Data Scientist Director will play a critical role building and scaling our multi\-source data pipelines— sourcing, merging, and transforming data assets that power high\-visibility client engagements. This role will architect, clean, transform, and enrich data to power AI/ML\-driven agents and dashboards, and collaborate with Business leaders and C\-level executives to get hands\-on experience solving some of the most interesting and mission\-critical business questions with data.
**Skills And Attributes For Success**
* Lead ingestion and ETL design for structured and semi\-structured data (CSV, JSON, APIs, Flat Files).
* Understand schema, data quality, and transformation logic for multiple sources on a client\-by\-client like NAIC, NOAA, Google Trends, EBRI, Cannex, LIMRA, and internal client logs.
* Design normalization and joining pipelines across vertical domains (insurance \+ consumer \+ economic data).
* Build data access layers optimized for ML (feature stores, event streams, vector stores).
* Define and enforce standards for data provenance, quality checks, logging, and version control.
* Partner with AI/ML and Platform teams to ensure data is ML\- and privacy\-ready (HIPAA, SOC2, etc.).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Experience in data engineering or hybrid data science roles focused on pipeline scalability and schema management.
* Expertise in cloud\-native data infrastructure (e.g., GCP/AWS, Snowflake, BigQuery, Databricks, Delta Lake).
* Strong SQL/Python/Scala proficiency and experience with orchestration tools (Airflow, dbt).
* Experience with merging and reconciling third\-party data (public APIs, vendor flat files, dashboards).
* Comfort defining semantic layers and mapping unstructured/dirty datasets into usable models for AI/BI use.
* Basic understanding of ML/feature pipelines and downstream modeling needs.
* The ability and willingness to travel and work in excess of standard hours when necessary.
**Ideally, you will have**
* Experience working in a startup and/or management/strategy consulting.
* Knowledge of how to leverage AI tools in a business setting, including Microsoft Copilot.
* Collaborative, problem\-solving, and growth\-oriented mindset.
**What We Look For**
 We’re interested in passionate leaders with strong vision and a desire to stay on top of trends in the Data Science and Big Data industry. If you have a genuine passion for helping businesses achieve the full potential of their data,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8">
      <c r="A38" t="inlineStr">
        <is>
          <t>li-4311998827</t>
        </is>
      </c>
      <c r="B38" t="inlineStr">
        <is>
          <t>EY-Parthenon - Strategy and Execution - Growth Platforms - Data Scientist - Director</t>
        </is>
      </c>
      <c r="C38" t="inlineStr">
        <is>
          <t>EY-Parthenon</t>
        </is>
      </c>
      <c r="D38" t="inlineStr">
        <is>
          <t>linkedin</t>
        </is>
      </c>
      <c r="E38" t="inlineStr"/>
      <c r="F38" t="inlineStr"/>
      <c r="G38" t="inlineStr">
        <is>
          <t>Chicago, IL</t>
        </is>
      </c>
      <c r="H38" t="inlineStr"/>
      <c r="I38"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Data Scientist Director will collaborate with Business Leaders, AI/ML Engineers, Project Managers, and other team members to design, build, and scale innovative AI solutions that power strategic growth initiatives and create enterprise value for F500 clients.
**Your Key Responsibilities**
 The EY Growth Platforms Data Scientist Director will play a critical role building and scaling our multi\-source data pipelines— sourcing, merging, and transforming data assets that power high\-visibility client engagements. This role will architect, clean, transform, and enrich data to power AI/ML\-driven agents and dashboards, and collaborate with Business leaders and C\-level executives to get hands\-on experience solving some of the most interesting and mission\-critical business questions with data.
**Skills And Attributes For Success**
* Lead ingestion and ETL design for structured and semi\-structured data (CSV, JSON, APIs, Flat Files).
* Understand schema, data quality, and transformation logic for multiple sources on a client\-by\-client like NAIC, NOAA, Google Trends, EBRI, Cannex, LIMRA, and internal client logs.
* Design normalization and joining pipelines across vertical domains (insurance \+ consumer \+ economic data).
* Build data access layers optimized for ML (feature stores, event streams, vector stores).
* Define and enforce standards for data provenance, quality checks, logging, and version control.
* Partner with AI/ML and Platform teams to ensure data is ML\- and privacy\-ready (HIPAA, SOC2, etc.).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Experience in data engineering or hybrid data science roles focused on pipeline scalability and schema management.
* Expertise in cloud\-native data infrastructure (e.g., GCP/AWS, Snowflake, BigQuery, Databricks, Delta Lake).
* Strong SQL/Python/Scala proficiency and experience with orchestration tools (Airflow, dbt).
* Experience with merging and reconciling third\-party data (public APIs, vendor flat files, dashboards).
* Comfort defining semantic layers and mapping unstructured/dirty datasets into usable models for AI/BI use.
* Basic understanding of ML/feature pipelines and downstream modeling needs.
* The ability and willingness to travel and work in excess of standard hours when necessary.
**Ideally, you will have**
* Experience working in a startup and/or management/strategy consulting.
* Knowledge of how to leverage AI tools in a business setting, including Microsoft Copilot.
* Collaborative, problem\-solving, and growth\-oriented mindset.
**What We Look For**
 We’re interested in passionate leaders with strong vision and a desire to stay on top of trends in the Data Science and Big Data industry. If you have a genuine passion for helping businesses achieve the full potential of their data,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9">
      <c r="A39" t="inlineStr">
        <is>
          <t>li-4352420548</t>
        </is>
      </c>
      <c r="B39" t="inlineStr">
        <is>
          <t>Senior Data Scientist</t>
        </is>
      </c>
      <c r="C39" t="inlineStr">
        <is>
          <t>Jobs via eFinancialCareers</t>
        </is>
      </c>
      <c r="D39" t="inlineStr">
        <is>
          <t>linkedin</t>
        </is>
      </c>
      <c r="E39" t="inlineStr"/>
      <c r="F39" t="inlineStr"/>
      <c r="G39" t="inlineStr">
        <is>
          <t>New York, NY</t>
        </is>
      </c>
      <c r="H39" t="inlineStr"/>
      <c r="I39" t="inlineStr">
        <is>
          <t>**Job Summary**
 As a Senior Data Scientist, you will leverage cutting\-edge technologies and methodologies to deliver data\-driven insights and solutions for complex customer needs. You will work on end\-to\-end solutions, including building Proof of Concepts (POCs), professional services, and integrating third\-party technologies with client systems. This role is pivotal to ensuring the successful implementation of data science\-driven products and capabilities, with a key focus on AI, machine learning, and Natural Language Processing (NLP). You will collaborate closely with cross\-functional teams, delivering innovative solutions to customers in highly dynamic, data\-intensive environments.
**Role \&amp; Responsibilities**
* Lead and execute complex customer engagements, utilizing specialized expertise in AI, Machine Learning, and NLP, including building POCs, integrations, and deployments with customer workflows.
* Apply a combination of technical, product, and data science expertise to co\-create solutions that address specific customer needs, including ideation, clarification, technical design, and documentation.
* Lead detailed customer presentations for complex technical propositions, focusing on explaining advanced data science concepts and AI/ML solutions in an accessible way.
* Manage relationships with internal and external stakeholders, ensuring that project and customer\-specific technical requirements are captured, refined, and translated into actionable solutions.
* Oversee and contribute to the development of Proof of Concepts, ensuring integration with customer workflows and systems.
* Lead the technical design and implementation of AI and machine learning solutions that integrate with existing client infrastructure.
* Drive the adoption of advanced data science and AI technologies to deliver high\-value solutions.
* Develop and present strategies for scaling AI solutions, utilizing cloud platforms (Azure, AWS, GCP) for production\-ready deployments.
* Lead and mentor junior team members, fostering a collaborative environment for continuous learning and technical growth.
**Qualifications and Experience Required**
* 10\+ years of experiencein data science or a related field, with a focus on AI, machine learning, and NLP, preferably in a senior technical or leadership role.
* Bachelor's or Master's degreein Computer Science, Engineering, Data Science, or related field. A Ph.D. in a relevant field is a plus.
* Expertise in Natural Language Processing (NLP)with a deep understanding of the latest NLP stack, including transformer\-based architectures such as BERT, GPT, T5, and newer models like GPT\-4, PaLM, and other state\-of\-the\-art large language models (LLMs) that are driving the evolution of NLP applications.
* Extensive experiencewith advanced machine learning and deep learning frameworks such as TensorFlow 2\.x, PyTorch, Hugging Face, and JAX for NLP and other advanced AI tasks.
* Deep knowledge of cloud services (AWS, GCP, Azure)and their use in data science workflows, particularly for deploying machine learning models at scale.
* Expertise in Python, with advanced knowledge of modern data science and machine learning libraries such as Pandas, NumPy, SciPy, scikit\-learn, spaCy, as well as cutting\-edge NLP frameworks like Hugging Face Transformers, Datasets, and NLTKfor efficient model training, fine\-tuning, and data preprocessing.
* Strong programming skills in Python, R, and SQL, with advanced proficiency in handling large\-scale data using distributed data systemslike Apache Spark, cloud\-native NoSQL databasessuch as MongoDB, Cassandra, and DynamoDB, as well as search engines like Elasticsearchand vector databasesfor semantic search (e.g., Pinecone, Weaviate).
* Hands\-on experiencewith data ingestion, data wrangling, and data pipeline orchestration using tools like Apache Kafka, Apache Spark, Airflow, and distributed computing frameworks like Daskand Ray.
* Experience with advanced data science methodologies, including ensemble learning, deep reinforcement learning, transfer learning, and deploying large pre\-trained modelsfor real\-time inference and production.
* Ability to design, prototype, and deploy NLP modelsfor a range of applications, from information retrieval to sentiment analysis, chatbots, and question answering systems.
* Demonstrated success in delivering solutions in complex, fast\-paced environments with a focus on customer satisfaction and technical excellence.
* Strong communication skills, with the ability to explain complex technical concepts to both technical and non\-technical stakeholders.
* Proven experience in customer\-facing rolesis highly valued, particularly in the enterprise tech or financial sectors.
* Familiarity with AI\-powered product developmentin industries such as finance, healthcare, or e\-commerce.
* Experience with data visualization toolslike Tableau, Power BI, or Plotlyto present data science findings effectively.
* Knowledge of regulatory requirements in finance, including experience working with financial data feeds and APIs.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40">
      <c r="A40" t="inlineStr">
        <is>
          <t>li-4311995977</t>
        </is>
      </c>
      <c r="B40" t="inlineStr">
        <is>
          <t>EY-Parthenon - Strategy and Execution - Growth Platforms - Data Scientist - Director</t>
        </is>
      </c>
      <c r="C40" t="inlineStr">
        <is>
          <t>EY-Parthenon</t>
        </is>
      </c>
      <c r="D40" t="inlineStr">
        <is>
          <t>linkedin</t>
        </is>
      </c>
      <c r="E40" t="inlineStr"/>
      <c r="F40" t="inlineStr"/>
      <c r="G40" t="inlineStr">
        <is>
          <t>McLean, VA</t>
        </is>
      </c>
      <c r="H40" t="inlineStr"/>
      <c r="I40"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Data Scientist – Director**
**The opportunity**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Data Scientist Director will collaborate with Business Leaders, AI/ML Engineers, Project Managers, and other team members to design, build, and scale innovative AI solutions that power strategic growth initiatives and create enterprise value for F500 clients.
**Your Key Responsibilities**
 The EY Growth Platforms Data Scientist Director will play a critical role building and scaling our multi\-source data pipelines— sourcing, merging, and transforming data assets that power high\-visibility client engagements. This role will architect, clean, transform, and enrich data to power AI/ML\-driven agents and dashboards, and collaborate with Business leaders and C\-level executives to get hands\-on experience solving some of the most interesting and mission\-critical business questions with data.
**Skills And Attributes For Success**
* Lead ingestion and ETL design for structured and semi\-structured data (CSV, JSON, APIs, Flat Files).
* Understand schema, data quality, and transformation logic for multiple sources on a client\-by\-client like NAIC, NOAA, Google Trends, EBRI, Cannex, LIMRA, and internal client logs.
* Design normalization and joining pipelines across vertical domains (insurance \+ consumer \+ economic data).
* Build data access layers optimized for ML (feature stores, event streams, vector stores).
* Define and enforce standards for data provenance, quality checks, logging, and version control.
* Partner with AI/ML and Platform teams to ensure data is ML\- and privacy\-ready (HIPAA, SOC2, etc.).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Experience in data engineering or hybrid data science roles focused on pipeline scalability and schema management.
* Expertise in cloud\-native data infrastructure (e.g., GCP/AWS, Snowflake, BigQuery, Databricks, Delta Lake).
* Strong SQL/Python/Scala proficiency and experience with orchestration tools (Airflow, dbt).
* Experience with merging and reconciling third\-party data (public APIs, vendor flat files, dashboards).
* Comfort defining semantic layers and mapping unstructured/dirty datasets into usable models for AI/BI use.
* Basic understanding of ML/feature pipelines and downstream modeling needs.
* The ability and willingness to travel and work in excess of standard hours when necessary.
**Ideally, you will have**
* Experience working in a startup and/or management/strategy consulting.
* Knowledge of how to leverage AI tools in a business setting, including Microsoft Copilot.
* Collaborative, problem\-solving, and growth\-oriented mindset.
**What We Look For**
 We’re interested in passionate leaders with strong vision and a desire to stay on top of trends in the Data Science and Big Data industry. If you have a genuine passion for helping businesses achieve the full potential of their data,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1">
      <c r="A41" t="inlineStr">
        <is>
          <t>li-4338956577</t>
        </is>
      </c>
      <c r="B41" t="inlineStr">
        <is>
          <t>Principal Applied Scientist, AWS Agentic AI Science</t>
        </is>
      </c>
      <c r="C41" t="inlineStr">
        <is>
          <t>Amazon Web Services (AWS)</t>
        </is>
      </c>
      <c r="D41" t="inlineStr">
        <is>
          <t>linkedin</t>
        </is>
      </c>
      <c r="E41" t="inlineStr"/>
      <c r="F41" t="inlineStr"/>
      <c r="G41" t="inlineStr">
        <is>
          <t>New York, United States</t>
        </is>
      </c>
      <c r="H41" t="inlineStr"/>
      <c r="I41" t="inlineStr">
        <is>
          <t>**Description**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A3132887</t>
        </is>
      </c>
    </row>
    <row r="42">
      <c r="A42" t="inlineStr">
        <is>
          <t>li-4339056367</t>
        </is>
      </c>
      <c r="B42" t="inlineStr">
        <is>
          <t>Principal Applied Scientist, AWS Agentic AI Science</t>
        </is>
      </c>
      <c r="C42" t="inlineStr">
        <is>
          <t>Amazon Web Services (AWS)</t>
        </is>
      </c>
      <c r="D42" t="inlineStr">
        <is>
          <t>linkedin</t>
        </is>
      </c>
      <c r="E42" t="inlineStr"/>
      <c r="F42" t="inlineStr"/>
      <c r="G42" t="inlineStr">
        <is>
          <t>Santa Clara, CA</t>
        </is>
      </c>
      <c r="H42" t="inlineStr"/>
      <c r="I42" t="inlineStr">
        <is>
          <t>**Description**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A3132887</t>
        </is>
      </c>
    </row>
    <row r="43">
      <c r="A43" t="inlineStr">
        <is>
          <t>li-4367264581</t>
        </is>
      </c>
      <c r="B43" t="inlineStr">
        <is>
          <t>Senior Data Scientist, AI Foundations</t>
        </is>
      </c>
      <c r="C43" t="inlineStr">
        <is>
          <t>Capital One</t>
        </is>
      </c>
      <c r="D43" t="inlineStr">
        <is>
          <t>linkedin</t>
        </is>
      </c>
      <c r="E43" t="inlineStr"/>
      <c r="F43" t="inlineStr"/>
      <c r="G43" t="inlineStr">
        <is>
          <t>San Jose, CA</t>
        </is>
      </c>
      <c r="H43" t="inlineStr"/>
      <c r="I43"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4">
      <c r="A44" t="inlineStr">
        <is>
          <t>li-4367484130</t>
        </is>
      </c>
      <c r="B44" t="inlineStr">
        <is>
          <t>Data Scientist I</t>
        </is>
      </c>
      <c r="C44" t="inlineStr">
        <is>
          <t>Boston Scientific</t>
        </is>
      </c>
      <c r="D44" t="inlineStr">
        <is>
          <t>linkedin</t>
        </is>
      </c>
      <c r="E44">
        <f>HYPERLINK("https://www.linkedin.com/jobs/view/4367484130", "https://www.linkedin.com/jobs/view/4367484130")</f>
        <v/>
      </c>
      <c r="F44">
        <f>HYPERLINK("https://bostonscientific.eightfold.ai/careers/job/563602810759311?utm_source=linkedin&amp;domain=bostonscientific.com&amp;urlHash=NJDU", "https://bostonscientific.eightfold.ai/careers/job/563602810759311?utm_source=linkedin&amp;domain=bostonscientific.com&amp;urlHash=NJDU")</f>
        <v/>
      </c>
      <c r="G44" t="inlineStr">
        <is>
          <t>San Jose, CA</t>
        </is>
      </c>
      <c r="H44" t="inlineStr"/>
      <c r="I44"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Data Scientist I
**About The Role**
 Boston Scientific is a leading company in the healthcare industry, specializing in the development and manufacturing of cutting\-edge medical devices. We are dedicated to transforming lives through innovative medical solutions that improve the health of patients around the world.
 We are seeking a motivated Data Scientist I to join our dynamic team within the Process Development division. As a Data Scientist I, you will work closely with senior data scientists and engineers to help leverage data analytics to drive insights, inform decision\-making processes, derive actionable insights, and optimize performance within our medical device organization. You will collaborate closely with cross\-functional teams to assist in the development and implementation of data analytics solutions that support our mission of delivering high\-quality products and improving patient outcomes.
**Your Responsibilities Will Include**
* Collaborate with cross\-functional teams to understand project requirements and objectives.
* Assess manufacturing processes for automation and analytics opportunities.
* Collect, clean, and preprocess large datasets from various sources, ensuring data quality and integrity.
* Develop and implement statistical models, machine learning algorithms, and data mining techniques to analyze data.
* Assist in designing and conducting experiments to test hypotheses and validate models.
* Generate and visualize insights from data analysis, creating detailed reports and presentations for stakeholders.
* Prepares and presents technical data and recommendations at technical reviews.
* Continuously monitor and improve the performance of existing models and algorithms.
* Stay up\-to\-date with the latest advancements in data science, machine learning, and healthcare technology.
**Required Qualifications**
* 0 \- 2 years of experience in the medical device space.
* Bachelors degree in Data Science.
* Must be eligible to work in the U.S. without company sponsorship, now or in the future, for employment\-based work authorization.
* Previous internship experience with Boston Scientific.
**Preferred Qualifications**
* Proficiency in Python programming language as well as other languages (e.g. R, Matlab, Julia, C\+\+, Java, etc.)
* Experience with data analysis and visualization tools such as Pandas, NumPy, Matplotlib, Plotly, Seaborn, or similar.
* Excellent familiarity with machine learning frameworks and libraries such as PyTorch, Scikit\-learn, TensorFlow, or similar.
* Robust understanding of large language models (LLM) and frameworks including retrieval\-augmented generation (RAG). (e.g. LangChain, LlaMA, GPT, Bard, etc.)
* Basic understanding of statistical modeling, machine learning algorithms, and predictive analytics techniques.
* Experience with cloud platforms such as AWS, Azure, or Google Cloud.
* Basic understanding of database management systems.
* Experience with version control systems such as Git.
* Strong problem\-solving skills and attention to detail.
* Excellent communication skills, with the ability to convey complex technical concepts to non\-technical stakeholders.
* Ability to work independently as well as collaboratively in a team environment.
**Requisition ID: 623566**
**Minimum Salary: $ 68600**
**Maximum Salary: $ 130300**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45">
      <c r="A45" t="inlineStr">
        <is>
          <t>li-4367265235</t>
        </is>
      </c>
      <c r="B45" t="inlineStr">
        <is>
          <t>Data Scientist</t>
        </is>
      </c>
      <c r="C45" t="inlineStr">
        <is>
          <t>CenterCheck</t>
        </is>
      </c>
      <c r="D45" t="inlineStr">
        <is>
          <t>linkedin</t>
        </is>
      </c>
      <c r="E45">
        <f>HYPERLINK("https://www.linkedin.com/jobs/view/4367265235", "https://www.linkedin.com/jobs/view/4367265235")</f>
        <v/>
      </c>
      <c r="F45" t="inlineStr"/>
      <c r="G45" t="inlineStr">
        <is>
          <t>Los Angeles County, CA</t>
        </is>
      </c>
      <c r="H45" t="inlineStr"/>
      <c r="I45" t="inlineStr">
        <is>
          <t>**Join the CenterCheck Team – Data Scientist** 
**Location:** 
 Remote \- HQ in Los Angeles
**Industry:** 
 Commercial Real Estate Technology
**3\-Month Contract to Hire Full Time Employment** 
**At CenterCheck** 
 , we’re transforming how property owners, retail stores, and brokerages gain insights into store\-level performance nationwide. Our platform delivers market\-leading store\-level sales data and customer intelligence that empower clients to develop a more productive real estate portfolio.
 We’re looking for a motivated
**Data Scientist** 
 who’s excited to help improve our real\-world modeling with a fast\-moving company at the intersection of
**technology and retail real estate** 
 .
**You Are:** 
* Passionate about building models of real world behavior.
* An excellent judge of your own abilities.
* An inspired communicator.
* Collaborative by nature with an acute touch for mentorship.
* Extremely self\-sufficient and self\-motivated, and despise micromanagement.
* Thoughtful in your actions.
* Data\-informed.
* Driven and meticulous.
* Motivated by creativity.
* Willing and able to work Pacific Time Zone hours.
**Responsibilities:** 
* Set data requirements based on information from internal teams and user research.
* Have an eagerness to innovate on the product and identify creative data solutions to improve the user experience.
* Analyze how a product solution satisfies market needs and consumer preferences.
* Coordinate with stakeholders and other team members to ensure consistent and accurate communication.
* Seek new data sources to improve our models.
* Ensure quality and accurate fitness of the real world.
* Interface between prospective clients, sales, and customer support to respond to specific customer inquiries.
* Develop customized reports, stylized and branded for professionalism.
* Data entry \- Not afraid to spend full days grinding.
**2\-3 Years of Experience In The Following Areas of Data Science \&amp; Statistics:** 
* **Geospatial Analysis:** 
 Extracting insights from location\-based data.
* **Descriptive \&amp; Inferential Statistics:** 
 Summarizing data and making data\-driven decisions using hypothesis testing and confidence intervals.
* **Correlation Analysis:** 
 Identifying relationships between variables.
* **Machine Learning:** 
 Building models for regression, classification, clustering, and outlier detection.
* **Time Series Analysis:** 
 Analyzing trends, seasonality, and anomalies in temporal data.
* **Data Visualization:** 
 Communicating insights effectively with tools like Tableau, Plotly, and Matplotlib.
* **ETL:** 
 Transforming raw data into usable formats for analysis.
* **Python \&amp; PySpark:** 
 Leveraging Python for workflows and PySpark for processing large\-scale data.
* **SQL:** 
 Querying and managing relational databases for efficient data access.
* **Data Entry: Good data in, good data out. Sometimes you just gotta roll up your sleeves.**
**Bonus:** 
* **Polling Modeling:** 
 Similar to political polling, you have an understanding with methods of extrapolating sample representative data, and extrapolating that to represent the larger whole, and ultimately assigning confidence intervals to grade fitness.
* **Real Estate:** 
 A familiarity or understanding of the world of commercial real estate, retail, and storefront economics. A general curiosity and motivation to learn and seek out inspirations from a variety of areas in Commercial Real Estate.
**Who You Are:** 
* Passionate about Commercial Real Estate and Technology.
* Willing to pick up the phone and make cold calls.
* A natural storyteller.
* An excellent judge of your own abilities.
* An inspired communicator.
* Collaborative by nature.
* Extremely self\-sufficient and self\-motivated, and despise micromanagement.
* A risk taker.
**Who We Are \- Our Values:** 
* **No Micromanagement:** 
 We expect you to find value, and to fill it, with little handholding. We work closely together, but we don’t police each other, and we respect everyone’s autonomy and expertise.
* **We Are True Team Players:** 
 We see the power of a true team and the dynamics that create the greatest sports teams in history not dissimilar to how we must play as a team ourselves \- genuine collaboration, integrity and heartfelt camaraderie.
* **We Are Great Winners:** 
 We are in it to win it. We strive to transform the fan experience while remaining friendly, humble, thoughtful and all\-around good corporate citizens.
* **We Are Great Losers:** 
 Embracing failure is the single most important factor in success. We swing for the fences and if we miss, we study, learn and swing again.
* **We Are Relentless:** 
 If you want your jersey on the wall (or your idea to remain on the whiteboard), you’ve got to put the work in. And we are relentless. We innovate. We think creatively and iterate obsessively. The stakes are high, the challenges are real \- but the possibilities are within grasp.
**Why Join CenterCheck** 
 Be part of a
**rapidly growing startup** 
 changing the future of retail real estate intelligence.
* **Opportunity:** 
 With a small, core team of talented people, iterating and scaling fast, you’ll be hands\-on, collaborating, and learning right away.
* **Total Comp:** 
   A competitive salary based on experience.
* Equity incentive plan.
* Health, vision, and dental benefits.
* Opportunities for growth and advancement as we scale.
* A collaborative, mission\-driven culture where your voice matters.
**3\-Month Contract to Hire Full Time Employment** 
**To Apply:** 
 Start your application with the following sentence, “I read this job description fully”.
 We look forward to reviewing your application!</t>
        </is>
      </c>
    </row>
    <row r="46">
      <c r="A46" t="inlineStr">
        <is>
          <t>li-4359750211</t>
        </is>
      </c>
      <c r="B46" t="inlineStr">
        <is>
          <t>Data Scientist (Remote)</t>
        </is>
      </c>
      <c r="C46" t="inlineStr">
        <is>
          <t>Elder Research</t>
        </is>
      </c>
      <c r="D46" t="inlineStr">
        <is>
          <t>linkedin</t>
        </is>
      </c>
      <c r="E46">
        <f>HYPERLINK("https://www.linkedin.com/jobs/view/4359750211", "https://www.linkedin.com/jobs/view/4359750211")</f>
        <v/>
      </c>
      <c r="F46" t="inlineStr"/>
      <c r="G46" t="inlineStr"/>
      <c r="H46" t="inlineStr"/>
      <c r="I46" t="inlineStr">
        <is>
          <t>**Job Title:** 
 Data Scientist
**Location:** 
 Preference for individuals located in the DC Metro / DMV region
**Workplace:** 
 Remote (occasional travel may be required)
**Clearance Required:** 
 Secret
**Position Overview**
 As a Data Scientist, you will work directly with clients, managers and technical staff to understand business needs, develop technical plans, and deliver data\-driven analytical solutions that solve client problems. You will process, analyze, and visualize data from a wide variety of sources and types using Databricks, Python, SQL, and Qlik.
**Responsibilities Include**
* Perform data science capabilities using analytic environments such as Databricks and open\-source analytic code such as Python and SQL.
* Deploy products (e.g., dashboards, workflows, decision support algorithms, etc.) for operational use on data platforms like Advana, using data visualization software such as Qlik.
* Create prototypes/proof of concept demonstrations utilizing rapid development of new data pipelines.
**Position Requirements**
* Active Secret Security Clearance
* Bachelor of Science degree in Computer Science, Mathematics, Statistics, Data Science or similar field
* 3\+ years of experience
* Experience working with Python
* Experience with SQL
* Experience with data visualization (Qlik ideally, Tableau/PowerBI/other software acceptable)
* Continuous Learning Mindset
**Preferred Qualifications** 
* AWS Experience
* JavaScript familiarity
* Experience with Advana is a plus
* Experience with CDAO is a plus
* Familiarity with the mission space and Office of the Undersecretary of Defense for Personnel and Readiness is a plus
* Experience with or desire to learn to:
+ Deploy validated models into production to support the development of decision support tools, dashboards, and workflows.
+ Perform statistical learning and pattern recognition through unsupervised, supervised, and reinforcement learning methods.
+ Leverage deep learning techniques/technologies such as neural networks/Graphical Processing Units (GPUs) to create large\-language models (LLMs).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47">
      <c r="A47" t="inlineStr">
        <is>
          <t>li-4367467594</t>
        </is>
      </c>
      <c r="B47" t="inlineStr">
        <is>
          <t>Data Scientist, Sr.</t>
        </is>
      </c>
      <c r="C47" t="inlineStr">
        <is>
          <t>Airbnb</t>
        </is>
      </c>
      <c r="D47" t="inlineStr">
        <is>
          <t>linkedin</t>
        </is>
      </c>
      <c r="E47">
        <f>HYPERLINK("https://www.linkedin.com/jobs/view/4367467594", "https://www.linkedin.com/jobs/view/4367467594")</f>
        <v/>
      </c>
      <c r="F47" t="inlineStr"/>
      <c r="G47" t="inlineStr"/>
      <c r="H47" t="inlineStr"/>
      <c r="I47" t="inlineStr">
        <is>
          <t>**About The Company** 
 Airbnb was founded in 2007 when two hosts welcomed three guests into their San Francisco home, marking the beginning of a revolutionary approach to travel and hospitality. Over the years, Airbnb has grown exponentially and now boasts over 5 million hosts worldwide who have welcomed more than 2 billion guest arrivals across nearly every country on the planet. The platform offers unique stays and experiences, enabling guests to connect with local communities in authentic and meaningful ways. Airbnb’s mission is to create a world where anyone can belong anywhere, fostering a sense of community and belonging through innovative travel solutions.
**About The Role** 
 We are seeking a highly skilled Senior Staff Data Scientist to join our Guest Data Science team within the Guest Experience division. This role is pivotal in leveraging AI, causal inference, and advanced data science methodologies to understand user behavior, detect underlying intent, and develop data products that enhance the personalized discovery experience for our guests. The ideal candidate will lead efforts to identify and evaluate guest preferences throughout their journey on our platform, driving innovations that improve guest engagement and conversion rates. You will collaborate closely with product, engineering, and design teams to shape in\-product optimization strategies and UX architecture, ensuring a seamless and tailored experience for every guest. This position offers an exciting opportunity to influence Airbnb’s data strategy and contribute to building a more personalized, engaging, and efficient marketplace.
**Qualifications** 
* Advanced degree in Computer Science, Statistics, Econometrics, or a related field.
* 9\+ years of industry experience with a PhD or 12\+ years with a Master’s degree.
* Expertise in causal inference with marketplace experience.
* Preferred domain experience in search, UX discovery, and personalized evidence systems.
* Proficiency in at least one programming language for data analysis, such as Python or R, and familiarity with SQL.
* Experience developing proof\-of\-concept prototypes and deploying scalable data solutions.
* Strong communication skills with the ability to collaborate effectively with cross\-functional teams in product, engineering, and design.
* Demonstrated success in both collaborative and independent work environments.
* A passion for AI, machine learning, and staying current with developments in large language models and dynamic systems.
* Willingness to engage with the technical community and contribute to ongoing learning and innovation.
**Responsibilities** 
* Develop a deep understanding of guest navigation and re\-engagement patterns through analysis and research using granular user action and sequence datasets.
* Partner with product and engineering teams to establish technical frameworks and lead scientific initiatives aimed at detecting revealed preferences and reducing online friction.
* Build prototypes and develop data frameworks, models, and artifacts utilizing AI toolkits to quantify guest preferences and behaviors.
* Evaluate the effectiveness of derived guest preferences by conducting experiments, validating hypotheses, and measuring online engagement metrics.
* Implement continuous feedback loops to ensure high\-impact results and refine data products based on real\-time data insights.
* Regularly present findings, insights, and strategic recommendations to leadership and cross\-functional teams to influence product development and user experience improvements.
* Drive innovation by exploring new paradigms and methodologies in AI and causal inference to enhance personalization and discovery processes.
**Benefits** 
* Competitive salary and performance\-based bonuses.
* Comprehensive health, dental, and vision insurance plans.
* Flexible work arrangements, including remote work options.
* Generous paid time off and holiday leave policies.
* Opportunities for professional development and continuous learning.
* Employee travel credits and exclusive access to Airbnb experiences.
* Supportive and inclusive work environment fostering diversity and belonging.
 Equal Opportunity
 Airbnb is an Equal Opportunity Employer. We celebrate diversity and are committed to creating an inclusive environment for all employees. All employment is decided based on qualifications, merit, and business needs. We do not discriminate on the basis of race, color, religion, gender, gender identity or expression, sexual orientation, national origin, genetics, disability, age, or veteran status.</t>
        </is>
      </c>
    </row>
    <row r="48">
      <c r="A48" t="inlineStr">
        <is>
          <t>li-4367476460</t>
        </is>
      </c>
      <c r="B48" t="inlineStr">
        <is>
          <t>Data Scientist</t>
        </is>
      </c>
      <c r="C48" t="inlineStr">
        <is>
          <t>Tilt</t>
        </is>
      </c>
      <c r="D48" t="inlineStr">
        <is>
          <t>linkedin</t>
        </is>
      </c>
      <c r="E48">
        <f>HYPERLINK("https://www.linkedin.com/jobs/view/4367476460", "https://www.linkedin.com/jobs/view/4367476460")</f>
        <v/>
      </c>
      <c r="F48" t="inlineStr"/>
      <c r="G48" t="inlineStr"/>
      <c r="H48" t="inlineStr"/>
      <c r="I48" t="inlineStr">
        <is>
          <t>**About The Company**
 Join the Tilt team. At Tilt (formerly Empower), we are redefining the landscape of financial access by leveraging innovative technology and data\-driven insights. Our company specializes in creating mobile\-first financial products and machine learning\-powered credit models that go beyond traditional credit scoring methods. By utilizing over 250 real\-time financial signals, we identify genuine potential in individuals often overlooked by conventional lenders. Recognized among the next billion\-dollar startups, Tilt is committed to transforming how people access credit and building a new, fairer credit system that supports the aspirations of the working population. Our mission is to empower individuals to achieve their financial goals through smarter, more inclusive solutions.
**About The Role**
 We are seeking a highly skilled and passionate Staff Data Scientist to join our dynamic team. In this role, you will oversee the entire lifecycle of machine learning model development—from initial stakeholder collaboration, data pipeline creation, and technical development to deployment and ongoing optimization. Your expertise will directly impact our credit risk models, paycheck detection algorithms, and various other ML\-based solutions aimed at reducing loss rates and increasing approval rates. This position offers an exciting opportunity to work closely with credit, product, and finance teams to influence strategic decisions and drive business growth. As a remote\-first company, Tilt values flexibility and connectivity, with regular company offsites to foster team cohesion.
**Qualifications**
* Bachelor’s degree in engineering, computer science, finance, mathematics, or related field
* 6\+ years of industry experience in data mining, machine learning, statistical analysis, and predictive modeling
* Deep understanding of statistical and machine learning techniques including regression, classification, clustering, and optimization
* Experience building predictive models from scratch
* Strong programming skills in Python and intermediate to advanced SQL knowledge
* Hands\-on experience with ML packages such as scikit\-learn, LightGBM, XGBoost, SparkML
* Knowledge of deep learning frameworks like TensorFlow, Keras, or PyTorch is preferred but not mandatory
* Ability to work effectively with cross\-functional teams including engineering, product, credit, and operations
* Excellent problem\-solving skills and strong communication abilities, capable of engaging both technical and executive audiences
**Responsibilities**
* Develop and refine machine learning models to address key business priorities, including credit risk, fraud detection, and customer experience enhancements
* Collaborate with stakeholders to understand requirements and translate them into scalable data science solutions
* Design, implement, and maintain data pipelines and analytics infrastructure to support ongoing and future analysis
* Work closely with engineering teams to deploy models into production environments seamlessly
* Influence strategies related to underwriting, marketing, and customer engagement through data\-driven insights
* Monitor model performance and conduct ongoing tuning to ensure accuracy and fairness
* Contribute to the development of data standards and best practices across teams
* Stay updated with the latest advancements in machine learning and incorporate innovative techniques into our solutions
**Benefits**
* Remote\-first work environment with support for flexible working arrangements
* Reimbursement for home office setup and equipment
* Competitive compensation packages complemented by generous equity options
* Comprehensive health plans across multiple premium levels with substantial subsidies
* Opportunities for global collaboration and visibility with leadership
* Paid international company offsites held twice yearly for team bonding and strategic alignment
* Recognition and growth opportunities based on contributions and impact
 Equal Opportunity
 At Tilt, we are committed to fostering an inclusive and diverse workplace. We believe that different perspectives and backgrounds drive innovation and growth. We welcome applications from all qualified candidates regardless of race, ethnicity, gender, age, sexual orientation, disability, or background. Our hiring practices are designed to ensure equal opportunity for all, and we strive to create an environment where everyone feels valued and empowered to succeed.</t>
        </is>
      </c>
    </row>
    <row r="49">
      <c r="A49" t="inlineStr">
        <is>
          <t>li-4367491010</t>
        </is>
      </c>
      <c r="B49" t="inlineStr">
        <is>
          <t>Data Scientist, Fraud Analytics &amp; Technical Writing (3951)</t>
        </is>
      </c>
      <c r="C49" t="inlineStr">
        <is>
          <t>GBG Plc</t>
        </is>
      </c>
      <c r="D49" t="inlineStr">
        <is>
          <t>linkedin</t>
        </is>
      </c>
      <c r="E49">
        <f>HYPERLINK("https://www.linkedin.com/jobs/view/4367491010", "https://www.linkedin.com/jobs/view/4367491010")</f>
        <v/>
      </c>
      <c r="F49" t="inlineStr"/>
      <c r="G49" t="inlineStr">
        <is>
          <t>Atlanta, GA</t>
        </is>
      </c>
      <c r="H49" t="inlineStr"/>
      <c r="I49" t="inlineStr">
        <is>
          <t>**Enabling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
**Data Scientist \- Fraud Analytics \&amp; Technical Writing**
 Join GBG's
 **Go‑to‑Market Data Science \&amp; Analytics** 
 team, a newly established, high‑impact function shaping how we demonstrate value to customers and empower internal teams with actionable insights. As a
 **Data Scientist \- Fraud Analytics \&amp; Technical Writing** 
 , you'll analyze large, complex datasets to surface fraud patterns, translate findings into clear business narratives, and create high‑quality technical documentation that standardizes methods and accelerates adoption across the organization. You'll partner cross‑functionally with Sales, Product, and Operations, design dashboards that communicate trends, and influence roadmap and strategy—while building scalable, automated processes that elevate decision‑making and customer outcomes
**What You Will Do**
**Fraud Detection \&amp; Analysis**
* Analyze large, complex datasets to detect patterns, anomalies, and emerging fraud trends
* Collaborate with internal teams to validate findings and refine detection strategies
* Translate key findings into clear, compelling insights that demonstrate solution value to prospective customers
* Support the development of standardized frameworks to quantify business impact across customer profiles
**Technical Documentation**
* Create and maintain high\-quality technical documentation, including methodologies, workflows, and system processes
* Translate complex analytical findings into clear, actionable insights for both technical and non\-technical audiences
* Ensure documentation is standardized, accurate, and easily accessible for internal teams
**Collaboration \&amp; Reporting**
* Work closely with cross\-functional teams to implement data\-driven solutions
* Design dashboards and reports to communicate fraud trends and detection results effectively
* Provide regular updates and recommendations to stakeholders based on data\-driven findings
**Requirements**
**Skills we are looking for**
**Technical Foundation**
* 2\+ years of hands\-on experience in data analytics, with demonstrated success in customer\-facing teams or process automation roles
* Excellent technical writing and communication skills
* Strong proficiency in Python/R, SQL, and statistical analysis libraries (pandas, scikit\-learn, etc.)
* Experience with data visualization tools (Quicksight, Tableau, Power BI, or similar)
* Familiarity with cloud platforms (AWS, Azure, or GCP) and modern data stack tools
* Master's degree in Data Science or related field preferred; PhD a plus
**Preferred Qualifications**
* Domain expertise in identity verification, fraud detection, and/or financial services
* Experience presenting technical findings to prospects or clients during sales processes
* Knowledge of predictive modeling and machine learning
**Business Acumen**
* Experience analyzing customer data and translating technical findings into compelling business narratives
* Knowledge of statistics and ROI calculation frameworks
* Ability to create presentations that communicate value propositions to both technical and business stakeholders
* Familiarity with cross\-functional collaboration processes
**Benefits**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t>
        </is>
      </c>
    </row>
    <row r="50">
      <c r="A50" t="inlineStr">
        <is>
          <t>li-4367613490</t>
        </is>
      </c>
      <c r="B50" t="inlineStr">
        <is>
          <t>Data Scientist I/II</t>
        </is>
      </c>
      <c r="C50" t="inlineStr">
        <is>
          <t>San Diego Association of Governments (SANDAG)</t>
        </is>
      </c>
      <c r="D50" t="inlineStr">
        <is>
          <t>linkedin</t>
        </is>
      </c>
      <c r="E50">
        <f>HYPERLINK("https://www.linkedin.com/jobs/view/4367613490", "https://www.linkedin.com/jobs/view/4367613490")</f>
        <v/>
      </c>
      <c r="F50">
        <f>HYPERLINK("https://www.governmentjobs.com/careers/sandag/jobs/5219830/data-scientist-i-ii?src=LinkedIn&amp;urlHash=XJgK", "https://www.governmentjobs.com/careers/sandag/jobs/5219830/data-scientist-i-ii?src=LinkedIn&amp;urlHash=XJgK")</f>
        <v/>
      </c>
      <c r="G50" t="inlineStr">
        <is>
          <t>San Diego, CA</t>
        </is>
      </c>
      <c r="H50" t="inlineStr"/>
      <c r="I50" t="inlineStr">
        <is>
          <t>**Description**
**Overview of SANDAG**
 Our mission is to maintain and improve the quality of life for everyone who calls this region home. The San Diego Association of Governments (SANDAG) is both a metropolitan planning organization and a council of governments, bringing together local decision\-makers to develop solutions to regional issues including improving equity, transportation, air quality, clean energy, economic development, goods movement, public health, public safety, housing, and more.
 Our current focus is to serve as a data\-driven agency, speeding up the delivery of exciting, large\-scale infrastructure projects throughout the region. This includes building infrastructure to link transit connections, boosting cross\-border travel between the U.S. and Mexico with a new, high\-tech border crossing facility, and fortifying our coastal railway corridor against erosion. Other important SANDAG initiatives include administering the TransNet Program, regional tolling operations, providing a forum for housing needs, and offering funding and technical assistance to member agencies.
**Overview Of The Data Science Department**
 The Data Science Department provides SANDAG member agencies, elected officials, other organizations, and the public with information and technical resources for regional planning, funding, and policymaking efforts. The department represents a broad range of expertise from land use and transportation modeling, applied social research, public safety, demographics, economics, and quality assurance. The information the department gathers, analyzes, produces, delivers, and maintains is essential to the success of SANDAG.
**Overview Of The Data Quality Assurance/Quality Control Team**
 The Data Quality Assurance/Quality Control team provides independent verification of data acquired or produced by SANDAG modeling, forecasting, analysis, mapping, and visualization efforts. In addition to conducting data verification steps, the team also develops and implements formalized policies and processes around data quality management.
**Role**
 The Data Science Department is hiring a Data Scientist who will work in the Data Quality Assurance/Quality Control and Data Science Management and Analytics teams. The position will serve as a shared resource to support multiple divisions within Data Science. Under supervision from the hiring manager, the position will develop and implement quality control checks on datasets used and produced by teams across the agency to ensure quality and reliability.
 In addition, this position will contribute to developing data\-driven analytics applications across the agency and support various agency priority projects. This position is ideal for someone who enjoys analytical and critical thinking and problem solving who is highly organized, hands\-on, flexible, and can be relied upon to meet deadlines with changing priorities.
**Job Responsibilities**
*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 Develop and perform quality control tests and analysis of data using tools such as Python, R, ArcGIS, and SQL to identify and report data anomalies and identify root cause patterns.
* Examine datasets and supporting documentation to identify risks and problem areas and recommend standards, policies, and procedures to facilitate a comprehensive data quality management system.
* Support Peer Review Process through review of datasets and methodologies, including suggestions for improvement as well as documentation, including meeting notes and action items.
* Create and maintain documentation related to data compliance, business rules, data flows, process flows, and reporting.
* Coordinate the preparation of metrics and statistical reports, perform reviews, and complete special studies; prepare spreadsheets, charts, maps, and data visualizations to support information sharing.
* Participate on inter\-departmental and interagency teams assembled for various agency projects.
* Prepare and present written, oral, and visual reports and recommendations to various teams and upper management.
**Typical Qualifications**
* The minimum education, training, and experience include a bachelor’s degree with major course work in data science, computer science, management information systems, regional planning, geography, demographics, statistics, mathematics or a related field. One to two years of professional experience in data analysis and programming is preferred.
* Intermediate\-advanced level programming experience in Python (and other object\-oriented program languages) is critical. Experience of Jupyter notebook is desirable.
* Knowledge of design principles for relational database management systems; experience creating SQL queries, stored procedures, and data views; familiarity with MS SQL Server or other enterprise relational database systems.
* Experience using geographic information system software such as Esri ArcGIS or QGIS.
* Experience using business intelligence/information sharing software (Power BI, Tableau, etc.) to create reports and dashboards.
* Experience updating and maintaining project databases, files, and records, including data documentation.
* Knowledge of quality assurance and quality control practices used for validating data and ensuring data accuracy and integrity, including statistical analysis and sampling techniques, preferably for demographic and economic data.
* Experience with data analysis and research methodologies; knowledge of data acquisition and quality control methods used for gathering and compiling various types of information; knowledge of factors that contribute to the reliability and integrity of collected data.
* Experience analyzing, organizing, interpreting, and exploring data with the ability to discover patterns, meaningful relationships, anomalies, and trends.
* Experience communicating highly technical information effectively to a broad range of audiences
* Familiarity with the principles, practices, and objectives of regional planning and forecasting.
* Familiarity with formalized data governance processes and procedures.
* Excellent organizational skills, attention to detail, and ability to multitask and work on several projects simultaneously.
* Demonstrated flexibility and willingness to perform a variety of tasks typical of an entry\-level data analytics position.
* Experience in cloud computing environment such as Azure.
* Proficiency in implementing Extract, Transform and Load (ETL) processes
* Ability to support ad\-hoc research and development work as needed and present research findings.
 This position will be filled at the I or II level depending on qualifications and experience of the selected candidate.</t>
        </is>
      </c>
    </row>
    <row r="51">
      <c r="A51" t="inlineStr">
        <is>
          <t>li-4367469918</t>
        </is>
      </c>
      <c r="B51" t="inlineStr">
        <is>
          <t>Data Scientist, Fraud Analytics &amp; Technical Writing (3951)</t>
        </is>
      </c>
      <c r="C51" t="inlineStr">
        <is>
          <t>GBG Plc</t>
        </is>
      </c>
      <c r="D51" t="inlineStr">
        <is>
          <t>linkedin</t>
        </is>
      </c>
      <c r="E51">
        <f>HYPERLINK("https://www.linkedin.com/jobs/view/4367469918", "https://www.linkedin.com/jobs/view/4367469918")</f>
        <v/>
      </c>
      <c r="F51" t="inlineStr"/>
      <c r="G51" t="inlineStr">
        <is>
          <t>Manchester, NH</t>
        </is>
      </c>
      <c r="H51" t="inlineStr"/>
      <c r="I51" t="inlineStr">
        <is>
          <t>**Enabling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 age, location or background, genuine people everywhere should be able to digitally prove who they are and where they live.
**About The Team And Role**
**Data Scientist \- Fraud Analytics \&amp; Technical Writing**
 Join GBG's
 **Go‑to‑Market Data Science \&amp; Analytics** 
 team, a newly established, high‑impact function shaping how we demonstrate value to customers and empower internal teams with actionable insights. As a
 **Data Scientist \- Fraud Analytics \&amp; Technical Writing** 
 , you'll analyze large, complex datasets to surface fraud patterns, translate findings into clear business narratives, and create high‑quality technical documentation that standardizes methods and accelerates adoption across the organization. You'll partner cross‑functionally with Sales, Product, and Operations, design dashboards that communicate trends, and influence roadmap and strategy—while building scalable, automated processes that elevate decision‑making and customer outcomes
**What You Will Do**
**Fraud Detection \&amp; Analysis**
* Analyze large, complex datasets to detect patterns, anomalies, and emerging fraud trends
* Collaborate with internal teams to validate findings and refine detection strategies
* Translate key findings into clear, compelling insights that demonstrate solution value to prospective customers
* Support the development of standardized frameworks to quantify business impact across customer profiles
**Technical Documentation**
* Create and maintain high\-quality technical documentation, including methodologies, workflows, and system processes
* Translate complex analytical findings into clear, actionable insights for both technical and non\-technical audiences
* Ensure documentation is standardized, accurate, and easily accessible for internal teams
**Collaboration \&amp; Reporting**
* Work closely with cross\-functional teams to implement data\-driven solutions
* Design dashboards and reports to communicate fraud trends and detection results effectively
* Provide regular updates and recommendations to stakeholders based on data\-driven findings
**Requirements**
**Skills we are looking for**
**Technical Foundation**
* 2\+ years of hands\-on experience in data analytics, with demonstrated success in customer\-facing teams or process automation roles
* Excellent technical writing and communication skills
* Strong proficiency in Python/R, SQL, and statistical analysis libraries (pandas, scikit\-learn, etc.)
* Experience with data visualization tools (Quicksight, Tableau, Power BI, or similar)
* Familiarity with cloud platforms (AWS, Azure, or GCP) and modern data stack tools
* Master's degree in Data Science or related field preferred; PhD a plus
**Preferred Qualifications**
* Domain expertise in identity verification, fraud detection, and/or financial services
* Experience presenting technical findings to prospects or clients during sales processes
* Knowledge of predictive modeling and machine learning
**Business Acumen**
* Experience analyzing customer data and translating technical findings into compelling business narratives
* Knowledge of statistics and ROI calculation frameworks
* Ability to create presentations that communicate value propositions to both technical and business stakeholders
* Familiarity with cross\-functional collaboration processes
**Benefits**
**To find out more**
 As an equal opportunity employer, we are dedicated to creating a diverse and inclusive workplace where everyone feels valued and empowered. Please inform your GBG Talent Attraction Partner if you require any reasonable adjustments to the interview process.
 To chat to the Talent Attraction team and find out more about our benefits and why we're a great place to work, drop an email to behired@gbgplc.com and we'll be in touch. You can also find out more about careers at GBG and check out our current opportunities at gbgplc.com/careers.</t>
        </is>
      </c>
    </row>
    <row r="52">
      <c r="A52" t="inlineStr">
        <is>
          <t>li-4367474733</t>
        </is>
      </c>
      <c r="B52" t="inlineStr">
        <is>
          <t>Data Scientist</t>
        </is>
      </c>
      <c r="C52" t="inlineStr">
        <is>
          <t>Lincare</t>
        </is>
      </c>
      <c r="D52" t="inlineStr">
        <is>
          <t>linkedin</t>
        </is>
      </c>
      <c r="E52">
        <f>HYPERLINK("https://www.linkedin.com/jobs/view/4367474733", "https://www.linkedin.com/jobs/view/4367474733")</f>
        <v/>
      </c>
      <c r="F52" t="inlineStr"/>
      <c r="G52" t="inlineStr">
        <is>
          <t>Clearwater, FL</t>
        </is>
      </c>
      <c r="H52" t="inlineStr"/>
      <c r="I52" t="inlineStr">
        <is>
          <t>**Required**
 The Data Scientist is primarily responsible for supporting/leading AI\-driven initiatives that will help drive revenue growth, efficiency/productivity, and patient Lifetime Value. The individual will be conducting prescriptive, predictive and informational analytics to identify actionable insights. Skills required include, but are not limited to:
* building machine learning algorithms
* data engineering
* natural language processing (NLP)
* large language models (LLMs) and any other required AI skills
* Technical coding skills are also required and include SQL code, R\-Markdown and Python.
 Through the combination of statistical knowledge, AI skills and technical coding languages, a data scientist will be required to complete any assigned analytical projects in a timely and efficient manner. Additionally, this position will be required to identify, plan and implement any other use cases for AI technology to help drive business success and improvement. They will also take a key role in the planning and development of Lincare's AI platform and strategy. Projects and long\-term strategy development should always focus on business impact and have measurable outcomes for success measurement. Additionally, this position will be required to work with other teams to gain insight and to provide technical training to others.
**Job Functions**
* Responsible for data analytics / data science on massive sets of complex and, sometimes, unstructured data to prepare for statistical analysis.
* Manipulates or converts data according to analysis needs; and develops approaches to deal with imperfections in data (e.g. missing values or inconsistent data formatting)
* Identifies and executes on best approach for assigned project which may include skills including machine learning, NLP, LLMs, deep learning, neural networks or any other data science function.
* Develops reports using complex formulas; analyzes and reviews results for accuracy.
* Understands how to work with multiple data sources, and accurately accesses the correct data within complex databases based on business needs and reporting requirements.
* Will be comfortable interacting at all levels of technology teams both internal and external to Lincare. (project managers, database designer, information architecture, multilayer off\-shore support centers, etc.)
* Manages projects to ensure they are delivered successfully and in a timely manner.
* Identifies opportunities to improve revenue, productivity/efficiency as well as enhance patient life time value using data science technologies.
* Performs other duties as assigned.
* Complies with all policies and standards.</t>
        </is>
      </c>
    </row>
    <row r="53">
      <c r="A53" t="inlineStr">
        <is>
          <t>li-4367600331</t>
        </is>
      </c>
      <c r="B53" t="inlineStr">
        <is>
          <t>Senior Data Scientist</t>
        </is>
      </c>
      <c r="C53" t="inlineStr">
        <is>
          <t>Outdoorsy</t>
        </is>
      </c>
      <c r="D53" t="inlineStr">
        <is>
          <t>linkedin</t>
        </is>
      </c>
      <c r="E53">
        <f>HYPERLINK("https://www.linkedin.com/jobs/view/4367600331", "https://www.linkedin.com/jobs/view/4367600331")</f>
        <v/>
      </c>
      <c r="F53" t="inlineStr"/>
      <c r="G53" t="inlineStr">
        <is>
          <t>Austin, TX</t>
        </is>
      </c>
      <c r="H53" t="inlineStr"/>
      <c r="I53"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 
 the largest outdoor travel and hospitality marketplace; the
 **Destination Network** 
 , a growing collection of campgrounds and glamping retreats set in some of the country's most iconic landscapes; and
 **Roamly** 
 ,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
**About the Role:**
 The Outdoorsy Group is seeking a Data Scientist to solve complex advanced analytics challenges for Outdoorsy and Roamly. Reporting to the Senior Director of Analytics, they will be responsible for building dynamic pricing and recommendation engines, as well as predictive retention and claims models. The ideal candidate will be able to show a track record of leveraging advanced analytics and machine learning to solve complex problems in the travel or insurance space. With the role straddling both Outdoorsy and Roamly, they will need to demonstrate a passion and aptitude for pivoting between different business models and goals. If you're self\-driven and looking to make an impact in a fast\-paced environment, then we'd love to have you!
* Candidates in Austin, TX will be prioritized
**Requirements**
**Key Responsibilities \&amp; Deliverables**
* Develop Lead Scoring algorithms that predict the LTV of qualified insurance leads, and pass it back to our ad partners to optimize bidding strategies, as well as to our internal Sales team to prioritize outreach
* Develop models to predict churn and claims losses across our insurance products. Work closely with the Underwriting team to ensure these models are integrated into business processes
* Assist in the development of a dynamic pricing model to help RV marketplace hosts adjust prices seamlessly in response to seasonal and vehicle\-based factors, as well as surges in demand
* Develop models to predict what ancillary products should be recommended for upsell to a given Outdoorsy / Roamly customer
* Use advanced statistical methods to conduct audience clustering and segmentation on both RV Rental and Insurance customers, and evangelize these findings across stakeholders in Marketing and Product
* Collaborate closely with Data Analysts and Engineers to ensure that data pipelines and models are accurate and optimized
**Who You Are (Candidate Profile)**
* Industry Expert: 3\+ years data science experience, with a proven track record of standing up Machine Learning algorithms within consumer\-facing products (Travel, marketplace, or insurance experience preferred)
* Business\-Focused: Proven ability to understand business imperatives and trade\-offs (Bookings vs. Revenue, Premium vs. Risk) and tailor outputs to align with company goals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Technical Proficiency: Advanced expertise in SQL, Python/R, and relevant machine learning libraries. Demonstrated experience with statistical methods such as regression, hypothesis testing, clustering, classification, tree\-based methods, neural networks, and anomaly detection. Familiarity with ELT tools such as FiveTran and DBT, and ability to collaborate with data counterparts on data repositories and models. Expertise with business intelligence tools such as Tableau (preferred)
* Academic Background: Degree in a quantitative field like data science, mathematics, economics, or computer science, or equivalent practical experience (Masters preferred)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54">
      <c r="A54" t="inlineStr">
        <is>
          <t>li-4367494187</t>
        </is>
      </c>
      <c r="B54" t="inlineStr">
        <is>
          <t>Data Scientist</t>
        </is>
      </c>
      <c r="C54" t="inlineStr">
        <is>
          <t>CSG Talent</t>
        </is>
      </c>
      <c r="D54" t="inlineStr">
        <is>
          <t>linkedin</t>
        </is>
      </c>
      <c r="E54">
        <f>HYPERLINK("https://www.linkedin.com/jobs/view/4367494187", "https://www.linkedin.com/jobs/view/4367494187")</f>
        <v/>
      </c>
      <c r="F54" t="inlineStr"/>
      <c r="G54" t="inlineStr">
        <is>
          <t>Washington, DC</t>
        </is>
      </c>
      <c r="H54" t="inlineStr"/>
      <c r="I54" t="inlineStr">
        <is>
          <t>CSG Talent is recruiting for a Data Scientist to support advanced analytics and modelling initiatives within a high\-performing technical team.
 The successful candidate will work on complex datasets, delivering insights and predictive solutions across key enterprise programmes.
**Key Responsibilities for the Data Scientist position:** 
* Develop statistical, machine learning, and predictive models
* Perform exploratory analysis and feature engineering
* Collaborate with stakeholders to solve data\-driven challenges
* Communicate findings through dashboards, reports, and presentations
**Required Experience:** 
* Strong experience with Python or R in data science applications
* Familiarity with ML techniques and statistical modelling
* Knowledge of SQL and data warehousing environments
* Ability to translate technical outputs into actionable insights
* **DHS and/or Secret clearance is essential for this role**</t>
        </is>
      </c>
    </row>
    <row r="55">
      <c r="A55" t="inlineStr">
        <is>
          <t>li-4367472299</t>
        </is>
      </c>
      <c r="B55" t="inlineStr">
        <is>
          <t>Data Scientist</t>
        </is>
      </c>
      <c r="C55" t="inlineStr">
        <is>
          <t>Alexander Chapman</t>
        </is>
      </c>
      <c r="D55" t="inlineStr">
        <is>
          <t>linkedin</t>
        </is>
      </c>
      <c r="E55">
        <f>HYPERLINK("https://www.linkedin.com/jobs/view/4367472299", "https://www.linkedin.com/jobs/view/4367472299")</f>
        <v/>
      </c>
      <c r="F55" t="inlineStr"/>
      <c r="G55" t="inlineStr">
        <is>
          <t>Houston, TX</t>
        </is>
      </c>
      <c r="H55" t="inlineStr"/>
      <c r="I55" t="inlineStr">
        <is>
          <t>I'm currently recruiting on behalf of a
 **Global Commodity Trading Firm** 
 who are looking to hire a Data Scientist to join their team and engage in a variety of different responsibilities.
**Responsibilities** 
 :
* Partner closely with business, engineering, and analytics teams to source raw data, design ingestion pipelines, and transform messy inputs into analysis\-ready datasets.
* Own exploratory analysis end\-to\-end: uncover patterns, trends, correlations, and edge cases, and package findings into clear visuals and summaries that actually drive decisions.
* Support the build, testing, and rollout of statistical and machine learning models, collaborating with senior data scientists on feature design, model selection, and validation.
* Assess model performance using appropriate metrics; contribute to tuning, back\-testing, and robustness checks, particularly for trading and analytical applications.
* Help operationalize data science outputs by supporting models, analytical tools, and dashboards used by trading and commercial teams.
* Translate complex analytical work into concrete, actionable insights for both technical stakeholders and non\-technical decision\-makers.
**What You Bring** 
* Bachelor’s or Master’s degree in Data Science, Computer Science, Statistics, Mathematics, or another quantitative discipline.
* 3\+ years of hands\-on experience in data analysis and machine learning through industry roles, internships, academic research, or applied projects.
* Strong Python skills, with practical experience using Pandas, NumPy, scikit\-learn, and adjacent libraries.
* Solid grounding in core statistical and machine learning methods, including regression, classification, clustering, time\-series analysis, and model evaluation.
* Experience communicating insights through effective data visualization and storytelling (Matplotlib, Seaborn, Plotly, or similar).
* Working knowledge of SQL and relational databases for data extraction, transformation, and analysis.
* Familiarity with Jupyter\-based workflows, reproducible analysis practices, and version control (Git).
* Exposure to cloud platforms such as AWS, Azure, or Google Cloud, particularly around data storage or analytics tooling.</t>
        </is>
      </c>
    </row>
    <row r="56">
      <c r="A56" t="inlineStr">
        <is>
          <t>li-4367480404</t>
        </is>
      </c>
      <c r="B56" t="inlineStr">
        <is>
          <t>Data Scientist, D&amp;T</t>
        </is>
      </c>
      <c r="C56" t="inlineStr">
        <is>
          <t>General Mills</t>
        </is>
      </c>
      <c r="D56" t="inlineStr">
        <is>
          <t>linkedin</t>
        </is>
      </c>
      <c r="E56">
        <f>HYPERLINK("https://www.linkedin.com/jobs/view/4367480404", "https://www.linkedin.com/jobs/view/4367480404")</f>
        <v/>
      </c>
      <c r="F56">
        <f>HYPERLINK("https://www.wiraa.com/job-description/usD774EA655A62AE67CDD6C7AF5796EF18?source=Linkedin&amp;urlHash=RSki", "https://www.wiraa.com/job-description/usD774EA655A62AE67CDD6C7AF5796EF18?source=Linkedin&amp;urlHash=RSki")</f>
        <v/>
      </c>
      <c r="G56" t="inlineStr"/>
      <c r="H56" t="inlineStr"/>
      <c r="I56" t="inlineStr">
        <is>
          <t>**About The Company**
 General Mills is a global leader in the food industry, renowned for its commitment to quality, innovation, and sustainability. With a rich history spanning over a century, the company offers a diverse portfolio of trusted brands that serve consumers across the world. Dedicated to making food people love, General Mills continually invests in research, technology, and talent to enhance its product offerings and operational efficiencies. The organization fosters a collaborative and inclusive work environment, emphasizing growth, integrity, and social responsibility. As a forward\-thinking enterprise, General Mills leverages advanced analytics and data\-driven strategies to maintain its competitive edge and deliver value to shareholders, customers, and communities alike.
**About The Role**
 As a Lead Data Scientist at General Mills, you will play a pivotal role in driving data\-driven decision\-making within the marketing and media space. Your primary focus will be on designing, developing, and deploying advanced analytics engines and models that optimize marketing strategies and measure campaign effectiveness. You will collaborate closely with product owners, business partners, and fellow data scientists to identify key challenges, formulate hypotheses, and develop innovative solutions rooted in statistics, machine learning, and econometrics. Your expertise will enable the organization to better understand marketing ROI, optimize budget allocations, and refine campaign strategies through robust causal measurement and predictive modeling. This leadership position requires a blend of technical mastery, strategic thinking, and effective communication, ensuring that insights translate into actionable business outcomes. You will also mentor junior team members, contribute to technical standards, and shape the data science roadmap aligned with company objectives.
**Qualifications**
* 6\+ years of professional experience as a hands\-on Data Scientist, with at least 4 years of building Marketing Mix Models (MMM) and attribution models
* Bachelor’s degree in Mathematics, Statistics, Data Science, Operations Research, Econometrics, or a related quantitative discipline
* Expert\-level programming proficiency in Python and SQL
* Strong expertise in causal modeling principles, including DAG design, assumptions, and falsification
* Proficiency in regression modeling techniques such as panel, time series, and ridge regression
* Experience with Bayesian modeling frameworks (e.g., PyMC)
* Familiarity with marketing mix model frameworks like Meridian, Robyn, and PyMC
* Knowledge of ensemble methods, including Gradient Boosting and XGBoost
* Ability to work with large datasets and write complex SQL queries efficiently
* Proven track record of partnering with marketing and business leaders to influence strategic decisions
* Highly adaptable, curious, and capable of working independently on complex problems
* Bias for action with excellent task prioritization and time management skills
* Experience with cloud\-based AI platforms is preferred
**Responsibilities**
* Collaborate with data science leadership, machine learning engineers, and business stakeholders to develop and refine optimization and machine learning models
* Provide strategic data science leadership within product teams through strong partnerships and actionable insights
* Design, validate, and maintain causal measurement strategies such as Marketing Mix Models, Difference\-in\-Differences, Regression Discontinuity, and causal ML techniques
* Conduct comprehensive statistical and econometric analyses to evaluate marketing effectiveness and forecast future impacts
* Translate complex analytical findings into clear, actionable recommendations for campaign planning, budget allocation, and marketing strategies
* Design and execute statistically rigorous A/B tests for marketing campaigns to measure effectiveness and optimize results
* Advise business partners on technical solutions and best practices
* Contribute to the technical strategy, standards, and best practices as a senior member of the data science leadership team
* Mentor and coach junior data scientists, fostering technical growth and knowledge sharing
* Monitor and enhance model performance, incorporating feedback from stakeholders to ensure accuracy and relevance
* Engage actively with team members, participate in strategic planning, and contribute to documentation and standardization efforts
**Benefits**
* Competitive salary range of $126,700 to $211,200 annually
* Comprehensive health benefits package including medical, dental, and vision coverage
* Retirement plans and financial wellness programs
* Generous paid time off and holiday leave
* Wellbeing support programs and employee assistance resources
* Opportunities for professional development and career growth
* Participation in incentive programs based on individual and organizational performance
 Equal Opportunity
 General Mills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any other protected status. We believe that diverse perspectives drive innovation and excellence, and we are dedicated to fostering a workplace where everyone can thrive.</t>
        </is>
      </c>
    </row>
    <row r="57">
      <c r="A57" t="inlineStr">
        <is>
          <t>li-4367254605</t>
        </is>
      </c>
      <c r="B57" t="inlineStr">
        <is>
          <t>Senior AI/ML Scientist - Remote</t>
        </is>
      </c>
      <c r="C57" t="inlineStr">
        <is>
          <t>Experian</t>
        </is>
      </c>
      <c r="D57" t="inlineStr">
        <is>
          <t>linkedin</t>
        </is>
      </c>
      <c r="E57">
        <f>HYPERLINK("https://www.linkedin.com/jobs/view/4367254605", "https://www.linkedin.com/jobs/view/4367254605")</f>
        <v/>
      </c>
      <c r="F57" t="inlineStr"/>
      <c r="G57" t="inlineStr">
        <is>
          <t>California, CA</t>
        </is>
      </c>
      <c r="H57" t="inlineStr"/>
      <c r="I57" t="inlineStr">
        <is>
          <t>Experian is a global data and technology company, powering opportunities for people and businesses around the world. We help to redefine lending practices, uncover and prevent fraud, simplify healthcare, create digital marketing solutions, and gain deeper insights into the automotive market, all using our unique combination of data, analytics and software. We also assist millions of people to realise their financial goals and help them to save time and money.
 We operate across a range of markets, from financial services to healthcare, automotive, agrifinance, insurance, and many more industry segments.
 We invest in people and new advanced technologies to unlock the power of data and to innovate. A FTSE 100 Index company listed on the London Stock Exchange (EXPN), we have a team of 23,300 people across 32 countries. Our corporate headquarters are in Dublin, Ireland. Learn more at experianplc.com.
**Job Description**
 Experian is looking for a Senior Data Scientist to join our Global Analytics team within Experian Software Solutions. This is an exciting opportunity for someone to work on impactful AI and machine learning projects, contribute to solutions, and grow alongside experienced scientists and engineers. You will help build and support machine learning models and AI systems that power Experian's products and services. You will work remotely and report to the Senior Director of Analytics and AI.
 You'll have opportunity to:
* Architect and implement a closed\-loop learning system integrating synthetic data generation, automated pattern discovery, and scenario\-based stress testing
* Develop GenAI\-powered data mining algorithms to identify latent structures, cross\-domain patterns, and evolving risk signals across credit, transactional, and fraud datasets.
* Lead bias diagnosis and counterfactual testing to ensure fairness and regulatory compliance under stress scenarios.
* Collaborate with risk, compliance, and fraud teams to align AI\-driven insights with business objectives and regulatory standards.
* Create dynamic segmentation models that evolve with customer states and macroeconomic conditions.
* Stay current with advancements in AI/ML and proactively integrate emerging technologies into Experian's solutions
**Qualifications**
* 7\+ years of experience in AI/ML, with hands\-on expertise in building, deploying and monitoring models at scale
* Strong knowledge of modern language models (Transformers, GPT APIs, SLMs, RLHF), and agent\-based architectures
* Proficiency in Python, TensorFlow, PyTorch, and colud\-based ML platform
* Advanced degree (MS or PhD) in computer science, AL/ML or related field
* Experience with machine learning algorithms and processes (such as xgboost, GANs, Clustering, Graph Algorithms, Reinforcement Learning)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 
 At Experian, our people and culture set us apart. We're deeply committed to creating an environment where everyone feels they belong and can excel. From inclusion and authenticity to work/life balance, development, wellness, collaboration, and recognition, we focus on what truly matters.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Employer for all groups protected under applicable federal, state and local law, including protected veterans and individuals with disabilities. If you have a disability or special need that requires accommodation, please let us know at the earliest opportunity.</t>
        </is>
      </c>
    </row>
    <row r="58">
      <c r="A58" t="inlineStr">
        <is>
          <t>li-4367235851</t>
        </is>
      </c>
      <c r="B58" t="inlineStr">
        <is>
          <t>Data Scientist/Engineer (for Health Tech Startup)🤓</t>
        </is>
      </c>
      <c r="C58" t="inlineStr">
        <is>
          <t>1Phi Inc</t>
        </is>
      </c>
      <c r="D58" t="inlineStr">
        <is>
          <t>linkedin</t>
        </is>
      </c>
      <c r="E58">
        <f>HYPERLINK("https://www.linkedin.com/jobs/view/4367235851", "https://www.linkedin.com/jobs/view/4367235851")</f>
        <v/>
      </c>
      <c r="F58" t="inlineStr"/>
      <c r="G58" t="inlineStr"/>
      <c r="H58" t="inlineStr"/>
      <c r="I58" t="inlineStr">
        <is>
          <t>❤️ Want to make a tangible difference in the future of healthcare?
 ❤️ Love applying the latest technologies to solve tough problems?
 ❤️ Looking for a fulfilling career with plenty of learning and growth?
**About 1Phi 🤩** 
 1Phi is a new startup building a first of its kind AI\-powered healthcare navigator, called 1Sage, that lets patients find the treatment options with the best clinical outcomes for their unique situation. It continuously monitors and trains on billions of medical records across over 100 million patients nationwide and over 1 million doctors and medical facilities. Patients simply chat with 1Sage, indicating their circumstances and needs. The more information they provide, the better the insights.
 1Phi stands for 1st Principles Healthcare Institute, a name that reflects our commitment to R\&amp;D and taking an unorthodox approach to solving intractable and persistent industry challenges. As a Public Benefit Corporation, we’re grounded in decades of experience with payer financial models, government policy, provider incentives, and patient empowerment. By deploying artificial intelligence across data assets previously available only to industry insiders, 1Phi is uniquely positioned to bring patients the knowledge to make decisions in their own best interest.
 You would be joining an early stage startup team of engineers, healthcare experts and dreamers. You’ll help define the culture, the tech stack, and the future of our industry. Tight\-knit team. Zero bureaucracy. Project ownership. Room to experiment. Accelerated growth.
**Requirements 🤓** 
**What You’ll Do:** 
* Build complex data pipelines, transformations and statistical processing using Python, SQL, Databricks, and a suite of cloud services from AWS and GCP. Ingest, transform, clean and augment internal and external data assets. Automate data pipelines to process patient\-level and aggregated public health data.
* Define predictive models and machine learning applications that run on medical claims data to enable patient\-facing applications. Perform exploratory analytics and develop specifications that enable patients to learn which treatment options and providers might be the most relevant to their specific situation. Leverage medical claims data for patient cohort design, risk adjustment, treatment pathway definition, survival analysis, and outcomes modeling.
* Continuously learn by investigating new technologies and building quick proof of concepts.
**You're a fit if:** 
* **Accomplishments:** 
 Track record of accomplishments in data science and statistics, with at least one major successful implementation you can discuss.
* **Data science:** 
 Proficiency with Python and its data science ecosystem, statistics concepts, ML techniques, EDA (exploratory data analysis). Experience implementing logistic regression, propensity scoring, random forests, gradient boosting, and clustering.
* **Data engineering:** 
 Solid understanding of data pipelines, processing parallelization, and ETL concepts. (Examples may include DBT, Fivetran, and Apache AirFlow). Experience with hands on SQL, writing complex data transformation queries and optimizing for performance on large scale data (Knowledge of Databricks or other Spark environments is preferred).
* **Cloud:** 
 Experience with cloud services providers (AWS, GCP or Azure) and specific services (such as AWS S3, RDS, Redshift, EMR, and Lambda)
**Even better if:** 
* Claims data: 2\+ years working with healthcare claims data (especially Medicare, Medicaid, and prescriptions), statistics and ML
* Healthcare concepts: Mastery over claims data interpretation and analysis, including cohort design, risk adjustment, treatment pathway definition, survival analysis, outcomes modeling
* Familiar with healthcare standards and coding (ICD, CPT, DRG, NDC).
**Salary:** 
 $95k\-$130k depending on experience
**Location:** 
 Remote (
 **United States Only** 
 ) or Hybrid in the Chicago office is available.
**Hiring Process 😎** 
 At 1Phi, we believe hiring should be fair, transparent, and collaborative. We work hard to find the best mix of respecting the candidates time, while also giving our team an efficient way to learn if a candidate is a good fit. Since we also strive to simulate the work environment throughout the process, we encourage you to use all the AI/LLM tools and outside resources at your disposal. During the process, if you ever feel that you are being asked for an onerous amount of work, please do not proceed. The best candidates are those who enjoy the process, regardless of the outcome.
 Here’s the entire process: Apply with email → Project demo call (15 mins) → Skills challenge (1\-3 hrs) → Interviews (2 hours) → Meet the Team Day and micro\-project (1 day) → Offer → Trial period (1\-3 weeks)
**Benefits 🤑** 
* Health insurance within 3 months of starting
* Generous vacation policy \+ company holidays
* 401K \+ profit share contributions
* Quarterly evals and performance bonus (\~10% at start, \~20% after 4 years)
**How to Apply 😇** 
**— 🎗️ We only consider applicants who email us. —** 
 Send us your resume and any relevant links (LinkedIn, GitHub, portfolio site, etc.) to
 **careers\+linkedin@1phi.com** 
 with the subject “Experienced Data Scientist”.
 (
 **Visa considerations:** 
 We no longer accept OPT candidates, but can sponsor existing H1B holders.)</t>
        </is>
      </c>
    </row>
    <row r="59">
      <c r="A59" t="inlineStr">
        <is>
          <t>li-4367255515</t>
        </is>
      </c>
      <c r="B59" t="inlineStr">
        <is>
          <t>Statistician / Data Scientist</t>
        </is>
      </c>
      <c r="C59" t="inlineStr">
        <is>
          <t>CHEManager International</t>
        </is>
      </c>
      <c r="D59" t="inlineStr">
        <is>
          <t>linkedin</t>
        </is>
      </c>
      <c r="E59">
        <f>HYPERLINK("https://www.linkedin.com/jobs/view/4367255515", "https://www.linkedin.com/jobs/view/4367255515")</f>
        <v/>
      </c>
      <c r="F59" t="inlineStr"/>
      <c r="G59" t="inlineStr">
        <is>
          <t>Suitland, MD</t>
        </is>
      </c>
      <c r="H59" t="inlineStr"/>
      <c r="I59" t="inlineStr">
        <is>
          <t>**Job Title:** 
 Statistician / Data Scientist
**Company:** 
 BLN24
**About Us:** 
 We find strength in teamwork\-a better you is a better us
 BLN24 is an award\-winning Management Consulting Firm that supports the U.S. Federal Government in successfully achieving their mission and goals. Our service and solutions delivery start with understanding each client's end\-state, and then seamlessly integrating within each Agency's organization to improve and enhance strategic and technical operations and deployments.
**Position Overview** 
 : We are seeking a highly skilled Statistician / Data Scientist with experience working with large and unstructured datasets to support advanced statistical research and model development. This role will focus on predictive modeling, data imputation, model validation, and replication research, while also leading the modernization of analytical workflows through the transition from legacy SAS\-based systems to Python\-driven data science platforms.
**Key Responsibilities**
* Lead and support the migration of legacy analytical workflows and models from SAS into cloud ready Python frameworks
* Translate existing SAS codebases into scalable, maintainable Python pipelines and frameworks
* Validate equivalency and performance of SAS and Python implementations
* Develop, test, and validate statistical and predictive models using large, complex, and unstructured datasets
* Conduct replication research to ensure robustness and reproducibility of models and findings
* Design and implement advanced imputation strategies for missing or incomplete data
* Build predictive models for real\-world outcomes (e.g., forecasting future residence, income prediction using internal data sources)
* Apply appropriate methods for complex survey data, including weighting, variance estimation, and uncertainty quantification
* Collaborate with cross\-functional teams to translate analytical outputs into operational and strategic insights
* Document methodologies, pipelines, assumptions, and results for technical and non\-technical audiences
**Required Qualifications**
* Degree in Statistics, Data Science, Biostatistics, Economics, or a related quantitative field
* Experience working with large unstructured datasets
* Strong background in statistical modeling, predictive analytics, and imputation methods
* Demonstrated experience with complex survey data and associated estimation techniques
* Solid understanding of uncertainty quantification and variance estimation
* Proficiency in Python for data science (e.g., pandas, NumPy, scikit\-learn, PyMC, statsmodels)
* Experience with SAS and modernizing legacy analytical systems into Python environments
* Experience with model validation, reproducibility, and cross\-platform equivalency testing
**What BLN24 Brings To The Game**
 BLN24 benefits are game changing. We like our team to play hard and that means they need to be taken care of \- physically, financially, and emotionally. We make sure to keep them in the game by giving them access to generous medical, dental, and vision plans.
* You can join one of the fastest growing companies headquartered in the Washington DC Metro Area. We give you the opportunity to work in different sectors, so you have the chance at variety while maintaining stability.
* Flexibility at BLN24 allows each individual the opportunity to balance quality work and their personal lives. Depending on projects, we allow remote working opportunities so you can always be in the game no matter where you call home.
 BLN24 is an Equal Opportunity Employer. We believe people are our strength and understand diverse talents are key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is>
      </c>
    </row>
    <row r="60">
      <c r="A60" t="inlineStr">
        <is>
          <t>li-4367494598</t>
        </is>
      </c>
      <c r="B60" t="inlineStr">
        <is>
          <t>Data Scientist</t>
        </is>
      </c>
      <c r="C60" t="inlineStr">
        <is>
          <t>Hirenza</t>
        </is>
      </c>
      <c r="D60" t="inlineStr">
        <is>
          <t>linkedin</t>
        </is>
      </c>
      <c r="E60">
        <f>HYPERLINK("https://www.linkedin.com/jobs/view/4367494598", "https://www.linkedin.com/jobs/view/4367494598")</f>
        <v/>
      </c>
      <c r="F60" t="inlineStr"/>
      <c r="G60" t="inlineStr"/>
      <c r="H60" t="inlineStr"/>
      <c r="I60" t="inlineStr">
        <is>
          <t>**About The Company**
 Sia is a dynamic and innovative organization committed to delivering exceptional solutions and services across various industries. With a strong focus on technology, quality, and customer satisfaction, Sia has established itself as a leader in its field. Our company fosters a collaborative and inclusive work environment that encourages growth, creativity, and continuous learning. We are dedicated to empowering our employees and providing them with opportunities to excel in their careers while making a meaningful impact in the communities we serve.
**About The Role**
 We are seeking a highly motivated and skilled professional to join our team in the role of \[Job Title]. This position offers an exciting opportunity to work in a fast\-paced environment where innovation and initiative are highly valued. The successful candidate will play a vital role in supporting our organizational goals by contributing to key projects, driving process improvements, and collaborating with cross\-functional teams. This role requires a proactive mindset, excellent communication skills, and a strong commitment to excellence. The ideal candidate will have a passion for continuous learning and a desire to grow within our organization.
**Qualifications**
* Bachelor’s degree in relevant field; advanced degrees are a plus.
* Proven experience in \[relevant industry or role], with a track record of successful project delivery.
* Strong technical skills related to \[specific skills or tools].
* Excellent problem\-solving and analytical abilities.
* Effective communication and interpersonal skills.
* Ability to work independently and as part of a team.
* Proficiency in \[relevant software or platforms].
* Willingness to adapt to changing priorities and deadlines.
**Responsibilities**
* Collaborate with stakeholders to understand project requirements and deliver solutions that meet business needs.
* Develop, implement, and maintain processes to improve efficiency and quality.
* Participate in the planning and execution of projects, ensuring timely delivery within scope and budget.
* Monitor and report on project progress, identifying risks and implementing mitigation strategies.
* Support the development of technical documentation and user manuals.
* Provide training and support to end\-users as needed.
* Stay updated on industry best practices and incorporate innovative approaches into work processes.
* Assist in maintaining compliance with relevant policies, standards, and regulations.
**Benefits**
 Sia offers a comprehensive benefits package designed to support our employees' well\-being and professional growth. Our benefits include competitive salary packages, health insurance plans, retirement savings options, paid time off, and professional development opportunities. We also promote a healthy work\-life balance through flexible working arrangements and wellness programs. Our commitment to employee satisfaction is reflected in our ongoing efforts to create an inclusive and supportive workplace environment where everyone can thrive.
 Equal Opportunity
 Sia is an equal opportunity employer. We are committed to fostering an inclusive environment where diversity is valued and all employees are treated with respect and fairness. We do not discriminate based on race, color, religion, gender, sexual orientation, age, disability, or any other protected characteristic. Our hiring practices are based solely on qualifications and merit, and we strive to provide equal opportunities for all candidates and employees to succeed and grow within our organization.</t>
        </is>
      </c>
    </row>
    <row r="61">
      <c r="A61" t="inlineStr">
        <is>
          <t>li-4367482319</t>
        </is>
      </c>
      <c r="B61" t="inlineStr">
        <is>
          <t>Data Scientist</t>
        </is>
      </c>
      <c r="C61" t="inlineStr">
        <is>
          <t>NeerInfo Solutions</t>
        </is>
      </c>
      <c r="D61" t="inlineStr">
        <is>
          <t>linkedin</t>
        </is>
      </c>
      <c r="E61">
        <f>HYPERLINK("https://www.linkedin.com/jobs/view/4367482319", "https://www.linkedin.com/jobs/view/4367482319")</f>
        <v/>
      </c>
      <c r="F61" t="inlineStr"/>
      <c r="G61" t="inlineStr"/>
      <c r="H61" t="inlineStr"/>
      <c r="I61" t="inlineStr">
        <is>
          <t>We are looking for a
 **hands\-on Gen AI / Agentic AI Lead** 
 to drive the development and deployment of innovative AI systems using LLMs, RAG, and multi\-agent frameworks.
 Note: Only USC and GC or GC\-EAD candidates
**📍 Locations:** 
 Bridgewater, NJ \| Sunnyvale, CA \| Austin, TX \| Raleigh, NC \| Richardson, TX \| Tempe, AZ \| Phoenix, AZ \| Charlotte, NC \| Houston, TX \| Denver, CO \| Hartford, CT \| New York, NY \| Palm Beach, FL \| Tampa, FL \| Alpharetta, GA
 (Relocation support available)
**💼 Role Highlights:** 
 ✔ Design and deploy Gen AI \&amp; Agentic AI solutions
 ✔ Build RAG pipelines and vector search systems
 ✔ Fine\-tune LLMs (LoRA, QLoRA, PEFT)
 ✔ Integrate with AWS Bedrock, Azure OpenAI, GCP Vertex AI
 ✔ Implement LLMOps best practices
 ✔ Mentor and lead engineering teams
**🛠 Required Skills:** 
 ✅ Python, PyTorch, Hugging Face
 ✅ LangChain, LangGraph, AutoGen, Crew AI
 ✅ RAG, FAISS, Pinecone, Weaviate
 ✅ FastAPI / Flask, Docker
 ✅ Cloud: AWS / Azure / GCP
**🎯 Experience:** 
* 10\+ years in Software Engineering / Data Science
* 5 years in Gen AI / LLM systems
* US Work Authorization required (No sponsorship)</t>
        </is>
      </c>
    </row>
    <row r="62">
      <c r="A62" t="inlineStr">
        <is>
          <t>li-4286980133</t>
        </is>
      </c>
      <c r="B62" t="inlineStr">
        <is>
          <t>Data Scientist</t>
        </is>
      </c>
      <c r="C62" t="inlineStr">
        <is>
          <t>Agentio</t>
        </is>
      </c>
      <c r="D62" t="inlineStr">
        <is>
          <t>linkedin</t>
        </is>
      </c>
      <c r="E62">
        <f>HYPERLINK("https://www.linkedin.com/jobs/view/4286980133", "https://www.linkedin.com/jobs/view/4286980133")</f>
        <v/>
      </c>
      <c r="F62">
        <f>HYPERLINK("https://jobs.ashbyhq.com/agentio/e4438c35-0766-4a03-8a3a-335514a2dc3a?src=LinkedIn&amp;urlHash=w4jZ", "https://jobs.ashbyhq.com/agentio/e4438c35-0766-4a03-8a3a-335514a2dc3a?src=LinkedIn&amp;urlHash=w4jZ")</f>
        <v/>
      </c>
      <c r="G62" t="inlineStr">
        <is>
          <t>New York, NY</t>
        </is>
      </c>
      <c r="H62" t="inlineStr"/>
      <c r="I62"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 Nimble, hungry, humble, and adaptive to change
* Excited to learn and grow in a fast\-paced environment
* Proven track record of applying analytical/statistical methods to tackle real\-world problems using big data.
* A true problem\-solver and self\-starter, with incredible ambition and drive
* Competitive and highly motivated to exceed expectations
* Ready to roll up your sleeves, get things done, and work harder than you’ve likely ever worked before — with far greater reward
* A positive, honest, empathetic, and curious teammate
* You understand that Agentio is building in\-person, and is in\-office 5 days/week
 What You'll Get
* The opportunity to build a first\-of\-its kind business as an early team\-member and make a meaningful impact in the way brands share their stories and creators live off their work.
* Crash\-course in what it takes to scale a start\-up with first\-hand exposure to the different foundational business drivers and needs.
* The chance to work with an exceptional team and help build our engineering culture
* A collaborative, transparent, and engaging work environment.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5x a week!
* Gym in the building! – Your workout, right downstairs
*The estimated base compensation for this role is between $225,000 \&amp; $350,000\. Individual compensation is determined by skills, qualifications, and experience. In addition, this role is eligible for equity and competitive benefits.*</t>
        </is>
      </c>
    </row>
    <row r="63">
      <c r="A63" t="inlineStr">
        <is>
          <t>li-4367630891</t>
        </is>
      </c>
      <c r="B63" t="inlineStr">
        <is>
          <t>Data Scientist &amp; Foundry Visualization Specialist (Secret)</t>
        </is>
      </c>
      <c r="C63" t="inlineStr">
        <is>
          <t>VMD Corp</t>
        </is>
      </c>
      <c r="D63" t="inlineStr">
        <is>
          <t>linkedin</t>
        </is>
      </c>
      <c r="E63">
        <f>HYPERLINK("https://www.linkedin.com/jobs/view/4367630891", "https://www.linkedin.com/jobs/view/4367630891")</f>
        <v/>
      </c>
      <c r="F63" t="inlineStr"/>
      <c r="G63" t="inlineStr">
        <is>
          <t>McLean, VA</t>
        </is>
      </c>
      <c r="H63" t="inlineStr"/>
      <c r="I63" t="inlineStr">
        <is>
          <t>**Company Description**
 Founded in 2009 and headquartered in McLean, VA, Xcelerate Solutions (www.xceleratesolutions.com) is one of America's fastest\-growing companies. Xcelerate’s culture is defined by our diversified workforce of dynamic and versatile professionals, supported with growth and development opportunities that contribute to individual and company growth. This strong commitment to our employees has been recognized by our inclusion on the Washington Business Journal’s “50 Best Places to Work” list as well as being a “Great Place to Work” certified company with a 4\.6 star, and a 99% CEO approval Glassdoor rating. Come find out why Xcelerate Solutions is one of the DC Metro top employers!
**Job Description**
 Xcelerate Solutions is seeking an experienced Data Scientist \&amp; Visualization. We are seeking a Data Scientist / Visualization Specialist to design and deliver intuitive, interactive analytic applications and dashboards in Palantir Foundry. This role emphasizes application development, data visualization, and UI/UX ensuring developed products are easy to use and can support decision\-makers and operators across the enterprise. You will partner closely with data scientists and data engineers to bring analytics to life. Come join our award\-winning organization and work with some of the most talented and brightest minds in the GovCon industry.
**Location:** 
 Remote
**Security Clearance:** 
 Secret
**Responsibilities:**
* Design and develop user\-facing analytic applications and dashboards in Palantir Foundry
* Translate complex data models and analytics into clear, compelling visualizations
* Build interactive, data\-driven UIs that embed analytics and metrics into workflows
* Collaborate with data scientists and engineers to integrate analytics, AI outputs, and ontologies
* Apply UX/UI best practices to deliver accessible, intuitive, and scalable applications
* Collaborate in an Agile/Scrum environment to rapidly iterate on solutions
* Communicate insights effectively to technical and non\-technical stakeholders
 Qualifications
**Minimum Requirements:**
* Experience building data\-driven applications or dashboards
* Strong data visualization and storytelling skills
* Experience with BI and visualization tools (PowerBI, Tableau, Qlik, or similar)
* Proficiency in Python
* Experience with Python\-based visualization libraries (plotly, matplotlib, seaborn)
* Understanding of data analysis and EDA to work effectively with source data
* Experience wrangling and aggregating data from multiple data sources
* Grasp of UX/UI best practices for analytic applications
* Comfort working in a dynamic Agile/Scrum environment with evolving or loosely defined requirements
* Excellent collaboration and communication skills.
* Experience with Palantir Foundry, Databricks, or similar data platforms
* Active Secret Clearance
**Preferred Qualifications**
* Prior Army Contractor experience
* Experience supporting modernization cloud project
* Knowledge of TypeScript for front\-end or application\-layer development.
* Experience building rapid analytic demos or apps (e.g., Streamlit)
* Hands\-on experience with Palantir Foundry (pipelines, transforms, Workshop, Ontologies, AIP, etc.) – particular focus on Workshop and Ontologies
* Experience with data platform operations, monitoring, or optimization
* Experience building and maintaining ETL pipelines supporting analytic applications
* Experience with AI/ML and statistical modeling tools and python libraries (e.g., scikit\-learn, statsmodels, Prophet; NLP tools such as spaCy or NLTK)
* Proficiency in Python for analytics and data pipelines (e.g., pandas, polars, PySpark)
 Additional Information
*Xcelerate Solutions is an Equal Employment Opportunity/Affirmative Action Employer. We evaluate qualified applicants without regard to race, color, national origin, religion, age, equal pay, disability, veteran status, sex, sexual orientation, gender identity, genetic information, or expression of another protected characteristic. As part of this commitment to the full inclusion of all qualified individuals, Xcelerate provides reasonable accommodations if needed because of an applicant's or an employee's disability.*
*Pay Transparency Notice: Xcelerate Solutions will not discharge or in any other manner discriminate against employees or applicants because they have inquired about, discussed, or disclosed their own pay or the pay of another employee or applicant.*</t>
        </is>
      </c>
    </row>
    <row r="64">
      <c r="A64" t="inlineStr">
        <is>
          <t>li-4367273631</t>
        </is>
      </c>
      <c r="B64" t="inlineStr">
        <is>
          <t>Data Scientist, Claude Developer Platform</t>
        </is>
      </c>
      <c r="C64" t="inlineStr">
        <is>
          <t>Anthropic</t>
        </is>
      </c>
      <c r="D64" t="inlineStr">
        <is>
          <t>linkedin</t>
        </is>
      </c>
      <c r="E64">
        <f>HYPERLINK("https://www.linkedin.com/jobs/view/4367273631", "https://www.linkedin.com/jobs/view/4367273631")</f>
        <v/>
      </c>
      <c r="F64" t="inlineStr"/>
      <c r="G64" t="inlineStr">
        <is>
          <t>New York, NY</t>
        </is>
      </c>
      <c r="H64" t="inlineStr"/>
      <c r="I64"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our growing Data Science and Analytics team, you will play an instrumental role in our company’s mission of building safe and beneficial artificial intelligence by driving data\-informed decision making across our organization. In this unique company, technology, and moment in history, your work will be critical to informing our product, commercial and technical strategy as we deploy safe, frontier AI at scale to the world.
 You will partner closely with product, engineering, and go\-to\-market teams to understand how developers and enterprise customers build on and adopt the Claude Developer Platform—spanning our core API, agent orchestration, tool and MCP integrations, and knowledge management capabilities. You'll identify growth opportunities, surface insights about how AI agents are being built and deployed at scale, and drive data\-informed decisions that shape our platform roadmap. This role offers a unique opportunity to work at the foundational layer of Anthropic's developer ecosystem, influencing the infrastructure that powers both internal products and external developers building with Claude.
**Responsibilities**
* Embed directly with platform engineering teams—across core API, agent orchestration, capabilities, and knowledge management—to develop deep technical fluency in their products, shape how success is measured, and partner on strategic decisions from feature design through launch and iteration
* Deep dive into product and user data to derive actionable insights and size opportunities to improve products, strategy and operations, influencing roadmaps through your insights and recommendations
* Develop hypotheses, apply rigorous causal inference methods – controlled experiments, synthetic controls – and analyze the results in order make actionable recommendations
* Build statistical models, optimization frameworks, and simulations to automate decision\-making and operational processes
* Present complex technical analyses and recommendations to both technical and non\-technical stakeholders
* Establish foundational data practices and help scale our analytics infrastructure to support rapid iteration and decision\-making as our products grow
**You May Be a Good Fit If You**
* Have 6\+ years of experience in data science or analytics roles, with significant experience in API products, technical developer tools, or B2B SaaS platforms
* Have 3\+ years of experience working closely with Product or Engineering teams on API or developer\-facing products, with demonstrated impact on product roadmap and strategy
* Deep expertise with Python, SQL, and data visualization tools
* Expertise with experimental design, causal inference, statistical modeling, and A/B testing frameworks, particularly in high\-scale technical environments
* Highly effective written communication and presentation skills
* A track record of translating complex data into clear, actionable insights for both technical and business stakeholders
* A bias for action and ability to thrive in ambiguous, fast\-moving environments where you must create clarity and drive forward progress
* A passion for the company’s mission of building helpful, honest, and harmless AI
* Some experience with AI/ML products, large language models, or developer tools in the AI/ML ecosystem
**Strong Candidates May Also Have**
* Experience building digital products or developer tools using LLMs
* Familiarity with building and maintaining data infrastructure for high\-scale products
* Experience supporting B2B sales teams with data insights
* Strong instincts for what drives product adoption, engagement, and retention
 The annual compensation range for this role is listed below.
 For sales roles, the range provided is the role’s On Target Earnings ("OTE") range, meaning that the range includes both the sales commissions/sales bonuses target and annual base salary for the role.
**Annual Salary**
 $275,000—$370,000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65">
      <c r="A65" t="inlineStr">
        <is>
          <t>li-4367296134</t>
        </is>
      </c>
      <c r="B65" t="inlineStr">
        <is>
          <t>Data Scientist</t>
        </is>
      </c>
      <c r="C65" t="inlineStr">
        <is>
          <t>RemoteHunter</t>
        </is>
      </c>
      <c r="D65" t="inlineStr">
        <is>
          <t>linkedin</t>
        </is>
      </c>
      <c r="E65">
        <f>HYPERLINK("https://www.linkedin.com/jobs/view/4367296134", "https://www.linkedin.com/jobs/view/4367296134")</f>
        <v/>
      </c>
      <c r="F65" t="inlineStr"/>
      <c r="G65" t="inlineStr"/>
      <c r="H65" t="inlineStr"/>
      <c r="I65"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6">
      <c r="A66" t="inlineStr">
        <is>
          <t>li-4363424516</t>
        </is>
      </c>
      <c r="B66" t="inlineStr">
        <is>
          <t>Senior Data Scientist, Rider Team</t>
        </is>
      </c>
      <c r="C66" t="inlineStr">
        <is>
          <t>Lime</t>
        </is>
      </c>
      <c r="D66" t="inlineStr">
        <is>
          <t>linkedin</t>
        </is>
      </c>
      <c r="E66">
        <f>HYPERLINK("https://www.linkedin.com/jobs/view/4363424516", "https://www.linkedin.com/jobs/view/4363424516")</f>
        <v/>
      </c>
      <c r="F66" t="inlineStr"/>
      <c r="G66" t="inlineStr"/>
      <c r="H66" t="inlineStr"/>
      <c r="I66" t="inlineStr">
        <is>
          <t>Lime is the largest global shared micromobility business, operating in close to 30 countries across five continents. We’re on a mission to build a future where transportation is shared, affordable and carbon\-free. Our electric bikes and scooters have powered more than one billion rides in cities around the world. Named a 2025 Time 100 Most Influential Company, Lime continues to set the pace for shared micromobility globally, spurring a new generation of clean alternatives to car ownership.
 As a Senior Data Scientist on Lime’s Rider DSA team, you will play a critical role in helping us understand our riders and uncover the drivers of retention. You’ll focus on experimentation, product analytics, and data deep\-dives that surface actionable insights for product and business teams. Partnering with Product, Engineering, and Operations, you’ll help shape strategy on initiatives like early\-funnel adoption, second\-month retention, and loyalty programs—turning data into measurable impact across Lime.
**What You’ll Do**
* Design, run, and analyze experiments to optimize rider experience and improve retention outcomes.
* Define project goals, success metrics, and measurement frameworks to ensure clarity and alignment across initiatives.
* Deliver data\-driven solutions by translating complex analyses into clear, actionable recommendations in compelling ways that influence strategy and roadmap decisions.
* Partner with Product and other teams to evaluate and refine retention\-focused initiatives such as onboarding flows, memberships, and loyalty programs.
* Conduct deep\-dive analyses to identify patterns, diagnose problems, and inform strategic decisions around rider engagement.
* Identify key “aha” moments that predict long\-term retention and quantify their impact on rider behavior.
**About You**
* MS or PhD in Statistics, Economics, Computer Science, Applied Mathematics, Operations Research, or a related quantitative field.
* 5\+ years of industry experience as a Data Scientist, ideally in product analytics, growth, or consumer\-facing platforms.
* Deep understanding of probability and statistics, including causal inference and experimental design.
* Proficiency in SQL and Python, with end\-to\-end experience with data—including querying, data manipulation, aggregation, analysis, visualization , and model deployment.
* Machine Learning \&amp; Modeling: Strong understanding of predictive modeling, price elasticity estimation, and customer segmentation techniques.
* Business Acumen: Business intuition for how retention and loyalty levers impact user growth and long\-term value.
* Strong communication skills with the ability to convey technical concepts to non\-technical stakeholders.
**U.S. Based Position \- What We Offer**
* Comprehensive Health \&amp; Wellness: A choice of medical, dental, and vision plans. We also provide company\-paid life and disability insurance and company\-funded mental health benefits.
* Financial \&amp; Retirement Planning: 401(k) plan with both pre\-tax and Roth options, and access to a Health Savings Account (HSA) with a monthly company contribution.
* Family \&amp; Fertility Support: Paid parental leave for birthing and non\-birthing parents, plus fertility and family\-forming benefits.
* Paid Time Off: Unlimited vacation, paid leaves, and 10 company holidays.
* Unique Lime Perks: Complimentary use of Lime vehicles in participating cities, a monthly phone allowance, dedicated learning and development days, and access to perks including One Medical, Wellhub, and Headspace.
*The salary range listed reflects what Lime reasonably expects to offer for this role, with the final base salary determined by factors such as the candidate’s location and relevant skills and experience. Depending on the position, the total compensation package may also include discretionary annual performance bonus opportunities and equity, subject to applicable plan terms and eligibility requirements.*
 Lime considers all qualified applicants for employment, including those with arrest or conviction records, in accordance with the San Francisco Fair Chance Ordinance, the Los Angeles Fair Chance Initiative for Hiring, the Los Angeles County Fair Chance Ordinance, the California Fair Chance Act, and all other applicable federal, state, and local laws.
 If you want to make an impact, Lime is the place for you. Not sure if you meet all the qualifications? If this role excites you we encourage you to apply. Explore all opportunities on our career page.
 Lime is proud to be an Equal Opportunity Employer. We believe different perspectives help us grow and achieve more. That’s why we’re dedicated to building and developing a team that reflects a wider range of backgrounds, abilities, identities, and experiences. If you require a reasonable accommodation during the application or hiring process, please email recruiting\-operations@li.me for assistance.
 Compensation Range: $107K \- $207K</t>
        </is>
      </c>
    </row>
    <row r="67">
      <c r="A67" t="inlineStr">
        <is>
          <t>li-4367623145</t>
        </is>
      </c>
      <c r="B67" t="inlineStr">
        <is>
          <t>Senior Data Scientist</t>
        </is>
      </c>
      <c r="C67" t="inlineStr">
        <is>
          <t>CCS Global Tech</t>
        </is>
      </c>
      <c r="D67" t="inlineStr">
        <is>
          <t>linkedin</t>
        </is>
      </c>
      <c r="E67">
        <f>HYPERLINK("https://www.linkedin.com/jobs/view/4367623145", "https://www.linkedin.com/jobs/view/4367623145")</f>
        <v/>
      </c>
      <c r="F67" t="inlineStr"/>
      <c r="G67" t="inlineStr">
        <is>
          <t>Miami, FL</t>
        </is>
      </c>
      <c r="H67" t="inlineStr"/>
      <c r="I67" t="inlineStr">
        <is>
          <t>Position Title: Senior Data Scientist
 Location: Miami/Doral, FL (Onsite)
 Security Clearance Required: Active TS/SCI
 Responsibilities
 An understanding of Transnational Criminal Organizations (TCOs) operating within the USSOUTHCOM AOR
 An understanding of coca cultivation and production areas Familiarity with Intelligence Community Directive (ICD) 203 (Analytic Standards) and ICD 206
 An understanding of how to operationalize the analytic output—shape/frame it in a way that supports operational planning
 Required Qualifications
 They must have a background with intelligence experience, where they provided analysis and/or data science to an intelligence mission.
 They must be able to operate at a senior level and in an independent environment.
 They must be proficient at creating processes around large data sets to identify analytical discoveries,
 They must be able to script at a Senior Level in python.
 Must be able to take these discoveries and provide them through visualizations that are easily integrated into daily operations.</t>
        </is>
      </c>
    </row>
    <row r="68">
      <c r="A68" t="inlineStr">
        <is>
          <t>li-4367281674</t>
        </is>
      </c>
      <c r="B68" t="inlineStr">
        <is>
          <t>Mid Level Data Scientist</t>
        </is>
      </c>
      <c r="C68" t="inlineStr">
        <is>
          <t>Altamira Technologies Corporation</t>
        </is>
      </c>
      <c r="D68" t="inlineStr">
        <is>
          <t>linkedin</t>
        </is>
      </c>
      <c r="E68">
        <f>HYPERLINK("https://www.linkedin.com/jobs/view/4367281674", "https://www.linkedin.com/jobs/view/4367281674")</f>
        <v/>
      </c>
      <c r="F68" t="inlineStr"/>
      <c r="G68" t="inlineStr">
        <is>
          <t>Tampa, FL</t>
        </is>
      </c>
      <c r="H68" t="inlineStr"/>
      <c r="I68" t="inlineStr">
        <is>
          <t>**Data Scientist**
**Clearance: TS/SCI**
**Location: Tampa, FL**
 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We focus on recruiting talented, self\-motivated employees that strive to find a way to get things done. Join our team of experts as we engineer national security!
 Altamira is searching for a Data Scientist in Tampa, Florida.
**Job Responsibilities**
* Responsible for overall data science and data characterization technologies and will report to the on\-site program manager.
* Assess technology development and evaluate its operational usefulness and eventually demonstrate the technology capability through test and evaluation.
* Results must be documented in writing and communicated both verbally and through multi\-media methods to senior management.
* Must have TS/SCI clearance to start and the willingness/ability to obtain a CI Polygraph
* Onsite 5 days a week at the Timberlake Federal Building (Downtown Tampa)
**Qualifications (Primary)**
* Proficient in Python, ideally will know other languages like Java
* Experienced in production level ETL pipelines development and deployment
* Experienced in ETL pipeline tools, ideally Prefect or NiFi (Prefect is preferred)
* Understanding of the data science process and experience with Exploratory Data Analysis
**Qualifications (Secondary)**
* Experience in AI/ML model development
* Experience with MLOps frameworks (MLFlow, BentoML)
* Experience with GenAI development (LangChain, OLlama, etc)
* Experience in working in High Side network environments (Clairvoyant)</t>
        </is>
      </c>
    </row>
    <row r="69">
      <c r="A69" t="inlineStr">
        <is>
          <t>li-4367494726</t>
        </is>
      </c>
      <c r="B69" t="inlineStr">
        <is>
          <t>Data Scientist</t>
        </is>
      </c>
      <c r="C69" t="inlineStr">
        <is>
          <t>Infojini Inc</t>
        </is>
      </c>
      <c r="D69" t="inlineStr">
        <is>
          <t>linkedin</t>
        </is>
      </c>
      <c r="E69">
        <f>HYPERLINK("https://www.linkedin.com/jobs/view/4367494726", "https://www.linkedin.com/jobs/view/4367494726")</f>
        <v/>
      </c>
      <c r="F69" t="inlineStr"/>
      <c r="G69" t="inlineStr"/>
      <c r="H69" t="inlineStr"/>
      <c r="I69" t="inlineStr">
        <is>
          <t>**Role\- Data Scientist/Lead Assistant Manager/ Manager** 
**Location\-Cincinnati, Ohio** 
**5\+** 
 years of experience in P\&amp;C insurance analytics, pricing, or actuarial\-adjacent
 **Data Science** 
 roles with proficiency in advanced Machine Learning techniques
**Technical skills\-** 
**Machine Learning algorithms** 
 for tabular data (Gradient Boosting, Random Forests, XGBoost, LightGBM, NLP\-Unstructured)
**GLM modeling** 
 expertise (Poisson, Gamma, Tweedie, Logistic)
**Python** 
 for data analysis and modeling (pandas, numpy, scikit\-learn, statsmodels)
**Databricks** 
 / Spark (PySpark) for large\-scale data transformation and feature engineering</t>
        </is>
      </c>
    </row>
    <row r="70">
      <c r="A70" t="inlineStr">
        <is>
          <t>li-4367276934</t>
        </is>
      </c>
      <c r="B70" t="inlineStr">
        <is>
          <t>Data Scientist</t>
        </is>
      </c>
      <c r="C70" t="inlineStr">
        <is>
          <t>Altamira Technologies Corporation</t>
        </is>
      </c>
      <c r="D70" t="inlineStr">
        <is>
          <t>linkedin</t>
        </is>
      </c>
      <c r="E70">
        <f>HYPERLINK("https://www.linkedin.com/jobs/view/4367276934", "https://www.linkedin.com/jobs/view/4367276934")</f>
        <v/>
      </c>
      <c r="F70">
        <f>HYPERLINK("http://app.jobvite.com/CompanyJobs/Careers.aspx?c=qI2bVfwA&amp;j=ovfwzfwz&amp;k=Apply&amp;__jvst=Job+Board&amp;__jvsd=LinkedIn&amp;urlHash=N9fi", "http://app.jobvite.com/CompanyJobs/Careers.aspx?c=qI2bVfwA&amp;j=ovfwzfwz&amp;k=Apply&amp;__jvst=Job+Board&amp;__jvsd=LinkedIn&amp;urlHash=N9fi")</f>
        <v/>
      </c>
      <c r="G70" t="inlineStr">
        <is>
          <t>Tampa, FL</t>
        </is>
      </c>
      <c r="H70" t="inlineStr"/>
      <c r="I70" t="inlineStr">
        <is>
          <t>**Clearance: TS/SCI**
**Location: Tampa, FL**
 Altamira Technologies has a long and successful history providing innovative solutions throughout the U.S. National Security community. Headquartered in McLean, Virginia, Altamira serves the defense, intelligence, and homeland security communities worldwide by focusing on creating innovative solutions leveraging common standards in architecture, data and security. Altamira believes that our people and the culture of our company differentiate us from other companies.
 We focus on recruiting talented, self\-motivated employees that strive to find a way to get things done. Join our team of experts as we engineer national security!
 Altamira is searching for a Data Scientist in Tampa, Florida.
 The Data Scientist is responsible for research on assigned topics, application of structured analytic methodology, and innovation in the technological advancement and innovative application of analytics to Department of Defense Intelligence Enterprise (DIE) challenges. This is a key position for on\-site work located in Tampa, FL directly reporting to the on\-site Program Manager.
 Our customer is a US Government research and development (R\&amp;D) lab providing demonstrable solutions to current challenges. The focus is innovation on analytic methodology and technological enablement of structured analytics. This involves blending analytical rigor with data science and human factors to produce relevant capabilities that demonstrate the art of the possible in solving the end user’s problem. A strong grasp of data science techniques and some experience in coding is essential.
 A key part of that process is research and intelligence analysis, and we are looking for a skilled Research Analyst to join our Methodology Development Team. You will work along side analysts, data scientists, data engineers, and creative design specialists to collaboratively produce applied solutions to the department's hardest challenges.
**Qualifications And Role**
 As part of a fast\-paced R\&amp;D team, you will be an expert on intelligence community and/or commercial/academic analytical techniques, tools, and processes. The ideal candidate will have a firm grasp on analytic methodology, data visualization techniques, and have the ability to create visual narratives that intuitively simplify complex concepts for a variety of audiences. Knowledge of data science fundamentals is not required but adds great value to the team.
 In addition, you will assess emerging and current analysis tools/technology to evaluate operational usefulness and demonstrate the capability through application on operational data. Results must be documented and communicated both verbally and through multi\-media methods to senior management. We are a highly visual focused organization, but strong written and verbal skills are also required.
 The candidate must be proficient in all or most of:
* Verbal and written communication at the senior executive/university graduate level
* Coding in one or more of the following – Python, R, Ruby, JavaScript, PERL, C (C\+\+. C\#)
* Critical thinking and creative problem solving
* Application of structured analytics to complex data
* Intelligence Community tools and data sources or commercial equivalents
* Microsoft Word, Excel, and Power Point
 The ideal candidate will also have experience in one or more of the below:
* Full Intelligence Cycle
* One of the Intelligence disciplines (SIGINT, OSINT, HUMINT, MASINT, GEOINT)
* Cloud based Viz/data tools
* Graph display/analytics \- Neo4j, Gephi, Cytoscape, ORA or others
* Spreadsheet / Data \- Excel/PowerBI
* Data Viz/Dashboarding tools like Tableau and KIbana
* Data extraction, transformation, loading (ETL)
**All candidates MUST have a Top Secret Clearance with SCI Eligibility.**</t>
        </is>
      </c>
    </row>
    <row r="71">
      <c r="A71" t="inlineStr">
        <is>
          <t>li-4367466625</t>
        </is>
      </c>
      <c r="B71" t="inlineStr">
        <is>
          <t>Senior Data Scientist</t>
        </is>
      </c>
      <c r="C71" t="inlineStr">
        <is>
          <t>Neoage Services LLC</t>
        </is>
      </c>
      <c r="D71" t="inlineStr">
        <is>
          <t>linkedin</t>
        </is>
      </c>
      <c r="E71">
        <f>HYPERLINK("https://www.linkedin.com/jobs/view/4367466625", "https://www.linkedin.com/jobs/view/4367466625")</f>
        <v/>
      </c>
      <c r="F71" t="inlineStr"/>
      <c r="G71" t="inlineStr">
        <is>
          <t>Houston, TX</t>
        </is>
      </c>
      <c r="H71" t="inlineStr"/>
      <c r="I71" t="inlineStr">
        <is>
          <t>\[Senior Data Scientist \- Houston, TX. The Senior Data Scientist role is a non\-managerial, expert\-level position focused on technical strategy, coordination, and architecture. The position requires a deep understanding of data science principles and the ability to apply this knowledge to complex business challenges as a Subject Matter Expert. Define the technical architecture and provide strategic guidance for the implementation of advanced data science models (forecasting, anomaly detection, etc.) to drive business outcomes. This includes setting the framework for model design, selecting appropriate algorithms and technologies, and ensuring the end\-to\-end solution is robust, scalable, and directly tied to key business objectives such as customer acquisition, retention, and revenue attribution. Coordinate complex data science projects and provide expert technical guidance as the Subject Matter Expert (SME) to cross\-functional teams to ensure deliverables meet project and business requirements. The SME will work with analysts, engineers, coders, and business leads to translate high\-level business problems into actionable data science initiatives. This role involves providing high\-level troubleshooting advice and ensuring technical solutions are aligned with strategic goals and timelines. Architect and guide the end\-to\-end Machine Learning and Deep Learning infrastructure, including pipelines and decision support systems. This duty involves designing the foundational systems for data ingestion, model training, and deployment. The guidance aspect includes establishing best practices for code quality, security, and reproducibility to maintain a stable and reliable machine learning ecosystem. Establish and ensure data quality standards and methodologies for large\-scale data integration. The Senior Data Scientist will define the procedures for data cleansing, preprocessing, and normalization. This includes implementing robust validation checks and developing strategies to manage data from multiple disparate sources to ensure accuracy, reliability, and security for all modeling efforts. Coordinate strategic partnerships with functional areas like sales, marketing, and engineering to proactively identify and address complex business challenges through advanced data analysis. Coordinate the execution of data science initiatives from inception to completion, encompassing the definition of project scope, timelines, and success metrics. Serve as a key technical resource for high\-level troubleshooting and provide direction to diverse teams, including analysts, engineers, and coders. Work with the following: Python, PySpark, Tensorflow, Keras, PyTorch, SMOTE, Azure Synapse Analytics, Azure SQL, Azure ML Studio, Azure Databricks, Kusto, Cosmos, Power BI, Power Automate, and MLOps. Other similar duties as assigned. M\-F; 40 hrs/week. $133,078\.00/annum.
 ]{\#docs\-internal\-guid\-0873dbf0\-7fff\-d9c4\-ddcf\-be6a39dfdb25}</t>
        </is>
      </c>
    </row>
    <row r="72">
      <c r="A72" t="inlineStr">
        <is>
          <t>li-4356861067</t>
        </is>
      </c>
      <c r="B72" t="inlineStr">
        <is>
          <t>GEN AI Sr Data Scientist/Data Scientist</t>
        </is>
      </c>
      <c r="C72" t="inlineStr">
        <is>
          <t>The Hartford</t>
        </is>
      </c>
      <c r="D72" t="inlineStr">
        <is>
          <t>linkedin</t>
        </is>
      </c>
      <c r="E72">
        <f>HYPERLINK("https://www.linkedin.com/jobs/view/4356861067", "https://www.linkedin.com/jobs/view/4356861067")</f>
        <v/>
      </c>
      <c r="F72" t="inlineStr"/>
      <c r="G72" t="inlineStr">
        <is>
          <t>Columbus, OH</t>
        </is>
      </c>
      <c r="H72" t="inlineStr"/>
      <c r="I72" t="inlineStr">
        <is>
          <t>Sr Data Scientist \- GD07AE
 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Step into the future with The Hartford as a Data Scientist / Sr Data Scientist, where Generative AI isn't just a buzzword—it's central to our strategy. Join a team that's pioneering AI\-driven solutions in underwriting, claims processing, and customer service, transforming how we operate and make decisions. As part of our horizontal language\-focused Gen AI team, you'll tackle advanced use cases and shape the development of Gen AI capabilities across the organization. Here, your work will have a tangible impact, driving innovation and operational excellence with cutting\-edge AI tools. If you're looking for a role where your expertise is not only valued but essential to our success, The Hartford is the place for you.
 We are looking for a technically proficient GenAI data scientist with deep implementation experience in building and evaluating GenAI systems, and a proven ability to stay at the forefront tools and techniques in the evolving AI landscape.
 This role can have a Hybrid or Remote work schedule. Candidates who live near one of our locations will have the expectation of working in an office 3 days a week (Tuesday through Thursday).
**Responsibilities**
* Support The Hartford’s AI innovation strategy to identify and implement high\-end use cases, ensuring alignment with business objectives and emerging industry trends.
* Support cutting\-edge AI vision and roadmap for the enterprise to make The Hartford a leader in using AI for the insurance industry.
* Partner with stakeholders internal to the Data Science organization, Technology organization and business organization, aligning with business objectives and driving innovation to improve productivity and efficiency of underwriting and sales efforts.
* Design and build GenAI solutions for tasks such as summarization, question answering, search, data synthesis, etc.
* Rapidly prototype with cutting\-edge tools, such as VertexAI/Google agent development kit, LangChain/LangGraph, RAG frameworks, HuggingFace, OpenAI APIs, etc.
* Research and recommend noval foundation model options, tools, and libraries to improve solutions in performance and reliability.
* Develop evaluation pipelines for generative outputs using a mix of automatic metrics, human feedback, and llm\-as\-a\-judge methods.
* Collaborate with ML Ops to ensure best practice is followed for scalable training and deployment.
**Qualifications**
* Master’s or PhD in Computer Science, Artificial Intelligence, Machine Learning, Engineering or a related field.
* 3\+ years of industry experience in machine learning or data science and with 1\+ years focused on GenAI.
* Proven experience in GenAI tools such as Vertex AI/Google agent development kit, LangChain/LangGraph, RAG frameworks, HuggingFace, OpenAI APIs, etc.
* Solid understanding of prompt engineering, retrieval\-augmented generation (RAG), agent workflow, and LLM evaluation.
* Proficiency in Python and ML frameworks such as PyTorch, TensorFlow, etc.
* Experience with vector databases such as Chroma, Pinecone, etc. and cloud platforms such as GCP, AWS, Azure, etc.
* Strong analytical, problem solving and debugging skills.
* Excellent communication and collaboration skills, with the ability to explain complex technical concepts to non\-technical stakeholders across the enterprise.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$90,160 \- $166,080
 The posted salary range reflects our ability to hire at different position titles and levels depending on background and experience.
 Equal Opportunity Employer/Sex/Race/Color/Veterans/Disability/Sexual Orientation/Gender Identity or Expression/Religion/Age</t>
        </is>
      </c>
    </row>
    <row r="73">
      <c r="A73" t="inlineStr">
        <is>
          <t>li-4356751259</t>
        </is>
      </c>
      <c r="B73" t="inlineStr">
        <is>
          <t>GEN AI Sr Data Scientist/Data Scientist</t>
        </is>
      </c>
      <c r="C73" t="inlineStr">
        <is>
          <t>The Hartford</t>
        </is>
      </c>
      <c r="D73" t="inlineStr">
        <is>
          <t>linkedin</t>
        </is>
      </c>
      <c r="E73">
        <f>HYPERLINK("https://www.linkedin.com/jobs/view/4356751259", "https://www.linkedin.com/jobs/view/4356751259")</f>
        <v/>
      </c>
      <c r="F73">
        <f>HYPERLINK("https://www.jointhehartford.com/apply/1255/gen-ai-sr-data-scientist-data-scientist-data-analytics-us-il-chicago/?source=LinkedIn&amp;urlHash=rQGj", "https://www.jointhehartford.com/apply/1255/gen-ai-sr-data-scientist-data-scientist-data-analytics-us-il-chicago/?source=LinkedIn&amp;urlHash=rQGj")</f>
        <v/>
      </c>
      <c r="G73" t="inlineStr">
        <is>
          <t>Chicago, IL</t>
        </is>
      </c>
      <c r="H73" t="inlineStr"/>
      <c r="I73" t="inlineStr">
        <is>
          <t>Sr Data Scientist \- GD07AE
 Data Scientist \- GD08AE
 We’re determined to make a difference and are proud to be an insurance company that goes well beyond coverages and policies. Working here means having every opportunity to achieve your goals – and to help others accomplish theirs, too. Join our team as we help shape the future.
 Step into the future with The Hartford as a Data Scientist / Sr Data Scientist, where Generative AI isn't just a buzzword—it's central to our strategy. Join a team that's pioneering AI\-driven solutions in underwriting, claims processing, and customer service, transforming how we operate and make decisions. As part of our horizontal language\-focused Gen AI team, you'll tackle advanced use cases and shape the development of Gen AI capabilities across the organization. Here, your work will have a tangible impact, driving innovation and operational excellence with cutting\-edge AI tools. If you're looking for a role where your expertise is not only valued but essential to our success, The Hartford is the place for you.
 We are looking for a technically proficient GenAI data scientist with deep implementation experience in building and evaluating GenAI systems, and a proven ability to stay at the forefront tools and techniques in the evolving AI landscape.
 This role can have a Hybrid or Remote work schedule. Candidates who live near one of our locations will have the expectation of working in an office 3 days a week (Tuesday through Thursday).
**Responsibilities**
* Support The Hartford’s AI innovation strategy to identify and implement high\-end use cases, ensuring alignment with business objectives and emerging industry trends.
* Support cutting\-edge AI vision and roadmap for the enterprise to make The Hartford a leader in using AI for the insurance industry.
* Partner with stakeholders internal to the Data Science organization, Technology organization and business organization, aligning with business objectives and driving innovation to improve productivity and efficiency of underwriting and sales efforts.
* Design and build GenAI solutions for tasks such as summarization, question answering, search, data synthesis, etc.
* Rapidly prototype with cutting\-edge tools, such as VertexAI/Google agent development kit, LangChain/LangGraph, RAG frameworks, HuggingFace, OpenAI APIs, etc.
* Research and recommend noval foundation model options, tools, and libraries to improve solutions in performance and reliability.
* Develop evaluation pipelines for generative outputs using a mix of automatic metrics, human feedback, and llm\-as\-a\-judge methods.
* Collaborate with ML Ops to ensure best practice is followed for scalable training and deployment.
**Qualifications**
* Master’s or PhD in Computer Science, Artificial Intelligence, Machine Learning, Engineering or a related field.
* 3\+ years of industry experience in machine learning or data science and with 1\+ years focused on GenAI.
* Proven experience in GenAI tools such as Vertex AI/Google agent development kit, LangChain/LangGraph, RAG frameworks, HuggingFace, OpenAI APIs, etc.
* Solid understanding of prompt engineering, retrieval\-augmented generation (RAG), agent workflow, and LLM evaluation.
* Proficiency in Python and ML frameworks such as PyTorch, TensorFlow, etc.
* Experience with vector databases such as Chroma, Pinecone, etc. and cloud platforms such as GCP, AWS, Azure, etc.
* Strong analytical, problem solving and debugging skills.
* Excellent communication and collaboration skills, with the ability to explain complex technical concepts to non\-technical stakeholders across the enterprise.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$90,160 \- $166,080
 The posted salary range reflects our ability to hire at different position titles and levels depending on background and experience.
 Equal Opportunity Employer/Sex/Race/Color/Veterans/Disability/Sexual Orientation/Gender Identity or Expression/Religion/Age</t>
        </is>
      </c>
    </row>
    <row r="74">
      <c r="A74" t="inlineStr">
        <is>
          <t>li-4367493331</t>
        </is>
      </c>
      <c r="B74" t="inlineStr">
        <is>
          <t>Principal Data Scientist</t>
        </is>
      </c>
      <c r="C74" t="inlineStr">
        <is>
          <t>Paylocity</t>
        </is>
      </c>
      <c r="D74" t="inlineStr">
        <is>
          <t>linkedin</t>
        </is>
      </c>
      <c r="E74">
        <f>HYPERLINK("https://www.linkedin.com/jobs/view/4367493331", "https://www.linkedin.com/jobs/view/4367493331")</f>
        <v/>
      </c>
      <c r="F74" t="inlineStr"/>
      <c r="G74" t="inlineStr"/>
      <c r="H74" t="inlineStr"/>
      <c r="I74"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**Position Overview**
 Our data science team is responsible for developing AI and machine learning solutions to meet client needs in domains ranging from NLP and supervised learning to time series forecasting and anomaly detection. The team is focused on building high impact software solutions that deliver automation, insights, and assistance to millions of users every day. You can learn more about the type of work we do on our Paylocity AI page.
 As a Principal Data Scientist, you will help Paylocity discover the information hidden in vast amounts of data, to help our customers make smarter human capital decisions that drive organizational success. Your primary focus will be to apply knowledge of statistics, machine learning, programming, data modeling, to recognize patterns, identify opportunities, pose business questions, and make valuable discoveries leading to prototype development and product improvement.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Select, build, and optimize machine learning models using advanced techniques such as time series analysis, regression, random forests, gradient boosting, and neural networks.
* Leverage cutting\-edge big data technologies on cloud platforms, utilizing tools such as Databricks and Spark to deliver scalable solutions.
* Independently design and develop proof\-of\-concept projects, taking them from initial ideation through to full productization and delivery.
* Build agentic AI applications powered by large language models (LLMs) that enable autonomous decision\-making and advanced automation capabilities.
* Create and maintain automated data and modeling pipelines, as well as custom performance tracking systems to ensure robust model deployment and monitoring.
* Work closely with full stack software engineers in an agile product development environment to deliver machine learning\-powered software features.
* Collaborate with Product Managers, Enterprise Architects, Software Development Managers, and other organizational leaders to translate complex human capital management challenges into actionable data science projects.
* Conduct ad\-hoc analyses and clearly present results to both technical and non\-technical stakeholders.
* Solve the most complex technical challenges across data science and engineering domains, ensuring technical health and quality of critical platforms.
* Drive organization\-wide technical strategies and AI platform adoption, enabling rapid team onboarding to new systems and technologies.
* Lead the discovery, design, and implementation of organization\-wide systems that balance technical capabilities with evolving business objectives and market needs.
* Proactively identify, communicate, and address emerging technical challenges, while maintaining system reliability, scalability, and fostering technical innovation.
* Effectively communicate technical vision, strategy, and insights to executive leadership and cross\-functional teams.
* Participate in rigorous architecture planning and review processes, actively engaging throughout the product development lifecycle to ensure best practices and alignment with strategic objectives.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12 years of demonstrated data science success or similar experience; or, advanced degree (master’s or PhD) in data science, computer science, engineering, statistics, mathematics or other quantitative field, with 5 years of demonstrated data science success or similar experience.
* Experience in writing production grade machine learning models in Python.
* Deep understanding of distributed systems, architecture, and scalability.
* Proven experience successfully executing organization\-wide technical initiatives.
* Demonstrated experience with cloud infrastructure (e.g., AWS, Azure, GCP).
* Demonstrated ability to leverage data science to drive business results.
* Skilled at translating business problems into data science problems and communicating the results to non\-technical audiences.
* Able to work in a collaborative environment with a desire to share your ideas.
* Able to work independently and complete tasks with high quality, but unafraid to seek out suggestions from other team members.
* Self\-motivated, adaptable, and highly detail oriented.
**Preferred Skills**
* Professional or academic experience in HR, social science or psychology.
* Significant experience with cloud development and infrastructure\-as\-code (IAC) tools such as Pulumi, Terraform, AWS CDK.
* Be invested in staying current in data science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 This email address is exclusively
 designated for such requests, aligning with federal and state disability laws. Please do not send resumes
 to this email address, as they will be removed.
 The pay range for this position is $163,300 \- $303,300 /yr; however, base pay offered may vary depending on job\-related knowledge, skills, and experience. This position is eligible for a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75">
      <c r="A75" t="inlineStr">
        <is>
          <t>li-4367621295</t>
        </is>
      </c>
      <c r="B75" t="inlineStr">
        <is>
          <t>Forward Deployed Data Scientist</t>
        </is>
      </c>
      <c r="C75" t="inlineStr">
        <is>
          <t>Govini</t>
        </is>
      </c>
      <c r="D75" t="inlineStr">
        <is>
          <t>linkedin</t>
        </is>
      </c>
      <c r="E75">
        <f>HYPERLINK("https://www.linkedin.com/jobs/view/4367621295", "https://www.linkedin.com/jobs/view/4367621295")</f>
        <v/>
      </c>
      <c r="F75" t="inlineStr"/>
      <c r="G75" t="inlineStr">
        <is>
          <t>Pittsburgh, PA</t>
        </is>
      </c>
      <c r="H75" t="inlineStr"/>
      <c r="I75" t="inlineStr">
        <is>
          <t>**Company Description**
 Govini transforms Defense Acquisition from an outdated manual process to a software\-driven strategic advantage for the United States. Our flagship product, Ark, supports Supply Chain, Science \&amp;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an inquisitive Data Scientist to join our team, leveraging deep expertise in Artificial Intelligence and a keen understanding of complex Defense Acquisition challenges. Your primary focus will be to work with our proprietary and commercial datasets to find critical connections, derive actionable knowledge, and identify potential issues that help our government clients make more informed decisions. Your role will involve designing, developing, and rapidly deploying scalable AI solutions that transform these insights into mission\-critical capabilities. You will have the opportunity to expand and grow data\-driven research across Govini, leading new areas to apply advanced analytics to drive strategic business and national security results. As part of our team, you must be an AI expert with a strong command of data science fundamentals and a proven ability to bring data\-driven solutions to life within the defense ecosystem.
 In order to do this job well, you must be a highly organized problem\-solver and possess excellent oral and written communication skills, capable of translating complex AI concepts for both technical and non\-technical audiences. You are independent, driven, and motivated to jump in and roll up your sleeves to get the job done. You lead by influence and motivation. You have a passion for great work and nothing less than your best will do. You share our intolerance of mediocrity. You’re uber\-smart, challenged by figuring things out and producing simple, impactful AI solutions to complex defense problems. Knowing there are always multiple answers to a problem, you know how to engage in a constructive dialogue to find the best path forward. You’re scrappy. We like scrappy. We need a creative, out\-of\-the\-box thinker who shares our passion and obsession with quality and rapid prototyping/deployment.
 This role is a full\-time position located out of our office in Arlington, VA, Pittsburgh, PA, or Remote.
**This role may require up to 75% travel.**
 Scope of Responsibilities
* Developing new AI methods and using existing ones to solve complex defense problems
* Developing working AI systems and deploying them
* Rapid prototyping of AI models, systems, heuristics, and agentic solutions
* Working directly with customers to understand and solve their problems
* Translating customer problem definitions into technical requirements for AI\-based systems
* Translating vague customer needs into concrete AI workflows and Data Science solutions
* Evaluating solution effectiveness with customers, tuning, and redefining solutions when needed
* Deploying code into production AI systems
* Taking end\-to\-end ownership of client problems
* Communicating clearly with both non\-technical and technical users
* Working with AI platform, agentic AI, and data engineering teams to build end\-to\-end solutions in production deployments
* Collaborating with AI platform and agentic AI teams to generalize capabilities into reusable agentic AI features/skills for other deployments
* Wrapping AI/DS solutions into AI agentic/skills frameworks
* Create agentic AI systems, using AI orchestrators and particular AI reasoning capabilities as tools.
**Qualifications**
* U.S. Citizenship is required
**Required Skills**
* Ability to translate customer problems into technical AI requirements, and write down the documentation to be used by multiple teams.
* Deep ability to embed with clients, understand vague business or national security challenges, and translate these customer problems into concrete, actionable technical requirements and detailed documentation for AI\-based systems.
* Expertise in rapidly prototyping models, heuristics, and agentic solutions. The ability to translate vague needs into concrete AI workflows and Data Science solutions, followed by deploying production\-grade code and taking end\-to\-end ownership of the client's problem.
* Skill in defining concrete AI workflows from vague requirements.
* Experience evaluating and tuning AI solutions for effectiveness. Experience in measuring the impact of AI/DS solutions.
* Competency in deploying code into production AI systems. Competency in building agent/skills solving particular problems.
* Expertise in integrating AI/DS solutions into agentic frameworks.
* End\-to\-end ownership of client problems.
* Strong communication with non\-technical users and technical users.
* Collaboration with cross\-functional teams for production deployment.
* Strong collaboration and communication skills to work effectively with AI platform and data engineering teams. This includes generalizing unique AI/DS solutions into reusable agentic features/skills and integrating them into agentic frameworks for other production deployments.
**Desired Skills**
* A strong publication record in the top conferences in one of the AI, ML, NLP, or decision science areas
* Deep knowledge of LLM and Agentic system evaluation, experience in building evaluation systems
* Extensive expertise in specialized domains such as Operations Research, Optimization, and Decision Science.
* Track record of successfully transitioning AI research prototypes into robust, production\-grade enterprise solutions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76">
      <c r="A76" t="inlineStr">
        <is>
          <t>li-4367619156</t>
        </is>
      </c>
      <c r="B76" t="inlineStr">
        <is>
          <t>Data Scientist</t>
        </is>
      </c>
      <c r="C76" t="inlineStr">
        <is>
          <t>Booz Allen Hamilton</t>
        </is>
      </c>
      <c r="D76" t="inlineStr">
        <is>
          <t>linkedin</t>
        </is>
      </c>
      <c r="E76">
        <f>HYPERLINK("https://www.linkedin.com/jobs/view/4367619156", "https://www.linkedin.com/jobs/view/4367619156")</f>
        <v/>
      </c>
      <c r="F76" t="inlineStr"/>
      <c r="G76" t="inlineStr">
        <is>
          <t>Washington, DC</t>
        </is>
      </c>
      <c r="H76" t="inlineStr"/>
      <c r="I76" t="inlineStr">
        <is>
          <t>**Job Number: R0233169**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such as Python, R, or SQL
* Experience creating ETL pipelines, including querying APIs, cleaning and conditioning data, and creating schemas for data storage
* Knowledge of version control tools, including Git, GitLab, GitHub, or Bitbucket
* Knowledge of statistical analysis, predictive modeling, and machine learning methods
* Ability to design and develop automated analytic software, techniques, and algorithms
* Ability to use data visualization tools, including COTS software such as Tableau, PowerBI, or ArcGIS, or FOSS libraries such as seaborn, matplotlib, or ggplot
* TS/SCI clearance
* Bachelor's degree or 4\+ years of experience in data science or computer science in lieu of a degree
**Nice If You Have:** 
* Experience working with GEOINT, HUMINT, MASINT, OSINT, and SIGINT, and the data and tools associated with these disciplines
* Experience with intelligence or operations analysis in the DoD or Intelligence Community
* Knowledge of DevOps, including CI/CD pipelines and Jenkins
* Possession of strong written and verbal communication skills
* TS/SCI clearance with a polygraph
**Clearance** 
**:**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7">
      <c r="A77" t="inlineStr">
        <is>
          <t>li-4367615233</t>
        </is>
      </c>
      <c r="B77" t="inlineStr">
        <is>
          <t>Data Scientist</t>
        </is>
      </c>
      <c r="C77" t="inlineStr">
        <is>
          <t>Booz Allen Hamilton</t>
        </is>
      </c>
      <c r="D77" t="inlineStr">
        <is>
          <t>linkedin</t>
        </is>
      </c>
      <c r="E77">
        <f>HYPERLINK("https://www.linkedin.com/jobs/view/4367615233", "https://www.linkedin.com/jobs/view/4367615233")</f>
        <v/>
      </c>
      <c r="F77">
        <f>HYPERLINK("https://careers.boozallen.com/careers/JobDetail?jobId=120227&amp;source=JB-16500&amp;urlHash=PJyN", "https://careers.boozallen.com/careers/JobDetail?jobId=120227&amp;source=JB-16500&amp;urlHash=PJyN")</f>
        <v/>
      </c>
      <c r="G77" t="inlineStr">
        <is>
          <t>Reston, VA</t>
        </is>
      </c>
      <c r="H77" t="inlineStr"/>
      <c r="I77" t="inlineStr">
        <is>
          <t>**Job Number: R0233169**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Ultimately, you’ll provide a deep understanding of the data, what it all means, and how it can be used.
 Work with us as we use data science for good.
 Join us. The world can’t wait.
**You Have:** 
* Experience with data exploration, data cleaning, data analysis, data visualization, or data mining
* Experience with statistical and general\-purpose programming languages for data analysis, such as Python, R, or SQL
* Experience creating ETL pipelines, including querying APIs, cleaning and conditioning data, and creating schemas for data storage
* Knowledge of version control tools, including Git, GitLab, GitHub, or Bitbucket
* Knowledge of statistical analysis, predictive modeling, and machine learning methods
* Ability to design and develop automated analytic software, techniques, and algorithms
* Ability to use data visualization tools, including COTS software such as Tableau, PowerBI, or ArcGIS, or FOSS libraries such as seaborn, matplotlib, or ggplot
* TS/SCI clearance
* Bachelor's degree or 4\+ years of experience in data science or computer science in lieu of a degree
**Nice If You Have:** 
* Experience working with GEOINT, HUMINT, MASINT, OSINT, and SIGINT, and the data and tools associated with these disciplines
* Experience with intelligence or operations analysis in the DoD or Intelligence Community
* Knowledge of DevOps, including CI/CD pipelines and Jenkins
* Possession of strong written and verbal communication skills
* TS/SCI clearance with a polygraph
**Clearance** 
**:**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8">
      <c r="A78" t="inlineStr">
        <is>
          <t>li-4366559237</t>
        </is>
      </c>
      <c r="B78" t="inlineStr">
        <is>
          <t>Senior Data Scientist</t>
        </is>
      </c>
      <c r="C78" t="inlineStr">
        <is>
          <t>Vanguard</t>
        </is>
      </c>
      <c r="D78" t="inlineStr">
        <is>
          <t>linkedin</t>
        </is>
      </c>
      <c r="E78">
        <f>HYPERLINK("https://www.linkedin.com/jobs/view/4366559237", "https://www.linkedin.com/jobs/view/4366559237")</f>
        <v/>
      </c>
      <c r="F78">
        <f>HYPERLINK("https://vanguard.wd5.myworkdayjobs.com/en-US/vanguard_external/job/Malvern-PA/Senior-Data-Scientist_173915-1?source=LinkedIn&amp;urlHash=7x8e", "https://vanguard.wd5.myworkdayjobs.com/en-US/vanguard_external/job/Malvern-PA/Senior-Data-Scientist_173915-1?source=LinkedIn&amp;urlHash=7x8e")</f>
        <v/>
      </c>
      <c r="G78" t="inlineStr">
        <is>
          <t>Charlotte, NC</t>
        </is>
      </c>
      <c r="H78" t="inlineStr"/>
      <c r="I78" t="inlineStr">
        <is>
          <t>**Role Summary**
 This role leads and executes deep dive diagnostic, predictive, and prescriptive analytics to support data\-driven business decision making, while mentoring junior data scientists and analysts, and applying advanced data science and big data mining techniques to uncover trends, inform strategic initiatives, and drive innovation across diverse business functions.
**Responsibilities**
* Develops complex queries and performs extensive programming to access, transform, and prepare data for statistical modeling.
* Leads and executes deep dive diagnostic, predictive, and prescriptive analytics to support data\-driven business decision making. Mentors and develops junior data scientists and analysts.
* Identifies and diagnoses data inconsistencies and errors, documents data assumptions, and forages to fill data gaps.
* Engages with internal stakeholders to understand and probe business processes in order to develop hypotheses. Brings structure to requests and translates requirements into an analytic approach.
* Guides test design, research design, and model validation. Provides statistical consultation services. Serves as the analytics expert on cross functional teams for large strategic initiatives and contributes to the growth of the Vanguard analytic community.
* Prepares and delivers insight presentations and action recommendations. Communicates complex analytical findings and implications to business leaders.
* Participates in special projects and performs other duties as assigned.
* Designs scalable data mining models and reporting protocols to identify trends and patterns in massive datasets.
* Applies modern and emerging data science techniques to solve business problems across functions such as marketing, economics, and operations.
* Contributes to the advancement of analytics through exploratory research and application of cutting\-edge statistical theory.
**Qualifications And Skills**
* Minimum 8 years of experience in data science, predictive analytics, or advanced statistical modeling roles
* Bachelor’s degree (B.E./B.Tech) in Analytics, Applied Mathematics, Economics, Statistics, or Computer Science, or a Master’s degree/Diploma in a related quantitative field
* Expertise in programming with Python, R, or SQL; hands\-on experience with machine learning libraries (e.g., Scikit\-learn, TensorFlow); strong understanding of data pipelines, data wrangling, and statistical techniques; experience in big data environments (Spark/Hadoop); familiarity with visualization tools like Tableau or Power BI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79">
      <c r="A79" t="inlineStr">
        <is>
          <t>li-4367255275</t>
        </is>
      </c>
      <c r="B79" t="inlineStr">
        <is>
          <t>Senior Data Scientist</t>
        </is>
      </c>
      <c r="C79" t="inlineStr">
        <is>
          <t>ICF</t>
        </is>
      </c>
      <c r="D79" t="inlineStr">
        <is>
          <t>linkedin</t>
        </is>
      </c>
      <c r="E79">
        <f>HYPERLINK("https://www.linkedin.com/jobs/view/4367255275", "https://www.linkedin.com/jobs/view/4367255275")</f>
        <v/>
      </c>
      <c r="F79">
        <f>HYPERLINK("https://careers.icf.com/us/en/job/IIIIIIUSR2600309EXTERNALENUS/Senior-Data-Scientist?utm_source=linkedin&amp;utm_medium=phenom-feeds&amp;urlHash=BlCv", "https://careers.icf.com/us/en/job/IIIIIIUSR2600309EXTERNALENUS/Senior-Data-Scientist?utm_source=linkedin&amp;utm_medium=phenom-feeds&amp;urlHash=BlCv")</f>
        <v/>
      </c>
      <c r="G79" t="inlineStr">
        <is>
          <t>Reston, VA</t>
        </is>
      </c>
      <c r="H79" t="inlineStr"/>
      <c r="I79" t="inlineStr">
        <is>
          <t>**Description**
 ICF is looking for a Senior Data Scientist to join our team. In this role, you’ll utilize your expertise in text and data analytics at a high level. We are seeking a confident, enthusiastic and self\-motivated individual to conduct this valuable work in a fully remote capacity within the USA. This position is open to senior\- and principal\-level professionals, depending on experience.
**Job Location:** 
 Remote within the U.S.
 If you accept this position, you should note that ICF does monitor employee work locations blocks access from foreign locations/foreign IP addresses and also prohibits personal VPN connections.
**Responsibilities**
* Create Dashboards using Tableau with Databricks with both visuals (charts, graphs, etc...) as well as tables for end users to slice and dice data to gain insights to various business processes.
* Demo work in small and large virtual settings, obtaining client and end\-user feedback to enhance dashboards to meet business requirements
* Within an Agile environment, collaborate with other data scientists, data engineers, quality engineers, business analysts and product owners to ensure solutions meet client needs
* Create and maintain datasets from disparate data sources and provide analysis there of using SQL and Databricks within an Azure Cloud Environment
* Utilizing Tableau in a Databricks Azure Cloud Environment, create dashboards containing visuals (e.g.: charts, graphs) and tables that allow end\-users to slice\-and\-dice data to gain insights to various business processes
* Balance technical data architecture and data flows with end\-user UX best practices
* Tell stories with data; educate and instill confidence to motivate stakeholders to act on recommendations
* Engage with Data Engineers to build\-out next\-level data infrastructure
* Participate in GitHub code reviews and knowledge sharing, especially when building solutions within a business domain that other team members may not work in
* Partner with customers, product owners and business analysts to gather requirements and/or mockup potential dashboard solutions.
**Basic Qualifications**
* US Citizenship is required by the federal government for this position
* Must be able to obtain and maintain a Public Trust clearance.
* MUST RESIDE IN THE United States (U.S.) and the work MUST BE PERFORMED in the United States (U.S.), as this work is for a federal contract and laws do apply.
* Bachelor’s degree in data science, computer science, analytics or other field.
* 7 years’ experience in: Data and analytics projects using data applications to develop insights from large datasets.
**Preferred Qualifications**
* 2 years’ experience in:
+ JIRA, GitHub and Confluence
+ Statistical software and database management software packages (e.g., R, Python, SAS)
+ Cloud platforms
+ Relational databases and data warehousing (e.g., OLAP, dimensional modeling)
+ Creating dashboards that contain visuals and tables using Tableau with Databricks
+ Creating and maintaining datasets from disparate data sources and providing analysis utilizing SQL and Databricks
+ Agile methodology.
* Excellent problem\-solving skills and end\-to\-end quantitative thinking.
* Experience with data linking / advanced data management, combining data from different sources, automation, and deploying data science solutions at scale
* Experience in data organization, cleaning, treating, etc.; knowledge of version control and reproducibility.
* Prior experience in consulting and/or healthcare business segment.
* Secret Clearance, nice to have but not required.
**Professional Skills**
* Leadership and team\-working skills
* Ability to self\-organize, prioritize and conduct research on multiple projects under tight deadlines in a fast\-paced environment
* Ability to communicate and write clearly in English.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$108,476\.00 \- $184,409\.00
 Nationwide Remote Office (US99\)</t>
        </is>
      </c>
    </row>
    <row r="80">
      <c r="A80" t="inlineStr">
        <is>
          <t>li-4367268154</t>
        </is>
      </c>
      <c r="B80" t="inlineStr">
        <is>
          <t>Staff Data Scientist, Machine Learning - USA Remote</t>
        </is>
      </c>
      <c r="C80" t="inlineStr">
        <is>
          <t>Cepheid</t>
        </is>
      </c>
      <c r="D80" t="inlineStr">
        <is>
          <t>linkedin</t>
        </is>
      </c>
      <c r="E80">
        <f>HYPERLINK("https://www.linkedin.com/jobs/view/4367268154", "https://www.linkedin.com/jobs/view/4367268154")</f>
        <v/>
      </c>
      <c r="F80">
        <f>HYPERLINK("https://danaher.wd1.myworkdayjobs.com/DanaherJobs/job/Sunnyvale-California-United-States/Staff-Data-Scientist\u002d\u002dMachine-Learning\u002d\u002d-USA-Remote_R1304054/apply?source=APPLICANT_SOURCE_LINKEDIN_POSTING&amp;urlHash=vvCV", "https://danaher.wd1.myworkdayjobs.com/DanaherJobs/job/Sunnyvale-California-United-States/Staff-Data-Scientist\u002d\u002dMachine-Learning\u002d\u002d-USA-Remote_R1304054/apply?source=APPLICANT_SOURCE_LINKEDIN_POSTING&amp;urlHash=vvCV")</f>
        <v/>
      </c>
      <c r="G80" t="inlineStr">
        <is>
          <t>Sunnyvale, CA</t>
        </is>
      </c>
      <c r="H80" t="inlineStr"/>
      <c r="I80" t="inlineStr">
        <is>
          <t>**Bring more to life.**
 Are you ready to accelerate your potential and make a real difference within life sciences, diagnostics and biotechnology? At Cepheid,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At Cepheid, we are passionate about improving health care through fast, accurate, molecular diagnostic systems and tests. As a member of our team, you’ll get to make an immediate, measurable impact on a global scale, within an environment that fosters career growth and development. Our mission drives us to develop groundbreaking solutions for the world’s most complex health challenges. Together, we bring MORE change to the world. Learn about the Danaher Business System which makes everything possible.
 The Staff Data Scientist is responsible for leading the design and development of analytical techniques at the intersection of AI/ML and biological sequence data. The work will support both internal R\&amp;D processes as well as external customer products, all with the goal of advancing Cepheid’s diagnostic offerings.
 This position reports to the Senior Director of Machine Learning/Data Science and is part of the AI \&amp; Computational Biology group in the larger Technology \&amp; Innovation organization. The position is based in Sunnyvale, CA, with consideration for candidates located remotely or in the Boston, MA area. The Technology \&amp; Innovation organization is responsible for incubating new products, techniques, and processes that keep Cepheid at the forefront of molecular diagnostics.
**In This Role, You Will Have The Opportunity To**
* Provide thought leadership on challenging problems at the intersection of AI/ML and computational biology
* Lead the design and development of computational tools that will accelerate molecular diagnostics R\&amp;D
* Build AI/ML models to characterize pathogens from whole genome sequences
* Explore applications of genomic language models to supervise learning tasks for sequence data
* Design and implement robust model evaluation frameworks to assess production readiness to meet regulatory and commercialization requirements
**The Essential Requirements For The Job Include**
* Degree in Computer Science, Mathematics, Physics, Computational Biology or a related field and relevant experience as follows: Bachelor’s degree and 9\+ years of experience \&amp; post\-education experience ; Master’s degree and 7\+ years of experience \&amp; post\-education experience; or Doctoral degree and 4\+ years of experience \&amp; post\-education experience
* Strong foundation in ML / statistical learning fundamentals and hypothesis driven experimental design, including deep learning, statistical modeling, classification, regression
* Experience with Python data and ML stack (Scikit\-learn, PyTorch, TensorFlow, Jax)
* Experience developing ML models in a modern cloud environment
**Travel Requirements**
* Ability to travel; expected 5% overnight travel
**It would be a plus if you also possess previous experience in:**
* Machine learning models for sequence data
* Familiarity with bioinformatic pipelines and sequencing databases
* Developing machine learning models for healthcare and regulatory applications
 Cepheid, a Danaher operating company, offers a broad array of comprehensive, competitive benefit programs that add value to our lives. Whether it’s a health care program or paid time off, our programs contribute to life beyond the job. Check out our benefits at Danaher Benefits Info.
 At Cepheid we believe in designing a better, more sustainable workforce. We recognize the benefits of flexible, remote working arrangements for eligible roles and are committed to providing enriching careers, no matter the work arrangement. This position is eligible for a remote work arrangement in which you can work remotely from your home. Additional information about this remote work arrangement will be provided by your interview team. Explore the flexibility and challenge that working for Cepheid can provide.
 The annual salary range for this role is $145,000 to $200,000 USD.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81">
      <c r="A81" t="inlineStr">
        <is>
          <t>li-4366558401</t>
        </is>
      </c>
      <c r="B81" t="inlineStr">
        <is>
          <t>Senior Data Scientist</t>
        </is>
      </c>
      <c r="C81" t="inlineStr">
        <is>
          <t>Vanguard</t>
        </is>
      </c>
      <c r="D81" t="inlineStr">
        <is>
          <t>linkedin</t>
        </is>
      </c>
      <c r="E81">
        <f>HYPERLINK("https://www.linkedin.com/jobs/view/4366558401", "https://www.linkedin.com/jobs/view/4366558401")</f>
        <v/>
      </c>
      <c r="F81" t="inlineStr"/>
      <c r="G81" t="inlineStr">
        <is>
          <t>Philadelphia, PA</t>
        </is>
      </c>
      <c r="H81" t="inlineStr"/>
      <c r="I81" t="inlineStr">
        <is>
          <t>**Role Summary**
 This role leads and executes deep dive diagnostic, predictive, and prescriptive analytics to support data\-driven business decision making, while mentoring junior data scientists and analysts, and applying advanced data science and big data mining techniques to uncover trends, inform strategic initiatives, and drive innovation across diverse business functions.
**Responsibilities**
* Develops complex queries and performs extensive programming to access, transform, and prepare data for statistical modeling.
* Leads and executes deep dive diagnostic, predictive, and prescriptive analytics to support data\-driven business decision making. Mentors and develops junior data scientists and analysts.
* Identifies and diagnoses data inconsistencies and errors, documents data assumptions, and forages to fill data gaps.
* Engages with internal stakeholders to understand and probe business processes in order to develop hypotheses. Brings structure to requests and translates requirements into an analytic approach.
* Guides test design, research design, and model validation. Provides statistical consultation services. Serves as the analytics expert on cross functional teams for large strategic initiatives and contributes to the growth of the Vanguard analytic community.
* Prepares and delivers insight presentations and action recommendations. Communicates complex analytical findings and implications to business leaders.
* Participates in special projects and performs other duties as assigned.
* Designs scalable data mining models and reporting protocols to identify trends and patterns in massive datasets.
* Applies modern and emerging data science techniques to solve business problems across functions such as marketing, economics, and operations.
* Contributes to the advancement of analytics through exploratory research and application of cutting\-edge statistical theory.
**Qualifications And Skills**
* Minimum 8 years of experience in data science, predictive analytics, or advanced statistical modeling roles
* Bachelor’s degree (B.E./B.Tech) in Analytics, Applied Mathematics, Economics, Statistics, or Computer Science, or a Master’s degree/Diploma in a related quantitative field
* Expertise in programming with Python, R, or SQL; hands\-on experience with machine learning libraries (e.g., Scikit\-learn, TensorFlow); strong understanding of data pipelines, data wrangling, and statistical techniques; experience in big data environments (Spark/Hadoop); familiarity with visualization tools like Tableau or Power BI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82">
      <c r="A82" t="inlineStr">
        <is>
          <t>li-4366560173</t>
        </is>
      </c>
      <c r="B82" t="inlineStr">
        <is>
          <t>Senior Data Scientist</t>
        </is>
      </c>
      <c r="C82" t="inlineStr">
        <is>
          <t>Vanguard</t>
        </is>
      </c>
      <c r="D82" t="inlineStr">
        <is>
          <t>linkedin</t>
        </is>
      </c>
      <c r="E82">
        <f>HYPERLINK("https://www.linkedin.com/jobs/view/4366560173", "https://www.linkedin.com/jobs/view/4366560173")</f>
        <v/>
      </c>
      <c r="F82">
        <f>HYPERLINK("https://vanguard.wd5.myworkdayjobs.com/en-US/vanguard_external/job/Malvern-PA/Senior-Data-Scientist_173915-1?source=LinkedIn&amp;urlHash=7x8e", "https://vanguard.wd5.myworkdayjobs.com/en-US/vanguard_external/job/Malvern-PA/Senior-Data-Scientist_173915-1?source=LinkedIn&amp;urlHash=7x8e")</f>
        <v/>
      </c>
      <c r="G82" t="inlineStr">
        <is>
          <t>Malvern, PA</t>
        </is>
      </c>
      <c r="H82" t="inlineStr"/>
      <c r="I82" t="inlineStr">
        <is>
          <t>**Role Summary**
 This role leads and executes deep dive diagnostic, predictive, and prescriptive analytics to support data\-driven business decision making, while mentoring junior data scientists and analysts, and applying advanced data science and big data mining techniques to uncover trends, inform strategic initiatives, and drive innovation across diverse business functions.
**Responsibilities**
* Develops complex queries and performs extensive programming to access, transform, and prepare data for statistical modeling.
* Leads and executes deep dive diagnostic, predictive, and prescriptive analytics to support data\-driven business decision making. Mentors and develops junior data scientists and analysts.
* Identifies and diagnoses data inconsistencies and errors, documents data assumptions, and forages to fill data gaps.
* Engages with internal stakeholders to understand and probe business processes in order to develop hypotheses. Brings structure to requests and translates requirements into an analytic approach.
* Guides test design, research design, and model validation. Provides statistical consultation services. Serves as the analytics expert on cross functional teams for large strategic initiatives and contributes to the growth of the Vanguard analytic community.
* Prepares and delivers insight presentations and action recommendations. Communicates complex analytical findings and implications to business leaders.
* Participates in special projects and performs other duties as assigned.
* Designs scalable data mining models and reporting protocols to identify trends and patterns in massive datasets.
* Applies modern and emerging data science techniques to solve business problems across functions such as marketing, economics, and operations.
* Contributes to the advancement of analytics through exploratory research and application of cutting\-edge statistical theory.
**Qualifications And Skills**
* Minimum 8 years of experience in data science, predictive analytics, or advanced statistical modeling roles
* Bachelor’s degree (B.E./B.Tech) in Analytics, Applied Mathematics, Economics, Statistics, or Computer Science, or a Master’s degree/Diploma in a related quantitative field
* Expertise in programming with Python, R, or SQL; hands\-on experience with machine learning libraries (e.g., Scikit\-learn, TensorFlow); strong understanding of data pipelines, data wrangling, and statistical techniques; experience in big data environments (Spark/Hadoop); familiarity with visualization tools like Tableau or Power BI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83">
      <c r="A83" t="inlineStr">
        <is>
          <t>li-4336122621</t>
        </is>
      </c>
      <c r="B83" t="inlineStr">
        <is>
          <t>Staff Data Scientist</t>
        </is>
      </c>
      <c r="C83" t="inlineStr">
        <is>
          <t>NexHealth</t>
        </is>
      </c>
      <c r="D83" t="inlineStr">
        <is>
          <t>linkedin</t>
        </is>
      </c>
      <c r="E83">
        <f>HYPERLINK("https://www.linkedin.com/jobs/view/4336122621", "https://www.linkedin.com/jobs/view/4336122621")</f>
        <v/>
      </c>
      <c r="F83" t="inlineStr"/>
      <c r="G83" t="inlineStr">
        <is>
          <t>San Francisco, CA</t>
        </is>
      </c>
      <c r="H83" t="inlineStr"/>
      <c r="I83" t="inlineStr">
        <is>
          <t>**About NexHealth**
 Our healthcare system remains frustratingly analog. When you live in a world of one\-tap car rides, instant meal delivery, and unlimited streaming, why do you still have to call to schedule a doctor’s appointment and fill out a clipboard in the waiting room?
 NexHealth’s mission is to
 **accelerate innovation in healthcare** 
 by connecting patients, providers, and developers. We’re building the
 **infrastructure layer for modern healthcare,** 
 connecting thousands of fragmented, on\-premise, and closed EHR systems into a single, modern platform that powers software, APIs, payments, and patient experiences across the ecosystem.
* Founded: 2017
* Headquarters: San Francisco, CA
* Funding: $177M Series C
* Employees: 200\+
* Trusted by tens of thousands of providers and hundreds of health\-tech developers — forging the infrastructure layer that modern healthcare needs
**About The Role**
 We’re looking for a Staff Data Scientist who wants to build. You will design NexHealth’s financial data foundation from the ground up: the pipelines, models, and dashboards that power revenue reporting, forecasting, and decision\-making across the company. This is a zero\-to\-one role where you will move fast, ship scalable systems, and apply first\-principles thinking to every modeling decision. If you love combining engineering with analytical depth, this is your canvas.
**What You’ll Do**
* 7\+ years of experience in data science, analytics engineering, or equivalent quantitative roles within SaaS or technology companies.
* 3\+ years building or maintaining financial data systems using Snowflake, dbt, and a BI tool such as Sigma, Looker, or Tableau.
* Demonstrated experience modeling SaaS metrics (ARR, churn, CAC payback, retention, LTV) using SQL and a programming language such as Python or R.
* Experience designing and automating data pipelines using APIs from Stripe, Chargebee, Salesforce, or similar platforms.
* Hands\-on experience implementing data quality testing, CI/CD, and version control practices for analytics.
* Proven ability to translate quantitative insights into actionable recommendations for executive or product leadership.
* Bachelor’s degree (or higher) in Computer Science, Data Science, Statistics, Mathematics, or a related technical field.
* A builder mindset: excited by blank slates, scaling impact through automation, and simplifying complexity through systems.
**What You’ll Bring**
* At least seven years of experience in data science or analytics engineering at a high\-growth SaaS company, ideally where you built foundational systems
* Strong skills with modern data stacks such as Snowflake, DBT, and Sigma (or similar BI tools)
* Deep understanding of SaaS financial metrics such as ARR, churn, retention, lifetime value, and CAC payback, and how to model them in SQL and code
* Experience designing automated data pipelines and forecasting systems using APIs from tools like Chargebee, Stripe, or Salesforce
* Solid engineering instincts, including version control, testing, and CI/CD for analytics
* Strong communication and storytelling skills that connect insights to decisions
* A builder mindset: excited by blank slates, scaling impact through automation, and simplifying complexity through systems
**Compensation**
 Actual salaries will vary depending on factors including but not limited to location, experience, and performance. The range listed is just the base salary component of NexHealth’s total compensation package for employees. Other benefits may include stock options, an unlimited paid time off policy, and up to 100% coverage on medical, vision and dental insurance.
 NexHealth Compensation Range
 $165,000—$215,000 USD
**Benefits**
* Full Medical, Dental, and Vision (up to 100% covered)
* 401K and commuter benefits
* Flexible PTO
* High\-impact work that directly improves the healthcare experience for millions
**Our Values**
* Solve the customer’s problems, not yours When making decisions, think from the perspective of the customer. It’s easy to make decisions that make our lives simpler, but not the customers.
* Do the things others are not willing to do As a Nexer, always go after the hardest problems. Pursue things at the highest quality. Move at the fastest pace.
* Take ownership Act like a founder. Own your roles, destinies, mistakes, behavior, and our mission. The buck stops with each of us \- no blaming or excuses.
* Say what’s on your mind, with positive intent Be direct, proactive, transparent, and frequent in your communication.
* Default trust As a Nexer, you do not have to earn trust, trust is given to you by default. If we by default trust each other, our speed of communication, feedback, information sharing, and overall improvements will be a lot faster.
* Think in first principles We first identify the problem and then break it down to its fundamentals before diving into solutions. We constantly ask “why” to validate our assumptions.
 We are an equal opportunity employer and value diversity at our company. We do not discriminate on the basis of race, religion, color, national origin, sex, gender expression, sexual orientation, age, marital status, veteran status, or disability status. We provide reasonable accommodation for individuals with disabilities to participate in the application or interview process. Contact
 **talent@nexhealth.com** 
 to request assistance.</t>
        </is>
      </c>
    </row>
    <row r="84">
      <c r="A84" t="inlineStr">
        <is>
          <t>li-4366044240</t>
        </is>
      </c>
      <c r="B84" t="inlineStr">
        <is>
          <t>Senior Data Scientist - ML &amp; Operational Analytics</t>
        </is>
      </c>
      <c r="C84" t="inlineStr">
        <is>
          <t>Jobs via Dice</t>
        </is>
      </c>
      <c r="D84" t="inlineStr">
        <is>
          <t>linkedin</t>
        </is>
      </c>
      <c r="E84">
        <f>HYPERLINK("https://www.linkedin.com/jobs/view/4366044240", "https://www.linkedin.com/jobs/view/4366044240")</f>
        <v/>
      </c>
      <c r="F84" t="inlineStr"/>
      <c r="G84" t="inlineStr">
        <is>
          <t>Washington, DC</t>
        </is>
      </c>
      <c r="H84" t="inlineStr"/>
      <c r="I84" t="inlineStr">
        <is>
          <t>RESPONSIBILITIES:
 Kforce has a client in Washington, DC that is seeking a Senior Data Scientist \- ML \&amp; Operational Analytics.
 Responsibilities:
* Build and deploy ML models (regression, classification, time\-series) for operational use cases
* Perform data preparation, feature engineering, and ensure data quality
 REQUIREMENTS:
* MS in Computer Science, Statistics, Mathematics, Engineering, Physics, or related quantitative field
* 5\+ years of experience in data science with operational analytics
* Proficiency in Python, R, SQL, and ML libraries
* Strong statistical foundation (probability, inference, regression, experimental design)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85">
      <c r="A85" t="inlineStr">
        <is>
          <t>li-4332214915</t>
        </is>
      </c>
      <c r="B85" t="inlineStr">
        <is>
          <t>AI &amp; GenAI Data Scientist-Senior Associate</t>
        </is>
      </c>
      <c r="C85" t="inlineStr">
        <is>
          <t>PwC</t>
        </is>
      </c>
      <c r="D85" t="inlineStr">
        <is>
          <t>linkedin</t>
        </is>
      </c>
      <c r="E85">
        <f>HYPERLINK("https://www.linkedin.com/jobs/view/4332214915", "https://www.linkedin.com/jobs/view/4332214915")</f>
        <v/>
      </c>
      <c r="F85">
        <f>HYPERLINK("https://ad.doubleclick.net/ddm/clk/438405794;254302458;m?https://jobs.us.pwc.com/job/-/-/932/87565837856?utm_source=linkedin.com&amp;utm_campaign=core_media&amp;utm_medium=social_media&amp;utm_content=job_posting&amp;ss=paid&amp;urlHash=BG4S", "https://ad.doubleclick.net/ddm/clk/438405794;254302458;m?https://jobs.us.pwc.com/job/-/-/932/87565837856?utm_source=linkedin.com&amp;utm_campaign=core_media&amp;utm_medium=social_media&amp;utm_content=job_posting&amp;ss=paid&amp;urlHash=BG4S")</f>
        <v/>
      </c>
      <c r="G85" t="inlineStr">
        <is>
          <t>Oklahoma City, OK</t>
        </is>
      </c>
      <c r="H85" t="inlineStr"/>
      <c r="I85"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6">
      <c r="A86" t="inlineStr">
        <is>
          <t>li-4367293052</t>
        </is>
      </c>
      <c r="B86" t="inlineStr">
        <is>
          <t>Data Scientist || New Jersey (3 days onsite)</t>
        </is>
      </c>
      <c r="C86" t="inlineStr">
        <is>
          <t>Jobs via Dice</t>
        </is>
      </c>
      <c r="D86" t="inlineStr">
        <is>
          <t>linkedin</t>
        </is>
      </c>
      <c r="E86">
        <f>HYPERLINK("https://www.linkedin.com/jobs/view/4367293052", "https://www.linkedin.com/jobs/view/4367293052")</f>
        <v/>
      </c>
      <c r="F86" t="inlineStr"/>
      <c r="G86" t="inlineStr">
        <is>
          <t>Edison, NJ</t>
        </is>
      </c>
      <c r="H86" t="inlineStr"/>
      <c r="I86" t="inlineStr">
        <is>
          <t>Dice is the leading career destination for tech experts at every stage of their careers. Our client, Aroha Technologies, is seeking the following. Apply via Dice today!
**Other Requirement**
 Location \- Edison, NJ
 Data Scientist
 Key Responsibilities:
 Lead use case/workstream with junior data scientists
 Contribute to the end\-to\-end model lifecycle, including data exploration and understanding, feature engineering, model training and validation, ensuring quality, security, scalability, and fairness
 Support use case development that includes initial project scoping,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Adhere to model governance, documentation, testing, and other best practices in partnership with key stakeholders
 PhD with 2\+ years of experience, Master's degree with 4\+ years of experience in Statistics, Computer Science, Engineering, Applied mathematics or related field
 3\+ years of hands\-on ML modeling/development experience
 Background in insurance and underwriting preferred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collaborate cross\-functionally with Product, Engineering, and other disciplines at both the leadership and hands\-on level
 Excellent analytical and problem\-solving abilities with superb attention to detail
 Proven experience in providing technical leadership and mentoring to data scientists and strong project management skills with ability to monitor/track performance for enterprise success
 Experience communicating complex ideas simply, presenting impact, trade\-offs, and recommendations to non\-technical partners.
 Working knowledge of core software engineering concepts (version control with Git/GitHub, testing, logging, ...).
 Working knowledge of NLP, LLMs, RAG architecture, and agent frameworks, including safe automation design and evaluation systems.
 JD:
* PhD with 2\+ years of experience, or master's degree with 4\+ years of experience in Statistics, Computer Science, Engineering, Applied Mathematics, or related field
* 3\+ years of hands\-on ML modeling/development experience
* Background in insurance and underwriting preferred
* Solid understanding of data analysis and statistical modeling
* Knowledge of a variety of machine learning techniques (clustering, decision tree, bagging/boosting, artificial neural networks, etc.) and their real\-world advantages/drawbacks
* Demonstrated track record in experimental design and execution
* Hands\-on experience with data wrangling including fuzzy matching and regular expressions, distributed computing, and applying parallelism to ML solutions
* Strong programming skills in Python
* Solid background in algorithms and a range of ML models
* Excellent communication skills and ability to work and collaborate cross\-functionally with Product, Engineering, and other disciplines at both the leadership and hands\-on level
* Excellent analytical and problem\-solving abilities with superb attention to detail
* Proven experience in providing technical leadership and mentoring to data scientists
* Strong project management skills with ability to monitor/track performance for enterprise success
* Experience communicating complex ideas simply, presenting impact, trade\-offs, and recommendations to non\-technical partners
* Working knowledge of core software engineering concepts (version control with Git/GitHub, testing, logging, etc.)
* Working knowledge of NLP, LLMs, RAG architecture, and agent frameworks, including safe automation design and evaluation systems
* Experience in insurance, financial services, or related industries is a plus.</t>
        </is>
      </c>
    </row>
    <row r="87">
      <c r="A87" t="inlineStr">
        <is>
          <t>li-4367281314</t>
        </is>
      </c>
      <c r="B87" t="inlineStr">
        <is>
          <t>Sr Marketing Data Scientist (33918)</t>
        </is>
      </c>
      <c r="C87" t="inlineStr">
        <is>
          <t>Jobs via Dice</t>
        </is>
      </c>
      <c r="D87" t="inlineStr">
        <is>
          <t>linkedin</t>
        </is>
      </c>
      <c r="E87">
        <f>HYPERLINK("https://www.linkedin.com/jobs/view/4367281314", "https://www.linkedin.com/jobs/view/4367281314")</f>
        <v/>
      </c>
      <c r="F87">
        <f>HYPERLINK("https://click.appcast.io/t/LP36kiqDo3ugblEwd-vSd3L3u-oDcQ_zhV6ArVCu3rM=&amp;urlHash=-oOX", "https://click.appcast.io/t/LP36kiqDo3ugblEwd-vSd3L3u-oDcQ_zhV6ArVCu3rM=&amp;urlHash=-oOX")</f>
        <v/>
      </c>
      <c r="G87" t="inlineStr"/>
      <c r="H87" t="inlineStr"/>
      <c r="I87" t="inlineStr">
        <is>
          <t>Dice is the leading career destination for tech experts at every stage of their careers. Our client, Myticas LLC, is seeking the following. Apply via Dice today!
 Myticas direct client is seeking Marketing Data Scientist Manager for a 6 months\+ contract\-to\-hire opportunity.
**Location: 100% REMOTE
 Duration:** 
 6 Months Contract to Hire
 **Title:**
* Marketing Data Science Manager
**About the Role** 
 We are seeking a
 **Marketing Data Science Manager** 
 who can bridge the gap between data modeling and business impact. This role will focus on leveraging data science models and analytical frameworks to generate actionable marketing insights, optimize campaign performance, and guide strategic decisions. The ideal candidate combines strong analytical and technical skills with business acumen and communication ability to translate data into meaningful narratives for stakeholders.
 **Requirements**
* Education: Bachelor's or Master's degree in Statistics, Economics, Operation Research, Computer Science, Industrial Engineering, Mathematics, Marketing Analytics etc.
* Analytical and technical skills:
+ Proficiency (10\+ years) in analyzing complex data and models, derive and deliver actionable insights to provide data driven marketing strategy to stakeholders. Strong ability to translate model outputs into business insights and marketing recommendations.
+ Proficiency (7\+ years) in statistical software such as SQL, R, Python, PBI for data wrangling and modeling.
+ Familiarity (5\+ years) with AWS Sagemaker and Lambda functions. Terraform experience will be preferred.
+ Strong problem\-solving skills and attention to detail.
* Experience (required):
+ At least 10 years hands on experience in machine learning, marketing analytics, statistical modeling, marketing mix modeling.
+ At least 10 years experience with various statistical techniques such as regression analysis, time series analysis, and predictive modeling, optimization etc.
+ Familiarity (5\+ years) with marketing research methodologies and tools.
* Experience (good to have):
+ AI and multi\-touch attribution model experience
+ Familiarity with ad platforms (Google Ads, DV360, etc.)
+ Experience in A/B testing or experimentation frameworks
* Marketing Knowledge:
+ Deep understanding of marketing concepts, including advertising, distribution, and campaign strategies.
+ Familiarity with different marketing channels and their impact on business performance.
+ Knowledge of industry trends and best practices in marketing analytics.
* Business Acumen:
+ Understanding of business objectives and how marketing analytics can support decision\-making and drive business growth.
+ Ability to align marketing strategies with broader organizational goals and objectives.
* Communication Skills:
+ Ability to communicate complex analytical findings to non\-technical stakeholders in a clear and concise manner.
+ Collaborative approach to working with cross\-functional teams, including media, creative, product, and finance.
**Skills**
* Proficient in machine learning model and statistical model development, simulation and optimization and deployment in AWS
* Proficient in SQL, Python, R for data integration and modeling projects
* Advanced in AWS Sagemaker, EC2, S3, Terraform, Bitbucket, etc for deployment projects
* Advanced in PBI, Excel, streamlit for analytics and visualization projects
* Experience in Terraform, EC2, MMM, optimizer application will be a big plus
**Key Responsibilities:**
* Develop and deploy predictive and statistical models to evaluate marketing performance (e.g., attribution, media mix modeling, churn, LTV, segmentation, optimization).
* Partner with marketing, product team to translate modeling results into clear business insights \&amp; recommendations that drive growth and ROI and communicate implications to non\-technical stakeholders.
* Present findings to senior stakeholders through clear storytelling and visualization.
* Visualize and present analytical results using tools like Power BI, Excel, etc.
* Build and maintain scalable analytics pipelines using Python/R, SQL, and possibly cloud data platforms (Google Cloud Platform, AWS, Azure).
* Partner with marketing operations to operationalize insights (e.g., audience targeting, spend optimization).
* Collaborate with data engineers and analysts to improve data accessibility and accuracy.
* Support ongoing model performance monitoring and iterative improvements.
* Support MMM and app maintenance and development for simulation and optimization and further development. Push changes to production using AWS Sagemaker, EC2, Terraform, Bitbucket, etc.
* Assist with ad\-hoc data requests, data exploration and building business knowledge models. Build intelligent dashboards if needed using SQL, PBI.
* Conduct cross\-functional collaboration, stakeholder meetings and provide documentations and internal trainings.
* Lead projects, manage timelines, and ensure deliverables meet the business objectives and are delivered on time.
* Perform other duties as assigned or apparent.
* Work with marketing and product teams to design experiments, measure campaign ROI, and inform strategy.
**What You'll Gain**
* Opportunity to help shape the organization's marketing data science and insights function.
* Direct influence on marketing strategy and customer growth initiatives.
* Exposure to cutting\-edge analytics and experimentation techniques in a data\-driven culture.
* Path to full\-time employment with strong career growth opportunities.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2026-01-30T21:09:32Z</dcterms:created>
  <dcterms:modified xsi:type="dcterms:W3CDTF">2026-01-30T21:09:32Z</dcterms:modified>
</cp:coreProperties>
</file>