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in-c573de2c72168f63</t>
        </is>
      </c>
      <c r="B2" t="inlineStr">
        <is>
          <t>Program Manager - PILOTS Housing Program</t>
        </is>
      </c>
      <c r="C2" t="inlineStr">
        <is>
          <t>Center for Human Development</t>
        </is>
      </c>
      <c r="D2" t="inlineStr">
        <is>
          <t>indeed</t>
        </is>
      </c>
      <c r="E2" t="inlineStr"/>
      <c r="F2" t="inlineStr"/>
      <c r="G2" t="inlineStr">
        <is>
          <t>Waterbury, CT, US</t>
        </is>
      </c>
      <c r="H2" s="2" t="n">
        <v>46052</v>
      </c>
      <c r="I2" t="inlineStr">
        <is>
          <t>The Center for Human Development (CHD), is seeking a Program Manager for a our PILOTS Community Outreach program located out of our Waterbury, CT office. The Program Manager is responsible for the training and supervision of all full time outreach staff. The PILOTs Program Manager provides support, training and supervision to outreach staff that assist individuals with co\-occurring disorders of mental illness and chemical addiction in their efforts to live independently in the community. The Program Manager works within the program’s model, establishing open communication, support, and accountability among co\-workers and staff. They will be required to make changes in schedules and time based on the program and client needs.
**Responsibilities:**
* Planning and Implementing Housing Options for Long\-term Success (PILOTS) team
* Train and supervise outreach staff to ensure appropriate service delivery through field
* Assists outreach staff with time management: manages logistics of client coverage and assists when necessary
* Participates in on\-call system to ensure service delivery minimum coverage standard to ensure timely and effective service delivery
* Through this program, the Support Specialist PILOTS staff will use a counseling approach that uses both motivational interviewing and harm\-reduction
* Provide assistant to staff in securing housing, move\-in, relocations, interventions in eviction processes, rent arrears and housing stability
* Provide crisis intervention
**Requirements:**
* BA/BS Degree in Mental Health related field preferred
* HS Diploma or GED required
* One year supervisory experience required
* Extensive experience in human services strongly preferred
**Locations:**
Danbury \&amp; Torrington, CT
**Salary:**
$55,000\-65,000 annually
Travel Required
Yes.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3">
      <c r="A3" t="inlineStr">
        <is>
          <t>in-9864438989df1a63</t>
        </is>
      </c>
      <c r="B3" t="inlineStr">
        <is>
          <t>Pharmacy Program Manager</t>
        </is>
      </c>
      <c r="C3" t="inlineStr">
        <is>
          <t>Helping Hand Health LLC</t>
        </is>
      </c>
      <c r="D3" t="inlineStr">
        <is>
          <t>indeed</t>
        </is>
      </c>
      <c r="E3" t="inlineStr"/>
      <c r="F3" t="inlineStr"/>
      <c r="G3" t="inlineStr">
        <is>
          <t>Glendale, AZ, US</t>
        </is>
      </c>
      <c r="H3" s="2" t="n">
        <v>46052</v>
      </c>
      <c r="I3" t="inlineStr">
        <is>
          <t>The essential functions include, but are not limited to the following:
* Assist staff supervisor with coordination of daily assignments and operations.
* Assist supervisor with planning, assigning, and directing work.Provide necessary training and guidance to staff as needed.
* Analyze workflow issues and implement workable solutions.
* Address case escalations and resolve quality program related problems.
* Ensure adherence to Helping Hand Health quality of work standards.
* Perform administrative support functions such as data management, creating reports, drafting correspondence, etc.
* Maintain a pleasant and secure work environment.
* Collaborate and work with other program managers and leaders.
* Make outreach to health plan members, pharmacies and providers to address clinical gaps in care. Use critical thinking skills to determine reasons for the gaps and follow through with steps to close the gaps.
* Field pharmacy related questions from health plan members and health plan client staff; appropriately resolve or escalate concerns in a timely manner.
* Performs other position appropriate duties as required in a competent, professional, and courteous manner.
Job Type: Full\-time
Pay: Up to $28\.84 per hour
Benefits:
* 401(k)
* 401(k) matching
* Dental insurance
* Health insurance
* Health savings account
* Life insurance
* Paid time off
* Retirement plan
* Vision insurance
Application Question(s):
* Are you willing to consent to random drug screens and complete a background check?
* Do you have one of more of the following certificates or degrees? Certified Professional Coder (CDC), Certified Outpatient Coding (COC), Degree in Healthcare Management or Population Health Management, Associate's Degree in Business Management, Bachelor of Business Administration (BBA), or Bachelor of Science in Business Management (BSBM)?
Education:
* Associate (Preferred)
Experience:
* Health Care, Health Plan, or Pharmacy: 1 year (Required)
Ability to Commute:
* Glendale, AZ 85308 (Required)
Work Location: In person</t>
        </is>
      </c>
    </row>
    <row r="4">
      <c r="A4" t="inlineStr">
        <is>
          <t>in-fdd814c5ae49d02f</t>
        </is>
      </c>
      <c r="B4" t="inlineStr">
        <is>
          <t>Program Manager</t>
        </is>
      </c>
      <c r="C4" t="inlineStr">
        <is>
          <t>Bray International, Inc.</t>
        </is>
      </c>
      <c r="D4" t="inlineStr">
        <is>
          <t>indeed</t>
        </is>
      </c>
      <c r="E4" t="inlineStr"/>
      <c r="F4" t="inlineStr"/>
      <c r="G4" t="inlineStr">
        <is>
          <t>Houston, TX, US</t>
        </is>
      </c>
      <c r="H4" s="2" t="n">
        <v>46052</v>
      </c>
      <c r="I4" t="inlineStr">
        <is>
          <t>**Program Manager**
**Location:** Houston, Texas (Hybrid)  
**Travel:** 10%
**About Bray International**
Founded in 1986, **Bray International** is a global leader in industrial valves, actuators, and control products, delivering innovative flow control solutions to customers in more than 40 countries. As a privately held company with nearly four decades of engineered excellence, Bray has built a reputation for high\-performance products, superior value, and exceptional customer service.
Our fully integrated product line serves more than 12 diverse industries, meeting the rigorous demands of the process sector with reliability and precision. Guided by our vision to be the most respected and successful valve, actuator, and controls company in the world, Bray places people—our employees, customers, and partners—at the center of everything we do. We foster a family\-like culture, entrepreneurial spirit, and commitment to continuous improvement.
**Role Overview**
Bray International is seeking a **Program Manager** to support the execution of complex, high\-impact global commercial initiatives. This globally scoped role serves as a central point of coordination across regions, functions, and leadership teams—bridging strategy and execution to ensure alignment, visibility, and progress across major initiatives.
This is an internal, coordination\-focused role ideal for a professional who thrives in ambiguity, brings structure to complex problems, and can influence outcomes without formal authority. The Program Manager partners closely with senior leadership, regional teams, and key functional stakeholders to translate strategic priorities into actionable plans and measurable results.
**Core Purpose**
To enable the successful execution of cross\-regional commercial initiatives by providing structure, coordination, and transparency—allowing teams to operate with clarity, speed, and alignment.
**Key Responsibilities**
* Identify, track, and help prioritize major global commercial initiatives and opportunities
* Maintain visibility into a portfolio of active initiatives, including milestones, risks, and dependencies
* Coordinate cross\-functional and cross\-regional collaboration to support planning and execution
* Facilitate alignment among stakeholders by clarifying roles, responsibilities, and next steps
* Support initiative scoping by identifying key stakeholders, workstreams, and handoffs
* Establish practical tracking and reporting mechanisms to monitor progress and ensure follow\-through
* Capture and communicate key decisions, risks, and action items
* Document agreements, assumptions, and dependencies to prevent misalignment
* Partner with senior leadership and regional teams to translate strategic priorities into actionable plans
**Required Qualifications**
* Strong commercial and technical aptitude
* Experience supporting complex, cross\-functional or cross\-regional initiatives
* Demonstrated capability in project planning, sequencing, and execution support
* Ability to structure ambiguous problems into clear plans and milestones
* Global mindset with comfort working across time zones and cultures
* Proven ability to influence without authority
* Highly organized, pragmatic, and outcomes\-focused
* Strong executive\-level communication skills
* Systems thinker with high learning agility
**Preferred Background**
* Experience in complex B2B or industrial environments
* Roles combining customer\-facing exposure with internal coordination (e.g., sales operations, project management, commercial strategy, business development)
* Demonstrated success managing multi\-stakeholder initiatives from planning through execution
* Comfort operating at the intersection of customer needs, internal capabilities, and execution constraints
* Exposure to global or multi\-region business environments
**Travel Expectations**
This role is primarily virtual with limited travel. Occasional domestic or international travel may be required to support select high\-impact initiatives, leadership alignment, or key milestones.
Sponsorship is not available for this role. Applicants who currently hold, or will require in the future, visa sponsorship (e.g., E, F\-1/OPT/CPT, H\-1, H\-2, L\-1, B, J, or TN) are ineligible
As a federal subcontractor, Bray International Inc., its affiliates, and subsidiaries comply with the Drug\-Free Workplace Act and applicable federal law. Employment is contingent upon a successful background screening and compliance with federal requirements, including drug testing for controlled substances under the federal Controlled Substances Act, which includes marijuana. This requirement applies regardless of state or local marijuana/cannabis laws.
**Why Work for Us?**
At Bray International, we are the leading provider of industrial valves, actuators, and related control products, renowned for our innovative flow control solutions worldwide. Joining our team means becoming part of a company that values excellence, integrity, and collaboration.
**What We Offer:**
* Competitive Pay Plans
* Comprehensive Benefits: Enjoy industry\-leading benefits effective the first of the month after you have worked 30 days, including:
* + Medical, dental, vision, and life insurance
	+ Paid holidays and vacation
	+ 401(k) plan with matching contributions
* Healthy Work Environment: We provide a smoke\-free, drug\-free workplace to ensure a safe and productive atmosphere for all employees.
* Career Growth: We are committed to your professional development, offering numerous opportunities for advancement within the organization.
* An Exceptional Company Culture: Bray is a Privately\-owned and operated business with over 30 Years of Engineered Excellence
**Join Bray International and be part of a dynamic team dedicated to shaping the future of flow control solutions!**</t>
        </is>
      </c>
    </row>
    <row r="5">
      <c r="A5" t="inlineStr">
        <is>
          <t>in-dca0389b94e39994</t>
        </is>
      </c>
      <c r="B5" t="inlineStr">
        <is>
          <t>Technical Program Manager, Precision Machining &amp; Tooling</t>
        </is>
      </c>
      <c r="C5" t="inlineStr">
        <is>
          <t>Overton Tool &amp; Die Division</t>
        </is>
      </c>
      <c r="D5" t="inlineStr">
        <is>
          <t>indeed</t>
        </is>
      </c>
      <c r="E5" t="inlineStr"/>
      <c r="F5" t="inlineStr"/>
      <c r="G5" t="inlineStr">
        <is>
          <t>Mooresville, IN, US</t>
        </is>
      </c>
      <c r="H5" s="2" t="n">
        <v>46052</v>
      </c>
      <c r="I5" t="inlineStr">
        <is>
          <t>**Company Snapshot**
--------------------
Overton Industries designs and builds precision components and tooling for leaders in automotive, aerospace, and industrial manufacturing. Our reputation is built on advanced technology, craftsmanship, and on‑time delivery.
**Role**
--------
**Location:** Mooresville, IN  
**Employment Type:** Full\-Time
### **A day in this role**
You begin by reviewing overnight customer inquiries, confirming quotes in progress, and prioritizing shop activities. You huddle with the Engineering Assistant to lock in job setups and materials, then sync with Operations and Division leadership to stage releases to the floor. As work moves, you’re on the shop floor providing hands\-on support, validating prints and models in job folders, and ensuring each operation stays on schedule. Midday, you issue requisitions for tooling and supplies, coordinate any design needs, and resolve ECNs or CCRs. You wrap the day by reporting job status and profitability, organizing the next wave of deliveries, and following up on opportunities within our current customer base—including quotations and application\-engineering support alongside outside sales.
### **What you will own**
* End\-to\-end execution from quoting through shipment, with direct customer interaction and inside sales support.
* Quoting and handling ECNs, CCRs, POs, and Order Acknowledgments.
* Collaboration with the Engineering Assistant on setups, material ordering, and discussions around prints and designs.
* Creation and upkeep of complete digital/physical job folders (prints, paperwork, certifications, 3D models, CAD data).
* Requisitions for materials, supplies, and tooling to keep production moving.
* Design coordination as projects require.
* Scheduling and job release in partnership with the Operations Manager and Division Manager; balancing shop workload and delivery targets.
* Hands\-on oversight of work\-in\-process, ensuring on\-time completion.
* Status tracking and reporting on completeness, profitability, and emerging risks with operations teams.
* Expansion of opportunities with existing customers; support to outside sales via quoting, application engineering, and customer visits.
* Shop organization efforts that drive proficiency, efficiency, and workflow.
* ISO compliance in partnership with the Quality Management Representative (QMR).
* Coordination across internal divisions and external vendors for seamless integration.
### **What helps you succeed**
* **Education:** High school diploma required; Engineering degree or equivalent professional experience preferred.
* **Experience:** 3\+ years in a related manufacturing or engineering industry.
### **Skills**
### **Benefits and Perks**
* **Competitive pay** that reflects your experience.
* **Comprehensive health coverage** including medical, dental, and vision for you and your family.
* **401(k) with company match** to support your long\-term plans.
* **Generous paid time off** with holidays and personal time.
* **Career growth and development** through training and advancement opportunities.
### **Apply now**
Ready to make an impact? Apply at www.overtonind.com/careers.
### **Legal**
**Equal Opportunity**
* Overton Industries is an equal opportunity employer. We value diversity and are committed to creating an inclusive environment for all employees.
*</t>
        </is>
      </c>
    </row>
    <row r="6">
      <c r="A6" t="inlineStr">
        <is>
          <t>in-42e5a6721ae0e567</t>
        </is>
      </c>
      <c r="B6" t="inlineStr">
        <is>
          <t>Associate Technical Product Manager</t>
        </is>
      </c>
      <c r="C6" t="inlineStr">
        <is>
          <t>National Interstate</t>
        </is>
      </c>
      <c r="D6" t="inlineStr">
        <is>
          <t>indeed</t>
        </is>
      </c>
      <c r="E6" t="inlineStr"/>
      <c r="F6" t="inlineStr"/>
      <c r="G6" t="inlineStr">
        <is>
          <t>Richfield, OH, US</t>
        </is>
      </c>
      <c r="H6" s="2" t="n">
        <v>46051</v>
      </c>
      <c r="I6" t="inlineStr">
        <is>
          <t>National Interstate is a member of Great American Insurance Group. As one of the leading commercial transportation insurers in the nation, we offer risk financing solutions in all 50 states tailored to meet the needs of a wide variety of transportation classes. Our offerings include traditional insurance and innovative alternative risk transfer (ART) programs, including more than a dozen group captive programs catering to niche wheels markets. We are proud to be a multiple Northcoast 99 winner and Cleveland Plain Dealer Top Workplace in Northeast Ohio. It is because of our talented and dedicated team that we are able to live out our company values of integrity, transparency, fairness, accountability, empowerment and collaboration with each transaction we make. If you are ready to join an engaging and driven team such as ours, we would love to hear from you!
At Great American, we value and recognize the benefits derived when people with different backgrounds and experiences work together to achieve business results. Our goal is to create a workplace where all employees feel included, empowered, and enabled to perform at their best.
**Essential Job Functions and Responsibilities**
* Assists with developing and maintaining the product roadmap, supporting alignment with business goals and customer needs. May conduct market research and competitive analysis to identify opportunities and threats.
* Participates in collaborating with stakeholders to gather and prioritize product requirements. Assists with translating business needs into technical specifications and user stories.
* Assists with defining and driving product strategy by aligning business objectives with long\-term technical innovation, ensuring scalability and future\-proofing product decisions.
* May evaluate emerging technologies, architecture decisions, and integration approaches to assist with optimizing performance, security, and system compatibility.
* Aids in overseeing the product development lifecycle. Works with engineering teams to support timely delivery of features and enhancements.
* May serve as a secondary point of contact for product\-related inquiries. Assists in communicating product vision, strategy, and progress to stakeholders.
* Supports advocacy for the end\-user by ensuring that products are intuitive, user\-friendly, and meet quality standards. Assists in conducting usability testing and gathering user feedback.
* Utilizes technical knowledge to assist in making informed decisions about product architecture, design, and implementation. Partners with engineering teams to support the resolution of technical challenges.
* Assists in tracking and analyzing product performance metrics, identifying areas for improvement, and implementing changes to optimize product performance.
* Fosters a collaborative environment by working closely with cross\-functional teams. Facilitates communication and coordination between departments to support successful product launches.
* Performs other duties as assigned.
**Job Requirements**
### **Education:** **Bachelor’s degree in Information Technology, Computer Science, or a related field.**
### **Experience:** **No prior work experience is required.**
### **Scope of Job/Qualifications:** **Performs product management within a defined product or specific feature(s) of a product. Assists with instilling a Product Mindset with a balanced team approach by breaking down complex problems into simple solutions focused on important customer needs. Exhibits analytical skills with the ability to gather and analyze data to drive problem solving and decision\-making. May own product strategy and execution, ensuring alignment between customer needs, business goals, and technology capabilities. May assist with making recommendations for best practices and introducing new techniques/tools to the product management. Develops business knowledge and the ability to identify and define business needs including an understanding of the organization's business and technology operations. Develops and exhibits a strong customer focus by being responsive, consultative, collaborative and accurate in work approach.**
This job is non\-exempt in California.
**Company:**
NIIC National Interstate Insurance Company**Benefits:**
We offer competitive benefits packages for full\-time and part\-time employees\*. Full\-time employees have access to medical, dental, and vision coverage, wellness plans, parental leave, adoption assistance, and tuition reimbursement. Full\-time and eligible part\-time employees also enjoy Paid Time Off and paid holidays, a 401(k) plan with company match, an employee stock purchase plan, and commuter benefits.
Compensation varies by role, level, and location and is influenced by skills, experience, and business needs. Your recruiter will provide details about benefits and specific compensation ranges during the hiring process. Learn more at http://www.gaig.com/careers.
* **Excludes seasonal employees and interns.**</t>
        </is>
      </c>
    </row>
    <row r="7">
      <c r="A7" t="inlineStr">
        <is>
          <t>in-a8898e3be5d50c21</t>
        </is>
      </c>
      <c r="B7" t="inlineStr">
        <is>
          <t>Program Manager, Principal - Portfolio Management</t>
        </is>
      </c>
      <c r="C7" t="inlineStr">
        <is>
          <t>Blue Shield of California</t>
        </is>
      </c>
      <c r="D7" t="inlineStr">
        <is>
          <t>indeed</t>
        </is>
      </c>
      <c r="E7" t="inlineStr"/>
      <c r="F7" t="inlineStr"/>
      <c r="G7" t="inlineStr">
        <is>
          <t>El Dorado Hills, CA, US</t>
        </is>
      </c>
      <c r="H7" s="2" t="n">
        <v>46051</v>
      </c>
      <c r="I7" t="inlineStr">
        <is>
          <t>**Your Role**
The Portfolio Management team is responsible for supporting all HQA functional areas to meet their strategic and tactical goals. The Principal Program Manager will report to the Senior Director, Portfolio Management. In this role you will lead complex strategic healthcare initiatives focusing on improving healthcare quality, affordability, and member satisfaction. Key duties include complex program and process planning, implementation, and maintenance, operational process analysis, and medical policy review and maintenance.  
Our leadership model is about developing great leaders at all levels and creating opportunities for our people to grow – personally, professionally, and financially. We are looking for leaders that are energized by creative and critical thinking, building and sustaining high\-performing teams, getting results the right way, and fostering continuous learning.
**Your Work**  
In this role, you will:
* Operate at a strategic business level to ensures projects/programs are in line with Blue Shield of California strategic goals
* Consult with all levels including senior management, make recommendations, and influence decision\-making
* Leverage cross\-functional internal and external relationships to drive initiatives forward
* Plan and implement multiple and extremely complex projects/programs spanning across business areas
* Determine key business issues, develop effective action plans and implement to successful conclusion
* Develop and maintain data driven strategy and operational reporting process in support of the Blue Shield prior authorization function. Analyze data, build control reporting, and communicate changes to all levels of the BSC enterprise
* Use data to assess operational performance, identify trends, and guide decision\-making
* Drive initiatives that lead to better clinical outcomes, cost reduction, and member/provider satisfaction
* Contribute to HQA artificial intelligence strategy and make recommendations on areas of potential implementation
* Support evolving HQA portfolio and vendor strategy
**Your Knowledge and Experience**
* Requires a bachelor's degree or equivalent experience
* Requires at least 10 years of prior relevant experience
* Requires a minimum of 8 years of demonstrated experience in healthcare operations working for a managed care organization
* Requires a minimum of 5 years of intermediate to advanced experience with program and project management
* Requires intermediate to advanced experience with SQL and MS Excel
* Experience with healthcare regulatory research and interpretation preferred
* Experience with healthcare code sets (CPT/HCPCS/ICD/DRG, etc.) preferred
**ABOUT THE TEAM  
About Blue Shield of California**
As of January 2025, Blue Shield of California became a subsidiary of Ascendiun. Ascendiun is a nonprofit corporate entity that is the parent to a family of organizations including Blue Shield of California and its subsidiary, Blue Shield of California Promise Health Plan; Altais, a clinical services company; and Stellarus, a company designed to scale healthcare solutions. Together, these organizations are referred to as the Ascendiun Family of Companies.
At Blue Shield of California, our mission is to create a healthcare system worthy of our family and friends and sustainably affordable. We are transforming health care in a way that genuinely serves our nonprofit mission by lowering costs, improving quality, and enhancing the member and physician experience.
To achieve our mission, we foster an environment where all employees can thrive and contribute fully to address the needs of the various communities we serve. We are committed to creating and maintaining a supportive workplace that upholds our values and advances our goals.
Blue Shield is a U.S. News Best Company to work for, a Deloitte U.S. Best Managed Company and a Top 100 Inspiring Workplace. We were recognized by Fair360 as a Top Regional Company, and one of the 50 most community\-minded companies in the United States by Points of Light. Here at Blue Shield, we strive to make a positive change across our industry and communities – join us!
**Our Values:**
* **Honest.** We hold ourselves to the highest ethical and integrity standards. We build trust by doing what we say we're going to do and by acknowledging and correcting where we fall short.
* **Human.** We strive to listen and communicate effectively, showing empathy by understanding others' perspectives.
* **Courageous.** We stand up for what we believe in and are committed to the hard work necessary to achieve our ambitious goals.
**Our Workplace Model:**
At Blue Shield of California and the Ascendiun Family of Companies, we believe in fostering a workplace environment that balances purposeful in\-person collaboration with flexibility. As we continue to evolve our workplace model, our focus remains on creating spaces where our people can connect with purpose – whether working in the office or through a hybrid approach – by providing clear expectations while respecting the diverse needs of our workforce.
Two Ways of Working:
* **Hybrid (Default):** Work from a business unit\-approved office at least two (2\) times per month (for roles below Director\-level) or once per week (for Director\-level roles and above). Exceptions:
o Member\-facing and approved out\-of\-state roles remain remote.
o Employees living more than 50 miles from their assigned offices are expected to work with their managers on a plan for periodic office visits.
o For employees with medical conditions that may impact their ability to work in\-office, we are committed to engaging in an interactive process and providing reasonable accommodations to ensure their work environment is conducive to their success and well\-being.
* **On\-Site:** Work from a business unit\-approved office an average of four (4\) or more days a week.
**Physical Requirements:**
Office Environment \- roles involving part to full time schedule in Office Environment. Based in our physical offices and work from home office/deskwork \- Activity level: Sedentary, frequency most of work day.
**Equal Employment Opportunity:**
External hires must pass a background check/drug screen. Qualified applicants with arrest records and/or conviction records will be considered for employment in a manner consistent with Federal, State and local laws, including but not limited to the San Francisco Fair Chance Ordinance. All qualified applicants will receive consideration for employment without regards to race, color, religion, sex, national origin, sexual orientation, gender identity, protected veteran status or disability status and any other classification protected by Federal, State and local laws.</t>
        </is>
      </c>
    </row>
    <row r="8">
      <c r="A8" t="inlineStr">
        <is>
          <t>in-07cd3ecefb052faf</t>
        </is>
      </c>
      <c r="B8" t="inlineStr">
        <is>
          <t>Senior Technical Program Manager - Connected Warfare</t>
        </is>
      </c>
      <c r="C8" t="inlineStr">
        <is>
          <t>Anduril</t>
        </is>
      </c>
      <c r="D8" t="inlineStr">
        <is>
          <t>indeed</t>
        </is>
      </c>
      <c r="E8" t="inlineStr"/>
      <c r="F8" t="inlineStr"/>
      <c r="G8" t="inlineStr">
        <is>
          <t>Seattle, WA, US</t>
        </is>
      </c>
      <c r="H8" s="2" t="n">
        <v>46051</v>
      </c>
      <c r="I8"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Are you ready to lead product development and critical test campaigns for some of the most advanced warfighter systems on the planet? Anduril’s Connected Warfare team is seeking an exceptional Senior Technical Program Manager to lead test campaigns across Eagle Eye, the Army’s Next Generation Command \&amp; Control (NGC2\) system, Menace of Family of Systems, and related cutting\-edge products.
**Overview**
------------
As a key leader on our team, you'll manage cross\-functional test initiatives—spanning both software and hardware—in dynamic lab and field environments. Your role is critical to ensuring our systems perform flawlessly in the modern battlespace. You’ll work closely with engineering, program management, test and evaluation, and military partners, and to validate the performance of systems that are redefining defense capabilities.
**What You’ll Do**
------------------
**Lead Test Campaigns:**
* Manage test planning, execution, and reporting for Eagle Eye, Next Generation Command Control, and other Connected Warfare products. Provide technical leadership to a team of test engineers through system integration, developmental, operational, and customer acceptance tests.
**Develop \&amp; Execute Verification Strategies:**
* Define robust verification protocols using requirements\-based, scenario\-based, and operationally relevant methodologies, incorporating customer standards and metrics.
**Coordinate Cross\-Functional Activities:**
* Collaborate with Program Management, Engineering, SEIT, test ranges, and external agencies. Oversee Test Readiness Reviews (TRRs), manage test incidents, and track deficiencies.
**Drive Data\-Driven Test Evaluations:**
* Supervise data analysis of system performance and mission outcomes in both lab and field settings. Establish and monitor measurable test coverage metrics ensuring traceability from requirements to validation.
**Stakeholder Engagement:**
* Represent the program at customer reviews, readiness boards, and milestone decision points, ensuring disciplined execution in both controlled and austere environments.
**Required Qualifications**
---------------------------
* Highly organized and detail\-oriented with excellent verbal and written communication skills.
* Bachelor’s degree in a related field (Advanced degree preferred).
* 8\+ years of experience in system\-level test and evaluation of integrated hardware/software systems.
Proven leadership in test teams (* 5 engineers/technicians) and management of complex multi\-site test campaigns.
* Hands\-on experience executing both developmental and operational test events in lab and field settings.
* Strong expertise in requirements development, test planning, verification/validation, and test reporting with traceability management.
* Experience with RF communications, tactical datalinks, and networked C2 systems in a DoD operational environment.
* Familiarity with industry and DoD test processes including MIL\-STD protocols.
* Proficient in test metrics definition and reporting.
* Understands customer/military use cases from first hand experience and can guide engineer team members to design and test around those related uses cases.
* Ability to travel up to 50% for test execution.
* Must be able to obtain and maintain a U.S. Secret clearance.
**Preferred Qualifications**
----------------------------
* Master’s degree in a related field.
* Experience on DoD ACAT I/II programs or equivalent.
* Knowledge of EMI/EMC, environmental testing (MIL\-STD\-810\), and power/avionics standards (MIL\-STD\-1275, MIL\-STD\-1553/1760, etc.).
* Familiarity with test automation frameworks, data analysis tools, and test instrumentation.
* Experience in CI/CD pipelines, software integration, and hardware\-in\-the\-loop test environments.
* Prior experience in remote, austere, or tactical operational settings.
* Eligible for Top Secret/SCI clearance.
**US Salary Range**
$166,000 \- $208,000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9">
      <c r="A9" t="inlineStr">
        <is>
          <t>in-53d7a610a01e8850</t>
        </is>
      </c>
      <c r="B9" t="inlineStr">
        <is>
          <t>Product Manager, API &amp; Platform</t>
        </is>
      </c>
      <c r="C9" t="inlineStr">
        <is>
          <t>Descript</t>
        </is>
      </c>
      <c r="D9" t="inlineStr">
        <is>
          <t>indeed</t>
        </is>
      </c>
      <c r="E9" t="inlineStr"/>
      <c r="F9" t="inlineStr"/>
      <c r="G9" t="inlineStr">
        <is>
          <t>San Francisco, CA, US</t>
        </is>
      </c>
      <c r="H9" s="2" t="n">
        <v>46051</v>
      </c>
      <c r="I9" t="inlineStr">
        <is>
          <t>### **About the role**
Automated video editing is an emerging category, and we're positioned to define it. Media companies want to turn thousands of podcast episodes into social clips. Marketing teams want to automatically create product demos for every release. Agencies want to process client content in bulk with consistent branding. And they want to do all of that at scale.
As the Product Manager for this 0 to 1 area, you'll build and own the platform that makes this all possible. You'll create APIs that let developers programmatically import media, run AI\-powered edits, and export content. In essence, turning Descript's already powerful editing capabilities into infrastructure that media businesses can depend on.
### **What you'll do**
* Own the API and developer experience that lets teams create content workflows at scale
* Launch integrations that unlock new use cases: MCP wrappers, no\-code workflow platforms, and strategic partner integrations
* Work closely with our Agentic AI team to influence what editing capabilities we build and how they're exposed through the API
* Define and grow this business line by shaping positioning, pricing, and go\-to\-market strategy with Sales and Marketing teams
### **Who you are**
* **You've shipped technical products before:** You have 5 or more years of product management experience shipping internal APIs, developer platforms, and foundational systems that enable other teams
* **You build things from scratch:** Building a brand new product means venturing into the unknown, and you find that energizing rather than scary. You've taken products from 0 to 1, figured out ambiguous problem spaces, and created the playbook to make it successful.
* **You start with the customer**: Plenty of "AI products" start with the technology and they all suck. You care deeply about understanding customers, and have experience in doing customer discovery and defining features that solve real problems.
* **You are funny, creative, maybe kind of weird**: Ok, this isn't a hard requirement but Descript is kind of a quirky place and the people who love it tend to *like* that about working here. So, just want to drop a hint early on. Also, the sense of humor is important because even though we take our work seriously it's still just, like, video creation and editing. We aren't flying rockets into space so let's all have a good time.
The base salary range for this role is $171,000 \- $235,000/year. Final offer amounts will carefully consider multiple factors, including prior experience, expertise, and location, and may vary from the amount above.
\#LI\-Remote
**About Descript**
------------------
Descript is building a simple, intuitive, fully\-powered editing tool for video and audio — an editing tool built for the age of AI. We are a team of 150 and the backing of some of the world's greatest investors (OpenAI, Andreessen Horowitz, Redpoint Ventures, Spark Capital).
Descript is the special company that's in possession of both product market fit and the raw materials (passionate user community, great product, large market) for growth, but is still early enough that each new employee has a measurable influence on the direction of the company.
Benefits include a generous healthcare package, 401k matching program, catered lunches, and flexible vacation time. Our headquarters are located in the Mission District of San Francisco, CA. We're hiring for a mix of remote roles and hybrid roles. For those who are remote, we have a handful of opportunities throughout the year for in person collaboration. For our hybrid roles, we're flexible, and you're an adult—we don't expect or mandate that you're in the office every day. We do believe there are valuable and serendipitous moments of discovery and collaboration that come from working together in person.
Descript is an equal opportunity workplace—we are dedicated to equal employment opportunities regardless of race, color, ancestry, religion, sex, national origin, sexual orientation, age, citizenship, marital status, disability, gender identity, or Veteran status. We believe in actively building a team rich in diverse backgrounds, experiences, and opinions to better allow our employees, products, and community to thrive.</t>
        </is>
      </c>
    </row>
    <row r="10">
      <c r="A10" t="inlineStr">
        <is>
          <t>in-b21dd9816cde3090</t>
        </is>
      </c>
      <c r="B10" t="inlineStr">
        <is>
          <t>Engineering Program Manager</t>
        </is>
      </c>
      <c r="C10" t="inlineStr">
        <is>
          <t>Cushman &amp; Wakefield</t>
        </is>
      </c>
      <c r="D10" t="inlineStr">
        <is>
          <t>indeed</t>
        </is>
      </c>
      <c r="E10" t="inlineStr"/>
      <c r="F10" t="inlineStr"/>
      <c r="G10" t="inlineStr">
        <is>
          <t>Austin, TX, US</t>
        </is>
      </c>
      <c r="H10" s="2" t="n">
        <v>46051</v>
      </c>
      <c r="I10" t="inlineStr">
        <is>
          <t>**Job Title**
Engineering Program Manager**Job Description Summary**
Engineering Program Manager is responsible for the development, implementation and compliance of policies and procedures for the maintenance and operational up\-time of a mission critical, mission important, business critical and business important facility’s mechanical, electrical, plumbing, life/safety, and Energy Management systems with a strong focus on site operations for our clients global portfolio. Interacts and coordinates with facilities management, engineers, and IT.  
This role is responsible for overseeing and carrying out client’s energy objectives, with the ultimate goal of developing and implementing strategies to reduce client’s energy and related resource costs. In this capacity, he or she will work to ensure that client has the best information and recommendations with which to make energy management decisions.**Job Description**
Essential Responsibilities:
* Provide engineering, critical operations and technical oversight for all facilities assigned
* Review engineering and critical operations for large and/or critical sites annually and as required
* Work closely and collaboratively with all members of the facility management team to ensure positive and effective communication
* Provide matrix level oversight for and advise all technical staff. Work with Facilities Managers to assess and review engineering staff for all sites
* Ensure that all critical equipment is maintained in accordance with the manufacturer’s recommendations, local codes, building standards, and Cushman \&amp; Wakefield Policies \&amp; Procedures
* In partnership with Regional Facilities Managers, be responsible to the Global Operations Director for budget control and forecasting of contracts and major operations related to critical operations
* Provide technical oversight for the design and implementation of the preventative maintenance program in accordance with manufacturer’s recommendations, current industry practices, and Cushman \&amp; Wakefield’s policies and procedures
* Maintain effective communications with IT personnel on all work related to critical operations systems
* Report abnormal or critical conditions immediately to the relevant C\&amp;W Facility Management and Global Operations Director
* Review all plans for adding or upgrading new equipment, infrastructure, building improvements, and the like, interface with applicable building management and operational staff, provide technical guidance and leadership, and interact and oversee contracted labor and vendors
* Develop and deliver training methods, materials and programs relative to building operating standards
* Provide oversight and guidance for the development of Client’s BMS and Energy Intelligence tools and ensure they are being used effectively by the engineering staff. Become an expert in its use
* Compile, maintain, and submit monthly critical operations reports for each facility in which critical operations are conducted, and as assigned.
Energy Management:
* This role will lead and coordinate the collection of data, prioritization of opportunities, development of strategies, prioritization of projects, and be CW’s single point of responsibility for the achievement of the assigned energy management goals
* Develops effective energy management policies for client and recommends changes in energy conservation applications
* Analyzes utility bills and energy load profiles for client buildings to determine energy usage trends to actively manage energy costs
* Assists in the preparation of the operating and capital budget by projecting resource needs and determining funding priorities for the energy management program
* Monitors and analyzes results of energy conservation projects
* Work with facilities managers and engineers to ensure all equipment and systems are maintained to the highest level of efficiency practical, to provide optimal environmental conditions within the facility for the minimum expenditure of energy
* Coordinates the work of consultants to assist with energy management activities and work projects
Sustainability:
* Manages the work of the account’s Sustainability staff, and consultants to assist with sustainability activities and work projects.
Key Competencies:
* Excellent computer skills
* Leadership, managerial, teamwork, prioritization and interpersonal skills
* Must possess excellent communication skills including the ability to convey complex technical information in a manner that non\-technical individuals can comprehend
* Ability to interact with client and client employees, senior management, staff, and vendors as a professional at all times.
Education:
* Four\-year college degree required
* Degree in Mechanical or Electrical Engineering preferred
Important Experience:
* Thorough technical knowledge of maintenance and repair procedures for critical operations and related systems, including HVAC, UPS, stand\-by generators, boilers, fire pumps, plumbing, electrical, and fire safety systems
* Minimum ten years’ experience in industry with three to five years of experience in comparable position
* LEED Accreditation preferred
* Experience in managing a High\-Performance Building Program
* Working knowledge of Department of Energy (DOE) Energy Star Program
* Must be able to demonstrate experience in the development and implementation of equipment installation for retro fit for the primary purpose of improving energy efficiency affecting: data center/computer lab environments, cooling, refrigeration, building HVAC, and facility lighting
* Be familiar with the Supplier Business Review (SBR) process and the Key Performance Indicators (KPI’s) that we are rated on and gear your performance and the performance of team members to meeting these KPI’s consistently
AAP/EEO Statement:
C\&amp;W provides equal employment opportunity to all individuals regardless of their race, color, creed, religion, gender, age, sexual orientation, national origin, disability, veteran status, or any other characteristic protected by state, federal, or local law. Further, the company takes affirmative action to ensure that applicants are employed and employees during employment are treated without regard to any of these characteristics. Discrimination of any type will not be tolerated.
Cushman \&amp; Wakefield also provides eligible employees with an opportunity to enroll in a variety of benefit programs, generally including health, vision, and dental insurance, flexible spending accounts, health savings accounts, retirement savings plans, life, and disability insurance programs, and paid and unpaid time away from work. In addition to a comprehensive benefits package, Cushman and Wakefield provide eligible employees with competitive pay, which may vary depending on eligibility factors such as geographic location, date of hire, total hours worked, job type, business line, and applicability of collective bargaining agreements.  
The compensation that will be offered to the successful candidate will depend on factors such as whether the position is covered by a collective bargaining agreement, the geographic area in which the work will be performed, market pay rates in that area, and the candidate’s experience and qualifications.  
The company will not pay less than minimum wage for this role.  
The compensation for the position is: $ 110,500\.00 \- $130,000\.00
Cushman \&amp; Wakefield is an Equal Opportunity employer to all protected groups, including protected veterans and individuals with disabilities. Discrimination of any type will not be tolerated.
In compliance with the Americans with Disabilities Act Amendments Act (ADAAA), if you have a disability and would like to request an accommodation in order to apply for a position at Cushman \&amp; Wakefield, please call the ADA line at **1\-888\-365\-5406** or email **HRServices@cushwake.com**. Please refer to the job title and job location when you contact us.
INCO: “Cushman \&amp; Wakefield”</t>
        </is>
      </c>
    </row>
    <row r="11">
      <c r="A11" t="inlineStr">
        <is>
          <t>in-a25d14fcaa477613</t>
        </is>
      </c>
      <c r="B11" t="inlineStr">
        <is>
          <t>Senior Product Owner</t>
        </is>
      </c>
      <c r="C11" t="inlineStr">
        <is>
          <t>ICF</t>
        </is>
      </c>
      <c r="D11" t="inlineStr">
        <is>
          <t>indeed</t>
        </is>
      </c>
      <c r="E11" t="inlineStr"/>
      <c r="F11" t="inlineStr"/>
      <c r="G11" t="inlineStr">
        <is>
          <t>Reston, VA, US</t>
        </is>
      </c>
      <c r="H11" s="2" t="n">
        <v>46051</v>
      </c>
      <c r="I11" t="inlineStr">
        <is>
          <t>Description
ICF is seeking a Senior Product Owner to support a large federal client. In this role, you’ll lead vision and direction for Agile development teams, managing program and product roadmaps, features, and epics. You’ll collaborate closely with SMEs, business analysts, architects, and technical leads, as well as partner with UX and user research teams to ensure human\-centered design is reflected in the product vision.
**Job Location:** Remote within the U.S.
If you accept this position, you should note that ICF does monitor employee work locations blocks access from foreign locations/foreign IP addresses and also prohibits personal VPN connections.
**Responsibilities:**
* Identify and refine customer needs and program strategy.
* Develop and communicate a clear product vision and strategy that aligns with the client goals and priorities.
* Own and refine the vision of the program and products.
* Create, prioritize, and manage the product backlog, ensuring that the most valuable features are delivered to users.
* Write clear and actionable user stories and acceptance criteria to guide development efforts.
* Work closely with internal and external stakeholders to gather requirements, understand needs, and ensure alignment across various initiatives.
* Effectively break down the program vision into features and epics.
* Define and track key performance indicators (KPIs) to measure product success and inform future development efforts.
* Derive an Agile program roadmap from the program backlog.
* Define minimum viable products and establish success criteria.
* Collaborate closely with a wide range of individuals on the Agile team.
* Communicate vision, strategy, roadmaps, and backlogs to key stakeholders.
* Perform an active role in mitigating impediments impacting successful team completion of Release/Sprint Goals.
 **Basic Qualifications:**
* US Citizenship is required
* Must be able to obtain and maintain a Federal Public Trust
* MUST RESIDE IN THE United States (U.S.) and the work MUST BE PERFORMED in the United States (U.S.), as this work is for a federal contract and laws do apply.
* Bachelor’s degree
* 7 years of relevant IT experience with at least 5\+ years as a Product Owner, working with software development teams and understanding the product lifecycle building modern and highly complex software products.
**Preferred Qualifications:**
* Experience working in or with the federal government.
* Secret clearance preferred
* Experience working with Data Engineering and Data Analytics projects
* Strong understanding of Agile methodologies and experience working in an Agile development environment.
**Professional skills:**
* Clear and concise written communication
* Excellent communication and interpersonal skills.
* Ability to translate complex requirements into actionable user stories.
* Strong organizational and time management skills.
* Analytical mindset with a focus on data\-driven decision making.
* Flexible and willing to accept a change in priorities as necessary.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 workplace that allows everyone to thrive. We are an equal opportunity employer. Together, our employees are empowered to share their expertise and collaborate with others to achieve personal and professional goals. For more information, please read our EEO policy.
We will consider for employment qualified applicants with arrest and conviction records.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All information you provide will be kept confidential and will be used only to the extent required to provide needed reasonable accommodations.
Read more about workplace discrimination rights or our benefit offerings which are included in the Transparency in (Benefits) Coverage Act.
 **Candidate AI Usage Policy**
At ICF, we are committed to ensuring a fair interview process for all candidates based on their own skills and knowledge. As part of this commitment, the use of artificial intelligence (AI) tools to generate or assist with responses during interviews (whether in\-person or virtual) is not permitted. This policy is in place to maintain the integrity and authenticity of the interview process.
However, we understand that some candidates may require accommodation that involves the use of AI. If such an accommodation is needed, candidates are instructed to contact us in advance at candidateaccommodation@icf.com. We are dedicated to providing the necessary support to ensure that all candidates have an equal opportunity to succeed.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$98,614\.00 \- $167,644\.00
Nationwide Remote Office (US99\)</t>
        </is>
      </c>
    </row>
    <row r="12">
      <c r="A12" t="inlineStr">
        <is>
          <t>in-8943f3b2c396d722</t>
        </is>
      </c>
      <c r="B12" t="inlineStr">
        <is>
          <t>Program Manager</t>
        </is>
      </c>
      <c r="C12" t="inlineStr">
        <is>
          <t>Aspire Living &amp; Learning</t>
        </is>
      </c>
      <c r="D12" t="inlineStr">
        <is>
          <t>indeed</t>
        </is>
      </c>
      <c r="E12" t="inlineStr"/>
      <c r="F12" t="inlineStr"/>
      <c r="G12" t="inlineStr">
        <is>
          <t>Bedford, NH, US</t>
        </is>
      </c>
      <c r="H12" s="2" t="n">
        <v>46051</v>
      </c>
      <c r="I12" t="inlineStr">
        <is>
          <t>At Aspire Living \&amp; Learning, we don't just talk about making an impact, we live it. For more than 40 years, we've supported neurodiverse children and adults across New England and Maryland as they discover their passions, unlock their potential, and live more independently in their communities. Our person\-centered services evolve with people's needs, from education and behavioral health to residential and community\-based supports. We empower people to live lives shaped by their own interests, choices, and strengths. Join our collaborative, mission\-driven team and bring your skills to work that makes a real difference every day.
Aspire Living \&amp; Learning is currently seeking a motivated and dedicated Program Manager to oversee the day to day operations for adults with developmental disabilities, ensuring that all supported individuals are receiving appropriate clinical and medical services. The Program Manager will mentor, develop and supervise shift supervisors and direct care staff, ensure adherence to all DDS, funding agency, and state regulations, maintains and monitor staffing schedule, assist with writing clinical assessments and overseeing ISP assessments, and assume on\-call responsibilities as required. The Program Manager will also assist and instruct individuals in all aspects of their IP, administer medication when required, provide in\-house and agency\-contracted training and consultation services, adhere to budgetary guidelines, assist and instruct residents with daily living skills, behavioral and habilitative plans, medical, psychiatric and socio\-emotional needs, and work with the People Team to plan and implement corrective action when necessary.
**Salary:** $44,000 per year
**Schedule:** M\-F 9a\-5p
**Our ideal candidate:**
* Bachelor's Degree in Human Services or a related field, or the equivalent combination of education \&amp; experience required.
* Experience providing support to individuals with disabilities and challenging behaviors.
* Excellent interpersonal, organizational and communication skills.
* Previous supervisory experience *strongly preferred.*
* Basic Computer skills, experience using Therap a plus!
* High School Diploma or GED required.
* Empathy, enthusiasm, and a passion and dedication for helping others.
* Valid Driver's License with at least 3 years of driving experience.
**Employees at Aspire enjoy working with a collaborative and dedicated team that values a culture of belonging and care. We take pride in offering a comprehensive benefits package to eligible employees, including:**
* **Comprehensive Health, Dental, \&amp; Vision Insurance \-** Choose from multiple medical plans, with vision coverage included at no extra cost.
* **Flexible Spending Accounts (FSA) and Health Saving Account (HSA) options \-** Use pre\-tax dollars for medical and dependent care expenses.
* **Lifestyle Spending Accounts with JOON \-** Monthly funds for wellness, fitness, commuting, childcare, pet care, and more.
* **403(b) Retirement Plan with Employer Match \-** A 100% match on contributions up to 2% of your salary.
* **Generous Paid Time Off \-** Paid sick, personal, and vacation days, plus holidays.
* **Professional Growth Opportunities \-** Access to training, leadership and management courses, mentorship, and career advancement.
* **Employer\-Paid Life \&amp; Disability Insurance, Employee Assistance Program (EAP), Telehealth Services** and more!
If you want to join us in making a difference and positively impact the lives of others while charting your own path of development, then we at the Aspire team would love to hear from you.
*Aspire Living \&amp; Learning believes it must play an active role in creating a community of employees that is diverse, inclusive and equitable. Our work benefits greatly from the contributions of people of color, people from working class backgrounds, women, LGBTQ people, and individuals with disabilities. Hence, we strongly encourage applications from people with these identities or who are members of other marginalized communities.*
\#HJC26</t>
        </is>
      </c>
    </row>
    <row r="13">
      <c r="A13" t="inlineStr">
        <is>
          <t>in-8dae03a7abfc6423</t>
        </is>
      </c>
      <c r="B13" t="inlineStr">
        <is>
          <t>Program Manager</t>
        </is>
      </c>
      <c r="C13" t="inlineStr">
        <is>
          <t>Aspire Living &amp; Learning</t>
        </is>
      </c>
      <c r="D13" t="inlineStr">
        <is>
          <t>indeed</t>
        </is>
      </c>
      <c r="E13" t="inlineStr"/>
      <c r="F13" t="inlineStr"/>
      <c r="G13" t="inlineStr">
        <is>
          <t>Nashua, NH, US</t>
        </is>
      </c>
      <c r="H13" s="2" t="n">
        <v>46051</v>
      </c>
      <c r="I13" t="inlineStr">
        <is>
          <t>At Aspire Living \&amp; Learning, we don't just talk about making an impact, we live it. For more than 40 years, we've supported neurodiverse children and adults across New England and Maryland as they discover their passions, unlock their potential, and live more independently in their communities. Our person\-centered services evolve with people's needs, from education and behavioral health to residential and community\-based supports. We empower people to live lives shaped by their own interests, choices, and strengths. Join our collaborative, mission\-driven team and bring your skills to work that makes a real difference every day.
Aspire Living \&amp; Learning is currently seeking a motivated and dedicated Program Manager to oversee the day to day operations of our residential program for adults with developmental disabilities. The Program manager will ensure that all supported individuals are receiving appropriate clinical and medical services, mentor, develop and supervise shift supervisors and direct care staff, ensure adherence to all DDS, funding agency, and state regulations, maintains and monitor staffing schedule, assist with writing clinical assessments and overseeing ISP assessments, and assume on\-call responsibilities as required. The Program Manager will also assist and instruct individuals in all aspects of their IP, administer medication when required, provide in\-house and agency\-contracted training and consultation services, adhere to budgetary guidelines, assist and instruct residents with daily living skills, behavioral and habilitative plans, medical, psychiatric and socio\-emotional needs, and work with the People Team to plan and implement corrective action when necessary.
**Salary:** $55,000 per year
**Schedule:** M\-F 8a\-4p. On call, overnights, and weekends as needed
**Our ideal candidate:**
* Bachelor's Degree in Human Services or a related field, or the equivalent combination of education \&amp; experience required.
* Experience providing support to individuals with disabilities and challenging behaviors.
* Excellent interpersonal, organizational and communication skills.
* Previous supervisory experience *strongly preferred.*
* Basic Computer skills, experience using Therap a plus!
* High School Diploma or GED required.
* Empathy, enthusiasm, and a passion and dedication for helping others.
* Valid Driver's License with at least 3 years of driving experience.
**Employees at Aspire enjoy working with a collaborative and dedicated team that values a culture of belonging and care. We take pride in offering a comprehensive benefits package to eligible employees, including:**
* **Comprehensive Health, Dental, \&amp; Vision Insurance \-** Choose from multiple medical plans, with vision coverage included at no extra cost.
* **Flexible Spending Accounts (FSA) and Health Saving Account (HSA) options \-** Use pre\-tax dollars for medical and dependent care expenses.
* **Lifestyle Spending Accounts with JOON \-** Monthly funds for wellness, fitness, commuting, childcare, pet care, and more.
* **403(b) Retirement Plan with Employer Match \-** A 100% match on contributions up to 2% of your salary.
* **Generous Paid Time Off \-** Paid sick, personal, and vacation days, plus holidays.
* **Professional Growth Opportunities \-** Access to training, leadership and management courses, mentorship, and career advancement.
* **Employer\-Paid Life \&amp; Disability Insurance, Employee Assistance Program (EAP), Telehealth Services** and more!
If you want to join us in making a difference and positively impact the lives of others while charting your own path of development, then we at the Aspire team would love to hear from you.
*Aspire Living \&amp; Learning believes it must play an active role in creating a community of employees that is diverse, inclusive and equitable. Our work benefits greatly from the contributions of people of color, people from working class backgrounds, women, LGBTQ people, and individuals with disabilities. Hence, we strongly encourage applications from people with these identities or who are members of other marginalized communities.*</t>
        </is>
      </c>
    </row>
    <row r="14">
      <c r="A14" t="inlineStr">
        <is>
          <t>in-9745d42a21934f84</t>
        </is>
      </c>
      <c r="B14" t="inlineStr">
        <is>
          <t>Product Owner</t>
        </is>
      </c>
      <c r="C14" t="inlineStr">
        <is>
          <t>O'Reilly Auto Parts</t>
        </is>
      </c>
      <c r="D14" t="inlineStr">
        <is>
          <t>indeed</t>
        </is>
      </c>
      <c r="E14" t="inlineStr"/>
      <c r="F14" t="inlineStr"/>
      <c r="G14" t="inlineStr">
        <is>
          <t>Springfield, MO, US</t>
        </is>
      </c>
      <c r="H14" s="2" t="n">
        <v>46051</v>
      </c>
      <c r="I14" t="inlineStr">
        <is>
          <t>The **Product Owner** manages Scrum teams to transfer the project/product vision to design, development, and delivery. Guide the team through the product backlog toward building the right product, considering the vision, planning, and budgets of the business, customers, or use.
**This is an on site position located in Springfield, MO.**  
**Responsibilities and Duties:**
* Take responsibility for all aspects of a life cycle of a product or set of products, including long\- and short\-term development and marketing. Stay abreast of trends in the marketplace to ensure the product's competitive position.
* Analyze and evaluate the feasibility and relevance of proposed complex products and services and develop and amend, as necessary, with guidance from senior colleagues. May also be responsible for supervising activities performed by a product development or specialist team.
* Evaluate the feasibility/relevance of proposed solutions, working in cross\-functional or agile teams to develop and deliver significant aspects of the development program.
* Research data from digital product/service performance, customer behavior, and market trends to identify opportunities for product/service improvement.
* Execute the development plan for a new product or service, managing project schedules, identifying risks, and communicating to project stakeholders.
* Plan and re\-plan software releases for medium\-sized projects as they are produced to ensure timely updates and to deliver the planned benefits as early as possible in the project or program.
* Review the backlog of work for a medium\-sized project and reprioritize the work and the deployment of project resources to reduce costs and increase the value of the work delivered to the business.
* Explore and develop a detailed understanding of external developments or emerging issues and contribute to the evaluation of their potential impact on, or usefulness to, the organization.
* Deliver baseline assessments and post\-implementation analyses to evaluate and track the realization of business benefits.
* Contribute to and maintain a roadmap to facilitate application software development and ensure the development work is prioritized in line with business requirements.
* Demonstrate the most valuable features/attributes of the product/service; lead a team of demo specialists to bring the highest value to customers during demonstrations.
* Develop own capabilities by participating in assessment and development planning activities as well as formal and informal training and coaching; gain or maintain external professional accreditation, where relevant, to improve performance and fulfill personal potential. Maintain an in\-depth understanding of technology, external regulation, and industry best practices through ongoing education, attending conferences, and reading specialist media.
 **Skills:**  
**Required:**
* Manages and develops all aspects of a product or service to ensure it achieves its full impact and value in the market.
* Oversees and manages all stages of a product's lifecycle, from ideation to retirement, ensuring efficient processes, timely delivery, and adherence to quality standards.
* Operates as a recognized expert to plan, organize, prioritize and oversee activities to efficiently meet objectives.
* Communicates and articulates potential resolutions or strategies in a clear, compelling, and tailored manner to address specific challenges or meet organizational needs.
* Analyzes and researches market conditions and facts in order to develop a full and comprehensive understanding of the market to enable it to be utilized for the benefit of the organization.
* Determines and analyzes trends from data that is collected to assist in compiling reports that will help in decision\-making.
* Identifies potential stakeholders, analyzes their expectations, and develops strategies for managing stakeholders and their expectations.
* Identifies, sequences, and resources project schedules for timely completion.
* Plans, identifies, monitors, analyzes, and prioritizes risks (threats and opportunities), creates response plans, and manages the risk if it occurs.
* Identifies, verifies, and manages changes to the scope of the project or program, utilizing the most appropriate approach.
* Identifies appropriate measures for assessing solution performance and limitations, validates with key stakeholders, and collects appropriate performance measures to assess overall solution performance to recommend specific actions to increase solution value.
* Identifies, tracks, and enables the achievement of the planned benefits and intended outcomes of a program and associated projects.
* Develops an effective change strategy based on gap analyses and enterprise readiness assessment results, including transitions states and release plans.
Education: Bachelor's Degree or Equivalent Level  
Experience: Experienced practitioner able to deal with the majority of situations and to advise others (3 to 6 years)  
Managerial Experience: Experience supervising and directing team members and utilizing resources to achieve specific end results within limited timeframes (1 to 3 years)
O’Reilly Auto Parts has a proven track record of growth and stability. O’Reilly is full of successful career stories and believes in a strong promote\-from\-within philosophy, encouraging you to grow your career along with the organization.
**Total Compensation Package:**
* Competitive Wages \&amp; Paid Time Off
* Stock Purchase Plan \&amp; 401k with Employer Contributions Starting Day One
* Medical, Dental, \&amp; Vision Insurance with Optional Flexible Spending Account (FSA)
* Team Member Health/Wellbeing Programs
* Tuition Educational Assistance Programs
* Opportunities for Career Growth
*O’Reilly Auto Parts is an equal opportunity employer.* *The Company does not discriminate on the basis of race, religion, color, national origin or ancestry (including immigration status or citizenship), sex, sexual orientation, gender identity, pregnancy (including childbirth, lactation, and related medical conditions,) age (40 and over), veteran status, uniformed service member status, physical or mental disability, genetic information (including testing or characteristics) or another protected status as defined by local, state, or federal law, as applicable.*
*Qualified individuals with a disability may be entitled to reasonable accommodation under the Americans with Disabilities Act. If you require a reasonable accommodation during the application or employment process, please send an email to:* *rar@oreillyauto.com* *or call (800\) 471\-7431 option , and provide your requested accommodation, and position details.*</t>
        </is>
      </c>
    </row>
    <row r="15">
      <c r="A15" t="inlineStr">
        <is>
          <t>in-de0876b2df03765b</t>
        </is>
      </c>
      <c r="B15" t="inlineStr">
        <is>
          <t>Program Manager</t>
        </is>
      </c>
      <c r="C15" t="inlineStr">
        <is>
          <t>FOX Factory</t>
        </is>
      </c>
      <c r="D15" t="inlineStr">
        <is>
          <t>indeed</t>
        </is>
      </c>
      <c r="E15" t="inlineStr"/>
      <c r="F15" t="inlineStr"/>
      <c r="G15" t="inlineStr">
        <is>
          <t>Gainesville, GA, US</t>
        </is>
      </c>
      <c r="H15" s="2" t="n">
        <v>46051</v>
      </c>
      <c r="I15" t="inlineStr">
        <is>
          <t>What We Do*FOX Factory designs, engineers, manufactures and markets performance\-defining products and systems for customers worldwide. Our premium brand, performance\-defining products and systems are used primarily on bicycles, side\-by\-side vehicles, on\-road vehicles with and without off\-road capabilities, off\-road vehicles and trucks, all\-terrain vehicles, snowmobiles, specialty vehicles and applications, motorcycles, and commercial trucks. Some of our products are specifically designed for and marketed to a variety of leading cycling and powered vehicle original equipment manufacturers ("OEMs"), while others are distributed to consumers through a global dealer and distribution network. Fox Factory Holding Corp. is the holding company of FOX Factory, Inc. and is publicly traded (FOXF) on Nasdaq.*
Why you should join us
Not only do we provide competitive wages, you will also have access to great benefits and employee discounts. But more importantly, it’s a fun environment where we truly enjoy working as a team and bringing great products to our customers!
If this sounds like something you would love to do, and a place you want to be a part of, get in touch with us by submitting your application. We look forward to hearing from you!
Position Summary:
Ensures consistent delivery of the highest quality products to our customers, on time and on budget. Coordinates the activities of leaders in sales, engineering, production, procurement and finance to ensure that all aspects of Fox programs are clearly defined, have appropriate milestones and remain on track to completion during any given program. Primary customer\-facing representative of the company during the fulfillment portion of our customer engagements.
Position Responsibilities:* Serve as a key interface to the customer(s) representing the entire program team and FOX as a whole.
* Leads cross functional project teams from Manufacturing, Quality, Design, Development, and Purchasing to bring new product into production per planned schedule and provide overall leadership to program team and drive technical compliance.
* Plan, lead, and own the fulfillment process for all deliverables throughout the duration of the program.
* Establish program schedule and milestones, and directly coordinate with sales, engineering, creative, and finance to ensure all project(s) stay on or ahead of schedule.
* Plan and build and lead risk mitigation activities, as appropriate, to ensure all key deadlines are consistently met on time and on budget.
* Take lead as customer\-facing voice of the company throughout the fulfillment process.
* Manage and appropriately address both internal and customer escalations
Specific Knowledge, Skills or Abilities Required:* Demonstrates exceptional presentation ability, including written and oral, to all levels of management.
* Advanced working knowledge of Power Point, Visio, and Excel.
* Ability to manage external customers and internal functional teams through all aspects of engineering, development, hardware fabrication and testing of composite structures.
* Experience with growing existing business and/or new business with current customers.
* Knowledgeable in ISO IATF 16949, IS0 9000:2008; AS9100; Process Flows, and Control Plans
* Inspiring degree of initiative and drive, including a dynamic personality with the ability to influence others.
* Requires an equal mix of project management, customer management and business acumen.
* Experience leading and coordinating teams across multiple sites, functional areas and time zones.
Position Qualifications:
Education:
BS in Engineering required
Experience:
5 years of Program/ Project Management in a manufacturing environment, Manufacturing Engineering or a combination of both can be considerate. Experience in the Automotive, Powersport Industries or contract manufacturing experience.
Preferred Experience:
Experience working in the OEM industry as Tier 1 supplier
Lean Manufacturing experience
Work Environment and Physical Requirements:
Office Environment
Ability to sit for long periods of time
Vision abilities required to validate and enter data on computer*Disclaimer**: This list does not represent all physical* *demands. Descriptions* *are representative of those that must be met by employee to successfully perform the essential functions of the* *job. Reasonable* *accommodation may be provided to enable individuals with disabilities to perform the jobs’ essential functions.**Note:**FOX provides equal employment opportunities for all employees and applicants for employment without regard to race, color, ancestry, national origin, gender, gender identity, sexual orientation, marital status, religion, age, physical disability (including HIV and AIDS), mental disability, results of genetic testing, or service in the military, or any other characteristic protected by the laws or regulations of any jurisdiction in which we operate. We base all employment decisions –including recruitment, selection, training, compensation, benefits, discipline, promotions, transfers, layoffs, terminations and social/recreational programs – on merit and the principles of equal employment opportunity.**Fox offers an excellent compensation package and wide\-ranging opportunities for professional development. Medical, Dental, Vision, Health Spending and Dependent Care Savings Accounts, Disability and Life Insurance benefit programs are available, as is a 401k plan with employer matching. Eligibility for all benefit programs is defined by the applicable plan document or employee handbook.*</t>
        </is>
      </c>
    </row>
    <row r="16">
      <c r="A16" t="inlineStr">
        <is>
          <t>in-51489946c9cb86e6</t>
        </is>
      </c>
      <c r="B16" t="inlineStr">
        <is>
          <t>Program Manager, Logistics &amp; Production</t>
        </is>
      </c>
      <c r="C16" t="inlineStr">
        <is>
          <t>Frederick Community College</t>
        </is>
      </c>
      <c r="D16" t="inlineStr">
        <is>
          <t>indeed</t>
        </is>
      </c>
      <c r="E16" t="inlineStr"/>
      <c r="F16" t="inlineStr"/>
      <c r="G16" t="inlineStr">
        <is>
          <t>Frederick, MD, US</t>
        </is>
      </c>
      <c r="H16" s="2" t="n">
        <v>46051</v>
      </c>
      <c r="I16" t="inlineStr">
        <is>
          <t>### **Please see Special Instructions for more details.**
All applications and required documents must be submitted online. Mail, e\-mail, or fax submissions will not be accepted. Cover letters may be addressed to the Search Committee and should briefly address your qualifications as related to the requirements of this position.  
For best consideration, applications should be received by February 20, 2026\. Review of applications after this date is not guaranteed.  
A full list of FCC benefits can be found here: **https://benefitguides.psafinancial.com/view/563817862/**  
FCC offers a generous benefits package which includes medical insurance, dental and vision plans, waiver of FCC tuition for employee and eligible dependents, tuition reimbursement, generous leave benefits, retirement plans, and more!  
Frederick Community College prohibits discrimination against any person on the basis of age, ancestry, citizenship status, color, creed, ethnicity, gender identity and expression, genetic information, marital status, mental or physical disability, national origin, race, religious affiliation, sex, sexual orientation, or veteran status in its activities, admissions, educational programs, and employment. Frederick Community College, an equal opportunity employer, values engagement and belonging for students and staff and encourages members from historically under\-represented groups to apply.
**Posting Details**
-------------------
Position Information
**Requisition Number** AS958P
**Job Title** Program Manager, Logistics \&amp; Production
**Pay Rate** $68,302\.43 \- $75,132\.67 annually
**Position Type** Administrative
**Position Summary**
**Position Summary:**
The Program Manager, Logistics \&amp; Production leads the strategic development and continuous evolution of non\-credit programs in Logistics, Advanced Manufacturing, Biotechnology, and Commercial Driver Training (CDL). This role requires a proactive approach to cultivating and sustaining industry partnerships, tracking industry trends, emerging technologies, and workforce demands to ensure programs remain cutting\-edge and aligned with regional and national economic priorities. The Program Manager serves as a key connector between the College and industry leaders to co\-create solutions that address skill gaps and advance workforce readiness, while applying inclusive and culturally responsive practices that embrace diversity in a multicultural workplace.**Essential Duties and Responsibilities:**
These are intended only as examples of the various types of job duties to be performed. The omission of specific duties does not exclude them from the position if the work is a similar, related, or logical assignment to the position.
The following are the functions essential to performing this job:
1\. Oversee the development, delivery, and continuous improvement of non\-credit programs in Logistics, Advanced Manufacturing, and CDL to ensure alignment with the College’s mission and vision. Maintain program relevance by proactively monitoring industry trends, emerging technologies, and workforce needs.
2\. Build and sustain robust partnerships with employers, trade associations, and community stakeholders to anticipate skill gaps and co\-create solutions.
3\. Oversee program labs and technology resources to maintain state\-of\-the\-art training environments.
4\. Recruit, mentor, and support adjunct faculty, fostering instructional excellence and adaptability to evolving industry standards.
5\. Manage program budgets and ensure compliance with all local, state, and federal requirements.
6\. Apply culturally responsive strategies that embrace diversity and promote equity in a multicultural learning environment.
7\. Advise students and collaborate with internal departments to connect learners with college resources, including learning support services. Monitor enrollment, persistence, and completion to drive positive outcomes.
8\. Ensure accurate scheduling, registration, grading, and reporting for all assigned programs.
9\. Prepare, analyze, and report on program enrollment trends, financial performance, and budget projections to inform strategic decisions. Conduct periodic program reviews and planning activities to ensure future readiness.
10\. Respond to student, faculty, and staff issues in accordance with College policies and procedures.
11\. Manage course pricing, monitor profitability, and communicate course changes effectively.
12\. Ensure compliance with college policies, COMAR, and external accreditation or certifying agencies. Prepare budget recommendations, submit justifications, and monitor expenditures.
13\. Collaborate with the Workforce Development Program Coordinator and the marketing and communications team to develop and execute strategic program marketing plans.
14\. Work collaboratively with campus units—including operations, IT, facilities, registration, and security—to plan for and deliver courses and programs effectively.
15\. Provide substitute coverage for classes when deemed appropriate.
16\. Represent the College on statewide advisory groups related to program areas.
17\. Attend conferences, meetings, and serve on or convene committees internal and external to the College to maintain visibility and influence.
18\. Perform other duties as assigned to support the College’s mission and strategic goals.
**Required Minimum Qualifications**
1\. Bachelor’s Degree.
2\. Five (5\) years of experience developing and managing instructional programming.
**Desired Qualifications**
1\. Bachelor’s Degree in one of the following fields: Business Administration, Supply Chain Management, Biotechnology, Logistics, Industrial/Manufacturing Technology, Workforce Development, or Education.
2\. Demonstrated experience in building and maintaining industry partnerships.
3\. Familiarity with non\-credit program development and adult learning principles.
4\. Experience with budget management and regulatory compliance.
5\. Subject matter expertise in one or more program content areas.
6\. Effective spoken/written English communication skills.
7\. Experience in developing programs in a broad array of disciplines.  
**Work Schedule**
**Full/Part Time** Full Time
**Telework Eligible?** Yes
**Essential Personnel?** No
Posting Detail Information
**Job Posted Date**
**Closing Date**
**Open Until Filled**
**For Best Consideration** 02/20/2026
**Special Instructions to Applicants**
All applications and required documents must be submitted online. Mail, e\-mail, or fax submissions will not be accepted. Cover letters may be addressed to the Search Committee and should briefly address your qualifications as related to the requirements of this position.  
For best consideration, applications should be received by February 20, 2026\. Review of applications after this date is not guaranteed.  
A full list of FCC benefits can be found here: **https://benefitguides.psafinancial.com/view/563817862/**  
FCC offers a generous benefits package which includes medical insurance, dental and vision plans, waiver of FCC tuition for employee and eligible dependents, tuition reimbursement, generous leave benefits, retirement plans, and more!  
Frederick Community College prohibits discrimination against any person on the basis of age, ancestry, citizenship status, color, creed, ethnicity, gender identity and expression, genetic information, marital status, mental or physical disability, national origin, race, religious affiliation, sex, sexual orientation, or veteran status in its activities, admissions, educational programs, and employment. Frederick Community College, an equal opportunity employer, values engagement and belonging for students and staff and encourages members from historically under\-represented groups to apply.
**Non\-Discrimination Statement**
Frederick Community College is committed to the principles of equal opportunity and strictly prohibits discrimination against any person on the basis of age, ancestry, citizenship status, color, creed, ethnicity, gender identity and expression, genetic information, marital status, mental or physical disability, national origin, race, religious affiliation, sex, sexual orientation, or veteran status in its activities, admissions, educational programs, and employment.
**Supplemental Questions**
--------------------------
Required fields are indicated with an asterisk (\*).
* In order to be considered for this position, you must possess a bachelor’s degree and five (5\) years of experience developing and managing instructional programming. Please indicate whether you meet these minimum qualifications.
	+ Yes, I meet the minimum qualifications.
	+ No, I do not meet the minimum qualification.
**Documents Needed To Apply**
-----------------------------
**Required Documents**
* Resume/CV
* Cover Letter
**Optional Documents**
* Transcripts
* Letter of Recommendation
* Other Relevant Document</t>
        </is>
      </c>
    </row>
    <row r="17">
      <c r="A17" t="inlineStr">
        <is>
          <t>in-9b5e4739d6d74617</t>
        </is>
      </c>
      <c r="B17" t="inlineStr">
        <is>
          <t>IT Senior Product Manager - API Office</t>
        </is>
      </c>
      <c r="C17" t="inlineStr">
        <is>
          <t>Enterprise Mobility</t>
        </is>
      </c>
      <c r="D17" t="inlineStr">
        <is>
          <t>indeed</t>
        </is>
      </c>
      <c r="E17" t="inlineStr"/>
      <c r="F17" t="inlineStr"/>
      <c r="G17" t="inlineStr">
        <is>
          <t>St. Louis, MO, US</t>
        </is>
      </c>
      <c r="H17" s="2" t="n">
        <v>46051</v>
      </c>
      <c r="I17" t="inlineStr">
        <is>
          <t>### **Overview**
Enterprise Mobility is a leading provider of mobility solutions, owning and operating the Enterprise Rent\-A\-Car, National Car Rental and Alamo Rent A Car brands through its integrated global network of independent regional subsidiaries. Enterprise Mobility and its affiliates offer extensive car rental, carsharing, truck rental, fleet management, retail car sales, as well as travel management and other transportation services, to make travel easier and more convenient for customers.  
Privately held by the Taylor family of St. Louis, Enterprise Mobility together with its affiliate Enterprise Fleet Management manages a diverse fleet of 2\.4 million vehicles and accounted for nearly $39 billion in revenue through a network of more than 9,500 fully\-staffed neighborhood and airport rental locations in more than 90 countries and territories.  
At the center of it all, our dedicated IT teams innovate, design and develop the technology that is redefining how customers rent, buy and share vehicles from our family of brands. Here, you will be part of a diverse and talented team that creates and delivers powerful technology solutions for our customers and employees across the world with the resources and support to develop in a variety of career paths.  
As an Enterprise Mobility team member, we offer an excellent package with market\-competitive pay, comprehensive healthcare packages, 401k matching \&amp; profit sharing, schedule flexibility, work from home opportunities, paid time off, and organizational growth potential.  
This position offers the opportunity to work fully remote within the United States (except for Alaska and/or Hawaii). Team members who choose virtual / remote work should have an adequate space to serve as their home office, and must be able to work a schedule within **U.S.** **Central Standard Time core business hours****.** This position will require employees to come on site to one of our St. Louis campus locations a few times per year for meetings/events or as needed. \#LI\-REMOTE### **Responsibilities**
The API Office within Developer Services is the consumer store front to IT teams looking to develop, publish, and consume APIs. API Office responsibilities include facilitating the API Governance process, stewarding the API Strategy, and setting standards and best practices for how teams should operate in the Enterprise Mobility API ecosystem. The API Office also engages with solution teams to provide consultation and guidance. This includes proactive engagement with application development teams, road mapping, reporting, and product management for new capabilities to the API gateway and event driven architecture platforms.  
The API Office team is excited to announce an opening for a **Senior IT Product Manager**! We are looking for an experienced Product Manager who is passionate about building products for technical customers. In this role, you will collaborate with API development teams to understand their needs related to our API platforms, standards, and processes. You will translate their needs into requirements and will collaborate with teams that will design, build and roll out new capabilities. Our API Practice is currently centered around synchronous APIs but also growing to include asynchronous, event\-driven APIs via a new event driven architecture platform. The practice ensures APIs produced deliver value and reusability to the business. Here, you will partner with solution teams to ensure the APIs are well documented in our API Marketplace. You will also be responsible for maturing our practices related to product management.  
To succeed, you will need strong communication and interpersonal skills. You will need to work well with both technical resources and senior leaders. Good technical aptitude and a general understanding of APIs and software development concepts will also be key to your success.  
This is an exciting opportunity for someone who is looking to make an impact across multiple solution areas and to grow their visibility to multiple parts of the IT organization! **Skills and Abilities:*** Excellent communication skills with the ability to communicate across various levels of the organization, including senior leadership
* Strong collaborative skills in a diverse organization
* Proven ability to influence cross\-functional teams without formal authority
* Strong organizational, planning, and documentation skills
 *Equal Opportunity Employer/Disability/Veterans*### **Qualifications**
**Required**:* Must be presently authorized to work in the U.S. without a requirement for work authorization sponsorship by our company for this position now or in the future
* Must reside in the United States (does not include Alaska or Hawaii)
* Must be able to work a schedule within U.S. Central Standard Time core business hours.
* 8 years of related experience in the field of information technology, preferably supporting a large organization
* 3\+ years of experience as a Product Manager or similar role
* Experience managing an API Marketplace, including administration and enhancements
* Experience organizing and leading governance efforts/meetings
* Proven track record of managing all aspects of a successful product throughout its lifecycle
* Working knowledge of REST and event/EDA API concepts and platforms
* Proven experience developing product strategies and effectively communicating recommendations to executive leadership
* Experience using Agile/Scrum methodology and workflow management tools
* Must be committed to incorporating security into all decisions and daily job responsibilities
**Preferred**:* Bachelor's degree in Computer Science, Computer Information Systems, Management Information Systems, or related field preferred
* Technical background with experience in API development and software development practices
* Certified Agile or Scrum Product Owner
* Experience managing JIRA based Agile teams and SharePoint customer knowledgebase sites
* Experience with the Kong API gateway product
* Experience with Solace Event Driven Architecture product
* Experience in leadership and team management</t>
        </is>
      </c>
    </row>
    <row r="18">
      <c r="A18" t="inlineStr">
        <is>
          <t>in-c023f27168355c9f</t>
        </is>
      </c>
      <c r="B18" t="inlineStr">
        <is>
          <t>senior digital product manager, Coffeehouse Decision Support</t>
        </is>
      </c>
      <c r="C18" t="inlineStr">
        <is>
          <t>Starbucks</t>
        </is>
      </c>
      <c r="D18" t="inlineStr">
        <is>
          <t>indeed</t>
        </is>
      </c>
      <c r="E18" t="inlineStr"/>
      <c r="F18" t="inlineStr"/>
      <c r="G18" t="inlineStr">
        <is>
          <t>Seattle, WA, US</t>
        </is>
      </c>
      <c r="H18" s="2" t="n">
        <v>46051</v>
      </c>
      <c r="I18" t="inlineStr">
        <is>
          <t>**Now Brewing** **– senior digital product manager, Coffeehouse Decision Support! \#tobeapartner**
From the beginning, Starbucks set out to be a different kind of company. One that not only celebrated coffee and the rich tradition, but that also brought a feeling of connection. We are known for developing extraordinary leaders who share this passion and are guided by their service to others.
In service of this mission, Coffeehouse Decision Support powers the digital platforms that equip Coffeehouse Leaders with the insights they need to understand performance and take action that elevates every customer experience. The Senior Digital Product Manager plays a pivotal role and owns the end‑to‑end strategic vision, usability, and performance of one or more of these high‑impact platforms.
Success in this role requires a leader who thrives in complexity and ambiguity. The Senior Digital Product Manager navigates cross‑functional expectations with confidence, prioritizing features, identifying opportunities, aligning timelines, and managing change with clarity and purpose. They bring a builder’s mindset and a bold passion for delivering the capabilities our business and customers truly need. Paired with strong analytical rigor, they continuously test, measure, and iterate to deliver best‑in‑class experiences that drive meaningful business results.
***As*** ***a Digital Product Manager Sr., you will…***
* Create strategy to deliver key user \&amp; business outcomes under guidance of Group Manager, Digital Product
* Lead product discovery process including ideation, opportunity assessment \&amp; business casing
* Demonstrate the ability to quickly analyze and synthesize different datasets to a clear narrative
* Oversee development \&amp; execution of product roadmap while managing trade offs
* Work with cross\-functional partners such as engineering, product, and UX to ensure successful development \&amp; product launch
* Monitor post launch performance \&amp; adjust as needed
* Peer mentor for junior talent
***We’d******love******to hear from people with:***
Basic Qualifications:
* Minimum 5\+ years progressive responsibility in Digital Product Management
* Strong communication skills, both written and verbal
* Proficient with the application of quantitative and qualitative data analysis
* Curious, highly motivated self\-starter
* Experience with customer research design and experiment design and A/B testing
Preferred Qualifications
* Bachelors degree in business, marketing, computer science, or engineering
* Advanced degree
* Existing knowledge of product domain, users or market
As a Starbucks partner, you (and your family) will have access to medical, dental, vision, basic and supplemental life insurance, and other voluntary insurance benefits. Partners have access to short\-term and long\-term disability, paid parental leave, family expansion reimbursement, paid vacation from date of hire\*, sick time (accrued at 1 hour for every 25 hours worked), eight paid holidays, and two personal days per year. Starbucks also offers eligible partners participation in a 401(k) retirement plan with employer match, a discounted company stock program (S.I.P.), Starbucks equity program (Bean Stock), incentivized emergency savings, and financial well\-being tools. Additionally, Starbucks offers 100% upfront tuition coverage for a first\-time bachelor’s degree through Arizona State University’s online program via the Starbucks College Achievement Plan, student loan management resources, and access to other educational opportunities. You will also have access to backup care and DACA reimbursement. Starbucks will comply with any applicable state and local laws regarding employee leave benefits, including, but not limited to providing time off pursuant to the Colorado Healthy Families and Workplaces Act, and in accordance with its plans and policies. This list is subject to change depending on collective bargaining in locations where partners have a certified bargaining representative. For additional information regarding partner perks and more detailed information about benefits, go to starbucksbenefits.com.
* If you are working in CA, CO, IL, LA, ME, MA, NE, ND or RI, you will accrue vacation up to a maximum of 120 hours (190 in CA) for roles below director and 200 hours (316 in CA) for roles at director or above. For roles in other states, you will be granted vacation time starting at 120 hours annually for roles below director and 200 hours annually for roles director and above.
The actual base pay offered to the successful candidate will be based on multiple factors, including but not limited to job\-related knowledge/skills, experience, geographical location, and internal equity. At Starbucks, it is not typical for an individual to be hired at the high end of the range for their role, and compensation decisions are dependent upon the facts and circumstances of each position and candidate.
We believe we do our best work when we're together, which is why we're onsite four days a week.
**Join us and** **inspire with****every** **cup. Apply today!**
*Starbucks Coffee Company is an equal opportunity employer. All qualified applicants**will receive consideration**for employment without regard to race, color, religion, sex, sexual orientation, gender identity, age, national origin, disability, or**protected**veteran status,**or any other characteristic protected by law.*
*Qualified applicants with criminal histories will be considered for employment in a manner consistent with all federal,* *state and local ordinances.*  
*Starbucks Coffee Company is committed to offering reasonable**accommodations to job applicants with disabilities. If you need assistance or an accommodation due to a disability, please contact us at**applicantaccommodation@starbucks.com* *or 1(888\) 611\-2258\.*</t>
        </is>
      </c>
    </row>
    <row r="19">
      <c r="A19" t="inlineStr">
        <is>
          <t>in-673919606341c774</t>
        </is>
      </c>
      <c r="B19" t="inlineStr">
        <is>
          <t>PLANNING PROGRAM MANAGER 2</t>
        </is>
      </c>
      <c r="C19" t="inlineStr">
        <is>
          <t>State of Arizona</t>
        </is>
      </c>
      <c r="D19" t="inlineStr">
        <is>
          <t>indeed</t>
        </is>
      </c>
      <c r="E19" t="inlineStr"/>
      <c r="F19" t="inlineStr"/>
      <c r="G19" t="inlineStr">
        <is>
          <t>Phoenix, AZ, US</t>
        </is>
      </c>
      <c r="H19" s="2" t="n">
        <v>46051</v>
      </c>
      <c r="I19" t="inlineStr">
        <is>
          <t>DEPT OF TRANSPORTATION
*Be a part of an innovative and collaborative team driving a safer transportation system for Arizona.*  
**PLANNING PROGRAM MANAGER 2**
Job Location:
MPD PLANNING TEAM  
1611 W. Jackson Street  
Phoenix AZ 85007
Posting Details:
Salary: $100,930\.03 \- $110,930\.03  
Anticipated Salary: $105,930\.03
Grade: 25  
Closing Date: February 9th, 2026
Job Summary:
Responsible for managing and ensuring the success of the Department's Planning to Programming (P2P) process and development cycle. Ensure that ADOT fulfills federal (23 CFR 420, 23 CFR 450\) and state (A.R.S. Title 28\) requirements for statewide transportation planning that integrates all jurisdictions and modes of travel to support the development of a holistic statewide transportation program.  
Serve as a liaison with Metropolitan and rural planning organizations as assigned. Supervise the tribal planners. Prepare planning studies and other planning documents as assigned.
Coordinate and communicate with internal and external stakeholders, partners and customers.
*This position may offer the ability to work remotely, within Arizona, based upon the department's business needs and continual meeting of expected performance measures.*
*The State of Arizona strives for a work culture that affords employees flexibility, autonomy, and trust. Across our many agencies, boards, and commissions, many State employees participate in the State’s Remote Work Program and are able to work remotely in their homes, in offices, and in hoteling spaces. All work, including remote work, should be performed within Arizona unless an exception is properly authorized in advance.*
Job Duties:
Provides important technical, program and project management expertise, manage and direct work of staff to develop the P2P process and annual P2P program cycle (P2P). Provides important technical, program and project management expertise, manage and direct work of staff to facilitate. Metropolitan Planning Organization (MPO) and Council of Government (COG) planning, guidance and oversight.  
Provides important technical program and project management expertise, manage and direct work of staff to provide planning\-related performance, manage planning studies to support planning, programming, and the linkage of planning to programming.  
Provides important technical, program and project management expertise, manage and direct work of staff to conduct and manage, planning studies to support planning, programming. and the linkage of planning to programming. Serve as a vital resource for the Multimodal Planning Division to ensure appropriate, cooperation, coordination, and communication between internal and external transportation partners, and stakeholders.
Knowledge, Skills \&amp; Abilities (KSAs):
**Knowledge of:**  
* Program Management.
* Development of major, statewide transportation improvement programs.
* Federal and state laws and regulations governing transportation planning and Programming.
* Standard industry practices and processes in transportation planning and programming at the federal, state, Metropolitan Planning Organization (MPO) and local levels, including federal aid, highway financing and fiscal constraint principles.
* Principles, methods and tools to conduct studies, research, analysis and report preparation.
**Skill in:**  
* Applying the principles of leadership.
* Verbal and written communication abilities to effectively communicate with ADOT personnel, stakeholders, consultants, and public.
* Management/leadership techniques.
* Project management.
* Listening, problem solving, and decision making.
* Implementing, supporting, and promoting ADOT procedures and policies.
* Microsoft Office Suite and Google Workspace.
**Ability to:**  
* Grasp complex concepts.
* Successfully prepare and deliver technical written, oral, and electronic presentations to a variety of groups.
* Manage time effectively.
* Prepare reports as needed.
* Successfully interact with subordinates, superiors, officials and the public.
* Successfully lead and manage a transportation program.
* Successfully lead, manage/coach individuals and teams.
* Develop and oversee the development of studies, technical reports, memorandums.
Selective Preference(s):
Master's Degree in Planning, Geography, Business, or other related / relevant field.  
Experience in development of transportation improvement programs in state, metropolitan and.or local government is highly desirable.  
Prefer minimum of five (5\) years experience in transportation programming and/or transportation related field.  
Experience that meets or exceeds the knowledge, skills, and abilities (KSAs) may be substituted.
Pre\-Employment Requirements:
This position requires driving or the use of a vehicle as an essential function of the job and the following requirements apply. Any employee operating a motor vehicle on State business must possess and retain a current, valid class\-appropriate driver’s license, complete all required training, and successfully pass all necessary driver’s license record checks. The license must be current, unexpired, and neither revoked nor suspended. Employees who drive on state business are subject to driver’s license record checks, must maintain acceptable driving records, and must complete all required driver training. An employee who operates a personally owned vehicle on state business shall maintain the statutorily required liability insurance (see Arizona Administrative Code (A.A.C.) R2\-10\-207\.11\).
Bachelor's Degree in Planning, Geography, Business, or other related / relevant field.  
Five (5\) years experience in transportation planning and/or transportation programming.  
Valid Arizona Driver's License with valid 39 month MVR.
*All newly hired State employees are subject to and must successfully complete the Electronic Employment Eligibility Verification Program (E\-Verify).*
Benefits:
The Arizona Department of Administration offers a comprehensive benefits package to include:
* Sick leave
* Vacation with 10 paid holidays per year
* Paid Parental Leave\-Up to 12 weeks per year paid leave for newborn or newly\-placed foster/adopted child (pilot program).
* Health and dental insurance
* Retirement plan
* Life insurance and long\-term disability insurance
* Optional employee benefits include short\-term disability insurance, deferred compensation plans, and supplemental life insurance
 *By providing the option of a full\-time or part\-time remote work schedule, employees enjoy improved work/life balance, report higher job satisfaction, and are more productive. Remote work is a management option and not an employee entitlement or right. An agency may terminate a remote work agreement at its discretion.*
Retirement:
Mandatory participation in the Arizona Retirement System (ASRS) is required.
Contact Us:
For questions about this career opportunity, please contact ADOT Human Resources Recruitment via email at srecruitment@azdot.gov or phone call at (602\) 712\-8188 option 2\.
The State of Arizona is an Equal Opportunity/Reasonable Accommodation Employer. Persons with a disability may request a reasonable accommodation such as a sign language interpreter or an alternative format by calling (602\) 712\-8188 option 3\. Requests should be made as early as possible to allow sufficient time to arrange the accommodation. ADOT is an Equal Employment Opportunity Employer.</t>
        </is>
      </c>
    </row>
    <row r="20">
      <c r="A20" t="inlineStr">
        <is>
          <t>in-8a87c94128ac9fad</t>
        </is>
      </c>
      <c r="B20" t="inlineStr">
        <is>
          <t>Technical Training Program Manager</t>
        </is>
      </c>
      <c r="C20" t="inlineStr">
        <is>
          <t>Toyota Material Handling</t>
        </is>
      </c>
      <c r="D20" t="inlineStr">
        <is>
          <t>indeed</t>
        </is>
      </c>
      <c r="E20" t="inlineStr"/>
      <c r="F20" t="inlineStr"/>
      <c r="G20" t="inlineStr">
        <is>
          <t>Greene, NY, US</t>
        </is>
      </c>
      <c r="H20" s="2" t="n">
        <v>46051</v>
      </c>
      <c r="I20" t="inlineStr">
        <is>
          <t>Join our Team as a **Technical Training Program Manager** !  
**The Role:**
The trainer is responsible for facilitating training for Toyota Material Handling of North America (Raymond Corporation) dealers utilizing a variety of delivery modes. You will be responsible to identify training and development needs within our dealer network and execute on initiatives to meet those needs; enhancing performance, moral, and corporate loyalty throughout the organization while reflecting Toyota Material Handling of North America core values.  
**What You’ll Be Doing:**
* Lead and facilitate collaboration with trainers, stakeholders, and subject matter experts to assess technician training needs and develop effective, scalable learning strategies.
* Guide the design and development of technician\-focused learning programs, ensuring content equips trainers to deliver consistent, high\-quality instruction aligned with business and safety requirements.
* Plan, coordinate, and support the delivery of training programs across multiple modalities—including classroom, virtual, eLearning, multimedia, simulations, conferences, and workshops—primarily through trainer enablement.
* Evaluate training effectiveness at both the trainer and technician level, using feedback and performance data to identify gaps and implement targeted improvements.
* Maintain functional and technical proficiency within assigned programs to ensure training content remains current, relevant, and aligned with evolving products, technologies, and field needs.
* Partner closely with trainers to foster a strong learning environment, supporting instructional excellence and enhancing the technician learning experience across the enterprise.
* Drive the strategic evolution of learning and development initiatives by leveraging research, data, and industry trends to strengthen technician capability and readiness.
* Mentor, coach, and support trainers, reinforcing best practices in instructional delivery, consistency of standards, and professional growth.
**What We’re Looking For:**
* Bachelor's degree in Education, Training or related field preferred
* Minimum of 5 years of related experience required
* Demonstrated Proficiency with Microsoft Office Suite (Word, Excel, PowerPoint, Outlook)
* Experience with technologies and best practices for instructional documents and teaching platforms utilizing a variety of learning and development concepts, practices, and procedures
* Proficient in effective verbal and written communication, adept at delivering engaging presentations, and skilled in public speaking
* Proficiency working within learning management systems to schedule training sessions, track attendance and interact with learners
* Ability to complete full data analysis for responsible area and implement solutions for continuous improvement
* Demonstrated project management skills to achieve target timelines and ensure quality outcomes with minimal supervision or guidance
**Where and When You’ll Work:**
* Enjoy the best of both worlds with a hybrid schedule—collaborate in person at our Greene, New York office and work remotely three days per week.
* Up to 25% travel may be required.
**What Your Total Compensation \&amp; Benefits Package will look like:**
**Salary** \- $83,340 \- $118,598 per year. Compensation depends on the selected candidate’s education and experience.
**Relocation:** This role may be eligible for relocation assistance.  
**World Class Benefits:**
* Competitive Salary
* Performance Bonus
* Generous Paid Time Off and 13 Paid Holidays
* Affordable Medical plans and no\-cost Dental \&amp; Vision options
* 100% 401(k) match up to 6%
* Company\-Paid Life Insurance, Short\-Term Disability, and Long\-Term Disability
* Tuition Assistance Program
* Employee Assistance Program (EAP) with access to mental health care, legal support, and financial guidance
* Recognition and Kaizen (continuous improvement) Reward Programs
* Meaningful opportunities for personal and professional development
* Onsite Fitness Center \&amp; Occupational Health Clinic
* Best in class work culture!
**Big Name \| Big Opportunities \| Life is Better at Toyota**
Toyota Material Handling North America (TMHNA), the industry leader in forklift sales, comprises two main brands: Toyota Material Handling and The Raymond Corporation. We believe investing in the best people, products, and processes will fuel our future success, and we will always be driven by our foundational principles of “respect for people” and “continuous improvement”. With opportunities across North America, we are confident you will find the right position within TMHNA that can help you build a long, fulfilling career.
**Learn more here:** https://www.toyotaforklift.com/careers
**Follow us on Social Media:** Working at Toyota Material Handling \| Glassdoor</t>
        </is>
      </c>
    </row>
    <row r="21">
      <c r="A21" t="inlineStr">
        <is>
          <t>in-679505b471a4938f</t>
        </is>
      </c>
      <c r="B21" t="inlineStr">
        <is>
          <t>Staff Product Manager - Trust Accounting - 100% Remote - EMEA OR NAM</t>
        </is>
      </c>
      <c r="C21" t="inlineStr">
        <is>
          <t>Hostaway</t>
        </is>
      </c>
      <c r="D21" t="inlineStr">
        <is>
          <t>indeed</t>
        </is>
      </c>
      <c r="E21" t="inlineStr"/>
      <c r="F21" t="inlineStr"/>
      <c r="G21" t="inlineStr">
        <is>
          <t>Austin, TX, US</t>
        </is>
      </c>
      <c r="H21" s="2" t="n">
        <v>46051</v>
      </c>
      <c r="I21" t="inlineStr">
        <is>
          <t>**NOTE: This is a FULLY remote role, but the candidate must be within NAM OR EMEA to collaborate with their team, peers, and internal customers. You do not have to be in the specific country or city shown in this listing, but** **please only apply if you are physically based within NAM OR EMEA.**
If you’re based in NAM you’ll need to be in EST timezone to work as close as possible to the team.
Hostaway is a SaaS scale\-up that is transforming the vacation rental industry. With innovative solutions and partnerships with giants like Airbnb, VRBO, and Booking, we're taking on the competition and winning. Leveraging our customer\-centric core values, we consistently deliver results that encourage growth, learning, and innovation for our team, our customers, and the industry.
Profitable, high\-growth, and the first short\-term rental PMS unicorn . Join us at our most exciting stage yet! Learn more about our recent valuation and story here.
### **About the role**
Hostaway powers the future of short\-term rental property management. Our platform helps property managers scale their operations, delight guests, and grow revenue with innovative technology tailored to the vacation rental industry
As a Staff Product Manager for Trust Accounting, you'll play a key role in shaping the future of how property managers handle financial compliance and accounting workflows. You will be responsible for defining and executing the product strategy for our embedded trust accounting solution, ensuring it meets the stringent regulatory requirements while delivering an exceptional user experience.
You'll work closely with a cross\-functional team of engineers, designers, legal experts, and accounting professionals to deliver a seamless and compliant trust accounting system that helps our users manage their financial operations with confidence. To be successful in this role you will have to put yourself in the shoes of both property managers and accountants, being directly involved in the user research.
To be successful in this role you will have to put yourself in the shoes of both property managers and accountants, being directly involved in the user research.
### **Your mission:**
* Develop and champion a product vision and roadmap for our Trust Accounting solution that aligns with the overall company strategy and regulatory compliance requirements.
* Plan and execute thorough customer research and analysis to deeply understand the needs and pain of property managers and accountants, translating those insights along with legal requirements into product specifications and user stories.
* Collaborate closely with UX/UI designers to create intuitive and user\-friendly experiences that simplify complex accounting workflows.
* Partner with legal and accounting subject matter experts to ensure all regulatory requirements are properly addressed while maintaining excellent user experience.
* Prioritize and manage the product backlog, ensuring alignment with business objectives, compliance needs, and user requirements.
* Oversee the entire product development lifecycle, from ideation and design to development, testing, and launch of trust accounting features.
* Define and analyze the metrics that determine success, ensuring the product not only meets compliance standards but also demonstrably simplifies the financial operations of the Property Managers we serve.
* Spearhead the discovery of our reporting and insights layer. You'll identify the essential compliance reports, operational dashboards, and financial statements that provide clarity, ensure audit\-readiness, and deliver indispensable value to our users.
* Significant experience in product management (typically 6\+ years), with a specific focus on accounting software systems.
* Proven leadership in managing complex, cross\-domain products from ideation to launch, working closely with engineering teams to make ideas turn into real solutions.
* Deep understanding of financial operations, compliance and accounting systems, ideally in the US landscape.
* Strong customer empathy and experience translating insights into impactful product decisions.
* Proven ability to own complex product strategies and deliver industry\-leading solutions
* Excellent analytical and problem\-solving skills with the ability to interpret data and translate it into actionable insights.
* A strong ability to work with subject matter experts to detect and extract pain points into tangible, user\-centric but compliant product solutions.
### **What we offer**
* **Competitive Compensation:** We offer competitive pay based on market rates in the country of the applicant.
* **100% Remote:** Enjoy the freedom to work from anywhere within your country of residence—be it a co\-working space, your home office, or even your dining room table. The choice is yours. Just don’t ask to work in our office (we don’t have one).
* **Equity:** Every role in our company comes with valuable stock options in a fast\-growing and profitable company. This ensures we all share in the company’s success.
* **Values\-Driven Leadership:** Our Core Values are not just words we’ve written to make us feel good. We leverage them daily when making strategic and tactical decisions.
* **Professional Growth:** Our rapid growth offers unparalleled learning and development opportunities, along with a multitude of career advancement opportunities.
* **Annual Paid Leave:** The specific amounts vary by country and are aligned with country and/or contract\-specific norms.
* **Geographic Specific Benefits:** As an international employer, we offer different country\-specific benefits such as Health Insurance and Pensions in countries where these perks are customary. The specifics depend on the country of the applicant.
* **Dynamic Team Culture:** As a global company with team members in over 40 countries, our diverse and international culture fuels our innovation and creativity, providing a key pillar to our success (and making it a lot of fun to work here).
Thank you for your interest. If you apply for this role, you will receive an email from our Talent Acquisition team after your application has been reviewed alongside the qualifications for this role and the qualifications of others who have applied.</t>
        </is>
      </c>
    </row>
    <row r="22">
      <c r="A22" t="inlineStr">
        <is>
          <t>in-223b3f9c794e2fe4</t>
        </is>
      </c>
      <c r="B22" t="inlineStr">
        <is>
          <t>Staff Product Manager - Trust Accounting - 100% Remote - EMEA OR NAM</t>
        </is>
      </c>
      <c r="C22" t="inlineStr">
        <is>
          <t>Hostaway</t>
        </is>
      </c>
      <c r="D22" t="inlineStr">
        <is>
          <t>indeed</t>
        </is>
      </c>
      <c r="E22" t="inlineStr"/>
      <c r="F22" t="inlineStr"/>
      <c r="G22" t="inlineStr">
        <is>
          <t>Kansas City, MO, US</t>
        </is>
      </c>
      <c r="H22" s="2" t="n">
        <v>46051</v>
      </c>
      <c r="I22" t="inlineStr">
        <is>
          <t>**NOTE: This is a FULLY remote role, but the candidate must be within NAM OR EMEA to collaborate with their team, peers, and internal customers. You do not have to be in the specific country or city shown in this listing, but** **please only apply if you are physically based within NAM OR EMEA.**
If you’re based in NAM you’ll need to be in EST timezone to work as close as possible to the team.
Hostaway is a SaaS scale\-up that is transforming the vacation rental industry. With innovative solutions and partnerships with giants like Airbnb, VRBO, and Booking, we're taking on the competition and winning. Leveraging our customer\-centric core values, we consistently deliver results that encourage growth, learning, and innovation for our team, our customers, and the industry.
Profitable, high\-growth, and the first short\-term rental PMS unicorn . Join us at our most exciting stage yet! Learn more about our recent valuation and story here.
### **About the role**
Hostaway powers the future of short\-term rental property management. Our platform helps property managers scale their operations, delight guests, and grow revenue with innovative technology tailored to the vacation rental industry
As a Staff Product Manager for Trust Accounting, you'll play a key role in shaping the future of how property managers handle financial compliance and accounting workflows. You will be responsible for defining and executing the product strategy for our embedded trust accounting solution, ensuring it meets the stringent regulatory requirements while delivering an exceptional user experience.
You'll work closely with a cross\-functional team of engineers, designers, legal experts, and accounting professionals to deliver a seamless and compliant trust accounting system that helps our users manage their financial operations with confidence. To be successful in this role you will have to put yourself in the shoes of both property managers and accountants, being directly involved in the user research.
To be successful in this role you will have to put yourself in the shoes of both property managers and accountants, being directly involved in the user research.
### **Your mission:**
* Develop and champion a product vision and roadmap for our Trust Accounting solution that aligns with the overall company strategy and regulatory compliance requirements.
* Plan and execute thorough customer research and analysis to deeply understand the needs and pain of property managers and accountants, translating those insights along with legal requirements into product specifications and user stories.
* Collaborate closely with UX/UI designers to create intuitive and user\-friendly experiences that simplify complex accounting workflows.
* Partner with legal and accounting subject matter experts to ensure all regulatory requirements are properly addressed while maintaining excellent user experience.
* Prioritize and manage the product backlog, ensuring alignment with business objectives, compliance needs, and user requirements.
* Oversee the entire product development lifecycle, from ideation and design to development, testing, and launch of trust accounting features.
* Define and analyze the metrics that determine success, ensuring the product not only meets compliance standards but also demonstrably simplifies the financial operations of the Property Managers we serve.
* Spearhead the discovery of our reporting and insights layer. You'll identify the essential compliance reports, operational dashboards, and financial statements that provide clarity, ensure audit\-readiness, and deliver indispensable value to our users.
* Significant experience in product management (typically 6\+ years), with a specific focus on accounting software systems.
* Proven leadership in managing complex, cross\-domain products from ideation to launch, working closely with engineering teams to make ideas turn into real solutions.
* Deep understanding of financial operations, compliance and accounting systems, ideally in the US landscape.
* Strong customer empathy and experience translating insights into impactful product decisions.
* Proven ability to own complex product strategies and deliver industry\-leading solutions
* Excellent analytical and problem\-solving skills with the ability to interpret data and translate it into actionable insights.
* A strong ability to work with subject matter experts to detect and extract pain points into tangible, user\-centric but compliant product solutions.
### **What we offer**
* **Competitive Compensation:** We offer competitive pay based on market rates in the country of the applicant.
* **100% Remote:** Enjoy the freedom to work from anywhere within your country of residence—be it a co\-working space, your home office, or even your dining room table. The choice is yours. Just don’t ask to work in our office (we don’t have one).
* **Equity:** Every role in our company comes with valuable stock options in a fast\-growing and profitable company. This ensures we all share in the company’s success.
* **Values\-Driven Leadership:** Our Core Values are not just words we’ve written to make us feel good. We leverage them daily when making strategic and tactical decisions.
* **Professional Growth:** Our rapid growth offers unparalleled learning and development opportunities, along with a multitude of career advancement opportunities.
* **Annual Paid Leave:** The specific amounts vary by country and are aligned with country and/or contract\-specific norms.
* **Geographic Specific Benefits:** As an international employer, we offer different country\-specific benefits such as Health Insurance and Pensions in countries where these perks are customary. The specifics depend on the country of the applicant.
* **Dynamic Team Culture:** As a global company with team members in over 40 countries, our diverse and international culture fuels our innovation and creativity, providing a key pillar to our success (and making it a lot of fun to work here).
Thank you for your interest. If you apply for this role, you will receive an email from our Talent Acquisition team after your application has been reviewed alongside the qualifications for this role and the qualifications of others who have applied.</t>
        </is>
      </c>
    </row>
    <row r="23">
      <c r="A23" t="inlineStr">
        <is>
          <t>in-a89d6380820f6eaa</t>
        </is>
      </c>
      <c r="B23" t="inlineStr">
        <is>
          <t>Staff Product Manager - Trust Accounting - 100% Remote - EMEA OR NAM</t>
        </is>
      </c>
      <c r="C23" t="inlineStr">
        <is>
          <t>Hostaway</t>
        </is>
      </c>
      <c r="D23" t="inlineStr">
        <is>
          <t>indeed</t>
        </is>
      </c>
      <c r="E23" t="inlineStr"/>
      <c r="F23" t="inlineStr"/>
      <c r="G23" t="inlineStr">
        <is>
          <t>Nashville, TN, US</t>
        </is>
      </c>
      <c r="H23" s="2" t="n">
        <v>46051</v>
      </c>
      <c r="I23" t="inlineStr">
        <is>
          <t>**NOTE: This is a FULLY remote role, but the candidate must be within NAM OR EMEA to collaborate with their team, peers, and internal customers. You do not have to be in the specific country or city shown in this listing, but** **please only apply if you are physically based within NAM OR EMEA.**
If you’re based in NAM you’ll need to be in EST timezone to work as close as possible to the team.
Hostaway is a SaaS scale\-up that is transforming the vacation rental industry. With innovative solutions and partnerships with giants like Airbnb, VRBO, and Booking, we're taking on the competition and winning. Leveraging our customer\-centric core values, we consistently deliver results that encourage growth, learning, and innovation for our team, our customers, and the industry.
Profitable, high\-growth, and the first short\-term rental PMS unicorn . Join us at our most exciting stage yet! Learn more about our recent valuation and story here.
### **About the role**
Hostaway powers the future of short\-term rental property management. Our platform helps property managers scale their operations, delight guests, and grow revenue with innovative technology tailored to the vacation rental industry
As a Staff Product Manager for Trust Accounting, you'll play a key role in shaping the future of how property managers handle financial compliance and accounting workflows. You will be responsible for defining and executing the product strategy for our embedded trust accounting solution, ensuring it meets the stringent regulatory requirements while delivering an exceptional user experience.
You'll work closely with a cross\-functional team of engineers, designers, legal experts, and accounting professionals to deliver a seamless and compliant trust accounting system that helps our users manage their financial operations with confidence. To be successful in this role you will have to put yourself in the shoes of both property managers and accountants, being directly involved in the user research.
To be successful in this role you will have to put yourself in the shoes of both property managers and accountants, being directly involved in the user research.
### **Your mission:**
* Develop and champion a product vision and roadmap for our Trust Accounting solution that aligns with the overall company strategy and regulatory compliance requirements.
* Plan and execute thorough customer research and analysis to deeply understand the needs and pain of property managers and accountants, translating those insights along with legal requirements into product specifications and user stories.
* Collaborate closely with UX/UI designers to create intuitive and user\-friendly experiences that simplify complex accounting workflows.
* Partner with legal and accounting subject matter experts to ensure all regulatory requirements are properly addressed while maintaining excellent user experience.
* Prioritize and manage the product backlog, ensuring alignment with business objectives, compliance needs, and user requirements.
* Oversee the entire product development lifecycle, from ideation and design to development, testing, and launch of trust accounting features.
* Define and analyze the metrics that determine success, ensuring the product not only meets compliance standards but also demonstrably simplifies the financial operations of the Property Managers we serve.
* Spearhead the discovery of our reporting and insights layer. You'll identify the essential compliance reports, operational dashboards, and financial statements that provide clarity, ensure audit\-readiness, and deliver indispensable value to our users.
* Significant experience in product management (typically 6\+ years), with a specific focus on accounting software systems.
* Proven leadership in managing complex, cross\-domain products from ideation to launch, working closely with engineering teams to make ideas turn into real solutions.
* Deep understanding of financial operations, compliance and accounting systems, ideally in the US landscape.
* Strong customer empathy and experience translating insights into impactful product decisions.
* Proven ability to own complex product strategies and deliver industry\-leading solutions
* Excellent analytical and problem\-solving skills with the ability to interpret data and translate it into actionable insights.
* A strong ability to work with subject matter experts to detect and extract pain points into tangible, user\-centric but compliant product solutions.
### **What we offer**
* **Competitive Compensation:** We offer competitive pay based on market rates in the country of the applicant.
* **100% Remote:** Enjoy the freedom to work from anywhere within your country of residence—be it a co\-working space, your home office, or even your dining room table. The choice is yours. Just don’t ask to work in our office (we don’t have one).
* **Equity:** Every role in our company comes with valuable stock options in a fast\-growing and profitable company. This ensures we all share in the company’s success.
* **Values\-Driven Leadership:** Our Core Values are not just words we’ve written to make us feel good. We leverage them daily when making strategic and tactical decisions.
* **Professional Growth:** Our rapid growth offers unparalleled learning and development opportunities, along with a multitude of career advancement opportunities.
* **Annual Paid Leave:** The specific amounts vary by country and are aligned with country and/or contract\-specific norms.
* **Geographic Specific Benefits:** As an international employer, we offer different country\-specific benefits such as Health Insurance and Pensions in countries where these perks are customary. The specifics depend on the country of the applicant.
* **Dynamic Team Culture:** As a global company with team members in over 40 countries, our diverse and international culture fuels our innovation and creativity, providing a key pillar to our success (and making it a lot of fun to work here).
Thank you for your interest. If you apply for this role, you will receive an email from our Talent Acquisition team after your application has been reviewed alongside the qualifications for this role and the qualifications of others who have applied.</t>
        </is>
      </c>
    </row>
    <row r="24">
      <c r="A24" t="inlineStr">
        <is>
          <t>in-20941480cf83c6fc</t>
        </is>
      </c>
      <c r="B24" t="inlineStr">
        <is>
          <t>Staff Product Manager - Trust Accounting - 100% Remote - EMEA OR NAM</t>
        </is>
      </c>
      <c r="C24" t="inlineStr">
        <is>
          <t>Hostaway</t>
        </is>
      </c>
      <c r="D24" t="inlineStr">
        <is>
          <t>indeed</t>
        </is>
      </c>
      <c r="E24" t="inlineStr"/>
      <c r="F24" t="inlineStr"/>
      <c r="G24" t="inlineStr">
        <is>
          <t>Charleston, SC, US</t>
        </is>
      </c>
      <c r="H24" s="2" t="n">
        <v>46051</v>
      </c>
      <c r="I24" t="inlineStr">
        <is>
          <t>**NOTE: This is a FULLY remote role, but the candidate must be within NAM OR EMEA to collaborate with their team, peers, and internal customers. You do not have to be in the specific country or city shown in this listing, but** **please only apply if you are physically based within NAM OR EMEA.**
If you’re based in NAM you’ll need to be in EST timezone to work as close as possible to the team.
Hostaway is a SaaS scale\-up that is transforming the vacation rental industry. With innovative solutions and partnerships with giants like Airbnb, VRBO, and Booking, we're taking on the competition and winning. Leveraging our customer\-centric core values, we consistently deliver results that encourage growth, learning, and innovation for our team, our customers, and the industry.
Profitable, high\-growth, and the first short\-term rental PMS unicorn . Join us at our most exciting stage yet! Learn more about our recent valuation and story here.
### **About the role**
Hostaway powers the future of short\-term rental property management. Our platform helps property managers scale their operations, delight guests, and grow revenue with innovative technology tailored to the vacation rental industry
As a Staff Product Manager for Trust Accounting, you'll play a key role in shaping the future of how property managers handle financial compliance and accounting workflows. You will be responsible for defining and executing the product strategy for our embedded trust accounting solution, ensuring it meets the stringent regulatory requirements while delivering an exceptional user experience.
You'll work closely with a cross\-functional team of engineers, designers, legal experts, and accounting professionals to deliver a seamless and compliant trust accounting system that helps our users manage their financial operations with confidence. To be successful in this role you will have to put yourself in the shoes of both property managers and accountants, being directly involved in the user research.
To be successful in this role you will have to put yourself in the shoes of both property managers and accountants, being directly involved in the user research.
### **Your mission:**
* Develop and champion a product vision and roadmap for our Trust Accounting solution that aligns with the overall company strategy and regulatory compliance requirements.
* Plan and execute thorough customer research and analysis to deeply understand the needs and pain of property managers and accountants, translating those insights along with legal requirements into product specifications and user stories.
* Collaborate closely with UX/UI designers to create intuitive and user\-friendly experiences that simplify complex accounting workflows.
* Partner with legal and accounting subject matter experts to ensure all regulatory requirements are properly addressed while maintaining excellent user experience.
* Prioritize and manage the product backlog, ensuring alignment with business objectives, compliance needs, and user requirements.
* Oversee the entire product development lifecycle, from ideation and design to development, testing, and launch of trust accounting features.
* Define and analyze the metrics that determine success, ensuring the product not only meets compliance standards but also demonstrably simplifies the financial operations of the Property Managers we serve.
* Spearhead the discovery of our reporting and insights layer. You'll identify the essential compliance reports, operational dashboards, and financial statements that provide clarity, ensure audit\-readiness, and deliver indispensable value to our users.
* Significant experience in product management (typically 6\+ years), with a specific focus on accounting software systems.
* Proven leadership in managing complex, cross\-domain products from ideation to launch, working closely with engineering teams to make ideas turn into real solutions.
* Deep understanding of financial operations, compliance and accounting systems, ideally in the US landscape.
* Strong customer empathy and experience translating insights into impactful product decisions.
* Proven ability to own complex product strategies and deliver industry\-leading solutions
* Excellent analytical and problem\-solving skills with the ability to interpret data and translate it into actionable insights.
* A strong ability to work with subject matter experts to detect and extract pain points into tangible, user\-centric but compliant product solutions.
### **What we offer**
* **Competitive Compensation:** We offer competitive pay based on market rates in the country of the applicant.
* **100% Remote:** Enjoy the freedom to work from anywhere within your country of residence—be it a co\-working space, your home office, or even your dining room table. The choice is yours. Just don’t ask to work in our office (we don’t have one).
* **Equity:** Every role in our company comes with valuable stock options in a fast\-growing and profitable company. This ensures we all share in the company’s success.
* **Values\-Driven Leadership:** Our Core Values are not just words we’ve written to make us feel good. We leverage them daily when making strategic and tactical decisions.
* **Professional Growth:** Our rapid growth offers unparalleled learning and development opportunities, along with a multitude of career advancement opportunities.
* **Annual Paid Leave:** The specific amounts vary by country and are aligned with country and/or contract\-specific norms.
* **Geographic Specific Benefits:** As an international employer, we offer different country\-specific benefits such as Health Insurance and Pensions in countries where these perks are customary. The specifics depend on the country of the applicant.
* **Dynamic Team Culture:** As a global company with team members in over 40 countries, our diverse and international culture fuels our innovation and creativity, providing a key pillar to our success (and making it a lot of fun to work here).
Thank you for your interest. If you apply for this role, you will receive an email from our Talent Acquisition team after your application has been reviewed alongside the qualifications for this role and the qualifications of others who have applied.</t>
        </is>
      </c>
    </row>
    <row r="25">
      <c r="A25" t="inlineStr">
        <is>
          <t>in-401897b7811a2a08</t>
        </is>
      </c>
      <c r="B25" t="inlineStr">
        <is>
          <t>Staff Product Manager - Trust Accounting - 100% Remote - EMEA OR NAM</t>
        </is>
      </c>
      <c r="C25" t="inlineStr">
        <is>
          <t>Hostaway</t>
        </is>
      </c>
      <c r="D25" t="inlineStr">
        <is>
          <t>indeed</t>
        </is>
      </c>
      <c r="E25" t="inlineStr"/>
      <c r="F25" t="inlineStr"/>
      <c r="G25" t="inlineStr">
        <is>
          <t>Houston, TX, US</t>
        </is>
      </c>
      <c r="H25" s="2" t="n">
        <v>46051</v>
      </c>
      <c r="I25" t="inlineStr">
        <is>
          <t>**NOTE: This is a FULLY remote role, but the candidate must be within NAM OR EMEA to collaborate with their team, peers, and internal customers. You do not have to be in the specific country or city shown in this listing, but** **please only apply if you are physically based within NAM OR EMEA.**
If you’re based in NAM you’ll need to be in EST timezone to work as close as possible to the team.
Hostaway is a SaaS scale\-up that is transforming the vacation rental industry. With innovative solutions and partnerships with giants like Airbnb, VRBO, and Booking, we're taking on the competition and winning. Leveraging our customer\-centric core values, we consistently deliver results that encourage growth, learning, and innovation for our team, our customers, and the industry.
Profitable, high\-growth, and the first short\-term rental PMS unicorn . Join us at our most exciting stage yet! Learn more about our recent valuation and story here.
### **About the role**
Hostaway powers the future of short\-term rental property management. Our platform helps property managers scale their operations, delight guests, and grow revenue with innovative technology tailored to the vacation rental industry
As a Staff Product Manager for Trust Accounting, you'll play a key role in shaping the future of how property managers handle financial compliance and accounting workflows. You will be responsible for defining and executing the product strategy for our embedded trust accounting solution, ensuring it meets the stringent regulatory requirements while delivering an exceptional user experience.
You'll work closely with a cross\-functional team of engineers, designers, legal experts, and accounting professionals to deliver a seamless and compliant trust accounting system that helps our users manage their financial operations with confidence. To be successful in this role you will have to put yourself in the shoes of both property managers and accountants, being directly involved in the user research.
To be successful in this role you will have to put yourself in the shoes of both property managers and accountants, being directly involved in the user research.
### **Your mission:**
* Develop and champion a product vision and roadmap for our Trust Accounting solution that aligns with the overall company strategy and regulatory compliance requirements.
* Plan and execute thorough customer research and analysis to deeply understand the needs and pain of property managers and accountants, translating those insights along with legal requirements into product specifications and user stories.
* Collaborate closely with UX/UI designers to create intuitive and user\-friendly experiences that simplify complex accounting workflows.
* Partner with legal and accounting subject matter experts to ensure all regulatory requirements are properly addressed while maintaining excellent user experience.
* Prioritize and manage the product backlog, ensuring alignment with business objectives, compliance needs, and user requirements.
* Oversee the entire product development lifecycle, from ideation and design to development, testing, and launch of trust accounting features.
* Define and analyze the metrics that determine success, ensuring the product not only meets compliance standards but also demonstrably simplifies the financial operations of the Property Managers we serve.
* Spearhead the discovery of our reporting and insights layer. You'll identify the essential compliance reports, operational dashboards, and financial statements that provide clarity, ensure audit\-readiness, and deliver indispensable value to our users.
* Significant experience in product management (typically 6\+ years), with a specific focus on accounting software systems.
* Proven leadership in managing complex, cross\-domain products from ideation to launch, working closely with engineering teams to make ideas turn into real solutions.
* Deep understanding of financial operations, compliance and accounting systems, ideally in the US landscape.
* Strong customer empathy and experience translating insights into impactful product decisions.
* Proven ability to own complex product strategies and deliver industry\-leading solutions
* Excellent analytical and problem\-solving skills with the ability to interpret data and translate it into actionable insights.
* A strong ability to work with subject matter experts to detect and extract pain points into tangible, user\-centric but compliant product solutions.
### **What we offer**
* **Competitive Compensation:** We offer competitive pay based on market rates in the country of the applicant.
* **100% Remote:** Enjoy the freedom to work from anywhere within your country of residence—be it a co\-working space, your home office, or even your dining room table. The choice is yours. Just don’t ask to work in our office (we don’t have one).
* **Equity:** Every role in our company comes with valuable stock options in a fast\-growing and profitable company. This ensures we all share in the company’s success.
* **Values\-Driven Leadership:** Our Core Values are not just words we’ve written to make us feel good. We leverage them daily when making strategic and tactical decisions.
* **Professional Growth:** Our rapid growth offers unparalleled learning and development opportunities, along with a multitude of career advancement opportunities.
* **Annual Paid Leave:** The specific amounts vary by country and are aligned with country and/or contract\-specific norms.
* **Geographic Specific Benefits:** As an international employer, we offer different country\-specific benefits such as Health Insurance and Pensions in countries where these perks are customary. The specifics depend on the country of the applicant.
* **Dynamic Team Culture:** As a global company with team members in over 40 countries, our diverse and international culture fuels our innovation and creativity, providing a key pillar to our success (and making it a lot of fun to work here).
Thank you for your interest. If you apply for this role, you will receive an email from our Talent Acquisition team after your application has been reviewed alongside the qualifications for this role and the qualifications of others who have applied.</t>
        </is>
      </c>
    </row>
    <row r="26">
      <c r="A26" t="inlineStr">
        <is>
          <t>in-94e668330b3f6b25</t>
        </is>
      </c>
      <c r="B26" t="inlineStr">
        <is>
          <t>Staff Product Manager - Trust Accounting - 100% Remote - EMEA OR NAM</t>
        </is>
      </c>
      <c r="C26" t="inlineStr">
        <is>
          <t>Hostaway</t>
        </is>
      </c>
      <c r="D26" t="inlineStr">
        <is>
          <t>indeed</t>
        </is>
      </c>
      <c r="E26" t="inlineStr"/>
      <c r="F26" t="inlineStr"/>
      <c r="G26" t="inlineStr">
        <is>
          <t>Chicago, IL, US</t>
        </is>
      </c>
      <c r="H26" s="2" t="n">
        <v>46051</v>
      </c>
      <c r="I26" t="inlineStr">
        <is>
          <t>**NOTE: This is a FULLY remote role, but the candidate must be within NAM OR EMEA to collaborate with their team, peers, and internal customers. You do not have to be in the specific country or city shown in this listing, but** **please only apply if you are physically based within NAM OR EMEA.**
If you’re based in NAM you’ll need to be in EST timezone to work as close as possible to the team.
Hostaway is a SaaS scale\-up that is transforming the vacation rental industry. With innovative solutions and partnerships with giants like Airbnb, VRBO, and Booking, we're taking on the competition and winning. Leveraging our customer\-centric core values, we consistently deliver results that encourage growth, learning, and innovation for our team, our customers, and the industry.
Profitable, high\-growth, and the first short\-term rental PMS unicorn . Join us at our most exciting stage yet! Learn more about our recent valuation and story here.
### **About the role**
Hostaway powers the future of short\-term rental property management. Our platform helps property managers scale their operations, delight guests, and grow revenue with innovative technology tailored to the vacation rental industry
As a Staff Product Manager for Trust Accounting, you'll play a key role in shaping the future of how property managers handle financial compliance and accounting workflows. You will be responsible for defining and executing the product strategy for our embedded trust accounting solution, ensuring it meets the stringent regulatory requirements while delivering an exceptional user experience.
You'll work closely with a cross\-functional team of engineers, designers, legal experts, and accounting professionals to deliver a seamless and compliant trust accounting system that helps our users manage their financial operations with confidence. To be successful in this role you will have to put yourself in the shoes of both property managers and accountants, being directly involved in the user research.
To be successful in this role you will have to put yourself in the shoes of both property managers and accountants, being directly involved in the user research.
### **Your mission:**
* Develop and champion a product vision and roadmap for our Trust Accounting solution that aligns with the overall company strategy and regulatory compliance requirements.
* Plan and execute thorough customer research and analysis to deeply understand the needs and pain of property managers and accountants, translating those insights along with legal requirements into product specifications and user stories.
* Collaborate closely with UX/UI designers to create intuitive and user\-friendly experiences that simplify complex accounting workflows.
* Partner with legal and accounting subject matter experts to ensure all regulatory requirements are properly addressed while maintaining excellent user experience.
* Prioritize and manage the product backlog, ensuring alignment with business objectives, compliance needs, and user requirements.
* Oversee the entire product development lifecycle, from ideation and design to development, testing, and launch of trust accounting features.
* Define and analyze the metrics that determine success, ensuring the product not only meets compliance standards but also demonstrably simplifies the financial operations of the Property Managers we serve.
* Spearhead the discovery of our reporting and insights layer. You'll identify the essential compliance reports, operational dashboards, and financial statements that provide clarity, ensure audit\-readiness, and deliver indispensable value to our users.
* Significant experience in product management (typically 6\+ years), with a specific focus on accounting software systems.
* Proven leadership in managing complex, cross\-domain products from ideation to launch, working closely with engineering teams to make ideas turn into real solutions.
* Deep understanding of financial operations, compliance and accounting systems, ideally in the US landscape.
* Strong customer empathy and experience translating insights into impactful product decisions.
* Proven ability to own complex product strategies and deliver industry\-leading solutions
* Excellent analytical and problem\-solving skills with the ability to interpret data and translate it into actionable insights.
* A strong ability to work with subject matter experts to detect and extract pain points into tangible, user\-centric but compliant product solutions.
### **What we offer**
* **Competitive Compensation:** We offer competitive pay based on market rates in the country of the applicant.
* **100% Remote:** Enjoy the freedom to work from anywhere within your country of residence—be it a co\-working space, your home office, or even your dining room table. The choice is yours. Just don’t ask to work in our office (we don’t have one).
* **Equity:** Every role in our company comes with valuable stock options in a fast\-growing and profitable company. This ensures we all share in the company’s success.
* **Values\-Driven Leadership:** Our Core Values are not just words we’ve written to make us feel good. We leverage them daily when making strategic and tactical decisions.
* **Professional Growth:** Our rapid growth offers unparalleled learning and development opportunities, along with a multitude of career advancement opportunities.
* **Annual Paid Leave:** The specific amounts vary by country and are aligned with country and/or contract\-specific norms.
* **Geographic Specific Benefits:** As an international employer, we offer different country\-specific benefits such as Health Insurance and Pensions in countries where these perks are customary. The specifics depend on the country of the applicant.
* **Dynamic Team Culture:** As a global company with team members in over 40 countries, our diverse and international culture fuels our innovation and creativity, providing a key pillar to our success (and making it a lot of fun to work here).
Thank you for your interest. If you apply for this role, you will receive an email from our Talent Acquisition team after your application has been reviewed alongside the qualifications for this role and the qualifications of others who have applied.</t>
        </is>
      </c>
    </row>
    <row r="27">
      <c r="A27" t="inlineStr">
        <is>
          <t>in-8a601bf288d86d20</t>
        </is>
      </c>
      <c r="B27" t="inlineStr">
        <is>
          <t>Staff Product Manager - Trust Accounting - 100% Remote - EMEA OR NAM</t>
        </is>
      </c>
      <c r="C27" t="inlineStr">
        <is>
          <t>Hostaway</t>
        </is>
      </c>
      <c r="D27" t="inlineStr">
        <is>
          <t>indeed</t>
        </is>
      </c>
      <c r="E27" t="inlineStr"/>
      <c r="F27" t="inlineStr"/>
      <c r="G27" t="inlineStr">
        <is>
          <t>Minneapolis, MN, US</t>
        </is>
      </c>
      <c r="H27" s="2" t="n">
        <v>46051</v>
      </c>
      <c r="I27" t="inlineStr">
        <is>
          <t>**NOTE: This is a FULLY remote role, but the candidate must be within NAM OR EMEA to collaborate with their team, peers, and internal customers. You do not have to be in the specific country or city shown in this listing, but** **please only apply if you are physically based within NAM OR EMEA.**
If you’re based in NAM you’ll need to be in EST timezone to work as close as possible to the team.
Hostaway is a SaaS scale\-up that is transforming the vacation rental industry. With innovative solutions and partnerships with giants like Airbnb, VRBO, and Booking, we're taking on the competition and winning. Leveraging our customer\-centric core values, we consistently deliver results that encourage growth, learning, and innovation for our team, our customers, and the industry.
Profitable, high\-growth, and the first short\-term rental PMS unicorn . Join us at our most exciting stage yet! Learn more about our recent valuation and story here.
### **About the role**
Hostaway powers the future of short\-term rental property management. Our platform helps property managers scale their operations, delight guests, and grow revenue with innovative technology tailored to the vacation rental industry
As a Staff Product Manager for Trust Accounting, you'll play a key role in shaping the future of how property managers handle financial compliance and accounting workflows. You will be responsible for defining and executing the product strategy for our embedded trust accounting solution, ensuring it meets the stringent regulatory requirements while delivering an exceptional user experience.
You'll work closely with a cross\-functional team of engineers, designers, legal experts, and accounting professionals to deliver a seamless and compliant trust accounting system that helps our users manage their financial operations with confidence. To be successful in this role you will have to put yourself in the shoes of both property managers and accountants, being directly involved in the user research.
To be successful in this role you will have to put yourself in the shoes of both property managers and accountants, being directly involved in the user research.
### **Your mission:**
* Develop and champion a product vision and roadmap for our Trust Accounting solution that aligns with the overall company strategy and regulatory compliance requirements.
* Plan and execute thorough customer research and analysis to deeply understand the needs and pain of property managers and accountants, translating those insights along with legal requirements into product specifications and user stories.
* Collaborate closely with UX/UI designers to create intuitive and user\-friendly experiences that simplify complex accounting workflows.
* Partner with legal and accounting subject matter experts to ensure all regulatory requirements are properly addressed while maintaining excellent user experience.
* Prioritize and manage the product backlog, ensuring alignment with business objectives, compliance needs, and user requirements.
* Oversee the entire product development lifecycle, from ideation and design to development, testing, and launch of trust accounting features.
* Define and analyze the metrics that determine success, ensuring the product not only meets compliance standards but also demonstrably simplifies the financial operations of the Property Managers we serve.
* Spearhead the discovery of our reporting and insights layer. You'll identify the essential compliance reports, operational dashboards, and financial statements that provide clarity, ensure audit\-readiness, and deliver indispensable value to our users.
* Significant experience in product management (typically 6\+ years), with a specific focus on accounting software systems.
* Proven leadership in managing complex, cross\-domain products from ideation to launch, working closely with engineering teams to make ideas turn into real solutions.
* Deep understanding of financial operations, compliance and accounting systems, ideally in the US landscape.
* Strong customer empathy and experience translating insights into impactful product decisions.
* Proven ability to own complex product strategies and deliver industry\-leading solutions
* Excellent analytical and problem\-solving skills with the ability to interpret data and translate it into actionable insights.
* A strong ability to work with subject matter experts to detect and extract pain points into tangible, user\-centric but compliant product solutions.
### **What we offer**
* **Competitive Compensation:** We offer competitive pay based on market rates in the country of the applicant.
* **100% Remote:** Enjoy the freedom to work from anywhere within your country of residence—be it a co\-working space, your home office, or even your dining room table. The choice is yours. Just don’t ask to work in our office (we don’t have one).
* **Equity:** Every role in our company comes with valuable stock options in a fast\-growing and profitable company. This ensures we all share in the company’s success.
* **Values\-Driven Leadership:** Our Core Values are not just words we’ve written to make us feel good. We leverage them daily when making strategic and tactical decisions.
* **Professional Growth:** Our rapid growth offers unparalleled learning and development opportunities, along with a multitude of career advancement opportunities.
* **Annual Paid Leave:** The specific amounts vary by country and are aligned with country and/or contract\-specific norms.
* **Geographic Specific Benefits:** As an international employer, we offer different country\-specific benefits such as Health Insurance and Pensions in countries where these perks are customary. The specifics depend on the country of the applicant.
* **Dynamic Team Culture:** As a global company with team members in over 40 countries, our diverse and international culture fuels our innovation and creativity, providing a key pillar to our success (and making it a lot of fun to work here).
Thank you for your interest. If you apply for this role, you will receive an email from our Talent Acquisition team after your application has been reviewed alongside the qualifications for this role and the qualifications of others who have applied.</t>
        </is>
      </c>
    </row>
    <row r="28">
      <c r="A28" t="inlineStr">
        <is>
          <t>in-ad2a00494e496d76</t>
        </is>
      </c>
      <c r="B28" t="inlineStr">
        <is>
          <t>Staff Product Manager - Trust Accounting - 100% Remote - EMEA OR NAM</t>
        </is>
      </c>
      <c r="C28" t="inlineStr">
        <is>
          <t>Hostaway</t>
        </is>
      </c>
      <c r="D28" t="inlineStr">
        <is>
          <t>indeed</t>
        </is>
      </c>
      <c r="E28" t="inlineStr"/>
      <c r="F28" t="inlineStr"/>
      <c r="G28" t="inlineStr">
        <is>
          <t>Phoenix, AZ, US</t>
        </is>
      </c>
      <c r="H28" s="2" t="n">
        <v>46051</v>
      </c>
      <c r="I28" t="inlineStr">
        <is>
          <t>**NOTE: This is a FULLY remote role, but the candidate must be within NAM OR EMEA to collaborate with their team, peers, and internal customers. You do not have to be in the specific country or city shown in this listing, but** **please only apply if you are physically based within NAM OR EMEA.**
If you’re based in NAM you’ll need to be in EST timezone to work as close as possible to the team.
Hostaway is a SaaS scale\-up that is transforming the vacation rental industry. With innovative solutions and partnerships with giants like Airbnb, VRBO, and Booking, we're taking on the competition and winning. Leveraging our customer\-centric core values, we consistently deliver results that encourage growth, learning, and innovation for our team, our customers, and the industry.
Profitable, high\-growth, and the first short\-term rental PMS unicorn . Join us at our most exciting stage yet! Learn more about our recent valuation and story here.
### **About the role**
Hostaway powers the future of short\-term rental property management. Our platform helps property managers scale their operations, delight guests, and grow revenue with innovative technology tailored to the vacation rental industry
As a Staff Product Manager for Trust Accounting, you'll play a key role in shaping the future of how property managers handle financial compliance and accounting workflows. You will be responsible for defining and executing the product strategy for our embedded trust accounting solution, ensuring it meets the stringent regulatory requirements while delivering an exceptional user experience.
You'll work closely with a cross\-functional team of engineers, designers, legal experts, and accounting professionals to deliver a seamless and compliant trust accounting system that helps our users manage their financial operations with confidence. To be successful in this role you will have to put yourself in the shoes of both property managers and accountants, being directly involved in the user research.
To be successful in this role you will have to put yourself in the shoes of both property managers and accountants, being directly involved in the user research.
### **Your mission:**
* Develop and champion a product vision and roadmap for our Trust Accounting solution that aligns with the overall company strategy and regulatory compliance requirements.
* Plan and execute thorough customer research and analysis to deeply understand the needs and pain of property managers and accountants, translating those insights along with legal requirements into product specifications and user stories.
* Collaborate closely with UX/UI designers to create intuitive and user\-friendly experiences that simplify complex accounting workflows.
* Partner with legal and accounting subject matter experts to ensure all regulatory requirements are properly addressed while maintaining excellent user experience.
* Prioritize and manage the product backlog, ensuring alignment with business objectives, compliance needs, and user requirements.
* Oversee the entire product development lifecycle, from ideation and design to development, testing, and launch of trust accounting features.
* Define and analyze the metrics that determine success, ensuring the product not only meets compliance standards but also demonstrably simplifies the financial operations of the Property Managers we serve.
* Spearhead the discovery of our reporting and insights layer. You'll identify the essential compliance reports, operational dashboards, and financial statements that provide clarity, ensure audit\-readiness, and deliver indispensable value to our users.
* Significant experience in product management (typically 6\+ years), with a specific focus on accounting software systems.
* Proven leadership in managing complex, cross\-domain products from ideation to launch, working closely with engineering teams to make ideas turn into real solutions.
* Deep understanding of financial operations, compliance and accounting systems, ideally in the US landscape.
* Strong customer empathy and experience translating insights into impactful product decisions.
* Proven ability to own complex product strategies and deliver industry\-leading solutions
* Excellent analytical and problem\-solving skills with the ability to interpret data and translate it into actionable insights.
* A strong ability to work with subject matter experts to detect and extract pain points into tangible, user\-centric but compliant product solutions.
### **What we offer**
* **Competitive Compensation:** We offer competitive pay based on market rates in the country of the applicant.
* **100% Remote:** Enjoy the freedom to work from anywhere within your country of residence—be it a co\-working space, your home office, or even your dining room table. The choice is yours. Just don’t ask to work in our office (we don’t have one).
* **Equity:** Every role in our company comes with valuable stock options in a fast\-growing and profitable company. This ensures we all share in the company’s success.
* **Values\-Driven Leadership:** Our Core Values are not just words we’ve written to make us feel good. We leverage them daily when making strategic and tactical decisions.
* **Professional Growth:** Our rapid growth offers unparalleled learning and development opportunities, along with a multitude of career advancement opportunities.
* **Annual Paid Leave:** The specific amounts vary by country and are aligned with country and/or contract\-specific norms.
* **Geographic Specific Benefits:** As an international employer, we offer different country\-specific benefits such as Health Insurance and Pensions in countries where these perks are customary. The specifics depend on the country of the applicant.
* **Dynamic Team Culture:** As a global company with team members in over 40 countries, our diverse and international culture fuels our innovation and creativity, providing a key pillar to our success (and making it a lot of fun to work here).
Thank you for your interest. If you apply for this role, you will receive an email from our Talent Acquisition team after your application has been reviewed alongside the qualifications for this role and the qualifications of others who have applied.</t>
        </is>
      </c>
    </row>
    <row r="29">
      <c r="A29" t="inlineStr">
        <is>
          <t>in-d642650d02d3160e</t>
        </is>
      </c>
      <c r="B29" t="inlineStr">
        <is>
          <t>Staff Product Manager - Trust Accounting - 100% Remote - EMEA OR NAM</t>
        </is>
      </c>
      <c r="C29" t="inlineStr">
        <is>
          <t>Hostaway</t>
        </is>
      </c>
      <c r="D29" t="inlineStr">
        <is>
          <t>indeed</t>
        </is>
      </c>
      <c r="E29" t="inlineStr"/>
      <c r="F29" t="inlineStr"/>
      <c r="G29" t="inlineStr">
        <is>
          <t>Charlotte, NC, US</t>
        </is>
      </c>
      <c r="H29" s="2" t="n">
        <v>46051</v>
      </c>
      <c r="I29" t="inlineStr">
        <is>
          <t>**NOTE: This is a FULLY remote role, but the candidate must be within NAM OR EMEA to collaborate with their team, peers, and internal customers. You do not have to be in the specific country or city shown in this listing, but** **please only apply if you are physically based within NAM OR EMEA.**
If you’re based in NAM you’ll need to be in EST timezone to work as close as possible to the team.
Hostaway is a SaaS scale\-up that is transforming the vacation rental industry. With innovative solutions and partnerships with giants like Airbnb, VRBO, and Booking, we're taking on the competition and winning. Leveraging our customer\-centric core values, we consistently deliver results that encourage growth, learning, and innovation for our team, our customers, and the industry.
Profitable, high\-growth, and the first short\-term rental PMS unicorn . Join us at our most exciting stage yet! Learn more about our recent valuation and story here.
### **About the role**
Hostaway powers the future of short\-term rental property management. Our platform helps property managers scale their operations, delight guests, and grow revenue with innovative technology tailored to the vacation rental industry
As a Staff Product Manager for Trust Accounting, you'll play a key role in shaping the future of how property managers handle financial compliance and accounting workflows. You will be responsible for defining and executing the product strategy for our embedded trust accounting solution, ensuring it meets the stringent regulatory requirements while delivering an exceptional user experience.
You'll work closely with a cross\-functional team of engineers, designers, legal experts, and accounting professionals to deliver a seamless and compliant trust accounting system that helps our users manage their financial operations with confidence. To be successful in this role you will have to put yourself in the shoes of both property managers and accountants, being directly involved in the user research.
To be successful in this role you will have to put yourself in the shoes of both property managers and accountants, being directly involved in the user research.
### **Your mission:**
* Develop and champion a product vision and roadmap for our Trust Accounting solution that aligns with the overall company strategy and regulatory compliance requirements.
* Plan and execute thorough customer research and analysis to deeply understand the needs and pain of property managers and accountants, translating those insights along with legal requirements into product specifications and user stories.
* Collaborate closely with UX/UI designers to create intuitive and user\-friendly experiences that simplify complex accounting workflows.
* Partner with legal and accounting subject matter experts to ensure all regulatory requirements are properly addressed while maintaining excellent user experience.
* Prioritize and manage the product backlog, ensuring alignment with business objectives, compliance needs, and user requirements.
* Oversee the entire product development lifecycle, from ideation and design to development, testing, and launch of trust accounting features.
* Define and analyze the metrics that determine success, ensuring the product not only meets compliance standards but also demonstrably simplifies the financial operations of the Property Managers we serve.
* Spearhead the discovery of our reporting and insights layer. You'll identify the essential compliance reports, operational dashboards, and financial statements that provide clarity, ensure audit\-readiness, and deliver indispensable value to our users.
* Significant experience in product management (typically 6\+ years), with a specific focus on accounting software systems.
* Proven leadership in managing complex, cross\-domain products from ideation to launch, working closely with engineering teams to make ideas turn into real solutions.
* Deep understanding of financial operations, compliance and accounting systems, ideally in the US landscape.
* Strong customer empathy and experience translating insights into impactful product decisions.
* Proven ability to own complex product strategies and deliver industry\-leading solutions
* Excellent analytical and problem\-solving skills with the ability to interpret data and translate it into actionable insights.
* A strong ability to work with subject matter experts to detect and extract pain points into tangible, user\-centric but compliant product solutions.
### **What we offer**
* **Competitive Compensation:** We offer competitive pay based on market rates in the country of the applicant.
* **100% Remote:** Enjoy the freedom to work from anywhere within your country of residence—be it a co\-working space, your home office, or even your dining room table. The choice is yours. Just don’t ask to work in our office (we don’t have one).
* **Equity:** Every role in our company comes with valuable stock options in a fast\-growing and profitable company. This ensures we all share in the company’s success.
* **Values\-Driven Leadership:** Our Core Values are not just words we’ve written to make us feel good. We leverage them daily when making strategic and tactical decisions.
* **Professional Growth:** Our rapid growth offers unparalleled learning and development opportunities, along with a multitude of career advancement opportunities.
* **Annual Paid Leave:** The specific amounts vary by country and are aligned with country and/or contract\-specific norms.
* **Geographic Specific Benefits:** As an international employer, we offer different country\-specific benefits such as Health Insurance and Pensions in countries where these perks are customary. The specifics depend on the country of the applicant.
* **Dynamic Team Culture:** As a global company with team members in over 40 countries, our diverse and international culture fuels our innovation and creativity, providing a key pillar to our success (and making it a lot of fun to work here).
Thank you for your interest. If you apply for this role, you will receive an email from our Talent Acquisition team after your application has been reviewed alongside the qualifications for this role and the qualifications of others who have applied.</t>
        </is>
      </c>
    </row>
    <row r="30">
      <c r="A30" t="inlineStr">
        <is>
          <t>in-9f27fc8047c7e2ba</t>
        </is>
      </c>
      <c r="B30" t="inlineStr">
        <is>
          <t>Sr. Technical Portfolio Solutions Program Manager</t>
        </is>
      </c>
      <c r="C30" t="inlineStr">
        <is>
          <t>UC Davis Health</t>
        </is>
      </c>
      <c r="D30" t="inlineStr">
        <is>
          <t>indeed</t>
        </is>
      </c>
      <c r="E30" t="inlineStr"/>
      <c r="F30" t="inlineStr"/>
      <c r="G30" t="inlineStr">
        <is>
          <t>Sacramento, CA, US</t>
        </is>
      </c>
      <c r="H30" s="2" t="n">
        <v>46050</v>
      </c>
      <c r="I30" t="inlineStr">
        <is>
          <t>**Job Summary**
---------------
\#CA\-DS
Under the direction of the Manager, IT Portfolio Management, the Sr. Technical Portfolio Solutions Program Manager provides strategic leadership and advanced technical program management expertise for the planning, execution, and governance of the ServiceNow Strategic Portfolio Management (SPM) module and related enterprise portfolio processes.  
The incumbent serves as a recognized enterprise\-wide subject matter expert in ServiceNow SPM and enterprise portfolio governance, responsible for technical oversight of the platform, lifecycle governance, demand intake, reporting, auditing, compliance monitoring, and process enablement. The position provides technical leadership to development teams, collaborates with cross\-functional stakeholders, and safeguards the platform’s long\-term sustainability and ensures enterprise\-wide compliance with established standards, policies, and procedures while aligning portfolio management practices with UC Davis Health’s strategic objectives.  
The role requires deep technical knowledge of ServiceNow, advanced program management skills, and the ability to operate with a high degree of autonomy. By bridging strategic program leadership with technical oversight, the incumbent ensures ServiceNow implementations are architecturally sound, sustainable, and deliver measurable business value to the IT Division and the institution as a whole.
**Apply By Date**
**2/3/2026 at 11:59pm PST**
**Minimum Qualifications \- For full consideration, applicants are encouraged to upload license and/or certification if required of the position****.**
* ITIL v4 Certification required or ability to obtain ITIL 4 certification within 90 days of hire.
* Project Management Professional (PMP) Certification required or ability to obtain PMP certification within 180 days of hire.
* Bachelor’s degree in Computer Science, Information Systems, or related field, or equivalent experience
* 8\+ years of experience in IT project/program management, with at least 3 years in a technical leadership role
* 8\+ years representing an organization system\-wide, with proven experience leading enterprise\-level, high\-criticality initiatives
* 7\+ years of progressively responsible experience in IT program or portfolio management
* Proven ability to draft technical requirements, configure/build in DEV environments, and manage change through ITIL\-compliant processes
* Strong technical knowledge of ServiceNow modules (ITSM, ITOM, SPM, HRSD, or equivalent)
* Strong interdisciplinary knowledge of enterprise IT systems, integrations, and data governance.
* Ability to gather requirements, develop/configure solutions, and manage changes through ITIL processes.
* Ability to lead cross\-functional technical teams and manage complex, multi\-stakeholder initiatives
* Proficiency in technical documentation, system testing, and platform governance
* Strong interdisciplinary knowledge of IT ecosystems, including HR, Finance, Procurement, and clinical systems
* Expertise in enterprise portfolio governance, demand intake, lifecycle management, and compliance frameworks
* Ability to mentor staff, build organizational capacity, and lead thought leadership initiatives
* Strong analytical skills with experience developing dashboards, KPIs, and predictive analytics to support executive decision\-making
* Demonstrated ability to operate at an expert level consistent with PMP and ITIL frameworks, including governance, lifecycle management, risk management, and continuous service improvement.
**Preferred Qualifications**
* Program Management Professional (PgMP) Certification
* ServiceNow Certified System Administrator
* ServiceNow Certified Implementation Specialist
* Master’s degree in Information Technology, Computer Science, or related discipline
* 10\+ years of progressively responsible experience with ServiceNow and enterprise IT governance
* 10\+ years of program/portfolio leadership experience in healthcare, higher education, or other complex enterprise environments
* Experience representing an organization in industry forums, governance groups, or professional associations
* Experience with ITIL and Agile
* Experience with enterprise architecture frameworks, cloud platforms, and data governance best practices
* Demonstrated success implementing enterprise portfolio governance models across multiple disciplines (IT, Finance, HR, Operations, Clinical)
* Knowledge of cybersecurity requirements and cloud\-based integrations
* Recognized expertise in portfolio governance practices at a UC system or industry level
* Demonstrated ability to influence institutional policy and governance frameworks
**Key Responsibilities**
* 35% \- Program and Platform Oversight
* 20% \- Strategic Governance and Policy Alignment
* 20% \- Mentorship, Leadership Development \&amp; External Collaboration
* 15% \- Business Process Analysis \&amp; Enterprise Solutions
* 10% \- Data Analytics \&amp; Reporting
**Department Overview**
The Portfolio Planning \&amp; Governance (PPG) division is a strategic function within the IT Office of the CIO (OCIO). PPG provides transparency, governance, and oversight of the IT project portfolio, ensuring initiatives align with organizational strategy, resources are allocated effectively, and decision\-makers have access to accurate and timely portfolio information.  
PPG is responsible for overseeing and maintaining the IT project portfolio across UC Davis Health. Core functions include:  
* Overseeing the intake and planning of IT initiatives
* Monitoring portfolio health and visibility through reporting and analysis
* Partnering with the OCIO Leadership Cabinet and IT Division Portfolio Leaders to ensure alignment with business goals
* Supporting the OCIO with data\-driven recommendations to inform prioritization and resource allocation
The mission of PPG is to provide the Office of the CIO with clear, timely, and comprehensive visibility into the IT portfolio, enabling effective oversight of project status and portfolio health to support informed decision\-making and strategic alignment.**Department Specific Job Scope**
This role provides strategic leadership for the implementation, optimization, and governance of ServiceNow Strategic Portfolio Management (SPM) as the enterprise platform for portfolio management, demand intake, and lifecycle tracking. Operating at the highest level of technical and programmatic expertise, the incumbent serves as the recognized subject matter expert (SME) in ServiceNow SPM and enterprise portfolio governance, responsible for defining standards, establishing best practices, and ensuring long\-term sustainability of the platform.  
The Sr. Technical Portfolio Solutions Program Manager provides leadership in portfolio governance that extends beyond ServiceNow SPM, integrating financial, clinical, research, and operational IT systems to ensure enterprise alignment. Leads initiatives that have significant institution\-wide impact, driving modernization of portfolio planning and governance processes across the IT Division. This includes ensuring portfolio data integrity, enforcing compliance with governance policies, and enabling real\-time, executive\-level visibility into project and portfolio health. The role requires advanced judgment and decision\-making to address complex challenges and influence outcomes at the enterprise level.  
This role operates with a high degree of autonomy and is accountable for the technical and strategic success of IT portfolio management solutions at UC Davis Health. The outcomes of this position directly impact portfolio investments, annual IT initiatives, and IT and business stakeholders who rely on accurate portfolio data for operational and strategic decision\-making.
**POSITION INFORMATION**
* **Salary or Pay Range: $1****0,191\.66** **\- $****21,658\.33**
* **Salary Frequency:** **Monthly**
* **Salary Grade: Grade 27**
* **UC Job Title: TCHL PROJECT MGT PROFL 5**
* **UC Job Code: 000523**
* **Number of Positions: 1**
* **Appointment Type: Staff: Career**
* **Percentage of Time: 100**
* **Shift (Work Schedule): M \- F 8am\-5pm**
* **Location: UCDHAS Building (HSP165\)**
* **Union Representation: 99 \- Non\-Represented (PPSM)**
* **Benefits Eligible:** **Yes**
* **This position is 100% remote**
**Benefits**
Outstanding benefits and perks are among the many rewards of working for the University of California. UC Davis offers a full range of benefits, resources and programs to help you bring your best self to work, as well as to help you and your family achieve your health, wellness, financial and career goals. Learn more about the benefits below and eligibility rules by visiting either our handy Benefits Summary for UC Davis Health Employees or Benefits Summary for UC Davis Employees and our Benefits Page.  
If you are represented by a union, benefits are negotiated between the University of California (UC) and your union and finalized in a contract. Read your bargaining unit's employment contract, stay abreast of current negotiations and learn about collective bargaining at UC: https://ucnet.universityofcalifornia.edu/labor/bargaining\-units/index.html
* High quality and low\-cost medical plans to choose from to fit your family's needs
* UC pays for Dental and Vision insurance premiums for you and your family
* Extensive leave benefits including Pregnancy and Parental Leave, Family \&amp; Medical Leave
* Paid Holidays annually as stipulated in the UC Davis Health Policies or Collective Bargaining Agreement
* Paid Time Off/Vacation/Sick Time as stipulated in the UC Davis Health Policies or Collective Bargaining Agreement
* Continuing Education (CE) allowance and Education Reimbursement Program as stipulated in the UC Davis Health Policies or Collective Bargaining Agreement
* Access to free professional development courses and learning opportunities for personal and professional growth
* WorkLife and Wellness programs and resources
* On\-site Employee Assistance Program including access to free mental health services
* Supplemental insurance offered including additional life, short/long term disability, pet insurance and legal coverage
* Public Service Loan Forgiveness (PSFL) Qualified Employer \&amp; Student Loan Repayment Assistance Program for qualified roles
* Retirement benefit options for eligible roles including Pension and other Retirement Saving Plans. More information on our retirement benefits can be found here
**Physical Demands**
* Standing \- Occasional Up to 3 Hours
* Walking \- Occasional Up to 3 Hours
* Sitting \- Frequent 3 to 6 Hours
* Lifting/Carrying 0\-25 Lbs \- Occasional Up to 3 Hours
* Pushing/Pulling 0\-25 Lbs \- Occasional Up to 3 Hours
* Bending/Stooping \- Occasional Up to 3 Hours
* Squatting/Kneeling \- Occasional Up to 3 Hours
* Twisting \- Occasional Up to 3 Hours
* Climbing (e.g., stairs or ladders) \- Occasional Up to 3 Hours
* Reaching overhead \- Occasional Up to 3 Hours
* Keyboard use/repetitive motion \- Frequent 3 to 6 Hours
**Mental Demands**
* Sustained attention and concentration \- Frequent 3 to 6 Hours
* Complex problem solving/reasoning \- Occasional Up to 3 Hours
* Ability to organize \&amp; prioritize \- Frequent 3 to 6 Hours
* Communication skills \- Frequent 3 to 6 Hours
* Numerical skills \- Occasional Up to 3 Hours
* Constant Interaction \- Frequent 3 to 6 Hours
* Customer/Patient Contact \- Frequent 3 to 6 Hours
* Multiple Concurrent Tasks \- Frequent 3 to 6 Hours
**Work Environment**
UC Davis is a smoke and tobacco free campus effective January 1, 2014\. Smoking, the use of smokeless tobacco products, and the use of unregulated nicotine products (e\-cigarettes) will be strictly prohibited on any UC Davis owned or leased property, indoors and outdoors, including parking lots and residential space.  
**Special Requirements – Please contact your recruiter with questions regarding which activities apply by position**
* This is a critical position, as defined by UC Policy and local procedures, and as such, employment is contingent upon clearing a criminal background check(s) and may include drug screening, medical evaluation clearance and functional capacity assessment.
* This position is designated as a mandated reporter under CANRA and UC policy, and employment is contingent on compliance with applicable policies, procedures and training requirements.
* Misconduct Disclosure Requirement: As a condition of employment, the final candidate who accepts a conditional offer of employment will be required to disclose if they have been subject to any final administrative or judicial decisions within the last seven years determining that they committed any misconduct; received notice of any allegations or are currently the subject of any administrative or disciplinary proceedings involving misconduct; have left a position after receiving notice of allegations or while under investigation in an administrative or disciplinary proceeding involving misconduct; or have filed an appeal of a finding of misconduct with a previous employer.
**A Culture of Opportunity and Belonging**
At UC Davis, we’re committed to solving life’s most urgent challenges and building a healthier, more resilient world. We believe in growing through every challenge, continually striving to improve, and welcoming new perspectives that strengthen our community. We recognize that a vibrant and innovative organization values both individual strengths and shared purpose. The best ideas often emerge when people with different experiences come together.  
As you consider joining UC Davis, we invite you to explore our Principles of Community, our Clinical Strategic Plan and strategic vision for research and education. We believe you belong here. The University of California, Davis is an Equal Employer. All qualified applicants will receive consideration for employment without regard to race, color, religion, sex, sexual orientation, gender identity, national origin, disability, age or protected veteran status.  
To view the University of California’s Anti\-Discrimination Policy, please visit: https://policy.ucop.edu/doc/1001004/Anti\-Discrimination  
Because we want you to feel seen and valued, our recruitment process at UC Davis supports openness and authenticity. Research shows that some individuals hesitate to apply unless they meet every qualification. You may be an excellent fit for this role\-or the next one. We encourage you to apply even if your experience doesn't match every listed requirement. \#YouBelongHere  
To learn more about our background check program, please visit: https://hr.ucdavis.edu/departments/recruitment/ucd/selection/background\-checks</t>
        </is>
      </c>
    </row>
    <row r="31">
      <c r="A31" t="inlineStr">
        <is>
          <t>in-a71645d979024f88</t>
        </is>
      </c>
      <c r="B31" t="inlineStr">
        <is>
          <t>Community and Collaborator Engagement Program Manager</t>
        </is>
      </c>
      <c r="C31" t="inlineStr">
        <is>
          <t>UC Davis Health</t>
        </is>
      </c>
      <c r="D31" t="inlineStr">
        <is>
          <t>indeed</t>
        </is>
      </c>
      <c r="E31" t="inlineStr"/>
      <c r="F31" t="inlineStr"/>
      <c r="G31" t="inlineStr">
        <is>
          <t>Sacramento, CA, US</t>
        </is>
      </c>
      <c r="H31" s="2" t="n">
        <v>46049</v>
      </c>
      <c r="I31" t="inlineStr">
        <is>
          <t>**Job Summary**
---------------
The incumbent will independently manage and provide technical direction in conjunction with faculty program directors for the new Community and Collaborator Engagement program within the UC Davis Clinical and Translational Science Center (CTSC). This program provides cross\-cutting education, consultation, and research activities to meaningfully co\-develop and co\-execute research to improve outcomes for the many communities in which the CTSC serves. To ensure that health data, discoveries and implementations are responsive to the concern and lived experiences in our society, the Community and Collaborator Engagement focuses on integrating these perspectives in biomedical, clinical, and applied health research. This work is highly interdisciplinary and the program leverages participation from faculty, staff, and community members from diverse backgrounds. The program will coordinate and interact with other stakeholder outreach and engagement programs at UC Davis, including but not limited to the Comprehensive Cancer Center, Environmental Health Science Center, Alzheimer Disease Center, MIND Institute, the UC Davis Office of Public Scholarship and Engagement, and the Office of Health Equity, Diversity, and Inclusion across the UC Davis Health catchment area. The director will be supervised administratively by the Directors/PIs of the CTSC in a matrix environment. Scientific oversight will be provided by the CTSC PIs and the faculty directors and leads. The program director will develop goals, policies, and procedures for the program and participate in their implementation and strategic administration directly and through oversight of professional program staff.  
The program director will be responsible for prioritizing tasks, participating in analyses of data and presentation of findings, interpreting results, and drafting summary reports and papers. He/she will work with investigators, staff, mentees, administrators, and directors of other centers on research\-related tasks including collecting and analyzing data, working with their counterparts in other CTSA institutions nation\-wide, and participating as co\-author manuscripts for publication in scientific journals. Deliverables include, but are not limited to:  
1\) developing strategies and plans for program communications and outreach; 2\) providing consultations and mentorship to scholars, fellows, and faculty across the UC Davis clinical and translational research enterprise; 3\) increasing research collaborations on community engaged methods; 3\) accelerating integration of communities in all phases of translational research; and 4\) providing platforms to facilitate research in collaboration at UCD and as a hub for national activities; 5\) identifying, adapting, creating, and disseminating innovative tools, services, workshops, and public events; 6\) developing and maintaining relationships with external partners and advisory boards, and representing the program to outside agencies and the public; 7\) Monitoring and evaluating program progress and recommending changes to content and strategy as required to ensure success; 8\) providing administrative supervision of professional staff.
**Apply By Date: 2/6/2026 by 11:59 PM**
**Minimum Qualifications \- For full consideration, applicants are encouraged to upload license and/or certification if required of the position**
* Doctorate in related area and/or equivalent experience and training in public health, social science or related field.
* At least five (5\) years serving in an academic, government, or large non\-profit environment.
* Excellent written and verbal communication in Standard English, and expert interpersonal skills to communicate effectively with faculty and staff across the institution and community stakeholders with mutual interests.
* Successful experience developing health/research partnerships within higher education and/or philanthropy and the community.
* Understanding of the federal grant landscape and process, institutional strategies and priorities, and ability to make program plans responsive to new opportunities and challenges accordingly.
* Demonstrated expertise to initiate, forge, and maintain collaborative relationships with a faculty, staff, public sector, and community partners and maintain bidirectional communications with a diverse group of stakeholders.
* Ability to think creatively and independently on concepts requiring advanced analytical skills.
* Comfortable working with high degree of independence, handling ambiguity, and proactively developing and managing a high volume and variety of tasks and activities.
* Experience synthesizing research results for publication and presentation to colleagues and the public.
* Experience providing consulting services to advance programmatic initiatives and projects in a multi\-cultural environment.
* Advanced skills and experience developing training and education curricula or materials for senior research, professional, and/or administrative staff.
* Experience managing multiple projects with competing deadlines in a matrix environment in partnership with faculty and staff.
* Managerial expertise to supervise staff and support their professional advancement.
* Excellent organizational and collaborative skills to develop and manage a complex organizational structure and leverage the expertise of faculty, colleagues, and subordinates to yield program deliverables.
* Expertise sufficient to produce refined work products with word processing, spreadsheet, presentation, desktop publishing, survey, and data management software.
* Advanced knowledge of qualitative data analysis techniques and research methods, including community\-engaged research, and direct experience with field\-based, primary research.
* Advanced knowledge of program design, evaluation, and metrics and their application to program management and preparation of reports.
* Skills and experience to support financial decision making and human resource process responsibilities within UC Davis Health: budget development and management, and staff hiring, performance, and development.
* Knowledge of the IRB approval process.
**Preferred Qualifications**
* Two (2\) years work experience in a leadership role at UC Davis Health.
* Experience managing programs and staff in an academic, state, federal, or large non\-profit environment.
* Experience with design, implementation and evaluation of community\-based participatory research, population\-based research, health policy, and/or place\-based development initiatives.
* Experience with design and writing of outreach materials for a general audience.
* Abilities to conceive, plan, and oversee the execution of high\-profile research workshops and events geared to special populations and general public audiences.
* Strong fundraising experience and thorough knowledge of grant funding mechanisms, especially state or federal. Experience with project management and preparation of complex research proposals.
* Multilingual and multicultural experience in a professional or academic arena.
 **Key Responsibilities**
* 50% \- Leadership and Administration
* 30% \- Research Support and Consultation
* 20% \- Development and Dissemination
**Department Overview**
The CTSC, established in 2006 through a 5\-year $20 million dollar grant by the National Institutes of Health (NIH), has just entered a 4th 5\-year grant period. As a recipient of a Clinical and Translational Science Award (CTSA) under the NIH Center for Clinical and Translational Science (NCATS), the CTSC provides an academic home to transform the clinical and translational research enterprise. The CTSC includes several distinct scientific and educational programs as well as shared resources and clinical facilities to enhance and support the clinical research programs at UC Davis and provide Investigators with the tools to foster clinical and translational research. Under the auspices of the CTSC Director, the CTSC supports biomedical researchers across UC Davis to promote translational and interdisciplinary health research. The CTSC works with NIH and other funded CTSA awardees to expedite the translation and integration of science from a variety of disciplines into discoveries and treatments that will benefit society.
**POSITION INFORMATION**
* **Salary or Pay Range:** **$9,283\.33\-$19,150**
* **Salary Frequency:** **Monthly**
* **Salary Grade: Grade 26**
* **UC Job Title: ACAD PRG MGR 1**
* **UC Job Code: 006083**
* **Number of Positions:** **1**
* **Appointment Type: Staff: Career**
* **Percentage of Time: 100**
* **Shift (Work Schedule): 9\-5, M\-F**
* **Location: IRC Utility Building (HSP038\)**
* **Union Representation: 99 \- Non\-Represented (PPSM)**
* **Benefits Eligible:** **Yes**
* **This position is hybrid (mix of on\-site and remote work)**
**Benefits**
Outstanding benefits and perks are among the many rewards of working for the University of California. UC Davis offers a full range of benefits, resources and programs to help you bring your best self to work, as well as to help you and your family achieve your health, wellness, financial and career goals. Learn more about the benefits below and eligibility rules by visiting either our handy Benefits Summary for UC Davis Health Employees or Benefits Summary for UC Davis Employees and our Benefits Page.  
If you are represented by a union, benefits are negotiated between the University of California (UC) and your union and finalized in a contract. Read your bargaining unit's employment contract, stay abreast of current negotiations and learn about collective bargaining at UC: https://ucnet.universityofcalifornia.edu/labor/bargaining\-units/index.html
* High quality and low\-cost medical plans to choose from to fit your family's needs
* UC pays for Dental and Vision insurance premiums for you and your family
* Extensive leave benefits including Pregnancy and Parental Leave, Family \&amp; Medical Leave
* Paid Holidays annually as stipulated in the UC Davis Health Policies or Collective Bargaining Agreement
* Paid Time Off/Vacation/Sick Time as stipulated in the UC Davis Health Policies or Collective Bargaining Agreement
* Continuing Education (CE) allowance and Education Reimbursement Program as stipulated in the UC Davis Health Policies or Collective Bargaining Agreement
* Access to free professional development courses and learning opportunities for personal and professional growth
* WorkLife and Wellness programs and resources
* On\-site Employee Assistance Program including access to free mental health services
* Supplemental insurance offered including additional life, short/long term disability, pet insurance and legal coverage
* Public Service Loan Forgiveness (PSFL) Qualified Employer \&amp; Student Loan Repayment Assistance Program for qualified roles
* Retirement benefit options for eligible roles including Pension and other Retirement Saving Plans. More information on our retirement benefits can be found here
**Physical Demands**
* Standing \- Occasional Up to 3 Hours
* Walking \- Occasional Up to 3 Hours
* Sitting \- Frequent 3 to 6 Hours
* Lifting/Carrying 0\-25 Lbs \- Occasional Up to 3 Hours
* Pushing/Pulling 0\-25 Lbs \- Occasional Up to 3 Hours
* Bending/Stooping \- Occasional Up to 3 Hours
* Squatting/Kneeling \- Occasional Up to 3 Hours
* Twisting \- Occasional Up to 3 Hours
* Reaching overhead \- Occasional Up to 3 Hours
* Keyboard use/repetitive motion \- Frequent 3 to 6 Hours
**Mental Demands**
* Sustained attention and concentration \- Frequent 3 to 6 Hours
* Complex problem solving/reasoning \- Occasional Up to 3 Hours
* Ability to organize \&amp; prioritize \- Frequent 3 to 6 Hours
* Communication skills \- Frequent 3 to 6 Hours
* Numerical skills \- Occasional Up to 3 Hours
* Constant Interaction \- Frequent 3 to 6 Hours
* Customer/Patient Contact \- Frequent 3 to 6 Hours
* Multiple Concurrent Tasks \- Frequent 3 to 6 Hours
**Work Environment**
UC Davis is a smoke and tobacco free campus effective January 1, 2014\. Smoking, the use of smokeless tobacco products, and the use of unregulated nicotine products (e\-cigarettes) will be strictly prohibited on any UC Davis owned or leased property, indoors and outdoors, including parking lots and residential space.
 **Special Requirements – Please contact your recruiter with questions regarding which activities apply by position**
* This is a critical position, as defined by UC Policy and local procedures, and as such, employment is contingent upon clearing a criminal background check(s) and may include drug screening, medical evaluation clearance and functional capacity assessment
* This position is designated as a mandated reporter under CANRA and UC policy, and employment is contingent on compliance with applicable policies, procedures and training requirements
Misconduct Disclosure Requirement: As a condition of employment, the final candidate who accepts a conditional offer of employment will be required to disclose if they have been subject to any final administrative or judicial decisions within the last seven years determining that they committed any misconduct; received notice of any allegations or are currently the subject of any administrative or disciplinary proceedings involving misconduct; have left a position after receiving notice of allegations or while under investigation in an administrative or disciplinary proceeding involving misconduct; or have filed an appeal of a finding of misconduct with a previous employer.
**A Culture of Opportunity and Belonging**
At UC Davis, we’re committed to solving life’s most urgent challenges and building a healthier, more resilient world. We believe in growing through every challenge, continually striving to improve, and welcoming new perspectives that strengthen our community. We recognize that a vibrant and innovative organization values both individual strengths and shared purpose. The best ideas often emerge when people with different experiences come together.  
As you consider joining UC Davis, we invite you to explore our Principles of Community, our Clinical Strategic Plan and strategic vision for research and education. We believe you belong here. The University of California, Davis is an Equal Opportunity Employer. All qualified applicants will be considered for employment without regard to race, color, religion, sex, sexual orientation, gender identity, national origin, disability, age or protected veteran status.  
To view the University of California’s Anti\-Discrimination Policy, please visit: https://policy.ucop.edu/doc/1001004/Anti\-Discrimination  
Because we want you to feel seen and valued, our recruitment process at UC Davis supports openness and authenticity. Research shows that some individuals hesitate to apply unless they meet every qualification. You may be an excellent fit for this role\-or the next one. We encourage you to apply even if your experience doesn't match every listed requirement. \#YouBelongHere  
To learn more about our background check program, please visit: https://hr.ucdavis.edu/departments/recruitment/ucd/selection/background\-checks</t>
        </is>
      </c>
    </row>
    <row r="32">
      <c r="A32" t="inlineStr">
        <is>
          <t>in-a5467c2a9e327969</t>
        </is>
      </c>
      <c r="B32" t="inlineStr">
        <is>
          <t>Community and Collaborator Engagement Program Manager</t>
        </is>
      </c>
      <c r="C32" t="inlineStr">
        <is>
          <t>UC Davis</t>
        </is>
      </c>
      <c r="D32" t="inlineStr">
        <is>
          <t>indeed</t>
        </is>
      </c>
      <c r="E32" t="inlineStr"/>
      <c r="F32" t="inlineStr"/>
      <c r="G32" t="inlineStr">
        <is>
          <t>Davis, CA, US</t>
        </is>
      </c>
      <c r="H32" s="2" t="n">
        <v>46049</v>
      </c>
      <c r="I32" t="inlineStr">
        <is>
          <t>The incumbent will independently manage and provide technical direction in conjunction with faculty program directors for the new Community and Collaborator Engagement program within the UC Davis Clinical and Translational Science Center (CTSC). This program provides cross\-cutting education, consultation, and research activities to meaningfully co\-develop and co\-execute research to improve outcomes for the many communities in which the CTSC serves. To ensure that health data, discoveries and implementations are responsive to the concern and lived experiences in our society, the Community and Collaborator Engagement focuses on integrating these perspectives in biomedical, clinical, and applied health research. This work is highly interdisciplinary and the program leverages participation from faculty, staff, and community members from diverse backgrounds. The program will coordinate and interact with other stakeholder outreach and engagement programs at UC Davis, including but not limited to the Comprehensive Cancer Center, Environmental Health Science Center, Alzheimer Disease Center, MIND Institute, the UC Davis Office of Public Scholarship and Engagement, and the Office of Health Equity, Diversity, and Inclusion across the UC Davis Health catchment area. The director will be supervised administratively by the Directors/PIs of the CTSC in a matrix environment. Scientific oversight will be provided by the CTSC PIs and the faculty directors and leads. The program director will develop goals, policies, and procedures for the program and participate in their implementation and strategic administration directly and through oversight of professional program staff.  
The program director will be responsible for prioritizing tasks, participating in analyses of data and presentation of findings, interpreting results, and drafting summary reports and papers. He/she will work with investigators, staff, mentees, administrators, and directors of other centers on research\-related tasks including collecting and analyzing data, working with their counterparts in other CTSA institutions nation\-wide, and participating as co\-author manuscripts for publication in scientific journals. Deliverables include, but are not limited to:  
1\) developing strategies and plans for program communications and outreach; 2\) providing consultations and mentorship to scholars, fellows, and faculty across the UC Davis clinical and translational research enterprise; 3\) increasing research collaborations on community engaged methods; 3\) accelerating integration of communities in all phases of translational research; and 4\) providing platforms to facilitate research in collaboration at UCD and as a hub for national activities; 5\) identifying, adapting, creating, and disseminating innovative tools, services, workshops, and public events; 6\) developing and maintaining relationships with external partners and advisory boards, and representing the program to outside agencies and the public; 7\) Monitoring and evaluating program progress and recommending changes to content and strategy as required to ensure success; 8\) providing administrative supervision of professional staff.
**Apply By Date: 2/6/2026 by 11:59 PM**
**Minimum Qualifications \- For full consideration, applicants are encouraged to upload license and/or certification if required of the position**
* Doctorate in related area and/or equivalent experience and training in public health, social science or related field.
* At least five (5\) years serving in an academic, government, or large non\-profit environment.
* Excellent written and verbal communication in Standard English, and expert interpersonal skills to communicate effectively with faculty and staff across the institution and community stakeholders with mutual interests.
* Successful experience developing health/research partnerships within higher education and/or philanthropy and the community.
* Understanding of the federal grant landscape and process, institutional strategies and priorities, and ability to make program plans responsive to new opportunities and challenges accordingly.
* Demonstrated expertise to initiate, forge, and maintain collaborative relationships with a faculty, staff, public sector, and community partners and maintain bidirectional communications with a diverse group of stakeholders.
* Ability to think creatively and independently on concepts requiring advanced analytical skills.
* Comfortable working with high degree of independence, handling ambiguity, and proactively developing and managing a high volume and variety of tasks and activities.
* Experience synthesizing research results for publication and presentation to colleagues and the public.
* Experience providing consulting services to advance programmatic initiatives and projects in a multi\-cultural environment.
* Advanced skills and experience developing training and education curricula or materials for senior research, professional, and/or administrative staff.
* Experience managing multiple projects with competing deadlines in a matrix environment in partnership with faculty and staff.
* Managerial expertise to supervise staff and support their professional advancement.
* Excellent organizational and collaborative skills to develop and manage a complex organizational structure and leverage the expertise of faculty, colleagues, and subordinates to yield program deliverables.
* Expertise sufficient to produce refined work products with word processing, spreadsheet, presentation, desktop publishing, survey, and data management software.
* Advanced knowledge of qualitative data analysis techniques and research methods, including community\-engaged research, and direct experience with field\-based, primary research.
* Advanced knowledge of program design, evaluation, and metrics and their application to program management and preparation of reports.
* Skills and experience to support financial decision making and human resource process responsibilities within UC Davis Health: budget development and management, and staff hiring, performance, and development.
* Knowledge of the IRB approval process.
**Preferred Qualifications**
* Two (2\) years work experience in a leadership role at UC Davis Health.
* Experience managing programs and staff in an academic, state, federal, or large non\-profit environment.
* Experience with design, implementation and evaluation of community\-based participatory research, population\-based research, health policy, and/or place\-based development initiatives.
* Experience with design and writing of outreach materials for a general audience.
* Abilities to conceive, plan, and oversee the execution of high\-profile research workshops and events geared to special populations and general public audiences.
* Strong fundraising experience and thorough knowledge of grant funding mechanisms, especially state or federal. Experience with project management and preparation of complex research proposals.
* Multilingual and multicultural experience in a professional or academic arena.
 **Key Responsibilities**
* 50% \- Leadership and Administration
* 30% \- Research Support and Consultation
* 20% \- Development and Dissemination
**Department Overview**
The CTSC, established in 2006 through a 5\-year $20 million dollar grant by the National Institutes of Health (NIH), has just entered a 4th 5\-year grant period. As a recipient of a Clinical and Translational Science Award (CTSA) under the NIH Center for Clinical and Translational Science (NCATS), the CTSC provides an academic home to transform the clinical and translational research enterprise. The CTSC includes several distinct scientific and educational programs as well as shared resources and clinical facilities to enhance and support the clinical research programs at UC Davis and provide Investigators with the tools to foster clinical and translational research. Under the auspices of the CTSC Director, the CTSC supports biomedical researchers across UC Davis to promote translational and interdisciplinary health research. The CTSC works with NIH and other funded CTSA awardees to expedite the translation and integration of science from a variety of disciplines into discoveries and treatments that will benefit society.
**POSITION INFORMATION**
* **Salary or Pay Range:** **$9,283\.33\-$19,150**
* **Salary Frequency:** **Monthly**
* **Salary Grade: Grade 26**
* **UC Job Title: ACAD PRG MGR 1**
* **UC Job Code: 006083**
* 
* **Appointment Type: Staff: Career**
* **Percentage of Time: 100**
* **Shift (Work Schedule): 9\-5, M\-F**
* **Location: IRC Utility Building (HSP038\)**
* **Union Representation: 99 \- Non\-Represented (PPSM)**
* **Benefits Eligible:** **Yes**
* **This position is hybrid (mix of on\-site and remote work)**
**Benefits**
Outstanding benefits and perks are among the many rewards of working for the University of California. UC Davis offers a full range of benefits, resources and programs to help you bring your best self to work, as well as to help you and your family achieve your health, wellness, financial and career goals. Learn more about the benefits below and eligibility rules by visiting either our handy Benefits Summary for UC Davis Health Employees or Benefits Summary for UC Davis Employees and our Benefits Page.  
If you are represented by a union, benefits are negotiated between the University of California (UC) and your union and finalized in a contract. Read your bargaining unit's employment contract, stay abreast of current negotiations and learn about collective bargaining at UC: https://ucnet.universityofcalifornia.edu/labor/bargaining\-units/index.html
* High quality and low\-cost medical plans to choose from to fit your family's needs
* UC pays for Dental and Vision insurance premiums for you and your family
* Extensive leave benefits including Pregnancy and Parental Leave, Family \&amp; Medical Leave
* Paid Holidays annually as stipulated in the UC Davis Health Policies or Collective Bargaining Agreement
* Paid Time Off/Vacation/Sick Time as stipulated in the UC Davis Health Policies or Collective Bargaining Agreement
* Continuing Education (CE) allowance and Education Reimbursement Program as stipulated in the UC Davis Health Policies or Collective Bargaining Agreement
* Access to free professional development courses and learning opportunities for personal and professional growth
* WorkLife and Wellness programs and resources
* On\-site Employee Assistance Program including access to free mental health services
* Supplemental insurance offered including additional life, short/long term disability, pet insurance and legal coverage
* Public Service Loan Forgiveness (PSFL) Qualified Employer \&amp; Student Loan Repayment Assistance Program for qualified roles
* Retirement benefit options for eligible roles including Pension and other Retirement Saving Plans. More information on our retirement benefits can be found here
**Physical Demands**
* Standing \- Occasional Up to 3 Hours
* Walking \- Occasional Up to 3 Hours
* Sitting \- Frequent 3 to 6 Hours
* Lifting/Carrying 0\-25 Lbs \- Occasional Up to 3 Hours
* Pushing/Pulling 0\-25 Lbs \- Occasional Up to 3 Hours
* Bending/Stooping \- Occasional Up to 3 Hours
* Squatting/Kneeling \- Occasional Up to 3 Hours
* Twisting \- Occasional Up to 3 Hours
* Reaching overhead \- Occasional Up to 3 Hours
* Keyboard use/repetitive motion \- Frequent 3 to 6 Hours
**Mental Demands**
* Sustained attention and concentration \- Frequent 3 to 6 Hours
* Complex problem solving/reasoning \- Occasional Up to 3 Hours
* Ability to organize \&amp; prioritize \- Frequent 3 to 6 Hours
* Communication skills \- Frequent 3 to 6 Hours
* Numerical skills \- Occasional Up to 3 Hours
* Constant Interaction \- Frequent 3 to 6 Hours
* Customer/Patient Contact \- Frequent 3 to 6 Hours
* Multiple Concurrent Tasks \- Frequent 3 to 6 Hours
**Work Environment**
UC Davis is a smoke and tobacco free campus effective January 1, 2014\. Smoking, the use of smokeless tobacco products, and the use of unregulated nicotine products (e\-cigarettes) will be strictly prohibited on any UC Davis owned or leased property, indoors and outdoors, including parking lots and residential space.
 **Special Requirements – Please contact your recruiter with questions regarding which activities apply by position**
* This is a critical position, as defined by UC Policy and local procedures, and as such, employment is contingent upon clearing a criminal background check(s) and may include drug screening, medical evaluation clearance and functional capacity assessment
* This position is designated as a mandated reporter under CANRA and UC policy, and employment is contingent on compliance with applicable policies, procedures and training requirements
Misconduct Disclosure Requirement: As a condition of employment, the final candidate who accepts a conditional offer of employment will be required to disclose if they have been subject to any final administrative or judicial decisions within the last seven years determining that they committed any misconduct; received notice of any allegations or are currently the subject of any administrative or disciplinary proceedings involving misconduct; have left a position after receiving notice of allegations or while under investigation in an administrative or disciplinary proceeding involving misconduct; or have filed an appeal of a finding of misconduct with a previous employer.
**A Culture of Opportunity and Belonging**
At UC Davis, we’re committed to solving life’s most urgent challenges and building a healthier, more resilient world. We believe in growing through every challenge, continually striving to improve, and welcoming new perspectives that strengthen our community. We recognize that a vibrant and innovative organization values both individual strengths and shared purpose. The best ideas often emerge when people with different experiences come together.  
As you consider joining UC Davis, we invite you to explore our Principles of Community, our Clinical Strategic Plan and strategic vision for research and education. We believe you belong here. The University of California, Davis is an Equal Opportunity Employer. All qualified applicants will be considered for employment without regard to race, color, religion, sex, sexual orientation, gender identity, national origin, disability, age or protected veteran status.  
To view the University of California’s Anti\-Discrimination Policy, please visit: https://policy.ucop.edu/doc/1001004/Anti\-Discrimination  
Because we want you to feel seen and valued, our recruitment process at UC Davis supports openness and authenticity. Research shows that some individuals hesitate to apply unless they meet every qualification. You may be an excellent fit for this role\-or the next one. We encourage you to apply even if your experience doesn't match every listed requirement. \#YouBelongHere  
To learn more about our background check program, please visit: https://hr.ucdavis.edu/departments/recruitment/ucd/selection/background\-checks</t>
        </is>
      </c>
    </row>
    <row r="33">
      <c r="A33" t="inlineStr">
        <is>
          <t>in-82b0d483dfed2893</t>
        </is>
      </c>
      <c r="B33" t="inlineStr">
        <is>
          <t>Business Program Manager - Continuous Improvement</t>
        </is>
      </c>
      <c r="C33" t="inlineStr">
        <is>
          <t>Microsoft</t>
        </is>
      </c>
      <c r="D33" t="inlineStr">
        <is>
          <t>indeed</t>
        </is>
      </c>
      <c r="E33" t="inlineStr"/>
      <c r="F33" t="inlineStr"/>
      <c r="G33" t="inlineStr">
        <is>
          <t>Redmond, WA, US</t>
        </is>
      </c>
      <c r="H33" s="2" t="n">
        <v>46049</v>
      </c>
      <c r="I33" t="inlineStr">
        <is>
          <t>**Overview**  
We are looking for a **Business Program Manager** on our Continuous Improvement team in the Monetization \+ Business Planning organization to help transform its business processes with Lean optimization and AI.
Microsoft’s Monetization and Business Planning team is at the heart of transforming products and services into value for customers and partners while driving growth for Microsoft. As a Business Program Manager on the Continuous Improvement team, you will own developing a change management strategy and executing change management plans to land and drive adoption to process improvements and new tools and AI, across a variety of stakeholder groups and levels. You will also capture and analyze launch process data to identify and quantify improvements, and drive improvement projects end to end across all products in the company’s broad portfolio, such as Azure, Dynamics 365, Microsoft 365, Microsoft Defender, Azure, Power Platform, Windows, and our artificial intelligence services such as Copilot. You will collaborate with engineering, product business planners, finance, product marketing, and senior leaders to deeply understand and design human\-centered processes with a relentless focus on optimizing for those executing the process, and lead efforts to thoughtfully land process changes. As a critical member of the Continuous Improvement team, you will help to foster a lean culture where we have a common belief that improvement is always possible and create a shared sense of responsibility and optimism and a constant desire to learn as individuals and as an organization.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Develop change management strategies to land process and tool changes impacting a variety of organizations, stakeholder groups, and levels.
* Execute change management plans to communicate change and drive adoption.
* Leverage data to tell compelling stories tailored to organizations with differing priorities and context.
* Leverage Lean methodology and human\-centered design to improve processes with both process users and end customers in mind.
* Manage process improvement projects end to end with a special focus on change management.
* Assess the landscape of available process data, identify gaps in that data, and set up processes to capture data with the goal of measuring and understanding our launch processes.
* Report on process improvements and metrics at both leadership and granular altitudes.
* Contribute to other projects to continuously improve product launch processes
* Embody our Culture and Values
**Qualifications** **Required/minimum qualifications**
* Bachelor's Degree in Business, Operations, Finance, or related field AND 4\+ years experience in program management, process management, or process improvement OR equivalent experience.
**Additional or preferred qualifications*** Master's Degree in Business, Operations, Finance, or related field AND 6\+ years experience in program management, process management, or process improvement OR Bachelor's Degree in Business, Operations, Finance, or related field AND 8\+ years experience in program management, process management, or process improvement OR equivalent experience.
Business Program Management IC4 \- The typical base pay range for this role across the U.S. is USD $96,500 \- $188,400 per year. There is a different range applicable to specific work locations, within the San Francisco Bay area and New York City metropolitan area, and the base pay range for this role in those locations is USD $123,500 \- $206,400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4">
      <c r="A34" t="inlineStr">
        <is>
          <t>in-719d5de386b0cdaa</t>
        </is>
      </c>
      <c r="B34" t="inlineStr">
        <is>
          <t>Chief Innovation Officer (Program Manager IV) - 60027638</t>
        </is>
      </c>
      <c r="C34" t="inlineStr">
        <is>
          <t>State of South Carolina</t>
        </is>
      </c>
      <c r="D34" t="inlineStr">
        <is>
          <t>indeed</t>
        </is>
      </c>
      <c r="E34" t="inlineStr"/>
      <c r="F34" t="inlineStr"/>
      <c r="G34" t="inlineStr">
        <is>
          <t>SC, US</t>
        </is>
      </c>
      <c r="H34" s="2" t="n">
        <v>46048</v>
      </c>
      <c r="I34" t="inlineStr">
        <is>
          <t>**Job Responsibilities**
------------------------
***The mission of the South Carolina Department of Education is to serve students, support teachers, empower parents, and engage the community so that every student graduates prepared to reach their full potential.***
 **Job Purpose:**
The South Carolina Department of Education (SCDE) is seeking a Chief Innovation Officer (CInO) to serve as a member of the Executive Leadership Team. This role is responsible for shaping, integrating, and advancing the technical, data, and innovation infrastructure required for SCDE to modernize at scale and lead nationally.
The Chief Innovation Officer will focus on turning deep technical expertise into sustained agency\-wide capability, ensuring that SCDE’s systems, people, processes, and policies work together to support high\-impact initiatives over time. This role exists to connect vision to execution, strategy to infrastructure, and innovation to durable operations, particularly those involving data, technology, and cross\-agency integration.
 **Responsibilities:**
**Enterprise Innovation \&amp; Technical Strategy**
* Define and steward SCDE’s enterprise innovation and technical strategy in alignment with the agency’s North Star goals and strategic plan.
* Ensure technology investments reinforce one another rather than operate as isolated solutions.
* Translate emerging national best practices into practical, scalable state systems.
* Oversee enterprise architecture to ensure technical coherence, interoperability, and sustainability across agency initiatives.
**St****rategic Guidance \&amp; Integration of Enterprise Initiatives**
* Provide strategic guidance across SCDE’s major X\-Teams, including but not limited to:
	+ Growing Pathways for Students (GPS)
	+ Accountability \&amp; State Report Card
	+ Education Scholarship Trust Fund (ESTF) Operations
	+ Accelerated Instruction \&amp; Motivation
	+ Special Education
	+ Civics Standards \&amp; Curriculum
	+ Shared Services
	+ Career Pathways
	+ District Funding Formulas
	+ Education Technology
* Ensure teams align on technical architecture, data standards, governance models, security requirements, and implementation of roadmaps to enable coordinated execution.
**Data, Digital Infrastructure \&amp; Systems Modernization Stewardship**
* Guide the evolution of GPS, SCDE’s statewide K–12 decision\-support and analytics platform, ensuring it remains secure, interoperable, and instructionally meaningful.
* Lead the strategic development of a digital career pathways and credentialing ecosystem, enabling learners’ skills, credentials, and accomplishments to be portable, verifiable, and actionable across education and workforce systems.
* Ensure alignment with national interoperability standards and emerging federal and philanthropic initiatives.
* Lead enterprise\-wide efforts that integrate data analytics and innovative practices to improve policy development, operational decisions, and student outcomes.
**Organizational Capacity Building**
* Build internal capacity by providing input into:
	+ Technical roles, teams, and talent development
	+ Governance models
	+ Sustainable operating processes
* Help SCDE move from reliance on individual expertise to shared, institutional capability.
**Executive Collaboration \&amp; External Leadership**
* Serve as a trusted strategic advisor to the Superintendent and Executive Team.
* Represent SCDE in national innovation, data, and workforce\-aligned education conversations.
* Cultivate partnerships with other states, federal agencies, philanthropy, and technical organizations.
This position is located in the Division of Agency Operations.
**Minimum and Additional Requirements**
---------------------------------------
A bachelor's degree and relevant program management experience.
**Preferred Qualifications**
----------------------------
* Extensive experience leading large\-scale data systems, enterprise technology strategy, or innovation initiatives in complex organizations.
* Proven ability to translate complex technical concepts into clear, actionable strategies that drive organizational execution.
* Demonstrated comfort operating at the intersection of policy, practice, technology, and people, with the ability to align a variety of stakeholders.
* Strong track record of designing, building, and sustaining systems that endure beyond initial launch and scale effectively over time.
**Additional Comments**
-----------------------
ONLY THOSE APPLICANTS CHOSEN FOR AN INTERVIEW WILL BE NOTIFIED BY LETTER THAT THE POSITION HAS BEEN FILLED.
http://www.ed.sc.gov/jobs/human\-resources/title\-ix\-nondiscrimination/</t>
        </is>
      </c>
    </row>
    <row r="35">
      <c r="A35" t="inlineStr">
        <is>
          <t>in-c3548c452ff33d77</t>
        </is>
      </c>
      <c r="B35" t="inlineStr">
        <is>
          <t>Senior Business Program Manager</t>
        </is>
      </c>
      <c r="C35" t="inlineStr">
        <is>
          <t>Microsoft</t>
        </is>
      </c>
      <c r="D35" t="inlineStr">
        <is>
          <t>indeed</t>
        </is>
      </c>
      <c r="E35" t="inlineStr"/>
      <c r="F35" t="inlineStr"/>
      <c r="G35" t="inlineStr">
        <is>
          <t>Redmond, WA, US</t>
        </is>
      </c>
      <c r="H35" s="2" t="n">
        <v>46048</v>
      </c>
      <c r="I35" t="inlineStr">
        <is>
          <t>**Overview**  
Are you a **Senior Business Program Manager** looking for an opportunity to impact business operations for a portfolio of products? Global eXperiences \&amp; Platform (GXP) is a globally distributed engineering organization dedicated to empowering every person on the planet to achieve more through products that help them to create, connect, organize, and get things done.
As a **Senior Business Program Manager** reporting to the GXP Chief of Staff, you will play a pivotal role in shaping employee experiences during our AI\-native transformation. In this role, you will influence leadership decisions, design and execute employee experience programs, and enable product teams to thrive in an AI\-driven world. Success means measurable improvements in engagement, learning adoption, and cultural alignment. You’ll combine strategic thinking with execution, leveraging storytelling and data to deliver impact while fostering an inclusive environment where every voice matters.
This position calls for exceptional collaboration, communication, and leadership skills, along with experience in managing learning programs. Success in this role requires experience with learning programs and a deep understanding of the day\-to\-day needs of product managers, engineers, and scientists as they navigate the shift to AI\-driven workflows. You will need program planning, execution, and analytical skills, combined with storytelling expertise across multiple media formats. As a key contributor to our culture, you will foster an inclusive, collaborative environment where every voice is heard and valued while delivering measurable business outcomes.
The opportunity fosters individual growth and development by building the following skills:
* Leading high\-impact, cross\-functional workstreams and programs (culture, AI transformation, and shape culture during a transformative era)
* Developing organizational and business acumen and operational expertise
* Designing and executing initiatives across employee engagement, culture transformation, and program management.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This role is based out of the Microsoft Redmond, WA campus. In alignment with Microsoft’s Flexible Work Policy, this role is expected to work on campus at least three days per week on average. This requirement ensures consistency with company guidelines and supports collaboration expectations.
 **Responsibilities**  
* You will foster a thriving, global org through learning programs, culture initiatives, and related leadership communications to the org about these.
* You will lead the strategy, launch, and continuously improve employee experience programs, including learning, manager excellence, culture, onboarding, and events related to our AI\-native transformation.
* You will develop and execute communication plans to promote programs, share results, and drive engagement. This includes planning the cadence of meetings, initiatives, and communications to ensure alignment and maintain engagement.
* You will form and rollout learning programs related to organizational ambitions like building AI skills (strategic framework, planning cycle, developing agents, building responsible AI solutions, AI skills like evals, authoring code with AI including using 3rd party tools, and culture).
* You will be producing digital assets (video, slides, Engage, documents, etc.) and coordinating with people to improve existing assets.
* You will explore innovative approaches to enhance employee experiences during the product journey through AI agents.
* You will contribute to culture program associated with above, including evaluating options and implementing an employee recognition effort.
* You will coordinate and produce content for the organization’s weekly newsletter, Town Hall, etc.
* You will coordinate champs and their participation in central efforts like Global Hackathon, FHL (Fix, Hack, Lean), and Give.
* You will lead onboarding of new employees and interns, talent mobility, and Career Hub.
* You will define success through measurable improvements in employee engagement, learning adoption, and cultural alignment. You will track criteria to measure performance and success (e.g. sentiment, objectives and key results \- OKRs) to inform decisions and demonstrate impact.
* You will oversee budget planning and execution for employee experience initiatives, ensuring fiscal responsibility and agility in response to evolving needs.
* You will leverage your expertise of stakeholders to execute tasks, as well as manage and refine expectations and priorities. You’ll also identify opportunities to enhance employee experiences and public perception, as well as anticipate and respond to factors to uphold our culture.
**Qualifications** **Required Qualifications:**
* Bachelor's Degree in Business, Operations, Finance, or related field AND 4\+ years experience in program management, process management, or process improvement
	+ OR equivalent experience.
**Preferred Qualifications:**
* Master's Degree in Business, Operations, Finance, or related field AND 6\+ years experience in program management, process management, or process improvement
	+ OR Bachelor's Degree in Business, Operations, Finance, or related field AND 8\+ years experience in program management, process management, or process improvement
	+ OR equivalent experience.
* Bias for Action and Results \- takes ownership and drives projects forward independently – a “go\-getter” who can identify what needs to be done and rally others to execute. They will need to handle ambiguity and be solution\-oriented, especially when coordinating across geographies and business groups.
* High capacity for multitasking, context switching, able to manage multiple, high\-stakes projects simultaneously under deadline constraints.
* Demonstrated ability to synthesize the complex \- able to take multiple, complicated, disparate inputs and transform it into simple, clear, succinct actions and initiatives.
* Proficient in PowerPoint, SharePoint site creation and editing; advanced knowledge of Excel, and video editing.
Business Program Management IC4 \- The typical base pay range for this role across the U.S. is USD $96,500 \- $188,400 per year. There is a different range applicable to specific work locations, within the San Francisco Bay area and New York City metropolitan area, and the base pay range for this role in those locations is USD $123,500 \- $206,400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6">
      <c r="A36" t="inlineStr">
        <is>
          <t>in-e7f4962d32a32346</t>
        </is>
      </c>
      <c r="B36" t="inlineStr">
        <is>
          <t>Senior and Principal Technical Program Manager for Release, Compliance, Privacy - CoreAI (3 roles)</t>
        </is>
      </c>
      <c r="C36" t="inlineStr">
        <is>
          <t>Microsoft</t>
        </is>
      </c>
      <c r="D36" t="inlineStr">
        <is>
          <t>indeed</t>
        </is>
      </c>
      <c r="E36" t="inlineStr"/>
      <c r="F36" t="inlineStr"/>
      <c r="G36" t="inlineStr">
        <is>
          <t>Redmond, WA, US</t>
        </is>
      </c>
      <c r="H36" s="2" t="n">
        <v>46047</v>
      </c>
      <c r="I36" t="inlineStr">
        <is>
          <t>**Overview**  
We are the team that ships the world's most popular frameworks and runtimes including .NET, C\+\+, Java, Python, Node, Go, Rust, etc., the world’s \#1 used and loved IDEs across the Visual Studio family, and numerous Azure services like App Service, Functions, ACA, etc. We are looking for a strong, highly motivated Senior Technical Program Manager to join our team to define the future of release and compliance functions across our entire portfolio of products. This is an individual contributor role, but there is no limit to the impact and influence you will bear on a wide swath of technical programs.
This posting represents multiple openings on the team for Senior Technical Program Managers and Principal Technical Program Managers in different focus areas, including Release Management, Compliance, and Privacy. Each role is hired, scoped, and staffed independently, while sharing a common foundation of technical program execution and collaboration across engineering and partner teams.
 **Responsibilities**  
All Roles \- Common Responsibilities:
* **Program \&amp; Execution Ownership**: Own complex cross‑functional programs end‑to‑end; drive accountability, track progress against milestones, manage risks, dependencies, and ambiguity to ensure successful outcomes.
* **Cross‑Functional Partnership**: Collaborate closely with engineering, product, legal, and business stakeholders to align priorities, unblock execution, and support teams navigating technical, policy, and operational constraints.
* **Strategic Translation \&amp; Planning**: Translate complex requirements, policies, and standards into clear, actionable plans tailored to product portfolios, organizational maturity, and industry expectations.
* **Operational Rigor \&amp; Scale**: Balance evolving business needs with strong operational discipline; design scalable, repeatable processes that support delivery across teams, products, and geographies.
* **Communication \&amp; Executive Engagement**: Synthesize program health, risks, and insights for senior leadership; communicate complex topics clearly to enable informed decision‑making.
* **Risk Management \&amp; Problem Solving**: Identify emerging risks, resolve ambiguity, and drive clarity in fast‑moving or regulated environments through structured analysis and sound judgment.
* **Process Improvement, Automation \&amp; Tooling**: Continuously improve processes and tooling; define requirements for automation and system enhancements that reduce toil and increase delivery effectiveness including building relevant tools and AI agents yourself as appropriate.
* **Metrics, Outcomes \&amp; Culture**: Define and track key performance indicators to measure impact and guide prioritization; contribute to a culture of inclusion, trust, and accountability.
 *Release Manager – Role‑Specific Responsibilities:*
* Lead end‑to‑end orchestration of multiple complex, parallel product releases across platforms, defining integrated release plans, ship readiness criteria, and launch governance
* Adapt release strategies to changes in product cadence, lifecycle, and customer impact while ensuring adherence to release fundamentals and commitments
* Be a champion for solid release fundamentals and ensure releases deliver on their compliance obligations.
* Champion continuous improvement through feedback loops with engineering and partners to strengthen release quality, predictability, and platform maturity
 *Compliance – Role‑Specific Responsibilities*
* Partner with legal, security, and industry compliance leaders to define compliance vision, strategy, and execution across regulatory domains
* Operationalize regulatory requirements into scalable processes, controls, and programs, translating standards across security, privacy, reliability, accessibility, licensing, and globalization and assist engineers navigate these requirements.
* Navigate regulatory ambiguity, resolve compliance risks, and drive clarity and alignment in evolving global regulatory environments
 *Privacy – Role‑Specific Responsibilities*
* Define and drive privacy governance, risk management, and compliance strategy in partnership with legal and cross‑functional stakeholders
* Drive divisional programs to ensure our products, services, and communications comply with Microsoft’s Privacy and related legal standards and requirements.
* Evangelize and embed privacy principles into product development through feature reviews, design evaluations, technical privacy assessments, and audit‑ready documentation
* Serve as a subject matter expert in consultations with products, evaluate product and service features, UI, and functionality to identify and mitigate privacy\-impacting concerns for early remediations. Assist engineers navigate Privacy requirements.
* Conduct technical Privacy reviews for products, services, and communications, document the outcomes of these reviews to support compliance audits.
* Lead privacy incident response, escalation, and remediation efforts while driving adoption of privacy tools, features, and process improvements
 **Qualifications**  
Required Qualifications:
* Bachelor's Degree AND 4\+ years experience in engineering, product/technical program management, data analysis, or product development OR equivalent experience
* 2\+ years of experience managing cross\-functional and/or cross\-team projects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8\+ years of experience in technical program management managing cross\-functional and cross\-team projects.
* Release Manager
	+ 6\+ years of experience in release management or delivery orchestration, managing multiple parallel releases across products, services, or platforms
* Compliance Program Manager
	+ 6\+ years of experience working with regulatory or compliance programs in software development environments, ideally in domains relevant to cloud or platform development (e.g. security, privacy, responsible AI, accessibility, licensing, etc.)
* Privacy Program Manager
	+ 6\+ years of experience in privacy regulation, policy, and governance within a software development environment, ideally having partnered with legal teams on privacy review, risk assessment, audit, and incident response.
	+ IAPP certifications like CIPP, CIPM, CIPT pr JD with coursework or experience in privacy, cybersecurity, or technology law
	+ Thorough understanding of global privacy laws like GDPR, CCPA, etc.
* Hands‑on experience building tools using AI coding agents like GitHub Copilot or other similar coding agents
* 3\+ years of hands‑on experience as a software developer or in a deeply technical role working closely with engineering teams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Technical Program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7">
      <c r="A37" t="inlineStr">
        <is>
          <t>in-5e7ca84a1680e9c6</t>
        </is>
      </c>
      <c r="B37" t="inlineStr">
        <is>
          <t>Technical Program Manager</t>
        </is>
      </c>
      <c r="C37" t="inlineStr">
        <is>
          <t>Microsoft</t>
        </is>
      </c>
      <c r="D37" t="inlineStr">
        <is>
          <t>indeed</t>
        </is>
      </c>
      <c r="E37" t="inlineStr"/>
      <c r="F37" t="inlineStr"/>
      <c r="G37" t="inlineStr">
        <is>
          <t>Redmond, WA, US</t>
        </is>
      </c>
      <c r="H37" s="2" t="n">
        <v>46043</v>
      </c>
      <c r="I37" t="inlineStr">
        <is>
          <t>**Overview**  
MAI Capacity Planning Organization is seeking a highly skilled and strategically minded **Technical** **Program Manager** to lead long‑term planning, procurement, and architectural evolution of our global networking footprint. This role drives the roadmap for IP address resource management, coordinates cross‑team execution for major architectural shifts (including IPv6 migration and full‑mesh enablement), and represents MAI Networking with Azure engineering teams to influence platform capabilities and tooling.  
The ideal candidate blends deep networking fundamentals with strong program leadership, cost awareness, and the ability to translate architectural goals into actionable, durable plans.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**Strategic Planning \&amp; Architecture Evolution**
* Develop and maintain the multi‑year IP procurement and allocation strategy across MAI Networking.
* Lead the organizational transition to IPv6, including planning, dependency mapping, execution governance, and stakeholder alignment.
* Drive initiatives to evolve the network toward full mesh connectivity and other major architectural improvements.
* Partner with architects to translate high‑level networking strategy into concrete milestones, deliverables, and measurable outcomes.
### **Cross‑Team Leadership \&amp; Representation**
* Serve as the primary MAI Networking representative to Azure engineering teams, advocating for feature needs, tooling enhancements, and platform improvements.
* Coordinate with partner teams across Azure, MAI, and internal engineering groups to ensure alignment on dependencies, timelines, and resource requirements.
* Facilitate decision‑making across orgs by providing clear data, tradeoff analysis, and structured recommendations.
### **Operational Planning \&amp; Logistics**
* Build and maintain the end‑to‑end plan for IP procurement, including forecasting, vendor engagement (if applicable), and internal allocation workflows.
* Track and report on networking resource consumption, cost evolution, and efficiency opportunities.
* Define requirements for internal tooling to support IP management, cost tracking, and network planning workflows.
* Ensure operational readiness for major architectural changes, including documentation, training, and process updates.
### **Governance \&amp; Execution Excellence**
* Establish and run program governance for multi‑quarter and multi‑year networking initiatives.
* Develop dashboards, KPIs, and reporting mechanisms to ensure transparency and accountability.
* Identify risks, blockers, and cross‑team gaps early, driving mitigation plans and escalation paths.
**Qualifications** **Required Qualifications:**
* Bachelor's Degree AND 2\+ years experience in engineering, product/technical program management, data analysis, or product development OR equivalent experience.
* 1\+ year(s) of experience managing cross\-functional and/or cross\-team projects.
* Solid understanding of networking fundamentals, including IP addressing, subnetting, routing, and network topology.
* Experience working with engineering teams to define tooling requirements and influence platform capabilities.
* Excellent communication skills, with the ability to translate complex technical concepts into clear, actionable plans.
* Solid organizational and execution skills, with a track record of delivering results across ambiguous, multi‑stakeholder environments.
**Preferred Qualifications:**
* Bachelor's Degree AND 5\+ years experience engineering, product/technical program management, data analysis, or product development  
	+ OR equivalent experience
* Experience with IPv6 planning or migration programs.
* Prior experience with AIOps to help steer tooling implementation and automation
* Familiarity with cloud networking concepts, especially within Azure or other hyperscale environments.
* Background in network architecture, network engineering, or infrastructure program management.
* Experience driving cross‑org initiatives involving both engineering and operations teams.
Technical Program Management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8">
      <c r="A38" t="inlineStr">
        <is>
          <t>in-12b6c0412ec172d0</t>
        </is>
      </c>
      <c r="B38" t="inlineStr">
        <is>
          <t>Critical Environment Program Manager</t>
        </is>
      </c>
      <c r="C38" t="inlineStr">
        <is>
          <t>Microsoft</t>
        </is>
      </c>
      <c r="D38" t="inlineStr">
        <is>
          <t>indeed</t>
        </is>
      </c>
      <c r="E38" t="inlineStr"/>
      <c r="F38" t="inlineStr"/>
      <c r="G38" t="inlineStr">
        <is>
          <t>Quincy, WA, US</t>
        </is>
      </c>
      <c r="H38" s="2" t="n">
        <v>46043</v>
      </c>
      <c r="I38" t="inlineStr">
        <is>
          <t>**Overview**  
Microsoft’s Cloud Operations \&amp; Innovation (CO\+I) is the engine that powers our cloud services. As a **CO\+I Critical Environment Program Manager**, you will perform a key role in delivering the core infrastructure and foundational technologies for Microsoft's online services including Bing, Office 365, Xbox, OneDrive, and the Microsoft Azure platform. As a group, CO\+I is focused on the personal and professional development of all employees and offers trainings and opportunities including Career Rotation Programs, Diversity \&amp; Inclusion trainings and events, and professional certifications.
As a Critical Environment Program Manager you will manage the Drill Program across Quincy–Wenatchee Metro campuses, ensuring operational excellence / compliance with global standards. You will also oversee the Operational Excellence Program and Site Assessments Program, driving continuous improvement and adherence to Microsoft’s data center standards.
Our infrastructure is comprised of a large global portfolio of more than 200 datacenters in 32 countries and millions of servers. Our foundation is built upon and managed by a team of subject matter experts working to support services for more than 1 billion customers and 20 million businesses in over 90 countries worldwide.
With environmental sustainability and optimization at the forefront of our datacenter design and operations, we continue to grow and evolve as we meet the ever\-changing business demands that hold Microsoft as a world\-class cloud provider.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**Drill Program Leadership**
* Develop, implement, and facilitate the Drill Program across assigned campuses, ensuring alignment with the applicable standards.
* Provide templates for lessons learned and actionable items for teams following drills.
### **Operational Excellence Program**
* Develop, implement, and facilitate CE Operational Excellence space assessments.
* Conduct monthly audits of CE spaces.
* Provide template scorecards and actionable items for teams following assessments.
### **Site Assessments Program**
* Develop, implement, and facilitate the CE Procedure Audit Program, referencing
* Schedule and conduct Datacenter Operational Standards Self\-Assessments and Site Operational Assessments in accordance with DCC library guidelines.
### **Meeting Facilitation and Coordination**
* Facilitate and coordinate CE Monthly Business Review (MBR) and Townhall events.
* Prepare after\-action summaries with leadership following MBR and Townhall.
* Lead kickoff meetings during the first full week of each new month and after Townhall events.
* Adjust meeting cadence and frequency based on team progress.
### **Communication and Reporting**
* Publish the CE movers and shakers monthly newsletter.
* Own regular status updates to team and stakeholders, including reporting cadence and distribution of compliance dashboards.
### **Additional Responsibilities:**
* + Drive operational excellence through identification and execution of opportunity areas that create efficiency, remove obstacles, or improve processes.
	+ Partner with cross\-functional teams to prioritize focus areas and facilitate value stream mapping exercises to identify and document opportunities for improvement.
	+ Manage multiple stakeholders to balance key priorities for the business.
	+ Evaluate and improve delivery practices, including process standardization and workflow optimization
	+ Embody our culture and values
**Qualifications** **Required/minimum qualifications**
* High School Qualification or equivalent AND 2\+ years experience supporting IT equipment or related technology or delivering server and network deployment projects in large\-scale environments
	+ OR equivalent experience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Bachelor's or Technical College Degree in Computer Science, Math, Telecommunications, Electrical/Mechanical Engineering, Supply Chain Management or related field AND 5\+ years experience in critical environment infrastructures (e.g., UPS, Generator, AHU), or working in physical IT infrastructures (e.g., Servers, SANs, Networking, Capacity, DC Rack/Enclosures, structured cabling)
	+ OR High School Qualification or equivalent AND 7\+ years experience in critical environment infrastructures (e.g., UPS, Generator, AHU), or working in physical IT infrastructures (e.g., Servers, SANs, Networking, Capacity, DC Rack/Enclosures, structured cabling)
	+ OR equivalent experience.
* 6 months \+ of experience working with the operation of building cooling, electrical, mechanical, and life safety systems
* 6 months \+ of experience with Electrical Power Monitoring Systems (EPMS), Branch Circuit Monitoring (BCM), and Building Automation Systems (BAS)
* 2\+ years of experience with project management or relevant certification/training in project management
* Associate’s or Bachelor’s degree in applicable engineering field or mechanical or electrical trades
* 2\+ years experience working on large scale projects.
* Familiarity with typical industry standards for incident drills, operational excellence, and procedure audits.
* Demonstrated safety knowledge/skills around PPE and its uses in Data Centers
Data Center Operations Management IC4 \- The typical base pay range for this role across the U.S. is USD $102,600 \- $202,800 per year. There is a different range applicable to specific work locations, within the San Francisco Bay area and New York City metropolitan area, and the base pay range for this role in those locations is USD $137,500 \- $225,800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9">
      <c r="A39" t="inlineStr">
        <is>
          <t>in-f8d0890459461629</t>
        </is>
      </c>
      <c r="B39" t="inlineStr">
        <is>
          <t>Senior Technical Program Manager Datacenter Leasing</t>
        </is>
      </c>
      <c r="C39" t="inlineStr">
        <is>
          <t>Microsoft</t>
        </is>
      </c>
      <c r="D39" t="inlineStr">
        <is>
          <t>indeed</t>
        </is>
      </c>
      <c r="E39" t="inlineStr"/>
      <c r="F39" t="inlineStr"/>
      <c r="G39" t="inlineStr">
        <is>
          <t>Redmond, WA, US</t>
        </is>
      </c>
      <c r="H39" s="2" t="n">
        <v>46041</v>
      </c>
      <c r="I39" t="inlineStr">
        <is>
          <t>**Overview**  
Microsoft **Cloud Operations \+ Innovation (MCO\+I)** is the team behind the cloud. **CO\+I** is responsible for delivering over 200 Microsoft web portals, Live and Online Services around the world including infrastructure, security and compliance, operations, globalization, and manageability. Our focus is on smart growth, high efficiency, and delivering trusted experience to customers and partners worldwide. We are looking for a passionate, high\-energy individual to help build the network that powers the world’s largest online services.
The **Senior Technical Program Manager Datacenter Leasing** will be part of a team responsible for the delivery of leased datacenters globally. The **Senior Technical Program Manager Datacenter Leasing** will project manage technical and delivery alignment between Microsoft requirements and Lessor’s proposal, handle escalations, and close technical and delivery gaps as the primary point of contact between internal and external parties. Working closely with **Data Center Engineering (DCE)**, the role will evaluate lessor’s design proposal against technical requirements and mitigate non\-compliance through technical and commercial solutions. The role also assesses technical and delivery risks and resolves issues swiftly to reduce business impact. The **Senior Technical Program Manager Datacenter Leasing** will act as a knowledge leader and will provide global program support.
The position will collaborate with both internal and external stakeholders throughout construction, RFS, and operations handover, addressing technical challenges that may impact the timely delivery of the datacenter to customers.This position will project manage the lease technical due diligence, offering domain leadership support, technical guidance, and decision\-making. It also involves evaluating feasibility, costs, scheduling, risks, and site limitations. The **Senior Technical Program Manager Datacenter Leasing** will support program efficiency through process improvements affecting related (Objective and Key Result) OKRs. The senior TPM needs excellent interpersonal, communication, and organizational skills, the ability to work independently, extensive knowledge in data center design, engineering, controls, and operations, and significant experience in project/construction management and the data center lease market.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Act as a knowledge leader and provide global program support.
* Drive technical solutions for leased datacenters in partnership with Microsoft’s and Lessor’s core engineering teams.
* Evaluate lessor’s design proposal against technical requirements and mitigate non\-compliance through technical and commercial solutions.
* Assesses lessor’s compliance through review of technical documents, site assessments, and stakeholder engagement.
* Partner with internal and external stakeholders during construction, RFS, and operations handover to unblock any technical issues risking the on\-time delivery of Datacenter to customers.
* Drive cost impact analysis on non\-compliance and specification changes. Escalate and provide visibility and feedback to leadership on cost drivers.
* Partner with Microsoft Engineering, Integration, Security, Operations, and Energy teams on resolution management.
* Drive partner accountability on contractual milestones and commercial commitments.
* Own overall schedule tracking, risk identification, blockers, and mitigation for the assigned projects; creating clear visibility for leadership.
**Qualifications** **Required/minimum qualifications**
* Bachelor’s degree in Civil, Electrical, Mechanical, Telecom Engineering, or related technical field AND 4\+ years’ experience in engineering, operations, commissioning or technical program management  
	+ OR equivalent experience.
* 2\+ years of experience managing cross\-functional and/or cross\-team projects.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Bachelor’s degree in Civil, Electrical, Mechanical, Telecom Engineering, or related technical field AND 8\+ years’ experience in engineering, operations, commissioning or technical program management  
	+ OR equivalent experience.
* 6\+ years of experience managing cross\-functional and/or cross\-team projects.
* 3\+ years of experience in data center design, infrastructure, and critical environments.
* Infrastructure knowledge across mechanical, electrical, and controls systems with a focus on Datacenter integration and performance.
* Familiarity with key industry standards and best practices, including ASHRAE, Uptime Institute, ANSI, and NFPA.
* Familiarity with high\-density power and cooling solutions, sustainability initiatives, and emerging technologies for AI workloads.
* 5\+ years of experience with mission critical environments, such as Data Centers.
* Experience implementing advanced cooling technologies such as liquid\-to\-chip.
\#COICareers \| \#EPCCareers \| \#DCDCareers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0">
      <c r="A40" t="inlineStr">
        <is>
          <t>in-b9ef9377a5eb988c</t>
        </is>
      </c>
      <c r="B40" t="inlineStr">
        <is>
          <t>Technical Program Manager</t>
        </is>
      </c>
      <c r="C40" t="inlineStr">
        <is>
          <t>Microsoft</t>
        </is>
      </c>
      <c r="D40" t="inlineStr">
        <is>
          <t>indeed</t>
        </is>
      </c>
      <c r="E40" t="inlineStr"/>
      <c r="F40" t="inlineStr"/>
      <c r="G40" t="inlineStr">
        <is>
          <t>Redmond, WA, US</t>
        </is>
      </c>
      <c r="H40" s="2" t="n">
        <v>46036</v>
      </c>
      <c r="I40" t="inlineStr">
        <is>
          <t>**Overview**  
The Cloud \&amp; AI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is one of the largest enterprise service companies in the world.
Our team's mission is to safeguard how Microsoft uses open source software in our products and services. We achieve this mission by bringing software and security engineering talent together to invent the future of robust and scalable security practices.
You’ll be part of a multi\-disciplinary team of security professionals who drive key security initiatives to protect our customers and Microsoft. You'll cut new ground, bringing to life new security strategies, blending traditional and AI to address a rapidly changing threat and regulatory landscape.
As a senior security program manager, you’ll leverage your deep understanding of security tools and practices to develop scalable programs that ensure Microsoft’s products and services are secure. You’ll work with a variety of cross\-functional stakeholders across different teams to understand their security challenges and help your team identify the most important work to reduce risk to Microsoft and its customers. You will partner with security engineers building security tools and automation that help secure Microsoft products and services. This is a great opportunity for an experienced security program manager to make significant impact across Microsoft. Come help us on this transformative journey.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Collaborate with cross\-functional teams to gather requirements for security tooling, automation, and policy.
* Regularly communicate with a broad set of stakeholders to drive alignment about security priorities and roadmaps.
* Build trusted relationships that enable teams to move quickly and securely.
* Gather data from diverse sources to drive decision making and risk mitigation strategies.
* Utilize AI/ML technologies to efficiently analyze data and effectively communicate complex ideas.
* Understand new cybersecurity regulations and coordinate with partner teams on policy alignment and regulatory readiness.
* Integrate compliance requirements into prioritization and development roadmaps for security tools and automation.
* Collaborate closely with security engineers building security tools and automation.
* Contribute to the core engineering security requirements (including the Security
* Development Lifecycle), ensuring they stay relevant as technologies and development methodologies change over time.
* Embody our culture and values
 **Qualifications**  
Basic Qualifications
* Bachelor's Degree AND 4\+ years experience in engineering, product/technical program management, data analysis, or product development OR equivalent experience.
* 2\+ years of experience managing cross\-functional and/or cross\-team projects.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background and Microsoft Cloud background check upon hire/transfer and every two years thereafter.
* Bachelor's Degree AND 8\+ years' experience in engineering, product/technical program management or product development.
* 4\+ years of experience managing cross\-functional and/or cross\-team projects.
* 2\+ years of experience in software security
* 1\+ year experience in supporting compliance with cybersecurity regulations related to supply chain security.
* Experience writing code and engineer\-facing documentation.  
Experience building software supply chain security tools and automation.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1">
      <c r="A41" t="inlineStr">
        <is>
          <t>in-e2cbb13bcf476ef2</t>
        </is>
      </c>
      <c r="B41" t="inlineStr">
        <is>
          <t>Infrastructure End to End Program Manager</t>
        </is>
      </c>
      <c r="C41" t="inlineStr">
        <is>
          <t>Microsoft</t>
        </is>
      </c>
      <c r="D41" t="inlineStr">
        <is>
          <t>indeed</t>
        </is>
      </c>
      <c r="E41" t="inlineStr"/>
      <c r="F41" t="inlineStr"/>
      <c r="G41" t="inlineStr">
        <is>
          <t>Redmond, WA, US</t>
        </is>
      </c>
      <c r="H41" s="2" t="n">
        <v>46027</v>
      </c>
      <c r="I41" t="inlineStr">
        <is>
          <t>**Overview**  
Cloud Operations \+ Innovation (CO\+I) is the team behind one of the World’s largest Cloud Infrastructures, responsible for powering all Microsoft online Products and Services as well as powering Microsoft’s “Cloud First” mission. Our focus is on smart growth, high efficiency, and delivering a trusted experience to customers and partners worldwide, and we are looking for passionate Senior Technical Program Manager, Datacenter Portfolio Management to help achieve our mission.  
If you want to have fundamental impact on how Microsoft’s Cloud is deployed and operated, want to be involved with one of the most strategically important teams at Microsoft, possess effective technical and business acumen, leadership, creativity, and out of the box thinking then this job is for you!  
We are looking for an experienced Senior Technical Program Manager, Datacenter Portfolio Management with deep technical and business effectiveness, trusted leadership and demonstrated large\-scale program management success. You should have exceptional industry knowledge, technical depth in the planning, data review and execution of data centers, and have executive presence to lead complex and time sensitive initiatives.
In this role, the successful candidate will partner closely with key engineering leaders to drive programs focused on transforming how we deliver data centers to our customers. These programs will be on the leading edge of innovation and will include driving pilots and other first of kind programs that shape ongoing strategy in delivering data centers efficiently and on schedule. You balance effective analytical and technical skills with the ability to influence decision makers within the CO\+I leadership and execution teams spread across the rest of Azure. You will also partner closely with related teams including our design engineering, construction, networking and data center project management teams.
 **Responsibilities**  
In alignment with our Microsoft values, we are committed to cultivating an inclusive work environment for all employees to positively impact our culture every day.
* Manage cross functional initiatives, focusing on cross\-organizational efficiencies and decision making that enable scale through streamlined rhythm of business, tools and processes.
* Leverage technical acumen in mechanical/electrical systems, structures, and networking infrastructure to facilitate engineering problem solving.
* Differentiate Microsoft data center delivery to create a competitive advantage by applying ‘Best in Class’ project and program management expertise.
* Drive business results through a regimented focus on key performance indicators and business goals, promoting clarity and motivation to the project team to execute on time, under budget, while delivering high quality results with zero rework.
* Use experience and expertise to improve and/or deploy templates, automation, and processes.
* Design and drive implementation of reporting by interfacing with business, engineering, finance, operations, and systems teams to provide actionable insights.
* Deliver on ambiguous projects with multiple stakeholders, unclear requirements, and incomplete data.
* Embody our culture and values.
**Qualifications**  
Required/minimum qualifications
* Bachelor's Degree AND 4\+ years experience in engineering, product/technical program management, data analysis, or product development OR equivalent experience. 2\+ years of experience managing cross\-functional and/or cross\-team projects.
Additional or preferred qualifications* Bachelor's Degree AND 8\+ years experience engineering, product/technical program management, data analysis, or product development OR equivalent experience. 6\+ years of experience managing cross\-functional and/or cross\-team projects. 1\+ year(s) of experience reading and/or writing code (e.g., sample documentation, product demos).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\#COICareers \| \#EPCCareers \| \#DCDCareers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2">
      <c r="A42" t="inlineStr">
        <is>
          <t>in-3e860f3bf2b93361</t>
        </is>
      </c>
      <c r="B42" t="inlineStr">
        <is>
          <t>Technical Product Manager - FP&amp;A</t>
        </is>
      </c>
      <c r="C42" t="inlineStr">
        <is>
          <t>Lennar</t>
        </is>
      </c>
      <c r="D42" t="inlineStr">
        <is>
          <t>indeed</t>
        </is>
      </c>
      <c r="E42" t="inlineStr"/>
      <c r="F42" t="inlineStr"/>
      <c r="G42" t="inlineStr">
        <is>
          <t>Miami, FL, US</t>
        </is>
      </c>
      <c r="H42" s="2" t="n">
        <v>46051</v>
      </c>
      <c r="I42" t="inlineStr">
        <is>
          <t>We are Lennar
Lennar is one of the nation's leading homebuilders, dedicated to making an impact and creating an extraordinary experience for their Homeowners, Communities, and Associates by building quality homes and providing exceptional customer service, giving back to the communities in which we work and live in, and fostering a culture of opportunity and growth for our Associates throughout their career. Lennar has been recognized as a Fortune 500® company and consistently ranked among the top homebuilders in the United States.
Join a Company that Empowers you to Build your Future
We are seeking a highly skilled Technical Product Manager (TPM) to lead the evolution and transformation of FP\&amp;A platforms within a large\-scale homebuilding organization. This role sits at the intersection of finance, technology, and product, owning the roadmap and delivery of FP\&amp;A capabilities across Oracle JD Edwards (E1\) and Oracle EPM solutions.
The ideal candidate brings deep understanding of homebuilding financial models, strong FP\&amp;A domain expertise, and hands\-on experience driving enterprise financial system transformations in complex, multi\-entity environments.* A career with purpose.
* A career built on making dreams come true.
* A career built on building zero defect homes, cost management, and adherence to schedules.
Your Responsibilities on the Team
Product Strategy \&amp; Ownership* Own the end\-to\-end product vision and roadmap for FP\&amp;A systems supporting budgeting, forecasting, long\-range planning, and management reporting.
* Translate FP\&amp;A business needs into clear product requirements, epics, and user stories to drive tangible improvements.
* Collaborate with Finance team to prioritize needs based on business value, financial impact, technical complexity, and regulatory needs.
Oracle EPM Transformation* Lead tech modernization and transformation initiatives involving Oracle EPM.
* As part of the Lennar Technology Group (LTG), partner across with LTG \&amp; Finance teams to design scalable, future\-state FP\&amp;A architectures and models.
* Drive integrations between Oracle E1, Oracle EPM, data warehouses, and downstream reporting tools.
FP\&amp;A \&amp; Homebuilding Domain Leadership* Serve as a trusted partner to FP\&amp;A leaders, supporting:
* Community\- and division\-level forecasting
* Land acquisition and development financial modeling
* Cost\-to\-complete, backlog, and margin analysis
* Ensure systems support homebuilding\-specific complexities such as:
* Multi\-entity structures
* Job cost accounting
* Revenue recognition and WIP considerations
Technical \&amp; Delivery Leadership* Collaborate closely with architects, developers, data engineers, and QA teams.
* Ensure high\-quality delivery through agile execution, release planning, and backlog management.
* Balance configuration vs. customization decisions with long\-term maintainability in mind.
Stakeholder \&amp; Change Management* Drive adoption through training, documentation, and change management strategies.
* Communicate roadmap progress, risks, and outcomes to senior leadership.
Requirements* Experience with large, decentralized, multi\-division organizations
* Exposure to cloud data platforms (Snowflake, Azure, OCI, etc.)
* Familiarity with agile / SAFe delivery models
* MBA, Finance, Accounting, or related advanced degree
* Oracle EPM or JD Edwards certifications
What Success Looks Like* FP\&amp;A leaders rely on modern, reliable, and scalable systems for decision\-making.
* Oracle E1 and EPM platforms are tightly integrated, well\-governed, and future\-ready.
* Financial planning cycles are faster, more accurate, and more automated.
* Stakeholders view the TPM as a strategic partner—not just a delivery lead.
\#LI\-GQ1
Life at Lennar
At Lennar, we are committed to fostering a supportive and enriching environment for our Associates, offering a comprehensive array of benefits designed to enhance their well\-being and professional growth. Our Associates have access to robust health insurance plans, including Medical, Dental, and Vision coverage, ensuring their health needs are well taken care of. Our 401(k) Retirement Plan, complete with a $1 for $1 Company Match up to 5%, helps secure their financial future, while Paid Parental Leave and an Associate Assistance Plan provide essential support during life's critical moments. To further support our Associates, we provide an Education Assistance Program and up to $30,000 in Adoption Assistance, underscoring our commitment to their diverse needs and aspirations. From the moment of hire, they can enjoy up to three weeks of vacation annually, alongside generous Holiday, Sick Leave, and Personal Day policies. Additionally, we offer a New Hire Referral Bonus Program, significant Home Purchase Discounts, and unique opportunities such as the Everyone’s Included Day. At Lennar, we believe in investing in our Associates, empowering them to thrive both personally and professionally. Lennar Associates will have access to these benefits as outlined by Lennar’s policies and applicable plan terms. Visit Lennartotalrewards.com to view our suite of benefits.
Join the fun and follow us on social media to see what's happening at our company, and don't forget to connect with us on Lennar: Overview \| LinkedIn\&lt;https://www.linkedin.com/company/lennar/\&gt; for the latest job opportunities.
Lennar is an equal opportunity employer and complies with all applicable federal, state, and local fair employment practices laws.</t>
        </is>
      </c>
    </row>
    <row r="43">
      <c r="A43" t="inlineStr">
        <is>
          <t>in-e72ff4d63c1fe268</t>
        </is>
      </c>
      <c r="B43" t="inlineStr">
        <is>
          <t>Technical Product Manager - Treasury</t>
        </is>
      </c>
      <c r="C43" t="inlineStr">
        <is>
          <t>Lennar</t>
        </is>
      </c>
      <c r="D43" t="inlineStr">
        <is>
          <t>indeed</t>
        </is>
      </c>
      <c r="E43" t="inlineStr"/>
      <c r="F43" t="inlineStr"/>
      <c r="G43" t="inlineStr">
        <is>
          <t>Miami, FL, US</t>
        </is>
      </c>
      <c r="H43" s="2" t="n">
        <v>46051</v>
      </c>
      <c r="I43" t="inlineStr">
        <is>
          <t>LI\-We are Lennar
Lennar is one of the nation's leading homebuilders, dedicated to making an impact and creating an extraordinary experience for their Homeowners, Communities, and Associates by building quality homes and providing exceptional customer service, giving back to the communities in which we work and live in, and fostering a culture of opportunity and growth for our Associates throughout their career. Lennar has been recognized as a Fortune 500® company and consistently ranked among the top homebuilders in the United States.
Join a Company that Empowers you to Build your Future
We are seeking an experienced Technical Product Manager (TPM) to own and modernize Treasury platforms and capabilities within a large\-scale homebuilding organization. This role partners closely with Treasury, Finance, Accounting, and Technology teams to drive system transformation across Oracle JD Edwards (E1\) and Oracle EPM, ensuring scalable, secure, and efficient cash, debt, and liquidity management.
The ideal candidate combines deep Treasury domain expertise, strong technical systems knowledge, and hands\-on experience leading enterprise financial system transformations in complex, multi\-entity environments.* A career with purpose.
* A career built on making dreams come true.
* A career built on building zero defect homes, cost management, and adherence to schedules.
Your Responsibilities on the Team
Product Strategy \&amp; Ownership* Own the end\-to\-end product vision, roadmap, and backlog for Treasury systems and capabilities
* Translate Treasury business needs into product requirements, epics, and user stories to drive tangible improvements
* Collaborate with Treasury team to prioritize initiatives based on business value, risk reduction, regulatory impact, and technical dependencies
Treasury Systems \&amp; Transformation* Lead transformation initiatives across Treasury platforms, including:
	+ Cash positioning and forecasting
	+ Debt and covenant management
	+ Bank account management and signatory controls
	+ Payments, wires, ACH, and fraud prevention
* Drive integration between Oracle JD Edwards (E1\), Oracle EPM (including FCCS, ARCS, PCM where applicable), banks, and payment platforms.
* Partner with Treasury leadership to support evolving funding strategies and liquidity needs.
Oracle E1 \&amp; EPM Leadership* Serve as the product manager for Treasury\-related functionality within Oracle JD Edwards (E1\).
* As part of the Lennar Technology Group (LTG), partner across with LTG and Treasury teams on Oracle EPM enablement supporting Treasury reporting, forecasting, and reconciliation processes.
* Guide system design decisions to balance standard functionality, configuration, and customization.
Homebuilding \&amp; Capital\-Intensive Domain Expertise* Support Treasury needs specific to homebuilding, including:
* High\-volume cash flows and land acquisition funding.
* Multi\-entity, multi\-bank operating structures.
* Seasonal liquidity planning and working capital management.
* Ensure systems scale across divisions, communities, and legal entities.
Technical \&amp; Delivery Leadership* Collaborate with architects, developers, data engineers, and external integrators.
* Ensure secure, reliable, and compliant solutions across Treasury systems.
* Lead agile delivery, release planning, testing, and production readiness.
Stakeholder \&amp; Governance Management* Support SOX, audit, and regulatory requirements through strong system controls and documentation.
* Communicate roadmap progress, risks, and outcomes to senior leadership.
Requirements* 7\+ years of experience in Technical Product Management, Finance Systems, or Treasury Systems leadership.
* Strong Treasury domain expertise, including cash management, debt, and banking operations.
* Hands\-on experience with Oracle JD Edwards (E1\) in finance or Treasury contexts.
* Direct experience leading Oracle EPM implementations or transformations.
* Experience in homebuilding, construction, real estate, or other capital\-intensive industries.
* Strong technical fluency (integrations, data models, financial systems architecture).
* Proven ability to translate complex Treasury requirements into scalable system solutions.
Preferred Qualifications* Experience integrating with banks, payment processors, and Treasury Management Systems (TMS).
* Familiarity with EPM modules such as FCCS, ARCS, or Planning for Treasury use cases.
* Experience with cloud data platforms and reporting tools.
* Agile / SAFe experience.
* MBA, Finance, Accounting, or related advanced degree.
* Oracle EPM or JD Edwards certifications.
What Success Looks Like* Treasury has real\-time visibility into cash, liquidity, and debt positions.
* Oracle E1 and EPM platforms are well\-integrated, secure, and audit\-ready.
* Treasury processes are standardized, automated, and scalable.
* The TPM is viewed as a strategic partner to Treasury and Finance leadership.
\#LI\-GQ1
Life at Lennar
At Lennar, we are committed to fostering a supportive and enriching environment for our Associates, offering a comprehensive array of benefits designed to enhance their well\-being and professional growth. Our Associates have access to robust health insurance plans, including Medical, Dental, and Vision coverage, ensuring their health needs are well taken care of. Our 401(k) Retirement Plan, complete with a $1 for $1 Company Match up to 5%, helps secure their financial future, while Paid Parental Leave and an Associate Assistance Plan provide essential support during life's critical moments. To further support our Associates, we provide an Education Assistance Program and up to $30,000 in Adoption Assistance, underscoring our commitment to their diverse needs and aspirations. From the moment of hire, they can enjoy up to three weeks of vacation annually, alongside generous Holiday, Sick Leave, and Personal Day policies. Additionally, we offer a New Hire Referral Bonus Program, significant Home Purchase Discounts, and unique opportunities such as the Everyone’s Included Day. At Lennar, we believe in investing in our Associates, empowering them to thrive both personally and professionally. Lennar Associates will have access to these benefits as outlined by Lennar’s policies and applicable plan terms. Visit Lennartotalrewards.com to view our suite of benefits.
Join the fun and follow us on social media to see what's happening at our company, and don't forget to connect with us on Lennar: Overview \| LinkedIn\&lt;https://www.linkedin.com/company/lennar/\&gt; for the latest job opportunities.
Lennar is an equal opportunity employer and complies with all applicable federal, state, and local fair employment practices laws.</t>
        </is>
      </c>
    </row>
    <row r="44">
      <c r="A44" t="inlineStr">
        <is>
          <t>in-9e0b780ff0400c43</t>
        </is>
      </c>
      <c r="B44" t="inlineStr">
        <is>
          <t>Technical Product Manager - Land / Accounting</t>
        </is>
      </c>
      <c r="C44" t="inlineStr">
        <is>
          <t>Lennar</t>
        </is>
      </c>
      <c r="D44" t="inlineStr">
        <is>
          <t>indeed</t>
        </is>
      </c>
      <c r="E44" t="inlineStr"/>
      <c r="F44" t="inlineStr"/>
      <c r="G44" t="inlineStr">
        <is>
          <t>Miami, FL, US</t>
        </is>
      </c>
      <c r="H44" s="2" t="n">
        <v>46051</v>
      </c>
      <c r="I44" t="inlineStr">
        <is>
          <t>We are Lennar
Lennar is one of the nation's leading homebuilders, dedicated to making an impact and creating an extraordinary experience for their Homeowners, Communities, and Associates by building quality homes and providing exceptional customer service, giving back to the communities in which we work and live in, and fostering a culture of opportunity and growth for our Associates throughout their career. Lennar has been recognized as a Fortune 500® company and consistently ranked among the top homebuilders in the United States.
Join a Company that Empowers you to Build your Future
We are seeking a highly skilled Technical Product Manager (TPM) to lead the transformation of Land / Accounting systems and capabilities within a large\-scale homebuilding organization. This role owns the product strategy and delivery for land\-related financial systems, with a primary focus on Terra, Foundry, and their integration with core ERP, FP\&amp;A, and data platforms.
The ideal candidate brings deep land accounting domain expertise, strong technical product leadership, and proven experience driving enterprise platform transformations in complex, multi\-entity homebuilding environments.* A career with purpose.
* A career built on making dreams come true.
* A career built on building zero defect homes, cost management, and adherence to schedules.
Your Responsibilities on the Team
Product Strategy \&amp; Ownership* Own the product vision, roadmap, and backlog for Land Accounting systems and capabilities
* Translate Land, Accounting, and Finance business needs into clear product requirements, epics, and user stories to drive tangible improvements
* Collaborate with Land / Accounting team to prioritize initiatives based on business value, operational efficiency, compliance, and scalability
Land Accounting \&amp; Platform Transformation* Lead transformation initiatives across Terra / Foundry, including:
* Land acquisition and option accounting.
* Lot development cost capitalization and allocation.
* Inventory tracking and lot cost rollups.
* Joint venture and multi\-entity land structures.
* Drive system modernization to improve accuracy, transparency, and cycle times.
Terra \&amp; Foundry Platform Leadership* Serve as the product manager for Terra / Foundry platforms and related integrations.
* As part of the Lennar Technology Group (LTG), partner across with LTG \&amp; other key business stakeholder teams to design future\-state workflows and scalable platforms.
* Ensure tight integration with ERP, job cost, FP\&amp;A, Treasury, and reporting platforms.
Homebuilding Domain Expertise* Support land and lot accounting processes specific to homebuilding, including:
* Phase\-level land development accounting.
* Lot takedown schedules and cost reforecasting.
* Impairment analysis and land valuation support.
* Ensure systems scale across divisions, regions, and legal entities.
Technical \&amp; Delivery Leadership* Collaborate with architects, developers, data engineers, and system integrators.
* Balance configuration vs. customization to support long\-term platform sustainability.
* Lead agile delivery, testing, release management, and production readiness.
Stakeholder \&amp; Change Management* Drive adoption through training, documentation, and change management.
* Communicate roadmap progress, risks, and outcomes to senior stakeholders.
Requirements* Experience integrating Terra / Foundry with ERP, FP\&amp;A, or data warehouse platforms.
* Familiarity with job cost accounting, inventory, and revenue recognition processes.
* Experience supporting audit, compliance, and internal controls.
* Agile / SAFe delivery experience.
* CPA, MBA, or related advanced degree.
What Success Looks Like* Land Accounting processes are standardized, automated, and auditable.
* Terra / Foundry platforms provide accurate, timely land and lot cost visibility.
* Systems support faster land close, development, and reporting cycles.
* Stakeholders view the TPM as a strategic partner in land and inventory transformation.
\#LI\-GQ1
Life at Lennar
At Lennar, we are committed to fostering a supportive and enriching environment for our Associates, offering a comprehensive array of benefits designed to enhance their well\-being and professional growth. Our Associates have access to robust health insurance plans, including Medical, Dental, and Vision coverage, ensuring their health needs are well taken care of. Our 401(k) Retirement Plan, complete with a $1 for $1 Company Match up to 5%, helps secure their financial future, while Paid Parental Leave and an Associate Assistance Plan provide essential support during life's critical moments. To further support our Associates, we provide an Education Assistance Program and up to $30,000 in Adoption Assistance, underscoring our commitment to their diverse needs and aspirations. From the moment of hire, they can enjoy up to three weeks of vacation annually, alongside generous Holiday, Sick Leave, and Personal Day policies. Additionally, we offer a New Hire Referral Bonus Program, significant Home Purchase Discounts, and unique opportunities such as the Everyone’s Included Day. At Lennar, we believe in investing in our Associates, empowering them to thrive both personally and professionally. Lennar Associates will have access to these benefits as outlined by Lennar’s policies and applicable plan terms. Visit Lennartotalrewards.com to view our suite of benefits.
Join the fun and follow us on social media to see what's happening at our company, and don't forget to connect with us on Lennar: Overview \| LinkedIn\&lt;https://www.linkedin.com/company/lennar/\&gt; for the latest job opportunities.
Lennar is an equal opportunity employer and complies with all applicable federal, state, and local fair employment practices laws.</t>
        </is>
      </c>
    </row>
    <row r="45">
      <c r="A45" t="inlineStr">
        <is>
          <t>in-02129cfb1d132b3b</t>
        </is>
      </c>
      <c r="B45" t="inlineStr">
        <is>
          <t>Senior AI/Machine Learning &amp; Data Platform SW Product Manager</t>
        </is>
      </c>
      <c r="C45" t="inlineStr">
        <is>
          <t>HP</t>
        </is>
      </c>
      <c r="D45" t="inlineStr">
        <is>
          <t>indeed</t>
        </is>
      </c>
      <c r="E45" t="inlineStr"/>
      <c r="F45" t="inlineStr"/>
      <c r="G45" t="inlineStr">
        <is>
          <t>Palo Alto, CA, US</t>
        </is>
      </c>
      <c r="H45" s="2" t="n">
        <v>46042</v>
      </c>
      <c r="I45" t="inlineStr">
        <is>
          <t>**Description \-**
Senior AI/ML \&amp; SW Product Manager to lead the strategy, development, and launch of HP's AI/ML and Data Platforms. This PM will be responsible for translating complex customer and business needs into clear product requirements, driving innovation using advanced data techniques like multimodal data analysis and data fusion, and ensuring the delivery of high\-impact data products across the organization.
**Key Responsibilities:**
* Product Strategy \&amp; Vision: Define and champion the product vision, strategy, and roadmap for AI/ML and Data Analytics solutions, ensuring alignment with overall business objectives and market needs.
* Cross\-functional Leadership: Lead and collaborate with cross\-functional teams including data scientists, data engineers, software engineers, data analysts, designers, and marketing to guide products from conception to launch.
* AI/ML Product Development: Oversee the development, testing, and deployment of machine learning models and AI\-powered features, ensuring they are scalable, reliable, and deliver measurable value.
* Data Strategy \&amp; Management: Spearhead data collection strategies, define data modeling requirements, and collaborate on data governance and compliance to ensure the availability and quality of extensive, high\-integrity datasets.
* Advanced Data Techniques: Drive the application of advanced data techniques, including multimodal data analysis and data fusion, to uncover deep insights and build sophisticated, market\-leading solutions.
* Telemetry \&amp; Analytics: Define, instrument, and analyze key performance indicators (KPIs) and telemetry data to measure product performance, user behavior, and business impact, using a data\-driven approach to inform future iterations.
* Stakeholder Management \&amp; Communication: Cultivate strong relationships with internal and external stakeholders, effectively translating complex technical concepts into clear business requirements and communicating product progress and results to leadership.
* Market \&amp; User Research: Conduct market research, competitive analysis, and user research to identify pain points, emerging trends, and new opportunities for AI applications.
**Experience** :
* 8\+ years of proven experience in product management, with at least 3\-5 years specifically focused on AI, ML, data analytics, or data platforms.
* Proven track record of successfully launching and scaling AI\-driven products from 0\-to\-1 and beyond, delivering measurable business outcomes.
* Experience working in an Agile/Lean development environment.
**Technical Skills:**
* Strong understanding of the AI/ML lifecycle, including data collection, model training, deployment, and monitoring (MLOps).
* Familiarity with data technologies such as data warehouses, data lakes, SQL, and cloud platforms (AWS, GCP, or Azure).
* Proficiency in data analysis and experimentation design using tools like Python, R, or BI platforms (Tableau, Looker, Power BI).
* Knowledge of concepts like natural language processing (NLP), computer vision, predictive modeling, and data enrichment techniques.
**Education** :
* Bachelor's degree in a relevant technical field (e.g., Computer Science, Data Science, Engineering, Statistics) or equivalent practical experience.
* An MBA/ Master's degree is preferred
**Soft Skills:**
* Exceptional communication, presentation, and storytelling skills, with the ability to influence stakeholders at all levels.
* Strong analytical and strategic thinking abilities, comfortable with ambiguity and complex problem\-solving.
* Demonstrated leadership skills with a collaborative mindset and a passion for driving innovation
The pay range for this role is **$147,050** to **$230,850**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 US benefits overview )
The compensation and benefits information is accurate as of the date of this posting. The Company reserves the right to modify this information at any time, with or without notice, subject to applicable law.
**Job \-**
Software
**Schedule \-**
Full time
**Shift \-**
No shift premium (United States of America)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 Know Your Rights: Workplace Discrimination is Illegal "</t>
        </is>
      </c>
    </row>
    <row r="46">
      <c r="A46" t="inlineStr">
        <is>
          <t>in-f8b03144165701b1</t>
        </is>
      </c>
      <c r="B46" t="inlineStr">
        <is>
          <t>Data Product Manager</t>
        </is>
      </c>
      <c r="C46" t="inlineStr">
        <is>
          <t>HP</t>
        </is>
      </c>
      <c r="D46" t="inlineStr">
        <is>
          <t>indeed</t>
        </is>
      </c>
      <c r="E46" t="inlineStr"/>
      <c r="F46" t="inlineStr"/>
      <c r="G46" t="inlineStr">
        <is>
          <t>Vancouver, WA, US</t>
        </is>
      </c>
      <c r="H46" s="2" t="n">
        <v>46029</v>
      </c>
      <c r="I46" t="inlineStr">
        <is>
          <t>**Description \-**
Join the HP Print Software Platform team and be a part of history as we push the industry forward, redefining the state\-of\-the\-art Print Software Platform. It is an exciting time to be at HP as our services and solutions business are growing fast. The Print software organization has grown significantly, and we need to evolve the way we work to keep up.
HP is focused on converging multiple cloud stacks and data lakes into a unified scalable platform to serve as a single comprehensive Intelligent platform to meet the needs of HP's printers, PCs and other product lines.
**Job Summary**  
The Data Product Manager will be responsible for planning, prioritizing, and breaking down data requirements for the Print software platform. This involves working closely with business stakeholders, software and data engineers, data scientists, designers and others in order to understand pain points, develop data strategies and build a successful ecosystem of data products. It'll involve crafting roadmaps that will help build a next\-generation data platform for maximum impact across all HP business units. Role includes managing data as an asset, motivating and launching data\-driven products that will ensure our customers’ success in creating technology that makes life better for everyone, everywhere. It is a highly visible role being part of a team supporting thousands of software developers, and hundreds of millions of users and devices
**Responsibilities**
* Facilitate and partner with business and technical leaders to develop value propositions for data science\-driven products that help achieve HP’s strategic initiatives across multiple business units.
* Collaborate with solution product teams to gather the voice of the customer, identify needs \&amp; create platform opportunities for data science to inform the delivery of rich, compelling user experiences.
* Collaborate with data engineers \&amp; data analysts to match data sources, data quality needs, and data science technical requirements with desired business outcomes.
* Develop use cases and roadmaps that build an ecosystem of data products and solutions that drive customer value with strong ROI.
* Manage the data platform’s end\-to\-end product and feature lifecycle, from strategic planning ideation to tactical execution implementation and stabilization.
* Establish source\-of\-truth data products and dashboards that the entire company can use to answer their own product questions.
* Manage solution engagement and onboarding, ensuring customer and partner success in using the data platform.
* Communicate with scrum teams, program teams, management and senior executives about data product strategy, requirements, development and launch.
* Maintain clear priorities and relentless execution in a dynamic, fast\-paced environment.
* Define and monitor data platform performance metrics against goals.
* Support data platform design and integration across adjacent platforms in HP.
* Maintain deep expertise on the solution space, market environment and overall HP business strategies as they relate to data science activities.
**Education \&amp; Experience** Recommended
* Four\-year or Graduate Degree in Computer Science, Software Engineering, Information Systems, or any other related discipline or commensurate work experience or demonstrated competence.
* Typically has 10\+ years of work experience, preferably in product management, digital or software product development, or a related field.
**Knowledge \&amp; Skills**
* Agile Methodology
* Automation
* Change Management
* Big Data Management and Analytics
* Computer Science
* Continuous Improvement Process
* JIRA
* Kanban Principles
* Lean Manufacturing
* Milestones (Project Management)
* New Product Development
* Process Improvement
* Product Management
* Project Engineering
* Project Management
* Project Planning
* Project Schedules
* Risk Management
* Scrum (Software Development)
* Software Development
* Sprint Planning
The pay range for this role is **$147,050** to **$230,850**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 US benefits overview )
The compensation and benefits information is accurate as of the date of this posting. The Company reserves the right to modify this information at any time, with or without notice, subject to applicable law.
**Job \-**
Software
**Schedule \-**
Full time
**Shift \-**
No shift premium (United States of America)
**Travel \-**
No
**Relocation \-**
No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 Know Your Rights: Workplace Discrimination is Illegal "</t>
        </is>
      </c>
    </row>
    <row r="47">
      <c r="A47" t="inlineStr">
        <is>
          <t>in-6e7951eaa7bcd072</t>
        </is>
      </c>
      <c r="B47" t="inlineStr">
        <is>
          <t>Sr. Product Manager Technical, Deal Tooling &amp; Insights, Strategic Customer Engagements</t>
        </is>
      </c>
      <c r="C47" t="inlineStr">
        <is>
          <t>Amazon Web Services</t>
        </is>
      </c>
      <c r="D47" t="inlineStr">
        <is>
          <t>indeed</t>
        </is>
      </c>
      <c r="E47" t="inlineStr"/>
      <c r="F47" t="inlineStr"/>
      <c r="G47" t="inlineStr">
        <is>
          <t>Seattle, WA, US</t>
        </is>
      </c>
      <c r="H47" s="2" t="n">
        <v>45994</v>
      </c>
      <c r="I4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48">
      <c r="A48" t="inlineStr">
        <is>
          <t>in-687052f672d42dd0</t>
        </is>
      </c>
      <c r="B48" t="inlineStr">
        <is>
          <t>Sr. Product Manager Technical, Deal Tooling &amp; Insights, Strategic Customer Engagements</t>
        </is>
      </c>
      <c r="C48" t="inlineStr">
        <is>
          <t>Amazon Web Services</t>
        </is>
      </c>
      <c r="D48" t="inlineStr">
        <is>
          <t>indeed</t>
        </is>
      </c>
      <c r="E48" t="inlineStr"/>
      <c r="F48" t="inlineStr"/>
      <c r="G48" t="inlineStr">
        <is>
          <t>Dallas, TX, US</t>
        </is>
      </c>
      <c r="H48" s="2" t="n">
        <v>45994</v>
      </c>
      <c r="I4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49">
      <c r="A49" t="inlineStr">
        <is>
          <t>in-d508618ebd79fbfe</t>
        </is>
      </c>
      <c r="B49" t="inlineStr">
        <is>
          <t>Sr. Product Manager Technical, Deal Tooling &amp; Insights, Strategic Customer Engagements</t>
        </is>
      </c>
      <c r="C49" t="inlineStr">
        <is>
          <t>Amazon Web Services</t>
        </is>
      </c>
      <c r="D49" t="inlineStr">
        <is>
          <t>indeed</t>
        </is>
      </c>
      <c r="E49" t="inlineStr"/>
      <c r="F49" t="inlineStr"/>
      <c r="G49" t="inlineStr">
        <is>
          <t>Arlington, VA, US</t>
        </is>
      </c>
      <c r="H49" s="2" t="n">
        <v>45994</v>
      </c>
      <c r="I4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50">
      <c r="A50" t="inlineStr">
        <is>
          <t>in-8e9b2693d160ce42</t>
        </is>
      </c>
      <c r="B50" t="inlineStr">
        <is>
          <t>Sr. Product Manager Technical, Deal Tooling &amp; Insights, Strategic Customer Engagements</t>
        </is>
      </c>
      <c r="C50" t="inlineStr">
        <is>
          <t>Amazon Web Services</t>
        </is>
      </c>
      <c r="D50" t="inlineStr">
        <is>
          <t>indeed</t>
        </is>
      </c>
      <c r="E50" t="inlineStr"/>
      <c r="F50" t="inlineStr"/>
      <c r="G50" t="inlineStr">
        <is>
          <t>Austin, TX, US</t>
        </is>
      </c>
      <c r="H50" s="2" t="n">
        <v>45994</v>
      </c>
      <c r="I5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51">
      <c r="A51" t="inlineStr">
        <is>
          <t>in-9fa75a57f675c8ca</t>
        </is>
      </c>
      <c r="B51" t="inlineStr">
        <is>
          <t>Sr. Product Manager Technical, Deal Tooling &amp; Insights, Strategic Customer Engagements</t>
        </is>
      </c>
      <c r="C51" t="inlineStr">
        <is>
          <t>Amazon Web Services</t>
        </is>
      </c>
      <c r="D51" t="inlineStr">
        <is>
          <t>indeed</t>
        </is>
      </c>
      <c r="E51" t="inlineStr"/>
      <c r="F51" t="inlineStr"/>
      <c r="G51" t="inlineStr">
        <is>
          <t>Herndon, VA, US</t>
        </is>
      </c>
      <c r="H51" s="2" t="n">
        <v>45994</v>
      </c>
      <c r="I5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52">
      <c r="A52" t="inlineStr">
        <is>
          <t>in-e05186543a2b6409</t>
        </is>
      </c>
      <c r="B52" t="inlineStr">
        <is>
          <t>Sr. Product Manager Technical, Deal Tooling &amp; Insights, Strategic Customer Engagements</t>
        </is>
      </c>
      <c r="C52" t="inlineStr">
        <is>
          <t>Amazon Web Services</t>
        </is>
      </c>
      <c r="D52" t="inlineStr">
        <is>
          <t>indeed</t>
        </is>
      </c>
      <c r="E52" t="inlineStr"/>
      <c r="F52" t="inlineStr"/>
      <c r="G52" t="inlineStr">
        <is>
          <t>New York, NY, US</t>
        </is>
      </c>
      <c r="H52" s="2" t="n">
        <v>45994</v>
      </c>
      <c r="I5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53">
      <c r="A53" t="inlineStr">
        <is>
          <t>in-b1bcee951605234e</t>
        </is>
      </c>
      <c r="B53" t="inlineStr">
        <is>
          <t>Sr. Product Manager - Tech, WHS Data-Tech</t>
        </is>
      </c>
      <c r="C53" t="inlineStr">
        <is>
          <t>Amazon.com</t>
        </is>
      </c>
      <c r="D53" t="inlineStr">
        <is>
          <t>indeed</t>
        </is>
      </c>
      <c r="E53" t="inlineStr"/>
      <c r="F53" t="inlineStr"/>
      <c r="G53" t="inlineStr">
        <is>
          <t>Arlington, VA, US</t>
        </is>
      </c>
      <c r="H53" s="2" t="n">
        <v>45836</v>
      </c>
      <c r="I53"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54">
      <c r="A54" t="inlineStr">
        <is>
          <t>in-5f770440f04cb049</t>
        </is>
      </c>
      <c r="B54" t="inlineStr">
        <is>
          <t>Sr. Product Manager - Tech, WHS Data-Tech</t>
        </is>
      </c>
      <c r="C54" t="inlineStr">
        <is>
          <t>Amazon.com</t>
        </is>
      </c>
      <c r="D54" t="inlineStr">
        <is>
          <t>indeed</t>
        </is>
      </c>
      <c r="E54" t="inlineStr"/>
      <c r="F54" t="inlineStr"/>
      <c r="G54" t="inlineStr">
        <is>
          <t>Bellevue, WA, US</t>
        </is>
      </c>
      <c r="H54" s="2" t="n">
        <v>45836</v>
      </c>
      <c r="I54"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55">
      <c r="A55" t="inlineStr">
        <is>
          <t>in-2f44e692b85bf576</t>
        </is>
      </c>
      <c r="B55" t="inlineStr">
        <is>
          <t>Sr. Product Manager - Tech, WHS Data-Tech</t>
        </is>
      </c>
      <c r="C55" t="inlineStr">
        <is>
          <t>Amazon.com</t>
        </is>
      </c>
      <c r="D55" t="inlineStr">
        <is>
          <t>indeed</t>
        </is>
      </c>
      <c r="E55" t="inlineStr"/>
      <c r="F55" t="inlineStr"/>
      <c r="G55" t="inlineStr">
        <is>
          <t>Nashville, TN, US</t>
        </is>
      </c>
      <c r="H55" s="2" t="n">
        <v>45836</v>
      </c>
      <c r="I55"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56">
      <c r="A56" t="inlineStr">
        <is>
          <t>in-cefb0d1dc09842c3</t>
        </is>
      </c>
      <c r="B56" t="inlineStr">
        <is>
          <t>Staff Product Manager - TurboTax Agentic AI</t>
        </is>
      </c>
      <c r="C56" t="inlineStr">
        <is>
          <t>Intuit</t>
        </is>
      </c>
      <c r="D56" t="inlineStr">
        <is>
          <t>indeed</t>
        </is>
      </c>
      <c r="E56" t="inlineStr"/>
      <c r="F56" t="inlineStr"/>
      <c r="G56" t="inlineStr">
        <is>
          <t>Mountain View, CA, US</t>
        </is>
      </c>
      <c r="H56" s="2" t="n">
        <v>46051</v>
      </c>
      <c r="I56" t="inlineStr">
        <is>
          <t>**Overview**
------------
Intuit TurboTax is building the future of Agentic tax preparation, leveraging LLMs, reasoning models, and computer\-using agents. We're looking for a seasoned Product Manager to drive the strategy for this initiative. This involves designing and delivering robust AI agents capable of complex reasoning and task execution at massive scale, leveraging Intuit's unique data assets and tax knowledge. You will define how these agents perform their tasks, how they collaborate with customers, and how we build trust and ensure accuracy with non\-deterministic technology. This role offers a unique opportunity to disrupt an industry impacting millions of Americans with cutting\-edge technologies.
 **Responsibilities**
* Define, own, and articulate a compelling vision, strategy, and multi\-year roadmap for agentic AI capabilities within TurboTax, translating complex user needs and business opportunities into measurable outcomes.
* Lead the ideation, technical development, and launch of innovative agentic AI features and experiences, partnering deeply with AI/ML engineers, data scientists, designers, and tax experts to deliver high\-accuracy, trustworthy, and confidence\-building solutions.
* Drive product definition and requirements for underlying AI models, agent orchestration logic, and human\-in\-the\-loop processes, balancing user experience with the high bar for accuracy required in tax.
* Design and execute data\-driven experiments (including A/B testing and user studies) specifically to validate hypotheses related to agentic AI effectiveness, user trust, and impact on filer confidence and accuracy.
* Build strong partnerships and influence roadmaps across senior leaders and teams to ensure cohesive strategy and execution for agentic AI initiatives.
 **Qualifications**
* 5\+ years designing and delivering world\-class software products focused on platform, data\-intensive systems, or AI/ML\-powered experiences.
* Deep understanding and signiﬁcant hands\-on experience deﬁning strategy for and shipping products leveraging Generative AI, complex Machine Learning models, Conversational AI or Agentic AI systems, to solve challenging user problems at scale.
* Passion for tackling complex consumer problems, ideally within ﬁntech, personal ﬁnance, tax, or related domains where user trust, accuracy, and data privacy are paramount.
* Strong technical intuition; comfortable engaging deeply with engineering and data science on system architecture, model capabilities, APIs, and technical trade\-offs. Ability to translate complex AI concepts into clear product
* Bachelor’s degree required with a focus in Computer Science, Engineering, Data Science, Statistics, Economics, Business Administration, or related quantitative/technical ﬁeld. An MBA or an equivalent experience will be considered.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$ 180,500\- 244,000</t>
        </is>
      </c>
    </row>
    <row r="57">
      <c r="A57" t="inlineStr">
        <is>
          <t>in-2e64006cb40552fb</t>
        </is>
      </c>
      <c r="B57" t="inlineStr">
        <is>
          <t>Staff Product Manager - TurboTax Agentic AI</t>
        </is>
      </c>
      <c r="C57" t="inlineStr">
        <is>
          <t>Intuit</t>
        </is>
      </c>
      <c r="D57" t="inlineStr">
        <is>
          <t>indeed</t>
        </is>
      </c>
      <c r="E57" t="inlineStr"/>
      <c r="F57" t="inlineStr"/>
      <c r="G57" t="inlineStr">
        <is>
          <t>San Francisco, CA, US</t>
        </is>
      </c>
      <c r="H57" s="2" t="n">
        <v>46051</v>
      </c>
      <c r="I57" t="inlineStr">
        <is>
          <t>**Overview**
------------
Intuit TurboTax is building the future of Agentic tax preparation, leveraging LLMs, reasoning models, and computer\-using agents. We're looking for a seasoned Product Manager to drive the strategy for this initiative. This involves designing and delivering robust AI agents capable of complex reasoning and task execution at massive scale, leveraging Intuit's unique data assets and tax knowledge. You will define how these agents perform their tasks, how they collaborate with customers, and how we build trust and ensure accuracy with non\-deterministic technology. This role offers a unique opportunity to disrupt an industry impacting millions of Americans with cutting\-edge technologies.
 **Responsibilities**
* Define, own, and articulate a compelling vision, strategy, and multi\-year roadmap for agentic AI capabilities within TurboTax, translating complex user needs and business opportunities into measurable outcomes.
* Lead the ideation, technical development, and launch of innovative agentic AI features and experiences, partnering deeply with AI/ML engineers, data scientists, designers, and tax experts to deliver high\-accuracy, trustworthy, and confidence\-building solutions.
* Drive product definition and requirements for underlying AI models, agent orchestration logic, and human\-in\-the\-loop processes, balancing user experience with the high bar for accuracy required in tax.
* Design and execute data\-driven experiments (including A/B testing and user studies) specifically to validate hypotheses related to agentic AI effectiveness, user trust, and impact on filer confidence and accuracy.
* Build strong partnerships and influence roadmaps across senior leaders and teams to ensure cohesive strategy and execution for agentic AI initiatives.
 **Qualifications**
* 5\+ years designing and delivering world\-class software products focused on platform, data\-intensive systems, or AI/ML\-powered experiences.
* Deep understanding and signiﬁcant hands\-on experience deﬁning strategy for and shipping products leveraging Generative AI, complex Machine Learning models, Conversational AI or Agentic AI systems, to solve challenging user problems at scale.
* Passion for tackling complex consumer problems, ideally within ﬁntech, personal ﬁnance, tax, or related domains where user trust, accuracy, and data privacy are paramount.
* Strong technical intuition; comfortable engaging deeply with engineering and data science on system architecture, model capabilities, APIs, and technical trade\-offs. Ability to translate complex AI concepts into clear product
* Bachelor’s degree required with a focus in Computer Science, Engineering, Data Science, Statistics, Economics, Business Administration, or related quantitative/technical ﬁeld. An MBA or an equivalent experience will be considered.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$ 180,500\- 244,000</t>
        </is>
      </c>
    </row>
    <row r="58">
      <c r="A58" t="inlineStr">
        <is>
          <t>in-9c5cc05eb41d13ca</t>
        </is>
      </c>
      <c r="B58" t="inlineStr">
        <is>
          <t>Principal Product Manager - Tech, Recommender Systems, Prime Video Personalization &amp; Discovery</t>
        </is>
      </c>
      <c r="C58" t="inlineStr">
        <is>
          <t>Amazon.com</t>
        </is>
      </c>
      <c r="D58" t="inlineStr">
        <is>
          <t>indeed</t>
        </is>
      </c>
      <c r="E58" t="inlineStr"/>
      <c r="F58" t="inlineStr"/>
      <c r="G58" t="inlineStr">
        <is>
          <t>Washington, DC, US</t>
        </is>
      </c>
      <c r="H58" s="2" t="n">
        <v>45753</v>
      </c>
      <c r="I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in-77f6f99ff0e9aba6</t>
        </is>
      </c>
      <c r="B59" t="inlineStr">
        <is>
          <t>Principal Product Manager - Tech, Recommender Systems, Prime Video Personalization &amp; Discovery</t>
        </is>
      </c>
      <c r="C59" t="inlineStr">
        <is>
          <t>Amazon.com</t>
        </is>
      </c>
      <c r="D59" t="inlineStr">
        <is>
          <t>indeed</t>
        </is>
      </c>
      <c r="E59" t="inlineStr"/>
      <c r="F59" t="inlineStr"/>
      <c r="G59" t="inlineStr">
        <is>
          <t>Seattle, WA, US</t>
        </is>
      </c>
      <c r="H59" s="2" t="n">
        <v>45753</v>
      </c>
      <c r="I5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in-b860e7e9b527f952</t>
        </is>
      </c>
      <c r="B60" t="inlineStr">
        <is>
          <t>Cloud Software Platform Product Manager</t>
        </is>
      </c>
      <c r="C60" t="inlineStr">
        <is>
          <t>HP</t>
        </is>
      </c>
      <c r="D60" t="inlineStr">
        <is>
          <t>indeed</t>
        </is>
      </c>
      <c r="E60" t="inlineStr"/>
      <c r="F60" t="inlineStr"/>
      <c r="G60" t="inlineStr">
        <is>
          <t>Vancouver, WA, US</t>
        </is>
      </c>
      <c r="H60" s="2" t="n">
        <v>46041</v>
      </c>
      <c r="I60" t="inlineStr">
        <is>
          <t>**Description \-**
HP is transforming the way people work through consumer and enterprise business solutions and services that delight our customers. These new solutions and services leverage our internal HP Cloud Platform offering common infrastructure, tools, and services for software developers.
As part of the Software Product Management team for the platform, you will be responsible for defining and managing key components of our next\-generation cloud platform by engaging with HP software and business teams to understand their pain points, strategies, programs and solution needs. This role focuses in two areas: defining and selecting best\-in\-class cloud platform capabilities from internal services as they converge onto the platform, and enabling new agentic AI solutions \&amp; processes that will transform and accelerate software development and delivery at HP. You will help build and prioritize the platform roadmap for maximum impact across all HP business units. You will ensure our customers’ success in using the cloud platform to leverage best\-in\-class core services, managed infrastructure services, and software development tools and processes to deliver HP customer experiences that amaze. This role leads from both a product and program perspective, as you formulate strategies and meticulous plans for our future technologies and AI transformation. You will be part of a team supporting thousands of software developers, and hundreds of millions of users and devices worldwide.
**Job Responsibilities:**
* Facilitate and partner with business and technical leaders to develop value propositions, secure budgets, assess priorities, and integrate strategic initiatives across HP business units.
* Drive strong professional relationships with HP businesses and software solutions, including program, product, engineering, and executive management teams.
* Lead the creation \&amp; development of the cloud platform product in partnership with internal stakeholders.
* Lead cross\-functional teams through agile development processes.
* Manage the entire product and feature lifecycle for your domain, from strategic planning ideation to tactical execution implementation and stabilization.
* Integrate usability studies, gather voice of the customer, and use research and market analysis to discover and define rich, compelling user experiences.
* Manage solution engagement and onboarding, ensuring customer and partner success.
* Maintain clear priorities and relentless execution in a dynamic, fast\-paced environment.
* Partner with program management team to create SMART goals and a realistic schedule balancing speed, quality and resource constraints.
* Collaborate with software engineering bring ideas and prototypes to life.
* Advise key stakeholders on the portfolio strategy across all phases of the lifecycle.
* Define and report key metrics to drive future product developments.
* Define and use Agentic AI tools to fast track most of the above tasks.
Education \&amp; Experience
* Four\-year or Graduate Degree in Business, Computer Science, Software Engineering, Product Marketing, or similar discipline, commensurate work experience or demonstrated competence.
* 7\+ years of experience in software development, cloud infrastructure, platform engineering, business planning, and/or product marketing.
* Experience in product development transformation through agentic AI.
Knowledge \&amp; Skills
* Relentlessly focused on engaging customer experiences.
* Outstanding communication and presentation skills, both written and verbal, for diverse audiences including the scrum team, the program team, business solution teams, and executive management.
* Excellent interpersonal skills; able to build, manage and influence virtual teams over which you have no direct control.
* Excellent consensus\-building and conflict\-resolution skills.
* Excellent critical and analytical thinking and problem\-solving skills.
* Excellent organizational, project planning, change management and risk management skills.
* Able to connect plans and activities to measurable business results.
* Solid knowledge of agile software development and CI/CD principles.
* Technical knowledge of cloud services, web applications, and API development.
* Technical knowledge of data pipelines and event management services.
* Technical knowledge to create and manage AI agents.
* Knowledge of product marketing principles and practices.
* Knowledge of HP businesses, strategies, and operating environments.
* Able to work under pressure in a complex environment.
The pay range for this role is **$116,150** to **$182,400**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 US benefits overview )
The compensation and benefits information is accurate as of the date of this posting. The Company reserves the right to modify this information at any time, with or without notice, subject to applicable law.
**Job \-**
Software
**Schedule \-**
Full time
**Shift \-**
No shift premium (United States of America)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 Know Your Rights: Workplace Discrimination is Illegal "</t>
        </is>
      </c>
    </row>
    <row r="61">
      <c r="A61" t="inlineStr">
        <is>
          <t>in-4e4260790c3bace1</t>
        </is>
      </c>
      <c r="B61" t="inlineStr">
        <is>
          <t>Lead Software Engineering Program Manager - HP IQ</t>
        </is>
      </c>
      <c r="C61" t="inlineStr">
        <is>
          <t>HP</t>
        </is>
      </c>
      <c r="D61" t="inlineStr">
        <is>
          <t>indeed</t>
        </is>
      </c>
      <c r="E61" t="inlineStr"/>
      <c r="F61" t="inlineStr"/>
      <c r="G61" t="inlineStr">
        <is>
          <t>San Francisco, CA, US</t>
        </is>
      </c>
      <c r="H61" s="2" t="n">
        <v>45991</v>
      </c>
      <c r="I61" t="inlineStr">
        <is>
          <t>**Description \-**
**Who We Are**
HP IQ is HP’s new AI innovation lab. Combining startup agility with HP’s global scale, we’re building intelligent technologies that redefine how the world works, creates, and collaborates.
We’re assembling a diverse, world\-class team—engineers, designers, researchers, and product minds—focused on creating an intelligent ecosystem across HP’s portfolio. Together, we’re developing intuitive, adaptive solutions that spark creativity, boost productivity, and make collaboration seamless.
We create breakthrough solutions that make complex tasks feel effortless, teamwork more natural, and ideas more impactful—always with a human\-centric mindset.
By embedding AI advancements into every HP product and service, we’re expanding what’s possible for individuals, organisations, and the future of work.
Join us as we reinvent work, so people everywhere can do their best work.
**About the Role**
HP IQ is a recently acquired business unit combining the agility of a startup with the scale of an enterprise. We’re seeking a highly motivated Lead Software EPM to drive cross\-functional programs at the intersection of software, hardware, and AI. This role will play a critical part in shaping future\-connected experiences across a diverse portfolio of devices and platforms.This technical leader will be comfortable navigating ambiguity and can help define and drive high\-impact initiatives with minimal upfront guidance.
You may come from a software or systems engineering background and be transitioning into program management, or you may already be a seasoned EPM with deep technical fluency in complex SW\-HW systems development. Either way, curiosity, adaptability, and a desire to learn are essential.
**What You Might Do**
* Own the full lifecycle of software initiatives with strong hardware dependencies—scoping, planning, execution, and delivery—ensuring alignment with strategic goals and engineering excellence.
* Partner closely with software developers, hardware engineering, and product managers to define technical requirements and drive cross\-functional execution.
* Navigate shifting priorities by balancing long\-term platform investments with rapid delivery of impactful user\-facing features.
* Build strong relationships with partner teams across engineering, product, research, and design to align goals and deliver against key milestones.
* Foster a culture of trust, clarity, and shared ownership. Communicate effectively across technical and non\-technical audiences.
**Essential Qualifications**
* Experienced in leading zero\-to\-one product or platform development, ideally in fast\-paced or emerging environments.
* Experience delivering software solutions with closely tied dependencies to embedded hardware and sensor solutions.
* Strong foundation in software product development, with full\-stack systems understanding from cloud services to on\-device components.
* Strong foundation in hardware product development, with an understanding of hardware development life cycles and embedded software development.
* Experience in managing cross functional teams across multiple time zones, including contract firms.
* Bachelor’s Degree in Computer Science, Engineering, or a related technical field—or equivalent practical experience.
* 10\+ years in technical program management, software engineering, or program roles supporting complex hardware\-software development.
* Solid grasp of Agile methodologies and project tracking tools, with a proven track record of driving cross\-functional programs.
* Excellent written and verbal communication skills—able to simplify complex concepts and drive alignment across diverse teams.
* Strong analytical skills, a bias for action, and a proactive, ownership\-driven mindset.
**Preferred Skills**
* Experience within both startup environments and large\-scale enterprise organizations.
* Proven experience in launching software products with hardware dependencies for consumer markets.
* Able to tailor processes to fit team structure, ensuring efficient planning and streamlined status updates.
* Understands how to increase development velocity while maintaining high technical standards and aligning with product and design goals.
* Skilled in using bug and task tracking tools, particularly Jira.
Salary: $190,000\- $240,000
**Compensation \&amp; Benefits (Full\-Time Employees)**
The salary range for this role is listed above. Final salary offered is based upon multiple factors including individual job\-related qualifications, education, experience, knowledge and skills.
At HP IQ, we offer a competitive and comprehensive benefits package,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 US benefits overview )
**Job \-**
Software
**Schedule \-**
Full time
**Shift \-**
No shift premium (United States of America)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 Know Your Rights: Workplace Discrimination is Illegal "</t>
        </is>
      </c>
    </row>
    <row r="62">
      <c r="A62" t="inlineStr">
        <is>
          <t>in-8e8ee259a811e5d5</t>
        </is>
      </c>
      <c r="B62" t="inlineStr">
        <is>
          <t>EPMO Program Manager, Strategic Planning</t>
        </is>
      </c>
      <c r="C62" t="inlineStr">
        <is>
          <t>Self Regional Healthcare</t>
        </is>
      </c>
      <c r="D62" t="inlineStr">
        <is>
          <t>indeed</t>
        </is>
      </c>
      <c r="E62">
        <f>HYPERLINK("https://www.indeed.com/viewjob?jk=8e8ee259a811e5d5", "https://www.indeed.com/viewjob?jk=8e8ee259a811e5d5")</f>
        <v/>
      </c>
      <c r="F62">
        <f>HYPERLINK("https://recruiting.ultipro.com/GRE1050GNHP/JobBoard/2b67ecb4-00fb-4863-931a-7bf0ebcb493a/OpportunityDetail?opportunityId=259ec47c-da4b-4a11-ac5d-0be7cb5c003c&amp;postingId=39128bc5-24a3-497e-b1b5-473ad0170e76", "https://recruiting.ultipro.com/GRE1050GNHP/JobBoard/2b67ecb4-00fb-4863-931a-7bf0ebcb493a/OpportunityDetail?opportunityId=259ec47c-da4b-4a11-ac5d-0be7cb5c003c&amp;postingId=39128bc5-24a3-497e-b1b5-473ad0170e76")</f>
        <v/>
      </c>
      <c r="G62" t="inlineStr">
        <is>
          <t>Greenwood, SC, US</t>
        </is>
      </c>
      <c r="H62" s="3" t="n">
        <v>46052</v>
      </c>
      <c r="I62" t="inlineStr">
        <is>
          <t>Education and Job Qualifications  
Bachelor's degree in Business Administration, Healthcare Administration, Information Systems, or related field required.  
Master's Degree (MBA, MHA, or MPH)preferred.  
Minimum 3 years of project management experience, preferably in healthcare setting but not required.
Skills Qualifications
Strong knowledge of program and project management methodologies (ex. Agile, Waterfall, Hybrid)  
Ability to lead cross\-functional teams with minimal\- formal authority.  
Excellent organizational, communication, and presentation skills.  
Proficient in Microsoft 365
License and Certification Requirements
Project Manager Certification Required\-PMP  
Program Management Professional (PgMP) preferred  
CCMP or Prosci OCM certification preferred.</t>
        </is>
      </c>
    </row>
    <row r="63">
      <c r="A63" t="inlineStr">
        <is>
          <t>in-af6e27f421a1992e</t>
        </is>
      </c>
      <c r="B63" t="inlineStr">
        <is>
          <t>Tenant Relocation Program Manager</t>
        </is>
      </c>
      <c r="C63" t="inlineStr">
        <is>
          <t>AECOM</t>
        </is>
      </c>
      <c r="D63" t="inlineStr">
        <is>
          <t>indeed</t>
        </is>
      </c>
      <c r="E63">
        <f>HYPERLINK("https://www.indeed.com/viewjob?jk=af6e27f421a1992e", "https://www.indeed.com/viewjob?jk=af6e27f421a1992e")</f>
        <v/>
      </c>
      <c r="F63">
        <f>HYPERLINK("https://jobs.smartrecruiters.com/AECOM2/744000106588476-tenant-relocation-program-manager", "https://jobs.smartrecruiters.com/AECOM2/744000106588476-tenant-relocation-program-manager")</f>
        <v/>
      </c>
      <c r="G63" t="inlineStr">
        <is>
          <t>New York, NY, US</t>
        </is>
      </c>
      <c r="H63" s="3" t="n">
        <v>46052</v>
      </c>
      <c r="I63" t="inlineStr">
        <is>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is seeking a **Tenant Relocation Program Manager** to support the Program Management Team on the **AECOM**/**New York City Housing Authority (NYCHA)** Comprehensive Modernization program. The Relocation Manager will manage day\-to\-day oversight of tenant relocation activities, maintain critical trackers, support compliance with relocation requirements, and ensure alignment between NYCHA, relocation vendors, design\-build teams, field staff, and internal AECOM stakeholders.
This role is designed for a highly organized program coordinator and problem\-solver with experience in tenant relocation, housing programs, or large public\-sector initiatives. This role offers a strong leadership\-track opportunity for a mid\-career professional.
**Key Responsibilities:**
* Establish procedures, gather data, develop legal/policy frameworks, and ensure readiness of vacant units.
* Develop and coordinate procedures for managing relocations, including legal and policy documents (e.g., Temporary Relocation License Agreement, resident notices such as NOND).
* Coordinate reviews with COO’s division, ATAD, Legal, Resident Services Department (RSD) and other stakeholders.
* Forecast and manage inventory of vacant apartments (on\-site and off\-site).
* Support bi\-weekly meetings with Operations to track preparation of vacant units.
* Establish workflows defining roles/responsibilities for moving residents to temporary housing.
* Lead line\-by\-line lease compliance and property management reviews before and after contract award.
* Oversee the matching process post\-award, ensuring collaboration across departments to resolve tenant issues and optimize placements.
* Coordinate bi\-weekly stakeholder meetings to monitor progress.
* Collaborate with teams to resolve challenges and streamline relocation processes.
**Qualifications** **Minimum Requirements:**
* BA/BS plus four years of relevant experience or demonstrated equivalency of experience and/or education
**Preferred Requirements:**
* NY/ NJ Agency experience
* Familiarity with environmental documentation or hazardous materials processes including lead and asbestos removal and disposal.
* Experienced proactive project manager.
**Additional Information**  
* Sponsorship for US employment authorization is not available now or in the future for this position.
* Relocation is not available for this position.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community—where you have the freedom to grow in a world of opportunity.
As an Equal Opportunity Employer, we believe in your potential and are here to help you achieve it. All your information will be kept confidential according to EEO guidelines.</t>
        </is>
      </c>
    </row>
    <row r="64">
      <c r="A64" t="inlineStr">
        <is>
          <t>in-04abfbc74ff5df96</t>
        </is>
      </c>
      <c r="B64" t="inlineStr">
        <is>
          <t>Volunteer Program Manager</t>
        </is>
      </c>
      <c r="C64" t="inlineStr">
        <is>
          <t>Happy Cats Haven</t>
        </is>
      </c>
      <c r="D64" t="inlineStr">
        <is>
          <t>indeed</t>
        </is>
      </c>
      <c r="E64">
        <f>HYPERLINK("https://www.indeed.com/viewjob?jk=04abfbc74ff5df96", "https://www.indeed.com/viewjob?jk=04abfbc74ff5df96")</f>
        <v/>
      </c>
      <c r="F64">
        <f>HYPERLINK("http://www.indeed.com/job/volunteer-program-manager-04abfbc74ff5df96", "http://www.indeed.com/job/volunteer-program-manager-04abfbc74ff5df96")</f>
        <v/>
      </c>
      <c r="G64" t="inlineStr">
        <is>
          <t>Manitou Springs, CO, US</t>
        </is>
      </c>
      <c r="H64" s="3" t="n">
        <v>46052</v>
      </c>
      <c r="I64" t="inlineStr">
        <is>
          <t>**Volunteer Program Manager**
Are you a cat lover who also loves people? Do you enjoy orchestrating activities and sparking connections between people, especially to further good causes? Are you interested in an impactful career in the non\-profit space?
Happy Cats Haven is a small not\-for\-profit cat rescue and shelter established in 2011\. We are a dynamic team of passionate staff and volunteers who make life better for the cats in our care… and the people who love them. We’re seeking a dynamic and personable individual to lead our Volunteer Program \- an essential component of our shelter’s operations. The ideal candidate will be enthusiastic and passionate about working with people, capable of cultivating a rewarding, supportive, and engaging experience for our volunteers while driving meaningful community involvement.
**Responsibilities:**
The Volunteer Program Manager is responsible for all aspects of Happy Cats Haven’s volunteer programs and volunteer events including:
* Managing all aspects of our Volunteer program including recruitment, training and ongoing support of Volunteers
* Developing a positive experience for Volunteers through recognition programs
* Coordinating events and volunteer opportunities with our department Managers
* Managing our volunteer database and volunteer communications
* Leading our Volunteer committee and Volunteer Mentor program
* Submit bi\-monthly reports on the volunteer program and activities
* Positively representing and promoting Happy Cats Haven to the public
**Requirements:**
* Commitment to Happy Cats Haven’s mission and the welfare of cats in our care
* The desire to improve the lives of cats and the people who love them
* Empathy, patience and understanding
* Excellent verbal and written communication skills
* Ability to work weekends
* Prior work experience in an office environment
* High school diploma or equivalent
**Preferred Skills and Experience:**
* Experience in developing and implementing programs
* Experience with CRM or similar database software
* Experience collaborating with individuals from diverse backgrounds
* Not\-for\-profit work experience
**Job Details:**
* Starting salary: $15\.16 per hour
* Up to 20 hours per week; office/remote hybrid position
* The Volunteer Manager is a part\-time, hourly position with flexible hours. Our manager should expect to work some weekend days for volunteer management, training and events.
* Benefits include paid time off, purrs and head\-butts, and the satisfaction of meaningful work that makes a difference in the lives of people and their pets.
Job Type: Part\-time
Pay: From $15\.16 per hour
Benefits:
* Paid time off
Work Location: Hybrid remote in Manitou Springs, CO 80829</t>
        </is>
      </c>
    </row>
    <row r="65">
      <c r="A65" t="inlineStr">
        <is>
          <t>in-8be9403a64c73e64</t>
        </is>
      </c>
      <c r="B65" t="inlineStr">
        <is>
          <t>Program Manager - Housing Choice Voucher (HCV) Program</t>
        </is>
      </c>
      <c r="C65" t="inlineStr">
        <is>
          <t>Central Office Section 8 Housing Assistance Payments Program</t>
        </is>
      </c>
      <c r="D65" t="inlineStr">
        <is>
          <t>indeed</t>
        </is>
      </c>
      <c r="E65">
        <f>HYPERLINK("https://www.indeed.com/viewjob?jk=8be9403a64c73e64", "https://www.indeed.com/viewjob?jk=8be9403a64c73e64")</f>
        <v/>
      </c>
      <c r="F65">
        <f>HYPERLINK("http://www.indeed.com/job/program-manager-housing-choice-voucher-hcv-program-8be9403a64c73e64", "http://www.indeed.com/job/program-manager-housing-choice-voucher-hcv-program-8be9403a64c73e64")</f>
        <v/>
      </c>
      <c r="G65" t="inlineStr">
        <is>
          <t>Saratoga Springs, NY, US</t>
        </is>
      </c>
      <c r="H65" s="3" t="n">
        <v>46052</v>
      </c>
      <c r="I65" t="inlineStr">
        <is>
          <t>**Job Summary** 
Recognized as one of the Best Places to Work by the Albany Business Review in 2022, JEM Inc/Central Office provides consulting services for local municipalities to administer the Housing Choice Voucher (HCV) Program, also known as Section 8\. The HCV program is a federal program that helps low\-income families, the elderly, and people with disabilities afford safe housing in the private market. The Program Manager works with a caseload of families and landlords in a certain area of jurisdiction to manage subsidy and ensure adherence to regulations from HUD. The Program Manager must work within HCV program regulations and the administrative plan to determine if low\-income individuals qualify, maintain eligibility, manage certifications, yearly inspections and lease agreements. Program Managers work directly with participants and landlords via telephone, mail and email. This is a remote role but local applicants preferred for in\-person onboarding and work hours coverage.
**Duties \&amp; Responsibilities**
* Brief new participants and landlords on program requirements, tenant and landlord responsibilities as described in HUD regulations and our administrative plan
* Review initial information to determine of the family is eligible for assistance
* Work with families, the elderly and people with disabilities to meet their housing needs on a case\-by\-case basis while managing a solid caseload
* Review case files for accuracy and compliance as required by the organization's administrative plan, HUD policies and regulations, and all other applicable federal, state and local laws
* Keep programs at maximum utilization within the responsible jurisdictions
* Accurately calculate tenant rent for admission, interim, annual and special re\-examinations
* Work with other departments in the organization to ensure accurate payments, secure inspections, prevent fraud, manage paperwork, and enroll eligible families in the Family Self\-Sufficiency program
**Knowledge, Skills, and Abilities**
* Proficiency in using computer software, including Microsoft Office Suite, and housing management systems
* Strong organizational skills, attention to detail, and superior time management skills
* Knowledge in Section 8 HUD regulations and Fair Housing Laws a plus
* Excellent communication skills, as well as strong interpersonal and conflict\-resolution abilities
* Positive upbeat attitude capable of providing a high level of service to the population we serve in a dignified and compassionate environment
* Ability to work effectively, accurately and independently with frequent interruptions and meet short\-term deadlines under pressure
**Credentials and Experience**
* High school diploma required, college degree preferred
* Experience working with people or customer service experience preferred
* Human or social services industry experience preferred (social work, public administration, etc.)
* HCV Specialist training course and passed certification required once hired
Job Type: Full\-time
Pay: $45,000\.00 \- $50,000\.00 per year
Benefits:
* 401(k)
* Dental insurance
* Flexible spending account
* Health insurance
* Paid time off
* Retirement plan
* Vision insurance
Work Location: Hybrid remote in Saratoga Springs, NY 12866</t>
        </is>
      </c>
    </row>
    <row r="66">
      <c r="A66" t="inlineStr">
        <is>
          <t>in-e09181cf03738a81</t>
        </is>
      </c>
      <c r="B66" t="inlineStr">
        <is>
          <t>Urgent Need of -Technical Data Product Owner-San Francisco California-</t>
        </is>
      </c>
      <c r="C66" t="inlineStr">
        <is>
          <t>Deltasoft Solutions LLC</t>
        </is>
      </c>
      <c r="D66" t="inlineStr">
        <is>
          <t>indeed</t>
        </is>
      </c>
      <c r="E66">
        <f>HYPERLINK("https://www.indeed.com/viewjob?jk=e09181cf03738a81", "https://www.indeed.com/viewjob?jk=e09181cf03738a81")</f>
        <v/>
      </c>
      <c r="F66">
        <f>HYPERLINK("https://deltasoft-solutions-llc.careerplug.com/j/02vfjvc", "https://deltasoft-solutions-llc.careerplug.com/j/02vfjvc")</f>
        <v/>
      </c>
      <c r="G66" t="inlineStr">
        <is>
          <t>San Francisco, CA, US</t>
        </is>
      </c>
      <c r="H66" s="3" t="n">
        <v>46052</v>
      </c>
      <c r="I66" t="inlineStr">
        <is>
          <t>**Benefits:**
* 401(k)
* 401(k) matching
* Bonus based on performance
**Technical Data Product Owner**  
**Location \_\_San Francisco California**  
* **Needed Locals to Bay Area**
Overview:  
The Data Disposition Program is seeking a Technical Product Owner (TPO) to provide technical governance, feasibility determination and execution oversight for enterprise systems containing personal information (PI). This role is accountable for ensuring that system level disposition, purge, anonymization are fully aligned with CCPA requirements and PG\&amp;E’s Record Retention Schedules.  
The TPO serves as a primary technical authority responsible for translating legal, privacy, and records retention policy into executable technical designs across complex system landscapes. The TPO must have outstanding communication skills enable them to effectively convey complex data concepts to non\-technical stakeholders and collaborate seamlessly with varying teams. The ideal candidate is proactive, self\-motivated, and adaptable to evolving environments, maintaining composure under pressure and managing multiple tasks efficiently.  
Data and Systems Lineage Experience:  
* Strong understanding of data lineage concepts, retention trigger events, and records lifecycle management concepts.
* Proficiency in data lineage and metadata management tools (e.g., Informatica, Collibra, Alation) to support record retention alignment.
* Experience translating record retention schedules, and CCPA's obligations into executable technical designs so
* Hands\-on experience with SQL and database management systems (e.g., Oracle, SQL Server, MySQL).
* Knowledge of ETL processes, downstream dependency mapping comma and system integration techniques used to support this position feasibility.
* Experience working with legacy, SaaS, and cloud\-hosted platforms (e.g. Salesforce and vendor\- managed systems) where native retention enforcement may be limited
* Ability to document complex data flows and create clear visual representations by working with different stakeholders across functional organization.
* Experience with cloud data platforms (e.g., AWS, Azure, Google Cloud) is a plus.
* Relevant certifications / Proficiency with industry\-standard data lineage and metadata management tools such as Informatica, Collibra, or Alation are a plus
* Ability to conduct Kick of sessions with Application stake holders and document the Disposition processes.
What we are looking for  
* Ability to translate legal, privacy and record retention policy into executable technical designs.
* Ability to operate as an independent technical authority with minimal supervision.
* Proven ability to manage multiple high risk plans work streams in dynamic environments
* Exceptional documentation, and ability to clearly communicate technical risk, visibility and compliance implications to non\-technical leaders.
Key Responsibilities:  
Serve as a technical governance authority for data disposition across legacy, SAS and cloud hosted platforms (e.g., Salesforce, and vendor\-managed systems).  
Own and approve feasibility determination for purge, anonymization, and Information Life Cycle Management (ILM) strategies align to records retention schedules in accordance with Information Records Governance.  
Evaluate integration points to determine the impact of data removal on related systems and processes.  
Collaborate with Data Stewards, Privacy, IRG, Support IT SME and Legal teams to ensure personal information data is identified and handled appropriately.  
Partner with business analysts/project managers and system owners to ensure that data disposition efforts align with retention schedules and regulatory requirements.  
Assist in defining technical solutions and developing transition strategies for systems entering end\-of\-life.  
Participate in technical reviews, data mapping, and architecture discussions to inform disposition readiness.  
Qualifications:  
10\+ years of experience in enterprise data architecture and system integration, focused technical leadership roles  
Proven understanding of relational database structures and entity relationships.  
Experience identifying and documenting upstream/downstream data flows and dependencies.  
Hands\-on experience with lineage systems such as Informatica, Collibra, or similar tools.  
Familiarity with system decommissioning and integration lifecycle management.  
Ability to interpret data dictionaries and interface specifications.  
Proven ability to lead breakthrough sessions  
Exceptional written and verbal communication skills with executive\-level stakeholders.  
Preferred:  
Prior PG\&amp;E experience  
Experience leading large\-scale system and implementations  
Extensive experience with lineage  
Salesforce, SaaS, and vendor\-managed application experience  
Knowledge of data quality and support frameworks  
Technical solution architecture experience, implementing Information Lifecycle Management (ILM) solutions.  
**Thanks \&amp; Regards**
**Bhanu Prakash**
**DeltaSoft Solutions**
**bhanu.prakash@deltasoftgroup.com**</t>
        </is>
      </c>
    </row>
    <row r="67">
      <c r="A67" t="inlineStr">
        <is>
          <t>in-70bd7a1656caf119</t>
        </is>
      </c>
      <c r="B67" t="inlineStr">
        <is>
          <t>Technical Program Manager, Threat Detection (Remote)</t>
        </is>
      </c>
      <c r="C67" t="inlineStr">
        <is>
          <t>Experian</t>
        </is>
      </c>
      <c r="D67" t="inlineStr">
        <is>
          <t>indeed</t>
        </is>
      </c>
      <c r="E67">
        <f>HYPERLINK("https://www.indeed.com/viewjob?jk=70bd7a1656caf119", "https://www.indeed.com/viewjob?jk=70bd7a1656caf119")</f>
        <v/>
      </c>
      <c r="F67">
        <f>HYPERLINK("https://jobs.smartrecruiters.com/Experian/744000106583854-technical-program-manager-threat-detection-remote-", "https://jobs.smartrecruiters.com/Experian/744000106583854-technical-program-manager-threat-detection-remote-")</f>
        <v/>
      </c>
      <c r="G67" t="inlineStr">
        <is>
          <t>US</t>
        </is>
      </c>
      <c r="H67" s="3" t="n">
        <v>46052</v>
      </c>
      <c r="I67" t="inlineStr">
        <is>
          <t>**Company Description**  
Experian is a global data and technology company, powering opportunities for people and businesses around the world. We help to redefine lending practices, uncover and prevent fraud, simplify healthcare, create digital marketing solutions, and gain deeper insights into the automotive market, all using our unique combination of data, analytics and software. We also assist millions of people to realise their financial goals and help them to save time and money.
We operate across a range of markets, from financial services to healthcare, automotive, agrifinance, insurance, and many more industry segments.
We invest in people and new advanced technologies to unlock the power of data and to innovate. A FTSE 100 Index company listed on the London Stock Exchange (EXPN), we have a team of 23,300 people across 32 countries. Our corporate headquarters are in Dublin, Ireland. Learn more at experianplc.com.
 **Job Description**  
The Technical Program Manager (TPM) for the Threat Detection Engineering team will be at the intersection of cybersecurity and program management, leading the execution of complex, large\-scale projects. The ideal candidate should have strong business analysis or program management skills, with experience in data analysis, project management, stakeholder engagement, and familiarity with emerging technologies such as Google SecOps and Agentic AI. Additionally, proficiency in measuring program effectiveness using OKRs and reducing overall risk is essential.
You will report to the Senior Director, Threat Detection.
**You'll have the opportunity to:**
* Lead the planning, execution, and delivery of large\-scale, complex projects within the Threat Detection Engineering domain, ensuring objectives are met on time and within budget.
* Collaborate with multiple teams, including security engineers, software developers, and IT operations, to define project requirements, scope, and goals.
* Leverage technologies like Splunk, Cribl, Exabeam, and Google SecOps to inform project decisions and strategies.
* Lead integration of Agentic AI solutions to enhance detection engineering workflows, automate threat analysis, and improve decision\-making.
* Develop and implement automations to improve security operations and threat detection processes using Python or low\-code/no\-code platforms like Tines.
* Champion the use of Infrastructure as Code practices within the team, enhancing scalability and resilience of our security infrastructure.
* Manage project risks and ambiguities, navigating challenges and ensuring project success.
* Foster a culture of innovation and continuous improvement, encouraging exploration of new technologies and methodologies to promote our threat detection capabilities.
* Communicate project progress, risks, and outcomes to partners at all levels, providing transparency and encouraging informed decision\-making.
* Maintain knowledge of cybersecurity trends, threats, and technologies, ensuring our threat detection strategies remain ahead of potential attackers.
**Qualifications** **Your background:**
* 8\+ years of experience in the cybersecurity field, with at least 3\+ years leading large\-scale Detection Engineering Programs, encompassing a broad understanding of cyber threats, defense mechanisms, and the cybersecurity landscape.
* Experience as a Technical Program Manager or similar role in a cybersecurity or technology\-focused environment.
* Familiarity with Agentic AI concepts and practical experience integrating AI\-driven workflows into security operations.
* Technical background in cybersecurity technologies and methodologies, with a focus on threat intelligence, detection, response, and prevention
* Project management skills, with experience leading complex projects to successful completion.
* Relevant certifications in project management (e.g., PMP), cybersecurity (e.g., CISSP), or technical domains (e.g., Splunk Certification) are highly desirable.
* Able to manage ambiguous requirements and navigate challenges to achieve project objectives.
* Experience leading content discussion around incident investigation efforts and effectively coordinating communications.
* Experience in tracking activities within various Security Operation workflows.
**Additional Information** **Benefits/Perks:**
* Great compensation package and bonus plan.
* Core benefits including medical, dental, vision, and matching 401K.
* Flexible work environment, ability to work remote, hybrid or in\-office.
* Flexible time off including volunteer time off, vacation, sick and 12\-paid holidays.
* Explore all our exciting benefits here: https://yourexperianbenefits.com/cand\-index.html.
At Experian, our people and culture set us apart. We're committed to creating an environment where everyone feels they belong and can excel. From inclusion and authenticity to work/life balance, development, wellness, collaboration, and recognition, we focus on what matters. Our people\-first approach has earned us global recognition: World's Best Workplaces™ 2024 (Fortune Top 25\), Great Place To Work™ 2025 in 26 countries, and Glassdoor Best Places to Work 2024, among others.
Want to see what life at Experian is really like? Explore Experian Life on social or visit our careers site.
Our compensation reflects the cost of labor across several U.S. geographic markets. The base pay range for this position is listed above. Within this range, individual pay is determined by work location and additional factors such as job\-related skills, experience, and education. You will be also eligible for a variable pay opportunity.
Experian is proud to be an Equal Opportunity Employer for all groups protected under applicable federal, state and local law, including protected veterans and individuals with disabilities. If you have a disability or special need that requires accommodation, please let us know at the earliest opportunity.
\#LI\-Remote
This is a remote position.</t>
        </is>
      </c>
    </row>
    <row r="68">
      <c r="A68" t="inlineStr">
        <is>
          <t>in-8cd651e809d21666</t>
        </is>
      </c>
      <c r="B68" t="inlineStr">
        <is>
          <t>Program Manager</t>
        </is>
      </c>
      <c r="C68" t="inlineStr">
        <is>
          <t>Quantum Systems Inc</t>
        </is>
      </c>
      <c r="D68" t="inlineStr">
        <is>
          <t>indeed</t>
        </is>
      </c>
      <c r="E68">
        <f>HYPERLINK("https://www.indeed.com/viewjob?jk=8cd651e809d21666", "https://www.indeed.com/viewjob?jk=8cd651e809d21666")</f>
        <v/>
      </c>
      <c r="F68">
        <f>HYPERLINK("http://www.indeed.com/job/program-manager-8cd651e809d21666", "http://www.indeed.com/job/program-manager-8cd651e809d21666")</f>
        <v/>
      </c>
      <c r="G68" t="inlineStr">
        <is>
          <t>Moorpark, CA, US</t>
        </is>
      </c>
      <c r="H68" s="3" t="n">
        <v>46052</v>
      </c>
      <c r="I68" t="inlineStr">
        <is>
          <t>Quantum Systems Inc. is a global leader in aerial intelligence and autonomous, AI\-powered aerial robotics. We design, develop, manufacture and deliver eVTOL Unmanned Aircraft Systems UAS and an ecosystem of related products and services. Our business directly addresses the Defense and Security markets in North America, Asia Pacific and Latin America. We currently have an opening for a **Program Manager**. This position reports to the Director of Programs.
We are seeking a customer\-facing **Program Manager** to lead execution of unmanned aerial vehicle (UAV) programs. This role is responsible for end\-to\-end program execution, serving as the primary interface between government customers and internal cross\-functional teams. The ideal candidate brings strong program discipline, comfort working with uniformed and civilian customers, and experience delivering complex technical systems in regulated environments.
**Key Responsibilities**
* Serve as the primary point of contact for government customers
* Build trusted relationships through clear communication, responsiveness, and execution credibility
* Lead internal and external program reviews and status briefings
* Manage customer expectations and proactively identify and resolve issues
* Own full lifecycle program execution from contract award through delivery/close
* Plan and manage scope, schedule, budget, and risk
* Ensure delivery of all contractual requirements including SOWs, CDRLs, and milestones
* Coordinate cross\-functional teams including engineering, operations, supply chain, quality, and finance
* Execute programs in compliance with FAR/DFARS, contract terms, and company policies
* Ensure adherence to applicable regulatory requirements (e.g., ITAR/EAR, cybersecurity, quality)
* Manage contract changes, modifications, and customer\-directed actions
* Maintain accurate program reporting and forecasting
* Identify, assess, and mitigate program risks and maintain program risk register.
* Escalate issues appropriately to leadership with recommended mitigation plans
* Drive corrective actions to closure
* Support capture, recompete, and program growth efforts through performance data and customer insight
* Identify opportunities for follow\-on work, program expansion, or additional value delivery
**Required Qualifications**
* Bachelor’s degree in Engineering, Business, Program Management, or related field
* 5\+ years of program or project management experience
* Strong understanding of government contracting fundamentals
* Proven ability to manage complex, cross\-functional technical programs
* Excellent written and verbal communication skills, including executive\-level briefings
* U.S. citizenship required due to government contract requirements.
**Preferred Qualifications**
* Experience managing UAV, aerospace, defense, robotics, or ISR systems
* Familiarity with FAR/DFARS, CDRLs, and government program reporting
* Experience with cost\-type, firm\-fixed\-price, or IDIQ contracts
* PMP or equivalent certification
* Experience working directly with DoD, military services, federal law enforcement, or intelligence customers
Job Type: Full\-time
Pay: $140,000\.00 \- $160,000\.00 per year
Benefits:
* 401(k)
* 401(k) matching
* Dental insurance
* Flexible spending account
* Health insurance
* Health savings account
* Life insurance
* Paid time off
* Referral program
* Vision insurance
Work Location: In person</t>
        </is>
      </c>
    </row>
    <row r="69">
      <c r="A69" t="inlineStr">
        <is>
          <t>in-724494cdaf5d2e99</t>
        </is>
      </c>
      <c r="B69" t="inlineStr">
        <is>
          <t>Program Manager</t>
        </is>
      </c>
      <c r="C69" t="inlineStr">
        <is>
          <t>Unity FI Solutions</t>
        </is>
      </c>
      <c r="D69" t="inlineStr">
        <is>
          <t>indeed</t>
        </is>
      </c>
      <c r="E69">
        <f>HYPERLINK("https://www.indeed.com/viewjob?jk=724494cdaf5d2e99", "https://www.indeed.com/viewjob?jk=724494cdaf5d2e99")</f>
        <v/>
      </c>
      <c r="F69">
        <f>HYPERLINK("http://www.indeed.com/job/program-manager-724494cdaf5d2e99", "http://www.indeed.com/job/program-manager-724494cdaf5d2e99")</f>
        <v/>
      </c>
      <c r="G69" t="inlineStr">
        <is>
          <t>Charlotte, NC, US</t>
        </is>
      </c>
      <c r="H69" s="3" t="n">
        <v>46052</v>
      </c>
      <c r="I69" t="inlineStr">
        <is>
          <t>**Position Overview**
The Program Manager at Unity FI Solutions is responsible for leading and coordinating complex, cross\-functional initiatives that support the company’s strategic, operational, compliance, and growth objectives. This role manages multiple related projects as integrated programs, ensuring alignment with Unity’s strategic roadmap, regulatory requirements, partner bank expectations, and client delivery commitments.
The Program Manager acts as a central execution leader — driving structure, accountability, visibility, and delivery discipline across initiatives that span technology, operations, risk \&amp; compliance, banking partnerships, product development, and client implementations.
**Core ResponsibilitiesProgram Leadership \&amp; Execution**
· Lead enterprise\-level programs consisting of multiple interdependent projects
· Translate strategic objectives into executable program roadmaps
· Establish governance structures, milestones, and delivery frameworks
· Manage program scope, timelines, dependencies, and risks
· Ensure alignment across business units and functional teams
· Drive disciplined execution and accountability
· Manage a team of project managers and project coordinators
**Cross\-Functional Coordination**
· Partner with Technology, Operations, Risk \&amp; Compliance, Finance, Sales and Marketing
· Facilitate collaboration across internal teams and external partners
· Align stakeholders around shared objectives and delivery timelines
· Serve as a central communication hub for program status and execution
**PMO Standards \&amp; Governance**
· Apply Unity’s project and program management methodologies
· Ensure consistent documentation, reporting, and execution standards
· Maintain program dashboards, KPIs, and executive reporting
· Support portfolio management and prioritization efforts
· Enforce governance, controls, and escalation protocols
**Risk, Compliance \&amp; Regulatory Alignment**
· Ensure program initiatives align with regulatory, compliance, and risk frameworks
· Coordinate with Risk \&amp; Compliance teams on regulatory dependencies
· Support bank partner requirements and audit readiness
· Integrate NACHA, BSA/AML, OFAC, SOC, PCI, and data governance considerations into program planning
**Technology \&amp; Platform Initiatives**
· Support delivery of platform modernization initiatives (e.g., Unity Portal, APIs, integrations)
· Coordinate technical and non\-technical workstreams
· Align business requirements with technical delivery teams
· Support system migrations, onboarding flows, and automation programs
**Client \&amp; Partner Enablement**
· Support strategic client implementations and enterprise onboarding programs
· Coordinate partner integrations and delivery timelines
· Align internal delivery teams with client commitments
· Support relationship management and escalation resolution
**Performance \&amp; Reporting**
· Track program progress against milestones, budgets, and KPIs
· Develop executive dashboards and reporting packages
· Provide clear, proactive risk and issue management
· Drive continuous improvement across delivery processes
**QualificationsExperience**
· 3–10\+ years of experience in program management, project management, or operations leadership
· Experience managing complex, cross\-functional initiatives
· Experience in FinTech, PayTech, Financial Services, Banking, or regulated environments preferred
· Experience working with technical teams and platform initiatives
· Experience supporting compliance\-driven or regulated programs
**Skills \&amp; Competencies**
· Program and portfolio management
· Strategic planning and execution
· Stakeholder management
· Risk and dependency management
· Process design and optimization
· Executive communication
· Data\-driven decision\-making
· Change management
· Documentation and governance
**Leadership Attributes**
· Highly organized and execution\-focused
· Strong communicator
· Collaborative leadership style
· Accountability\-driven
· Detail\-oriented with strategic perspective
· Comfortable operating in complex, regulated environments
**Role Impact**
The Program Manager plays a critical role in enabling Unity FI Solutions’ growth, scalability, and operational excellence by ensuring that strategic initiatives are executed with discipline, transparency, and alignment across the organization.
**Career Path**
Program Manager → Senior Program Manager → Director of PMO / Strategic Operations → Executive Leadership
Job Type: Full\-time
Pay: $115,000\.00 \- $130,000\.00 per year
Benefits:
* 401(k)
* 401(k) matching
* Dental insurance
* Health insurance
* Paid time off
* Vision insurance
Work Location: In person</t>
        </is>
      </c>
    </row>
    <row r="70">
      <c r="A70" t="inlineStr">
        <is>
          <t>in-be982dfef55ab536</t>
        </is>
      </c>
      <c r="B70" t="inlineStr">
        <is>
          <t>EPMO Program Manager, Strategic Planning</t>
        </is>
      </c>
      <c r="C70" t="inlineStr">
        <is>
          <t>Self Regional Healthcare</t>
        </is>
      </c>
      <c r="D70" t="inlineStr">
        <is>
          <t>indeed</t>
        </is>
      </c>
      <c r="E70">
        <f>HYPERLINK("https://www.indeed.com/viewjob?jk=be982dfef55ab536", "https://www.indeed.com/viewjob?jk=be982dfef55ab536")</f>
        <v/>
      </c>
      <c r="F70">
        <f>HYPERLINK("https://recruiting.ultipro.com/GRE1050GNHP/JobBoard/2b67ecb4-00fb-4863-931a-7bf0ebcb493a/OpportunityDetail?opportunityId=6df1af54-95f2-4a12-928d-f57ac73204ad&amp;postingId=5140bbd6-df28-4141-9bc6-49a9ac0e0001", "https://recruiting.ultipro.com/GRE1050GNHP/JobBoard/2b67ecb4-00fb-4863-931a-7bf0ebcb493a/OpportunityDetail?opportunityId=6df1af54-95f2-4a12-928d-f57ac73204ad&amp;postingId=5140bbd6-df28-4141-9bc6-49a9ac0e0001")</f>
        <v/>
      </c>
      <c r="G70" t="inlineStr">
        <is>
          <t>Greenwood, SC, US</t>
        </is>
      </c>
      <c r="H70" s="3" t="n">
        <v>46052</v>
      </c>
      <c r="I70" t="inlineStr">
        <is>
          <t>Education and Job Qualifications  
Bachelor's degree in Business Administration, Healthcare Administration, Information Systems, or related field required.  
Master's Degree (MBA, MHA, or MPH)preferred.  
Minimum 3 years of project management experience, preferably in healthcare setting but not required.
Skills Qualifications
Strong knowledge of program and project management methodologies (ex. Agile, Waterfall, Hybrid)  
Ability to lead cross\-functional teams with minimal\- formal authority.  
Excellent organizational, communication, and presentation skills.  
Proficient in Microsoft 365
License and Certification Requirements
Project Manager Certification Required\-PMP  
Program Management Professional (PgMP) preferred  
CCMP or Prosci OCM certification preferred.</t>
        </is>
      </c>
    </row>
    <row r="71">
      <c r="A71" t="inlineStr">
        <is>
          <t>in-050fd2ad81cbded3</t>
        </is>
      </c>
      <c r="B71" t="inlineStr">
        <is>
          <t>Site Program Manager</t>
        </is>
      </c>
      <c r="C71" t="inlineStr">
        <is>
          <t>Amentum</t>
        </is>
      </c>
      <c r="D71" t="inlineStr">
        <is>
          <t>indeed</t>
        </is>
      </c>
      <c r="E71">
        <f>HYPERLINK("https://www.indeed.com/viewjob?jk=050fd2ad81cbded3", "https://www.indeed.com/viewjob?jk=050fd2ad81cbded3")</f>
        <v/>
      </c>
      <c r="F71">
        <f>HYPERLINK("https://www.amentumcareers.com/jobs/site-program-manager-lancaster-california-united-states?source=Indeed+Feed", "https://www.amentumcareers.com/jobs/site-program-manager-lancaster-california-united-states?source=Indeed+Feed")</f>
        <v/>
      </c>
      <c r="G71" t="inlineStr">
        <is>
          <t>Lancaster, CA, US</t>
        </is>
      </c>
      <c r="H71" s="3" t="n">
        <v>46051</v>
      </c>
      <c r="I71" t="inlineStr">
        <is>
          <t>**Site Program Manager – Edwards**
The Site Program Manager (PM) has overall responsibility for cost, schedule and technical performance of the KC\-46 operation located at Edwards AFB and ensuring that contractual requirements and program objections are met.
**Essential Responsibilities:**
* Fully coordinate and collaborate on all tasks, activities, requirements, and issues as they pertain to the support of the customer.
* Identify issues and adapt program plans according to the customer’s feedback on the program cost, performance, quality, schedule, and risk.
* Develop plans and schedules and define and document the implementation of requirements.
* Use established program management procedures to monitor cost, schedule, and performance: assess variances of the plan and take necessary corrective action.
* Identify potential downstream issues that may negatively affect meeting customers’ requirements and provide recommendations to mitigate those negative impacts
* Manage the customers' expectations with proactive, consistent, and transparent communication.
* Reviewing business systems administration, resources, procedures, and methods to improve operational effectiveness, utility, and efficiency.
* Overseeing the monitoring and inspection of maintenance, repair, and service operations for quality control and contract compliance.
* The Site PM shall have full authority to act on behalf of the Contractor and execute unilateral decision\-making on all contract matters relating to the daily operation of this contract.
* Interfacing with the CO, COTR, and Government leadership.
* Overseeing the execution of the contract Transition Plan.
* Perform all other position related duties as assigned
**Minimum Position Knowledge, Skills, and Abilities Required:**
* Minimum of twenty (20\) years of diverse management experience including experience in aviation systems. Education will be considered in lieu of experience.
* Bachelor's degree or equivalent combination of academic/technical/military training and experience. Preferred
* Experience in Flight test, evaluation and integration activities
* Possess excellent communication, analytical, project management and supervisory skills. Desktop computer skills are essential with proficiency in full range of Microsoft Office products and should be capable of preparing management level reports and presentations.
* Possess a valid state issued driver’s license.
* Must be able to obtain and maintain U.S. Secret clearance. NOTE: U.S. citizenship is required for facility credentials/authorization at this work site.
**Work Environment, Physical Demands, and Mental Demands:**
Typical office environment with no unusual hazards, occasional lifting to 20 pounds, constant sitting while using the computer terminal, constant use of sight abilities while reviewing documents, constant use of speech/hearing abilities for communication and constant mental alertness. Must possess planning/organizing skills and must be able to work under deadlines.
**Compensation Details:**
150,000\.00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01/30/2026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72">
      <c r="A72" t="inlineStr">
        <is>
          <t>in-a57eb8864401c5cc</t>
        </is>
      </c>
      <c r="B72" t="inlineStr">
        <is>
          <t>Deputy Site Program Manager- Edwards, AFB</t>
        </is>
      </c>
      <c r="C72" t="inlineStr">
        <is>
          <t>Amentum</t>
        </is>
      </c>
      <c r="D72" t="inlineStr">
        <is>
          <t>indeed</t>
        </is>
      </c>
      <c r="E72">
        <f>HYPERLINK("https://www.indeed.com/viewjob?jk=a57eb8864401c5cc", "https://www.indeed.com/viewjob?jk=a57eb8864401c5cc")</f>
        <v/>
      </c>
      <c r="F72">
        <f>HYPERLINK("https://www.amentumcareers.com/jobs/deputy-site-program-manager-edwards-afb-lancaster-california-united-states?source=Indeed+Feed", "https://www.amentumcareers.com/jobs/deputy-site-program-manager-edwards-afb-lancaster-california-united-states?source=Indeed+Feed")</f>
        <v/>
      </c>
      <c r="G72" t="inlineStr">
        <is>
          <t>Lancaster, CA, US</t>
        </is>
      </c>
      <c r="H72" s="3" t="n">
        <v>46051</v>
      </c>
      <c r="I72" t="inlineStr">
        <is>
          <t>**Site Deputy Program Manager \- Edwards**
The Site Deputy Program Manager will be responsible for planning and execution of services regarding the KC\-46 aircraft located at Edwards AFB to ensure fulfillment of contract requirements and program objectives.  
**Essential Responsibilities:**
* ### **In the absence of the Site Program Manager, the Site Deputy Program Manager shall be responsible for all aspects of the deployment and management of contractor support personnel.**
* ### **Fully coordinate and collaborate on all tasks, activities, requirements, and issues as they pertain to the support of the customer.**
* ### **Identify issues and adapt program plans according to the customer’s feedback on the program cost, performance, quality, schedule, and risk.**
* ### **Develop plans and schedules and define and document the implementation of requirements.**
* ### **Use established program management procedures to monitor cost, schedule, and performance: assess variances of the plan and take necessary corrective action.**
* ### **Identify potential downstream issues that may negatively affect meeting customers’ requirements and provide recommendations to mitigate those negative impacts.**
* ### **Manage the customers' expectations with proactive, consistent, and transparent communication. R**
* ### **Reviewing business systems administration, resources, procedures, and methods to improve operational effectiveness, utility, and efficiency.·**
* ### **Overseeing the Contractor’s Environmental, Health, and Safety functions, ensuring that all safe work practices are being followed.**
* ### **Monitoring cost control, financial reports, budgeting, and overall operating costs.**
* ### **Overseeing the coordination of work priorities and monitoring methods, procedures, and programs.**
* ### **Improving cost\-effectiveness and efficiency.**
* ### **Overseeing the monitoring and inspection of maintenance, repair, and service operations for quality control and contract compliance.**
* ### **Ensuring that management and contract reports are accurate before submission.**
* ### **Performs other duties as assigned.**
### **Minimum Qualifications:**
* ### **Minimum of fifteen (15\) years of diverse management experience including experience in aviation systems. •Bachelor's degree or equivalent combination of academic/technical/military training and experience preferred.**
* ### **Possess excellent communication, analytical, project management and supervisory skills. Desktop computer skills are essential with proficiency in full range of Microsoft Office products and should be capable of preparing management level reports and presentations.**
* ### **Requires valid state issued driver's license.**
* ### **Must be able to obtain and maintain U.S. Secret clearance. NOTE: U.S. citizenship is required for facility credentials/authorization at this work site.**
**Work Environment, Physical Demands, and Mental Demands:**
### **Typical office environment with no unusual hazards, occasional lifting to 20 pounds, constant sitting while using the computer terminal, constant use of sight abilities while reviewing documents, constant use of speech/hearing abilities for communication and constant mental alertness. Must possess planning/organizing skills and must be able to work under deadlines.**
**Compensation Details:**
120,000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01/30/2026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73">
      <c r="A73" t="inlineStr">
        <is>
          <t>in-92f3869a97aba476</t>
        </is>
      </c>
      <c r="B73" t="inlineStr">
        <is>
          <t>Senior Product Manager - Ad Experiences</t>
        </is>
      </c>
      <c r="C73" t="inlineStr">
        <is>
          <t>Roku</t>
        </is>
      </c>
      <c r="D73" t="inlineStr">
        <is>
          <t>indeed</t>
        </is>
      </c>
      <c r="E73">
        <f>HYPERLINK("https://www.indeed.com/viewjob?jk=92f3869a97aba476", "https://www.indeed.com/viewjob?jk=92f3869a97aba476")</f>
        <v/>
      </c>
      <c r="F73">
        <f>HYPERLINK("https://www.weareroku.com/jobs/senior-product-manager-ad-experiences-santa-monica-california-united-states?source=indeed", "https://www.weareroku.com/jobs/senior-product-manager-ad-experiences-santa-monica-california-united-states?source=indeed")</f>
        <v/>
      </c>
      <c r="G73" t="inlineStr">
        <is>
          <t>Santa Monica, CA, US</t>
        </is>
      </c>
      <c r="H73" s="3" t="n">
        <v>46051</v>
      </c>
      <c r="I73" t="inlineStr">
        <is>
          <t>**Teamwork makes the stream work.**
-----------------------------------
###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 **About the role**
The Viewer Experience organization owns how people discover, choose, and enjoy content on Roku—from the iconic Home Screen and navigation, to Live TV and Sports, to The Roku Channel and our mobile apps.
Roku is looking for a product manager to lead the development of next\-generation Ad Experiences and Interactive Advertising solutions that help marketers and advertisers drive visually appealing, high\-impact sponsorships on the platform.
The ideal candidate will have endless curiosity and can pair a global mindset with locally relevant execution. You should be a gritty problem solver and self\-starter who can drive programs with the product and commercial teams within Roku and across external strategic partner organizations. The successful candidate will display a balance of hard and soft skills, including the ability to respond quickly to changing business needs.
For California Only \- The estimated annual salary for this position is between $176,163 \- $233,750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 **What you'll be doing**
Product Strategy \&amp; Opportunity Assessment
* Identify \&amp; Quantify Opportunities: Conduct rigorous market analysis and user research to identify high\-growth monetization opportunities. Build robust business cases that balance short\-term revenue goals with long\-term ecosystem health.
* Strategic Roadmap Ownership: Define and execute a multi\-quarter roadmap for ad innovation products, ensuring alignment with Roku’s overarching platform strategy and the evolving needs of the programmatic and direct\-sales markets.
Product Execution \&amp; Lifecycle Management
* High\-Fidelity Documentation: Author comprehensive Feature Guides / Product Requirement Documents (FGs / PRDs) and technical specifications. Translate complex business needs into actionable engineering tasks to ensure on\-time, high\-quality delivery.
* Agile Innovation: Partner with the UX team for rapid prototyping, A/B testing, and iterative design methodologies to validate ad formats. Minimize "time to insight" by testing hypotheses in live environments.
* Operational Excellence: Drive feature prioritization and process improvements, maintaining a relentless focus on key KPIs such as Ad Fill Rate, CPM, User Engagement, and Churn impact.
Cross\-Functional Leadership \&amp; Communication
* Engineering Partnership: Serve as the "voice of the customer" for the engineering team. Provide deep business context to technical leads to foster creative problem\-solving and architectural scalability.
* Stakeholder Orchestration: Lead a cross\-functional "squad"—including Sales, Marketing, Data Science, Finance, and Legal—to navigate the complexities of privacy regulations and advertising standards.
* Vendor Ecosystem Management: Manage strategic relationships with 3rd\-party technology vendors/partners. Ensure rigorous SLA compliance and influence their roadmaps to align with Roku’s proprietary tech stack.
Market Intelligence \&amp; Thought Leadership
* AdTech Subject Matter Expertise: Act as the internal authority on AdTech trends (e.g., CTV measurement, identity solutions, shoppable TV). Translate industry shifts into strategic POVs that influence executive decision\-making.
* Competitive Benchmarking: Monitor the competitive landscape of streaming and hardware (OEMs) to ensure Roku remains the industry leader in native, non\-intrusive, and high\-performing ad experiences.
### **We're excited if you have**
* 5\+ years of experience in product management, building advertising and marketing solutions
* Domain expertise in AdTech, AdUX, OTT, and/or DMPs
* An extraordinarily high level of customer empathy
* Experience working with business intelligence/data analytics tools and data dashboarding tools such as Tableau or Looker
* Practical knowledge of Experimentation, A/B Testing, and Lift Measurement
* Data\-driven and an entrepreneurial self\-starter who deals well with ambiguity
* Experience in working with marketers, marketing operations, data scientists, and data analysts
* Strong, influential cross\-functional team leader with experience working in enterprise and matrixed environments
* Excellent problem\-solving skills and ability to work independently
* Minimum of a bachelor’s degree (preferably in engineering); MBA preferred
* Based in San Jose or Santa Monica, with the ability and willingness to travel
###### **\#LI\-SR2**
###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74">
      <c r="A74" t="inlineStr">
        <is>
          <t>in-a7f7d47bd86ccf63</t>
        </is>
      </c>
      <c r="B74" t="inlineStr">
        <is>
          <t>Senior Product Manager - Ad Experiences</t>
        </is>
      </c>
      <c r="C74" t="inlineStr">
        <is>
          <t>Roku</t>
        </is>
      </c>
      <c r="D74" t="inlineStr">
        <is>
          <t>indeed</t>
        </is>
      </c>
      <c r="E74">
        <f>HYPERLINK("https://www.indeed.com/viewjob?jk=a7f7d47bd86ccf63", "https://www.indeed.com/viewjob?jk=a7f7d47bd86ccf63")</f>
        <v/>
      </c>
      <c r="F74">
        <f>HYPERLINK("https://www.weareroku.com/jobs/senior-product-manager-ad-experiences-san-jose-california-united-states?source=indeed", "https://www.weareroku.com/jobs/senior-product-manager-ad-experiences-san-jose-california-united-states?source=indeed")</f>
        <v/>
      </c>
      <c r="G74" t="inlineStr">
        <is>
          <t>San Jose, CA, US</t>
        </is>
      </c>
      <c r="H74" s="3" t="n">
        <v>46051</v>
      </c>
      <c r="I74" t="inlineStr">
        <is>
          <t>**Teamwork makes the stream work.**
-----------------------------------
###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 **About the role**
The Viewer Experience organization owns how people discover, choose, and enjoy content on Roku—from the iconic Home Screen and navigation, to Live TV and Sports, to The Roku Channel and our mobile apps.
Roku is looking for a product manager to lead the development of next\-generation Ad Experiences and Interactive Advertising solutions that help marketers and advertisers drive visually appealing, high\-impact sponsorships on the platform.
The ideal candidate will have endless curiosity and can pair a global mindset with locally relevant execution. You should be a gritty problem solver and self\-starter who can drive programs with the product and commercial teams within Roku and across external strategic partner organizations. The successful candidate will display a balance of hard and soft skills, including the ability to respond quickly to changing business needs.
For California Only \- The estimated annual salary for this position is between $176,163 \- $233,750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 **What you'll be doing**
Product Strategy \&amp; Opportunity Assessment
* Identify \&amp; Quantify Opportunities: Conduct rigorous market analysis and user research to identify high\-growth monetization opportunities. Build robust business cases that balance short\-term revenue goals with long\-term ecosystem health.
* Strategic Roadmap Ownership: Define and execute a multi\-quarter roadmap for ad innovation products, ensuring alignment with Roku’s overarching platform strategy and the evolving needs of the programmatic and direct\-sales markets.
Product Execution \&amp; Lifecycle Management
* High\-Fidelity Documentation: Author comprehensive Feature Guides / Product Requirement Documents (FGs / PRDs) and technical specifications. Translate complex business needs into actionable engineering tasks to ensure on\-time, high\-quality delivery.
* Agile Innovation: Partner with the UX team for rapid prototyping, A/B testing, and iterative design methodologies to validate ad formats. Minimize "time to insight" by testing hypotheses in live environments.
* Operational Excellence: Drive feature prioritization and process improvements, maintaining a relentless focus on key KPIs such as Ad Fill Rate, CPM, User Engagement, and Churn impact.
Cross\-Functional Leadership \&amp; Communication
* Engineering Partnership: Serve as the "voice of the customer" for the engineering team. Provide deep business context to technical leads to foster creative problem\-solving and architectural scalability.
* Stakeholder Orchestration: Lead a cross\-functional "squad"—including Sales, Marketing, Data Science, Finance, and Legal—to navigate the complexities of privacy regulations and advertising standards.
* Vendor Ecosystem Management: Manage strategic relationships with 3rd\-party technology vendors/partners. Ensure rigorous SLA compliance and influence their roadmaps to align with Roku’s proprietary tech stack.
Market Intelligence \&amp; Thought Leadership
* AdTech Subject Matter Expertise: Act as the internal authority on AdTech trends (e.g., CTV measurement, identity solutions, shoppable TV). Translate industry shifts into strategic POVs that influence executive decision\-making.
* Competitive Benchmarking: Monitor the competitive landscape of streaming and hardware (OEMs) to ensure Roku remains the industry leader in native, non\-intrusive, and high\-performing ad experiences.
### **We're excited if you have**
* 5\+ years of experience in product management, building advertising and marketing solutions
* Domain expertise in AdTech, AdUX, OTT, and/or DMPs
* An extraordinarily high level of customer empathy
* Experience working with business intelligence/data analytics tools and data dashboarding tools such as Tableau or Looker
* Practical knowledge of Experimentation, A/B Testing, and Lift Measurement
* Data\-driven and an entrepreneurial self\-starter who deals well with ambiguity
* Experience in working with marketers, marketing operations, data scientists, and data analysts
* Strong, influential cross\-functional team leader with experience working in enterprise and matrixed environments
* Excellent problem\-solving skills and ability to work independently
* Minimum of a bachelor’s degree (preferably in engineering); MBA preferred
* Based in San Jose or Santa Monica, with the ability and willingness to travel
###### **\#LI\-SR2**
###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75">
      <c r="A75" t="inlineStr">
        <is>
          <t>in-e7181d4844ceaf23</t>
        </is>
      </c>
      <c r="B75" t="inlineStr">
        <is>
          <t>Senior Product Manager - Ad Experiences</t>
        </is>
      </c>
      <c r="C75" t="inlineStr">
        <is>
          <t>Roku</t>
        </is>
      </c>
      <c r="D75" t="inlineStr">
        <is>
          <t>indeed</t>
        </is>
      </c>
      <c r="E75">
        <f>HYPERLINK("https://www.indeed.com/viewjob?jk=e7181d4844ceaf23", "https://www.indeed.com/viewjob?jk=e7181d4844ceaf23")</f>
        <v/>
      </c>
      <c r="F75">
        <f>HYPERLINK("https://www.weareroku.com/jobs/senior-product-manager-ad-experiences-new-york-united-states?source=indeed", "https://www.weareroku.com/jobs/senior-product-manager-ad-experiences-new-york-united-states?source=indeed")</f>
        <v/>
      </c>
      <c r="G75" t="inlineStr">
        <is>
          <t>New York, NY, US</t>
        </is>
      </c>
      <c r="H75" s="3" t="n">
        <v>46051</v>
      </c>
      <c r="I75" t="inlineStr">
        <is>
          <t>**Teamwork makes the stream work.**
-----------------------------------
###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 **About the role**
The Viewer Experience organization owns how people discover, choose, and enjoy content on Roku—from the iconic Home Screen and navigation, to Live TV and Sports, to The Roku Channel and our mobile apps.
Roku is looking for a product manager to lead the development of next\-generation Ad Experiences and Interactive Advertising solutions that help marketers and advertisers drive visually appealing, high\-impact sponsorships on the platform.
The ideal candidate will have endless curiosity and can pair a global mindset with locally relevant execution. You should be a gritty problem solver and self\-starter who can drive programs with the product and commercial teams within Roku and across external strategic partner organizations. The successful candidate will display a balance of hard and soft skills, including the ability to respond quickly to changing business needs.
For New York Only \- The estimated annual salary for this position is between $176,163 \- $233,750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 **What you'll be doing**
Product Strategy \&amp; Opportunity Assessment
* Identify \&amp; Quantify Opportunities: Conduct rigorous market analysis and user research to identify high\-growth monetization opportunities. Build robust business cases that balance short\-term revenue goals with long\-term ecosystem health.
* Strategic Roadmap Ownership: Define and execute a multi\-quarter roadmap for ad innovation products, ensuring alignment with Roku’s overarching platform strategy and the evolving needs of the programmatic and direct\-sales markets.
Product Execution \&amp; Lifecycle Management
* High\-Fidelity Documentation: Author comprehensive Feature Guides / Product Requirement Documents (FGs / PRDs) and technical specifications. Translate complex business needs into actionable engineering tasks to ensure on\-time, high\-quality delivery.
* Agile Innovation: Partner with the UX team for rapid prototyping, A/B testing, and iterative design methodologies to validate ad formats. Minimize "time to insight" by testing hypotheses in live environments.
* Operational Excellence: Drive feature prioritization and process improvements, maintaining a relentless focus on key KPIs such as Ad Fill Rate, CPM, User Engagement, and Churn impact.
Cross\-Functional Leadership \&amp; Communication
* Engineering Partnership: Serve as the "voice of the customer" for the engineering team. Provide deep business context to technical leads to foster creative problem\-solving and architectural scalability.
* Stakeholder Orchestration: Lead a cross\-functional "squad"—including Sales, Marketing, Data Science, Finance, and Legal—to navigate the complexities of privacy regulations and advertising standards.
* Vendor Ecosystem Management: Manage strategic relationships with 3rd\-party technology vendors/partners. Ensure rigorous SLA compliance and influence their roadmaps to align with Roku’s proprietary tech stack.
Market Intelligence \&amp; Thought Leadership
* AdTech Subject Matter Expertise: Act as the internal authority on AdTech trends (e.g., CTV measurement, identity solutions, shoppable TV). Translate industry shifts into strategic POVs that influence executive decision\-making.
* Competitive Benchmarking: Monitor the competitive landscape of streaming and hardware (OEMs) to ensure Roku remains the industry leader in native, non\-intrusive, and high\-performing ad experiences.
### **We're excited if you have**
* 5\+ years of experience in product management, building advertising and marketing solutions
* Domain expertise in AdTech, AdUX, OTT, and/or DMPs
* An extraordinarily high level of customer empathy
* Experience working with business intelligence/data analytics tools and data dashboarding tools such as Tableau or Looker
* Practical knowledge of Experimentation, A/B Testing, and Lift Measurement
* Data\-driven and an entrepreneurial self\-starter who deals well with ambiguity
* Experience in working with marketers, marketing operations, data scientists, and data analysts
* Strong, influential cross\-functional team leader with experience working in enterprise and matrixed environments
* Excellent problem\-solving skills and ability to work independently
* Minimum of a bachelor’s degree (preferably in engineering); MBA preferred
* Based in San Jose or Santa Monica, with the ability and willingness to travel
###### **\#LI\-SR2**
###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76">
      <c r="A76" t="inlineStr">
        <is>
          <t>in-9f3ca1db929e1fe8</t>
        </is>
      </c>
      <c r="B76" t="inlineStr">
        <is>
          <t>Senior Program Manager</t>
        </is>
      </c>
      <c r="C76" t="inlineStr">
        <is>
          <t>Leidos</t>
        </is>
      </c>
      <c r="D76" t="inlineStr">
        <is>
          <t>indeed</t>
        </is>
      </c>
      <c r="E76">
        <f>HYPERLINK("https://www.indeed.com/viewjob?jk=9f3ca1db929e1fe8", "https://www.indeed.com/viewjob?jk=9f3ca1db929e1fe8")</f>
        <v/>
      </c>
      <c r="F76">
        <f>HYPERLINK("https://careers.leidos.com/jobs/17286571-senior-program-manager?tm_job=R-00174835&amp;tm_event=view&amp;tm_company=2502", "https://careers.leidos.com/jobs/17286571-senior-program-manager?tm_job=R-00174835&amp;tm_event=view&amp;tm_company=2502")</f>
        <v/>
      </c>
      <c r="G76" t="inlineStr">
        <is>
          <t>VA, US</t>
        </is>
      </c>
      <c r="H76" s="3" t="n">
        <v>46051</v>
      </c>
      <c r="I76" t="inlineStr">
        <is>
          <t>**Description**
**Unleash Your Potential**
At Leidos,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**If this sounds like an environment where you can thrive, keep reading!**
**The Mission**
The Digital Modernization Sector at Leidos currently has an opening for a ***Senior Program Manager (PM)*** to work on an exciting opportunity helping the United States Coast Guard (USCG) at Command, Control, Communication, Computer, Cyber, and Intelligence Service Center (C5ISC) in the Alexandria, VA and Kearneysville, WV area. This role is part of a high\-impact program focused on delivering secure, scalable cloud solutions that enable operational agility and resilience across the USCG enterprise. You will help transform the Coast Guard’s current cloud environment into a true “Mission Cloud” which will provide operational support for all of the Coast Guard’s 11 statutory missions.
**Primary Tasks:**
* Accountable to C5ISC Senior Leadership for the end\-to\-end performance, cybersecurity posture, and modernization of the Coast Guard Mission Cloud; providing strategic guidance and planning to optimize all enclaves and drive infrastructure excellence
* Collaborates with Coast Guard sponsors to define and execute the technical vision for the CG Mission Cloud, driving enterprise innovation and operational efficiency. Leads a roadmap focused on continuous improvement and the delivery of scalable, mission\-ready cloud capabilities across all Coast Guard functional areas.
* Develop and implement long\-term Mission Cloud roadmaps and strategies, and monitor alignment of tactical activities with those roadmaps and strategies
* Research and recommend innovative Cloud technologies, methodologies, processes, and systems to continuously improve the CG Mission Cloud, particularly in AWS and Azure.
* Represent the voice of the customer to Leidos and work with the customer to understand, prioritize, and communicate their mission support needs to application/system owners, and to revolutionize the capabilities and features of the CG Mission Cloud.
* Lead a team of Leidos employees and sub\-contractors. Responsible for defining the team’s direction and ensure that individual and team goals align with the organization and customer mission.
* Provide guidance, support, and resources to help team members succeed and feel motivated to contribute their best work.
* Foster an environment of employee growth and development, promoting continuous learning and provide opportunities for skill enhancement.
* Responsible for cost, schedule, quality, technical, and business performance and serve as the Leidos single point\-of\-contact for all contract\-level issues.
* Provide the planning, direction, coordination, and control necessary to accomplish all work requirements including all deliverables and work products
* Acts as the primary liaison between internal stakeholders and contractor personnel to synchronize project goals and resolve competing priorities. Manages the feedback loop between internal teams and external vendors to mitigate risks, proactively adjust scopes, and ensure all contractor activities satisfy both contractual obligations and stakeholder expectations.
* Make decisions for the contractor’s organization in response to government issues, concerns, and comments, and be proactive in alerting the Government to potential contractual, programmatic, and resource limitation issues.
**Basic Qualifications:**
* Bachelor’s Degree in a relevant field, e.g. Cloud Engineering, Software Engineering, IT, Computer Science, plus 10 years of relevant experience, or Master’s Degree in a relevant field plus 8 years of relevant experience. Must have 5\+ years supervising or leading technical teams, projects, or programs.
* Experience serving as a Program Manager leading and supervising a multi\-disciplinary staff of various labor categories in an IT/Cloud/Cyber environment, including sub\-contractors
* Direct engineering or operations experience in Cloud environments, particularly federal government Cloud environments
* Project Management Professional (PMP) or Program Management Professional (PgMP) or equivalent DAIWA or FAC\-P/PM Level certification.
* Public Trust clearance with ability to obtain and maintain Secret clearance.
* Must be approved by the Coast Guard Security Office prior to receiving system access.
**Preferred Qualifications:**
* Prior experience supporting DHS, U.S. Coast Guard, DOD, or other federal cloud modernization programs
* Strong experience leading highly technical teams in Cloud environments
* Knowledge and experience in an Agile\-driven project management environment.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January 30,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$154,050\.00 \- $278,475\.00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77">
      <c r="A77" t="inlineStr">
        <is>
          <t>in-0963ca0bcce33649</t>
        </is>
      </c>
      <c r="B77" t="inlineStr">
        <is>
          <t>Senior Program Manager, GTM Programs</t>
        </is>
      </c>
      <c r="C77" t="inlineStr">
        <is>
          <t>Google</t>
        </is>
      </c>
      <c r="D77" t="inlineStr">
        <is>
          <t>indeed</t>
        </is>
      </c>
      <c r="E77">
        <f>HYPERLINK("https://www.indeed.com/viewjob?jk=0963ca0bcce33649", "https://www.indeed.com/viewjob?jk=0963ca0bcce33649")</f>
        <v/>
      </c>
      <c r="F77">
        <f>HYPERLINK("https://careers.google.com/jobs/results/114813933830709958-senior-program-manager/", "https://careers.google.com/jobs/results/114813933830709958-senior-program-manager/")</f>
        <v/>
      </c>
      <c r="G77" t="inlineStr">
        <is>
          <t>Sunnyvale, CA, US</t>
        </is>
      </c>
      <c r="H77" s="3" t="n">
        <v>46051</v>
      </c>
      <c r="I77"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**Kirkland, WA, USA; New York, NY, USA; Sunnyvale, CA, USA**.### **Minimum qualifications:**
* Bachelor's degree or equivalent practical experience.
* 8 years of experience in program or project management.
* 6 years of experience in management consulting.
* Experience in leading cross\-functional programs across their life\-cycle (e.g., opportunity definition, solution design, implementation and operations).
### **Preferred qualifications:**
* 8 years of experience managing cross\-functional or cross\-team projects.
* Experience as a executive consulting leader (i.e., Associate Partner or equivalent level).
* Understanding of the cloud services industry and enterprise sales function.
* Ability to build consensus among senior leaders with differing priorities.
* Excellent communication and influencing skills.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Senior Program Manager, you will focus on the critical intersection between Google Cloud Platform’s Engineering and Sales functions. You will be responsible for identifying, designing, and landing cross\-functional solutions that improve alignment, operational excellence, and outcomes between Sales and Engineering.  
We will measure the success of the Program Manager by the effectiveness (e.g., Business and customer satisfaction) and efficiency (e.g., stakeholder toil) of the solutions (mechanisms and programs) that they design and land in partnership with Go\-to\-Market (GTM) and Engineering leaders.
This highly\-visible role requires a unique blend of strategic problem\-solving, process engineering/operations, and executive\-level influence.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$174,000\-$258,000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Identify the best opportunities for improving alignment and business performance between Engineering and Sales.
* Design, implement, and manage new programs and mechanisms to streamline collaboration, create transparency, and accelerate outcomes.
* Partner with technical and operations teams to define requirements for tooling integrations, creating more seamless workflows for both organizations.
* Develop, track, and improve key performance indicators (KPIs) for process effectiveness and efficiency, reporting on progress to executive leadership and driving a culture of continuous improvement.
* Act as a key strategic partner and trusted advisor to leaders in both Sales and Engineering, navigating complex priorities and driving consensus.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78">
      <c r="A78" t="inlineStr">
        <is>
          <t>in-2af0b77f2ef99089</t>
        </is>
      </c>
      <c r="B78" t="inlineStr">
        <is>
          <t>Senior Program Manager, GTM Programs</t>
        </is>
      </c>
      <c r="C78" t="inlineStr">
        <is>
          <t>Google</t>
        </is>
      </c>
      <c r="D78" t="inlineStr">
        <is>
          <t>indeed</t>
        </is>
      </c>
      <c r="E78">
        <f>HYPERLINK("https://www.indeed.com/viewjob?jk=2af0b77f2ef99089", "https://www.indeed.com/viewjob?jk=2af0b77f2ef99089")</f>
        <v/>
      </c>
      <c r="F78">
        <f>HYPERLINK("https://careers.google.com/jobs/results/114813933830709958-senior-program-manager/", "https://careers.google.com/jobs/results/114813933830709958-senior-program-manager/")</f>
        <v/>
      </c>
      <c r="G78" t="inlineStr">
        <is>
          <t>New York, NY, US</t>
        </is>
      </c>
      <c r="H78" s="3" t="n">
        <v>46051</v>
      </c>
      <c r="I78"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**Kirkland, WA, USA; New York, NY, USA; Sunnyvale, CA, USA**.### **Minimum qualifications:**
* Bachelor's degree or equivalent practical experience.
* 8 years of experience in program or project management.
* 6 years of experience in management consulting.
* Experience in leading cross\-functional programs across their life\-cycle (e.g., opportunity definition, solution design, implementation and operations).
### **Preferred qualifications:**
* 8 years of experience managing cross\-functional or cross\-team projects.
* Experience as a executive consulting leader (i.e., Associate Partner or equivalent level).
* Understanding of the cloud services industry and enterprise sales function.
* Ability to build consensus among senior leaders with differing priorities.
* Excellent communication and influencing skills.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Senior Program Manager, you will focus on the critical intersection between Google Cloud Platform’s Engineering and Sales functions. You will be responsible for identifying, designing, and landing cross\-functional solutions that improve alignment, operational excellence, and outcomes between Sales and Engineering.  
We will measure the success of the Program Manager by the effectiveness (e.g., Business and customer satisfaction) and efficiency (e.g., stakeholder toil) of the solutions (mechanisms and programs) that they design and land in partnership with Go\-to\-Market (GTM) and Engineering leaders.
This highly\-visible role requires a unique blend of strategic problem\-solving, process engineering/operations, and executive\-level influence.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$174,000\-$258,000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Identify the best opportunities for improving alignment and business performance between Engineering and Sales.
* Design, implement, and manage new programs and mechanisms to streamline collaboration, create transparency, and accelerate outcomes.
* Partner with technical and operations teams to define requirements for tooling integrations, creating more seamless workflows for both organizations.
* Develop, track, and improve key performance indicators (KPIs) for process effectiveness and efficiency, reporting on progress to executive leadership and driving a culture of continuous improvement.
* Act as a key strategic partner and trusted advisor to leaders in both Sales and Engineering, navigating complex priorities and driving consensus.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79">
      <c r="A79" t="inlineStr">
        <is>
          <t>in-724a2d8a26801dc0</t>
        </is>
      </c>
      <c r="B79" t="inlineStr">
        <is>
          <t>Senior Program Manager, GTM Programs</t>
        </is>
      </c>
      <c r="C79" t="inlineStr">
        <is>
          <t>Google</t>
        </is>
      </c>
      <c r="D79" t="inlineStr">
        <is>
          <t>indeed</t>
        </is>
      </c>
      <c r="E79">
        <f>HYPERLINK("https://www.indeed.com/viewjob?jk=724a2d8a26801dc0", "https://www.indeed.com/viewjob?jk=724a2d8a26801dc0")</f>
        <v/>
      </c>
      <c r="F79">
        <f>HYPERLINK("https://careers.google.com/jobs/results/114813933830709958-senior-program-manager/", "https://careers.google.com/jobs/results/114813933830709958-senior-program-manager/")</f>
        <v/>
      </c>
      <c r="G79" t="inlineStr">
        <is>
          <t>Kirkland, WA, US</t>
        </is>
      </c>
      <c r="H79" s="3" t="n">
        <v>46051</v>
      </c>
      <c r="I79"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**Kirkland, WA, USA; New York, NY, USA; Sunnyvale, CA, USA**.### **Minimum qualifications:**
* Bachelor's degree or equivalent practical experience.
* 8 years of experience in program or project management.
* 6 years of experience in management consulting.
* Experience in leading cross\-functional programs across their life\-cycle (e.g., opportunity definition, solution design, implementation and operations).
### **Preferred qualifications:**
* 8 years of experience managing cross\-functional or cross\-team projects.
* Experience as a executive consulting leader (i.e., Associate Partner or equivalent level).
* Understanding of the cloud services industry and enterprise sales function.
* Ability to build consensus among senior leaders with differing priorities.
* Excellent communication and influencing skills.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Senior Program Manager, you will focus on the critical intersection between Google Cloud Platform’s Engineering and Sales functions. You will be responsible for identifying, designing, and landing cross\-functional solutions that improve alignment, operational excellence, and outcomes between Sales and Engineering.  
We will measure the success of the Program Manager by the effectiveness (e.g., Business and customer satisfaction) and efficiency (e.g., stakeholder toil) of the solutions (mechanisms and programs) that they design and land in partnership with Go\-to\-Market (GTM) and Engineering leaders.
This highly\-visible role requires a unique blend of strategic problem\-solving, process engineering/operations, and executive\-level influence.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$174,000\-$258,000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Identify the best opportunities for improving alignment and business performance between Engineering and Sales.
* Design, implement, and manage new programs and mechanisms to streamline collaboration, create transparency, and accelerate outcomes.
* Partner with technical and operations teams to define requirements for tooling integrations, creating more seamless workflows for both organizations.
* Develop, track, and improve key performance indicators (KPIs) for process effectiveness and efficiency, reporting on progress to executive leadership and driving a culture of continuous improvement.
* Act as a key strategic partner and trusted advisor to leaders in both Sales and Engineering, navigating complex priorities and driving consensus.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0">
      <c r="A80" t="inlineStr">
        <is>
          <t>in-c728f9becc6b7da5</t>
        </is>
      </c>
      <c r="B80" t="inlineStr">
        <is>
          <t>Technical Program Manager III, Infrastructure Networking, Google Cloud</t>
        </is>
      </c>
      <c r="C80" t="inlineStr">
        <is>
          <t>Google</t>
        </is>
      </c>
      <c r="D80" t="inlineStr">
        <is>
          <t>indeed</t>
        </is>
      </c>
      <c r="E80">
        <f>HYPERLINK("https://www.indeed.com/viewjob?jk=c728f9becc6b7da5", "https://www.indeed.com/viewjob?jk=c728f9becc6b7da5")</f>
        <v/>
      </c>
      <c r="F80">
        <f>HYPERLINK("https://careers.google.com/jobs/results/84106223334367942-technical-program-manager-iii/", "https://careers.google.com/jobs/results/84106223334367942-technical-program-manager-iii/")</f>
        <v/>
      </c>
      <c r="G80" t="inlineStr">
        <is>
          <t>Cambridge, MA, US</t>
        </is>
      </c>
      <c r="H80" s="3" t="n">
        <v>46051</v>
      </c>
      <c r="I80" t="inlineStr">
        <is>
          <t>Note: By applying to this position you will have an opportunity to share your preferred working location from the following: **Cambridge, MA, USA; Sunnyvale, CA, USA**.### **Minimum qualifications:**
* Bachelor's degree in a technical field or equivalent practical experience.
* 5 years of experience in program management.
Experience driving technical programs within networking or cloud infrastructure environments.  
* 
### **Preferred qualifications:**
* 5 years of experience managing cross\-functional or cross\-team projects.
* Experience in understanding customer needs and advocating for technical solutions.
* Experience with distributed systems and high\-availability architectures.
* Experience with network capacity planning.
* Knowledge in hybrid networking technologies such as VPN, interconnect, SD\-WAN, and network security.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play a pivotal role in shaping how organizations seamlessly and securely connect their environments. You will lead cross\-functional initiatives that enhance connectivity between customer on\-premise infrastructure, other cloud providers, and the Google Cloud Platform. You will be responsible for driving technical programs from conception through launch.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roadmaps, track progress, and mitigate technical risks and dependencies across multiple engineering and product teams, leveraging knowledge of networking and cloud architectures.
* Analyze and improve program management workflows, identify and eliminate issues, and implement best practices to enhance team productivity and velocity.
* Facilitate clear and timely technical decision making by bringing together the right engineering stakeholders, defining clear accountabilities, and ensuring alignment across engineering, product management, and other functional groups, grounded in a solid understanding of technical trade\-offs.
* Contribute to programs focused on enhancing the reliability, scalability, and performance with knowledge of distributed systems, network protocols, and infrastructure design to ensure services meet the demanding needs of global enterprises.
* Influence product and engineering roadmaps and align efforts with customer needs to define the future direction of hybrid networking at Google Cloud.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1">
      <c r="A81" t="inlineStr">
        <is>
          <t>in-0acffb8213813d05</t>
        </is>
      </c>
      <c r="B81" t="inlineStr">
        <is>
          <t>Technical Program Manager III, Infrastructure Networking, Google Cloud</t>
        </is>
      </c>
      <c r="C81" t="inlineStr">
        <is>
          <t>Google</t>
        </is>
      </c>
      <c r="D81" t="inlineStr">
        <is>
          <t>indeed</t>
        </is>
      </c>
      <c r="E81">
        <f>HYPERLINK("https://www.indeed.com/viewjob?jk=0acffb8213813d05", "https://www.indeed.com/viewjob?jk=0acffb8213813d05")</f>
        <v/>
      </c>
      <c r="F81">
        <f>HYPERLINK("https://careers.google.com/jobs/results/84106223334367942-technical-program-manager-iii/", "https://careers.google.com/jobs/results/84106223334367942-technical-program-manager-iii/")</f>
        <v/>
      </c>
      <c r="G81" t="inlineStr">
        <is>
          <t>Sunnyvale, CA, US</t>
        </is>
      </c>
      <c r="H81" s="3" t="n">
        <v>46051</v>
      </c>
      <c r="I81" t="inlineStr">
        <is>
          <t>Note: By applying to this position you will have an opportunity to share your preferred working location from the following: **Cambridge, MA, USA; Sunnyvale, CA, USA**.### **Minimum qualifications:**
* Bachelor's degree in a technical field or equivalent practical experience.
* 5 years of experience in program management.
Experience driving technical programs within networking or cloud infrastructure environments.  
* 
### **Preferred qualifications:**
* 5 years of experience managing cross\-functional or cross\-team projects.
* Experience in understanding customer needs and advocating for technical solutions.
* Experience with distributed systems and high\-availability architectures.
* Experience with network capacity planning.
* Knowledge in hybrid networking technologies such as VPN, interconnect, SD\-WAN, and network security.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play a pivotal role in shaping how organizations seamlessly and securely connect their environments. You will lead cross\-functional initiatives that enhance connectivity between customer on\-premise infrastructure, other cloud providers, and the Google Cloud Platform. You will be responsible for driving technical programs from conception through launch.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roadmaps, track progress, and mitigate technical risks and dependencies across multiple engineering and product teams, leveraging knowledge of networking and cloud architectures.
* Analyze and improve program management workflows, identify and eliminate issues, and implement best practices to enhance team productivity and velocity.
* Facilitate clear and timely technical decision making by bringing together the right engineering stakeholders, defining clear accountabilities, and ensuring alignment across engineering, product management, and other functional groups, grounded in a solid understanding of technical trade\-offs.
* Contribute to programs focused on enhancing the reliability, scalability, and performance with knowledge of distributed systems, network protocols, and infrastructure design to ensure services meet the demanding needs of global enterprises.
* Influence product and engineering roadmaps and align efforts with customer needs to define the future direction of hybrid networking at Google Cloud.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2">
      <c r="A82" t="inlineStr">
        <is>
          <t>in-6f9b150dccc1c04b</t>
        </is>
      </c>
      <c r="B82" t="inlineStr">
        <is>
          <t>Product Manager, Payments Core Billing</t>
        </is>
      </c>
      <c r="C82" t="inlineStr">
        <is>
          <t>Google</t>
        </is>
      </c>
      <c r="D82" t="inlineStr">
        <is>
          <t>indeed</t>
        </is>
      </c>
      <c r="E82">
        <f>HYPERLINK("https://www.indeed.com/viewjob?jk=6f9b150dccc1c04b", "https://www.indeed.com/viewjob?jk=6f9b150dccc1c04b")</f>
        <v/>
      </c>
      <c r="F82">
        <f>HYPERLINK("https://careers.google.com/jobs/results/103364100775387846-product-manager/", "https://careers.google.com/jobs/results/103364100775387846-product-manager/")</f>
        <v/>
      </c>
      <c r="G82" t="inlineStr">
        <is>
          <t>Mountain View, CA, US</t>
        </is>
      </c>
      <c r="H82" s="3" t="n">
        <v>46051</v>
      </c>
      <c r="I82" t="inlineStr">
        <is>
          <t>### **Minimum qualifications:**
* Bachelor's degree or equivalent practical experience.
* 3 years of experience in product management or related technical role.
* 1 year of experience taking technical products from conception to launch.
### **Preferred qualifications:**
* Master’s degree or PhD in a technology or business related field.
* 2 years of experience in a business function or role (e.g., strategic marketing, business operations, consulting).
* 2 years of experience in a role preparing and delivering technical presentations to executive leadership.
* 2 years of experience working cross\-functionally with engineering, UX/UI, sales, finance, and other stakeholders.
* 1 year of experience in software development or engineering.
* Experience in the Fintech industry.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Payments team within Google creates Google’s billing and payment architecture, user interface, merchant applications, and consumer applications for everything related to accepting and providing payments.
As a Core Billing Product Manager, you'll play a pivotal role in building the foundation for Google's global commerce ecosystem. You'll have the unique opportunity to collaborate with teams across the company, shaping how businesses and consumers interact with our products and services on a massive scale. Your work will directly impact the seamlessness, security, and compliance of Google's financial transactions.  
Whether it is paying online with Autofill, using tap and pay in stores, or using the Google Pay app, the Payments team at Google is focused on making payments simple, seamless, and secure. In addition to consumer payment technologies, the Payments team also powers the money movement between Google and its consumers and businesses.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Define the product goal, strategy, and roadmap for Google's core billing infrastructure, ensuring it scales to support our growing global business and product offerings.
* Collaborate with cross\-functional teams across Payments, Engineering, UX, Finance, Tax, Legal, and other Google product areas to gather and prioritize requirements, translating them into scalable solutions that deliver exceptional user experiences.
* Understand our customers' needs, pain points, and preferences. Leverage market research and analysis to stay ahead of industry trends.
* Develop key performance indicators (KPIs) and metrics to track the effectiveness of our billing solutions. Use data\-driven insights to optimize the user experience and drive continuous improvement.
* Foster partnerships with internal and external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3">
      <c r="A83" t="inlineStr">
        <is>
          <t>in-1acffc85d5eb7458</t>
        </is>
      </c>
      <c r="B83" t="inlineStr">
        <is>
          <t>Program Manager III, Operations, Cloud Supply Chain</t>
        </is>
      </c>
      <c r="C83" t="inlineStr">
        <is>
          <t>Google</t>
        </is>
      </c>
      <c r="D83" t="inlineStr">
        <is>
          <t>indeed</t>
        </is>
      </c>
      <c r="E83">
        <f>HYPERLINK("https://www.indeed.com/viewjob?jk=1acffc85d5eb7458", "https://www.indeed.com/viewjob?jk=1acffc85d5eb7458")</f>
        <v/>
      </c>
      <c r="F83">
        <f>HYPERLINK("https://careers.google.com/jobs/results/81197946359423686-program-manager-iii/", "https://careers.google.com/jobs/results/81197946359423686-program-manager-iii/")</f>
        <v/>
      </c>
      <c r="G83" t="inlineStr">
        <is>
          <t>Atlanta, GA, US</t>
        </is>
      </c>
      <c r="H83" s="3" t="n">
        <v>46051</v>
      </c>
      <c r="I83" t="inlineStr">
        <is>
          <t>### **Minimum qualifications:**
* Bachelor's degree or equivalent practical experience.
* 5 years of experience in program or project management.
* Experience in supply chain operations or management.
### **Preferred qualifications:**
* 5 years of experience leading cross\-functional process improvement.
* Experience in data modeling, trend analysis, statistics, forecasting, or business insights.
* Knowledge of the tools and elements of project management with the ability to be an influential member of a highly integrated team composed of both technical and non\-technical members.
* Demonstrated sense of accountability and ownership for project lifecycle with the ability to collaborate and influence across multiple levels of an organization.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Program Manager for Cloud Supply Chain Operations (CSCO), you are at the heart of our mission to deliver with unmatched speed, unwavering reliability, and unparalleled efficiency to Google's technical infrastructure. You will be responsible for managing complex programs, defining requirements, managing project schedules and communicating to stakeholders. You are will be accountable for reliable and efficient delivery on behalf of CSCO's customers and users.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and deliver optimized program communication plans including executive and key partner communications.
* Determine phasing and metrics associated with program lifecycle that effectively address continuous improvement including Resource Stewardship (effective deployment of machine and people resources), including near\- and long\-term objectives.
* Determine and collect data required to govern programs and effectively drive stakeholder decision\-making.
* Anticipate change management requirements that are required by program stakeholders.
* Build trusted relationships with program stakeholders, including managing expectations of senior cross\-functional leads and ensuring they have the insights they need to make effective decisions.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4">
      <c r="A84" t="inlineStr">
        <is>
          <t>in-3a01af0298f3cece</t>
        </is>
      </c>
      <c r="B84" t="inlineStr">
        <is>
          <t>Technical Program Manager, Level 5</t>
        </is>
      </c>
      <c r="C84" t="inlineStr">
        <is>
          <t>Snap Inc.</t>
        </is>
      </c>
      <c r="D84" t="inlineStr">
        <is>
          <t>indeed</t>
        </is>
      </c>
      <c r="E84">
        <f>HYPERLINK("https://www.indeed.com/viewjob?jk=3a01af0298f3cece", "https://www.indeed.com/viewjob?jk=3a01af0298f3cece")</f>
        <v/>
      </c>
      <c r="F84">
        <f>HYPERLINK("https://wd1.myworkdaysite.com/en-US/recruiting/snapchat/snap/job/San-Diego-California/Technical-Program-Manager--Level-5_R0044330-2", "https://wd1.myworkdaysite.com/en-US/recruiting/snapchat/snap/job/San-Diego-California/Technical-Program-Manager--Level-5_R0044330-2")</f>
        <v/>
      </c>
      <c r="G84" t="inlineStr">
        <is>
          <t>San Diego, CA, US</t>
        </is>
      </c>
      <c r="H84" s="3" t="n">
        <v>46051</v>
      </c>
      <c r="I84"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Spectacles team is pushing the boundaries of technology to bring people closer together in the real world. Our fifth\-generation Spectacles, powered by Snap OS, showcase how standalone, see\-through AR glasses make playing, learning, and working better together.
We’re looking for a Technical Program Manager (L5\) to join the Specs Software team. You’ll work closely with engineering, product, and design teams to help deliver best\-in\-class features and software experiences for Snap’s next\-generation AR devices.
As a TPM at this level, you will coordinate cross\-functional software projects, manage schedules and dependencies, and ensure successful delivery of software components that power Snap’s hardware ecosystem. You’ll also support process improvements and communication flows across teams.
What You’ll Do* Partner with feature development teams across OS platforms to plan, track, and deliver high\-quality software releases across technologies such as camera, audio, video, graphics, display, sensors, and firmware.
* Drive execution of well\-defined projects by creating schedules, tracking milestones, dependencies and escalating risks or blockers.
* Facilitate meetings, status updates, and documentation to keep stakeholders aligned on progress and decisions.
* Support cross\-functional collaboration between hardware, firmware, and application software teams.
* Identify and communicate program risks, propose mitigation plans, and follow through to resolution.
* Help improve internal software development processes and project tracking methodologies.
* Contribute to a culture of continuous improvement, clear communication, and strong program discipline.
Knowledge, Skills \&amp; Abilities* Solid understanding of software development life cycles, tools, and release processes.
* Strong organizational and time management skills, with attention to detail.
* Ability to manage multiple projects in parallel with shifting priorities.
* Excellent communication and interpersonal skills; able to work with technical and non\-technical stakeholders and derive needed dependencies
* Collaborative mindset and comfort working in a fast\-paced, evolving environment with a strong execution mindset
Minimum Qualifications* Bachelor’s degree in Computer Science, Computer Engineering, Information Systems, or equivalent practical experience.
* 6\+ years of experience in technical program or project management within a software or hardware organization.
* Familiarity with agile development tools and processes.
* Ability to travel including domestic and international as required to support software bring\-ups and validation activities at manufacturing sites or partner facilities
Preferred Qualifications* Experience supporting programs in consumer electronics or hardware\-software integration.
* Exposure to technologies such as camera systems, multimedia software such as video, embedded software. Exposure to AR/VR software is a plus
* Experience working with distributed teams across multiple time zones.
* Knowledge of project tracking and version control tools (e.g., Jira, Confluence, Git).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$190,000\-$284,000 annually.  
Zone B:
The base salary range for this position is $181,000\-$270,000 annually.
Zone C:
The base salary range for this position is $162,000\-$241,000 annually.  
This position is eligible for equity in the form of RSUs.</t>
        </is>
      </c>
    </row>
    <row r="85">
      <c r="A85" t="inlineStr">
        <is>
          <t>in-c7402d952e23d50b</t>
        </is>
      </c>
      <c r="B85" t="inlineStr">
        <is>
          <t>Product Manager III</t>
        </is>
      </c>
      <c r="C85" t="inlineStr">
        <is>
          <t>R1 RCM</t>
        </is>
      </c>
      <c r="D85" t="inlineStr">
        <is>
          <t>indeed</t>
        </is>
      </c>
      <c r="E85">
        <f>HYPERLINK("https://www.indeed.com/viewjob?jk=c7402d952e23d50b", "https://www.indeed.com/viewjob?jk=c7402d952e23d50b")</f>
        <v/>
      </c>
      <c r="F85">
        <f>HYPERLINK("https://r1rcm.wd1.myworkdayjobs.com/en-US/R1RCM/job/Remote-USA/Product-Manager-III_R260000000429", "https://r1rcm.wd1.myworkdayjobs.com/en-US/R1RCM/job/Remote-USA/Product-Manager-III_R260000000429")</f>
        <v/>
      </c>
      <c r="G85" t="inlineStr">
        <is>
          <t>Remote, US</t>
        </is>
      </c>
      <c r="H85" s="3" t="n">
        <v>46051</v>
      </c>
      <c r="I85" t="inlineStr">
        <is>
          <t>R1 is the leading provider of technology\-driven solutions that transform the patient experience and financial performance of hospitals, health systems and medical groups. We are the one company that combines the deep expertise of a global workforce of revenue cycle professionals with the industry’s most advanced technology platform, encompassing sophisticated analytics, AI, intelligent automation, and workflow orchestration.
As Product Manager III for R1’s Data Platform, you will own the vision, roadmap, and execution for a cloud\-based framework that enables flexible, consistent client data acquisition, ensuring downstream consumer and client needs are met. You will serve as a subject matter expert in the platform and healthcare data, partnering closely with business leaders, internal customers, end users, Engineering, and Onboarding to gather requirements, define solution approaches, support data implementation and migration, and drive adoption. You will own all work intake and the product backlog, using Agile practices to negotiate priorities, manage feature delivery, track timelines, communicate progress, and proactively identify risks, remove blockers, and escalate issues as needed to deliver high\-quality outcomes on time.
This position reports to the Sr Product Manager.
Here’s what you will experience working as a Product Manager III:
* Define and communicate the product vision and strategy for acquiring batch billing data into the R1 Data Platform, aligned to organizational goals.
* Own and prioritize the Agile product backlog, making trade\-offs on features and enhancements.
* Gather and translate stakeholder needs (including persona interviews) into actionable requirements and product features.
* Lead end\-to\-end delivery across the SDLC—technical design through development, testing, deployment—reviewing solutions and running stakeholder demos.
* Track performance and feedback to drive improvements; report status, risks, opportunities, and ensure compliance with company policies and ethics standards.
**Required Skills:**
* 5\+ years of product management experience is required, preferably in data quality or related fields
* Advanced SQL Experience (complex queries, data transformations, etc.)
* Strong understanding of data quality tools and techniques such as data profiling, cleansing, and data validation
* Excellent communication and leadership skills, with a proven ability to manage cross\-functional teams
* Demonstrated exceptional analytical and problem\-solving skills with strong attention to detail
* R1 business process subject matter expert with the ability to translate business requests into technical tasks
* Ability to work independently, across workstreams and prioritize end user value
* Experience leading a team of analysts and SQL developers is a plus
* Expert in Agile Scrum product development methodologies
* Expert in project management methodologies
* Understanding of cloud\-based data systems such as Airflow, Snowflake or Databricks
For this US\-based position, the base pay range is $96,600\.00 \- $141,565\.18 per year . Individual pay is determined by role, level, location, job\-related skills, experience, and relevant education or training.
This job is eligible to participate in our annual bonus plan at a target of 10\.00%
The healthcare system is always evolving — and it’s up to us to use our shared expertise to find new solutions that can keep up. On our growing team you’ll find the opportunity to constantly learn, collaborate across groups and explore new paths for your career.  
Our associates are given the chance to contribute, think boldly and create meaningful work that makes a difference in the communities we serve around the world. We go beyond expectations in everything we do. Not only does that drive customer success and improve patient care, but that same enthusiasm is applied to giving back to the community and taking care of our team — including offering a competitive benefits package.
R1 RCM Inc. (“the Company”) is dedicated to the fundamentals of equal employment opportunity. The Company’s employment practices , including those regarding recruitment, hiring, assignment, promotion, compensation, benefits, training, discipline, and termination shall not be based on any person’s age, color, national origin, citizenship status, physical or mental disability, medical condition, race, religion, creed, gender, sex, sexual orientation, gender identity and/or expression, genetic information, marital status, status with regard to public assistance, veteran status or any other characteristic protected by federal, state or local law. Furthermore, the Company is dedicated to providing a workplace free from harassment based on any of the foregoing protected categories.
If you have a disability and require a reasonable accommodation to complete any part of the job application process, please contact us at 312\-496\-7709 for assistance.
CA PRIVACY NOTICE: California resident job applicants can learn more about their privacy rights California Consent
To learn more, visit: R1RCM.com
Visit us on Facebook</t>
        </is>
      </c>
    </row>
    <row r="86">
      <c r="A86" t="inlineStr">
        <is>
          <t>in-9508229a6073bb4a</t>
        </is>
      </c>
      <c r="B86" t="inlineStr">
        <is>
          <t>Senior Program Manager</t>
        </is>
      </c>
      <c r="C86" t="inlineStr">
        <is>
          <t>Excelitas Technologies</t>
        </is>
      </c>
      <c r="D86" t="inlineStr">
        <is>
          <t>indeed</t>
        </is>
      </c>
      <c r="E86">
        <f>HYPERLINK("https://www.indeed.com/viewjob?jk=9508229a6073bb4a", "https://www.indeed.com/viewjob?jk=9508229a6073bb4a")</f>
        <v/>
      </c>
      <c r="F86">
        <f>HYPERLINK("https://jobs.excelitas.com/job/Boulder-Senior-Program-Manager-CO-80301/1289013101/?feedId=417933&amp;utm_source=Indeed", "https://jobs.excelitas.com/job/Boulder-Senior-Program-Manager-CO-80301/1289013101/?feedId=417933&amp;utm_source=Indeed")</f>
        <v/>
      </c>
      <c r="G86" t="inlineStr">
        <is>
          <t>Boulder, CO, US</t>
        </is>
      </c>
      <c r="H86" s="3" t="n">
        <v>46051</v>
      </c>
      <c r="I86" t="inlineStr">
        <is>
          <t>ENABLE your future through light.
Excelitas is a global technology leader with more than 7,500 employees, focused on delivering market\-driven solutions to fulfill the illumination, optical, detection and imaging needs of OEMs and end\-users across the biomedical, semiconductor, industrial, consumer products, scientific, security, defense and aerospace sectors.
ENGAGE with us today and make your contribution to the future! Join the team that leading technology companies turn to for cutting\-edge photonic innovation. At Excelitas Technologies you are how we EXCEL.
We are presently seeking a **Program Manager** to lead project teams to ensure effective execution of strategic NPI projects of all sizes (small, medium, large) and manage budget, schedule, and deliverables towards a volume production handoff
Main responsibilities:
* Manage technically and logistically complex programs. Responsibility to deliver on time, to specification and at planned cost.
* Create a timeline for each project and actively manage and report performance against the timeline.
* Create a budget for each project with the tools provided by Finance and actively manage and report performance against the budget
* Coordinate activity with engineering, supply chain, and operations organizations to position for success on the project.
* Serve as primary customer interface for assigned projects, providing superior support, and effectively managing demanding customers.
* Identify, manage, and mitigate project risks.
* Leverage relevant technical knowledge to ensure that technical investigations and developments remain well\-aligned to the overall project goals.
* Achieve results while reinforcing company’s cultural beliefs and maintaining a chain of accountability.
* Lead each project team and navigate each project through the phase gate review process for the relevant phases (Initiate, Feasibility, Design, Prototype, Pilot, Production)
* Communicate and present relevant project performance to various stakeholders including Excelitas leadership and Customer Stakeholders.
* Other Duties as assigned
Qualifications:
* BS in Engineering. Business or Science. Advanced Business or Engineering Degree a plus.
* 5\+ years technical project/program management experience preferred.
* 2\+ years optics/photonics experience preferred.
* Project Management (PMP) certification or equivalent required. Uncertified PMP candidates will be expected to commit to pursuing PMP certification.
* Customer Service or Engineering/Technical Support Services experience preferred.
* Excellent communication skills (written and verbal).
* Experience with MS Project, MS PowerPoint, Configuration Management Systems, ERP systems
* Skill in managing a diverse range of personnel assigned to program in a matrix organization.
* Ability to effectively multitask and operate independently, solving problems hands\-on when appropriate.
Benefits start day 1: Medical, Dental, Vision, 401K, Paid Time Off, Holiday Pay, PAID Maternity/Paternity leave, Tuition Reimbursement, Long\-term and Short\-term disability.
Pay Range: $138,600\- $145,000 annually, depending on experience
Our facility in Boulder, Colorado, has key functions in Research and Development, Operations, Production, and other disciplines. This facility specializes in the manufacturing of ultra\-precision optical components, optical thin film coatings, and optical sub\-assemblies for demanding applications in lasers, materials processing, instrumentation, life sciences, avionics, and defense.
This site offers capabilities that include substantial design and engineering resources, comprehensive optical fabrication and coating capabilities, advanced assembly technology, and an extensive in\-house metrology lab.
**\#LI\-FM1**
=============
\#LI\-Onsite
This position requires the use of information which is subject to the International Traffic in Arms Regulations (ITAR)
Visa sponsorship is not available for any position at Excelitas
Equal Opportunity/Affirmative Action Employer
Minorities/Females/Disability/Veteran/Gender Identity/Sexual Orientation
Excelitas is seeking leaders and innovators to join our global team!
Visit: https://jobs.excelitas.com/</t>
        </is>
      </c>
    </row>
    <row r="87">
      <c r="A87" t="inlineStr">
        <is>
          <t>in-b702be95fd1abfc0</t>
        </is>
      </c>
      <c r="B87" t="inlineStr">
        <is>
          <t>Faculty Program Manager - Canyon Center for Character Education</t>
        </is>
      </c>
      <c r="C87" t="inlineStr">
        <is>
          <t>Grand Canyon University</t>
        </is>
      </c>
      <c r="D87" t="inlineStr">
        <is>
          <t>indeed</t>
        </is>
      </c>
      <c r="E87">
        <f>HYPERLINK("https://www.indeed.com/viewjob?jk=b702be95fd1abfc0", "https://www.indeed.com/viewjob?jk=b702be95fd1abfc0")</f>
        <v/>
      </c>
      <c r="F87">
        <f>HYPERLINK("https://gcu.wd1.myworkdayjobs.com/GCU/job/Phoenix-AZ/Faculty-Program-Manager---Canyon-Center-for-Character-Education_R000065257", "https://gcu.wd1.myworkdayjobs.com/GCU/job/Phoenix-AZ/Faculty-Program-Manager---Canyon-Center-for-Character-Education_R000065257")</f>
        <v/>
      </c>
      <c r="G87" t="inlineStr">
        <is>
          <t>Phoenix, AZ, US</t>
        </is>
      </c>
      <c r="H87" s="3" t="n">
        <v>46051</v>
      </c>
      <c r="I87" t="inlineStr">
        <is>
          <t>Grand Canyon University! One of Arizona’s leading institutions of higher learning. Located in the Valley of Sun in the heart of Phoenix, Arizona, GCU is a regionally accredited, private, nondenominational Christian University.
The Faculty Program Manager in the GCU Canyon Center for Character Education (CCCE) leads initiatives that equip and inspire GCU faculty to integrate Christian virtues and character formation inside and outside the classroom. This role sees Christ\-like character as the foundation of excellent teaching and transformative mentoring as faculty aim to cultivate practical wisdom in themselves and their students through the integration of faith, learning, and work. The Program Manager develops and administers a full range of training, resources, and engagement opportunities aligned with the Christ\-centered mission of GCU and the Christian character framework of the CCCE.  
Through faculty engagement and support, the Faculty Program Manager helps GCU pursue its vision of cultivating Christ\-like character rooted in faith, oriented by hope, and inspired to love, forming transformative leaders who pursue virtue through practiced wisdom for the common good.
**Schedule:** Mon\-Fri, 8am to 5pm onsite  
**Location:** GCU Main Campus
**Benefits:** Full benefits portfolio including tuition benefit
**What You Will Do:**
* Oversee faculty development and training initiatives that foster Christian character and virtue.
* Organize and lead faculty workshops that promote Christ\-centered teaching, Christian character, and the power of practical wisdom within faculty life.
* Develop and implement onboarding for new faculty, embedding Christian character and virtue into the core commitments of GCU faculty.
* Facilitate training sessions focused on integrating Christian character into academic practices and communities of practice within each college.
* Provide curriculum support for faculty and curriculum teams to ensure alignment with Christian character education, GCU’s mission, and the Integration of Faith, Learning, and Work (IFLW).
* Oversee faculty\-focused initiatives and CCCE resources for virtue and Christian character integration into teaching, mentoring, and professional development on\-ground and online at GCU.
* Collaborate with Faculty Training and Development (FT\&amp;D) in the development and delivery of workshops and resources aimed at virtue literacy, practical wisdom, and Christian character formation.
* Expand engagement and faculty involvement in virtue literacy strategies through live and digital opportunities such as webinars, discussion forums, experiential tools and resources, and practice\-based workshops focused on Christian character formation.
* Establish and support Communities of Practice across all colleges, organized by discipline, focused on GCU’s One Foundation commitments, and informed by the CCCE’s Christian character framework.
* Develop, implement, and refine faculty\-facing CCCE training modules (asynchronous and synchronous) to ensure they are aimed at deepening mentoring skills, virtue literacy, and Christian character formation over time.
* Collect, develop, and curate discipline\-specific resources and toolkits on Christian virtues and character formation for faculty.
* Lead and coordinate the rollout of the Christian Character Champion (C3\) model across all colleges, emphasizing faith, hope, and love in C3 selection and training of this tiered faculty leadership and mentorship model.
* Cultivate community, recognize expertise, and facilitate a best practices exchange focused on Christian character, virtues, and virtue literacy among colleges and the C3s.
* Facilitate reflective practice and Communities of Practice among faculty through coaching, dialogue, and feedback to encourage growth in biblical virtues and moral friendship.
* Support faculty in teaching and modeling Christian character aimed at virtue literacy, civil discourse, and transformative leadership.
* Manage grant expenditures for faculty\-focused initiatives, projects, and resources.
* Lead and report on faculty formation outcomes and participation to CCCE leadership, using data and stories to demonstrate impact.
* Attention to grant timelines and completion metrics required.
* Support the embedding of Christian character formation into hiring, onboarding, tenure, and ongoing faculty training and review.
* Other duties as assigned.
**What You Will Have:**
* Master’s degree required in education, theology, leadership, or related field) doctorate preferred.
* 3\+ years of experience in higher education, academic program leadership, or faculty development.
* Evident commitment to and understanding of the Christian worldview, Christ\-like character, and the mission of GCU.
* Passion for Christ\-centered formation and faculty growth.
* Demonstrated skill in curriculum design, adult learning, group facilitation, and cross\-functional collaboration.
* Experience developing and leading effective training, online and in\-person modules, and communities of practice across disciplines and vocations.
* Excellent organizational and interpersonal communication abilities.
* Must be able to successfully pass background checks.
**Why work at GCU:**
* Exceptional workplace benefits include medical, dental, vision, life and disability insurance, flexible spending accounts, a 401K savings plan
* Generous time off plan and 11 paid holidays
* Paid time off to volunteer in the community or at GCU sponsored events
* Free covered parking
* We also offer full\-time employees, their spouses, and dependent children an Education Tuition Discount Program
\#INDLOPESUP</t>
        </is>
      </c>
    </row>
    <row r="88">
      <c r="A88" t="inlineStr">
        <is>
          <t>in-6afa8aea0418e76f</t>
        </is>
      </c>
      <c r="B88" t="inlineStr">
        <is>
          <t>Program Manager</t>
        </is>
      </c>
      <c r="C88" t="inlineStr">
        <is>
          <t>MDW Associates, LLC</t>
        </is>
      </c>
      <c r="D88" t="inlineStr">
        <is>
          <t>indeed</t>
        </is>
      </c>
      <c r="E88">
        <f>HYPERLINK("https://www.indeed.com/viewjob?jk=6afa8aea0418e76f", "https://www.indeed.com/viewjob?jk=6afa8aea0418e76f")</f>
        <v/>
      </c>
      <c r="F88">
        <f>HYPERLINK("https://mdwassociates.isolvedhire.com/jobs/1695842-60608.html", "https://mdwassociates.isolvedhire.com/jobs/1695842-60608.html")</f>
        <v/>
      </c>
      <c r="G88" t="inlineStr">
        <is>
          <t>Huntsville, AL, US</t>
        </is>
      </c>
      <c r="H88" s="3" t="n">
        <v>46051</v>
      </c>
      <c r="I88" t="inlineStr">
        <is>
          <t>MDW Associates is seeking an experienced **Program Manager** for the NASA Financial Support Services (NFSS) contract. This contract provides enterprise\-wide financial, programmatic, and operational support across multiple NASA Centers and Headquarters. NFSS supports mission execution through integrated PPBE, budget execution, cost analysis, workforce planning, reimbursables, and data\-driven decision support for some of the Agency's most complex and high\-visibility programs. This role is located in Huntsville, AL.
The Program Manager will lead NFSS operations, serve as a senior interface with NASA leadership, and ensure consistent, high\-quality delivery across a geographically distributed workforce.
The Program Manager is responsible for overall contract performance, including cost, schedule, quality, and customer satisfaction. This role requires a leader who understands NASA's financial and mission environment, can manage multi\-Center operations at scale, and can translate evolving Agency priorities into disciplined execution.
The Program Manager is accountable for the successful delivery of all Data Requirements Deliverables (DRDs) under the NASA Financial Support Services (NFSS) contract. These deliverables support Agency\-wide financial execution, decision\-making, and compliance across multiple NASA Centers and Headquarters and are relied upon by senior leadership as decision\-grade inputs.
Beyond operational execution, the Program Manager serves as a senior MDW representative to NASA stakeholders, building trusted relationships with Center CFOs, Resource Management Directors, and Associate Directors. The role requires visible leadership, proactive engagement, and a forward\-leaning mindset to ensure NFSS continues to deliver high\-value, mission\-aligned support.
The **Program Manager** may perform a combination of some or all of the following duties:
Program LeadershipStakeholder Engagement:
* Serve as the primary point of contact with NASA Center CFOs, Resource Management Directors, and Headquarters stakeholders
* Build and sustain strong, trust\-based relationships through regular engagement, including in\-person meetings with Center and Agency leadership
* Represent MDW professionally and credibly in all customer\-facing forums
Contract OperationsDelivery
* Lead all aspects of NFSS execution across multiple Centers and functional areas
* Ensure consistent, high\-quality delivery of financial management, PPBE, budget execution, reimbursables, and reporting support
* Coordinate work across a matrixed, geographically dispersed workforce to ensure continuity and consistency
DRDPerformance Accountability
* Ensure timely, accurate, and complete delivery of all NFSS DRDs
* Maintain high standards for narrative quality, data integrity, and executive readiness of deliverables
* Proactively surface risks, issues, and mitigation strategies to both NASA and MDW leadership
FinancialContract Management
* Maintain responsibility for contract cost control, staffing levels, and burn\-rate management
* Support contract modifications, scope adjustments, and option\-year planning
* Oversee quality and accuracy of program\-level financial reporting
PeopleTeam Leadership
* Lead, mentor, and develop Center Leads and functional managers
* Ensure appropriate staffing, cross\-training, and succession planning to mitigate workforce risk
* Foster a culture of accountability, professionalism, and continuous improvement
Strategic GrowthValue Delivery
* Identify opportunities to expand MDW's impact through service enhancements, scope growth, and innovative approaches aligned with NASA priorities
* Support MDW leadership in positioning NFSS for long\-term success and potential growth opportunities
* Contribute to MDW's broader NASA strategy as the company expands its footprint across the Agency
**Required Experience/Skills:**
* 10\+ years of management experience
* Demonstrated experience leading multi\-Center or geographically distributed teams
* Strong understanding of Federal financial management, PPBE, budget execution, and reimbursable processes
* Proven ability to engage effectively with senior government executives
**Preferred Experience/Skills:**
* Familiarity with NASA processes, systems and organizational construct
* Experience managing contracts exceeding 100 FTEs
* PMP or equivalent program management certification
* Experience driving process improvement, automation, or data analytics initiatives
**Education Requirements:**
* Bachelor's degree in Business, Finance, Engineering, Public Administration, or related field
**Clearance Requirements:**
* U.S. Citizenship with the ability to obtain and maintain a Secret Clearance.
**Company Description**
Incorporated in 2012, MDW is a small business headquartered in McLean, VA with a strong presence in Huntsville, AL. We provide Federal government clients with financial management, strategic planning, acquisition, and program execution. Our mission is to make our clients more successful by providing honest assessments, exceptional analysis, innovative thinking and unwavering client partnership.
Our core capabilities include:
* Strategic Planning
* Cost Estimating
* Budget Programming and Justification
* Budget Execution
* Acquisition Management
* Financial Systems SupportIntegration
*MDW Associates, LLC ("MDW") is an equal opportunity employer and does not discriminate in hiring or employment on the basis of race, religion, color, sex, sexual orientation, gender identity, national origin, age, marital status, covered veteran status, mental or physical disability, pregnancy or any other unlawful basis unrelated to the ability to do the job. MDW seeks to employ talented, ethical, and entrepreneurial\-minded persons. Our applicants and employees are protected from discrimination as required by Federal law.*
Additional Information
We offer a competitive and comprehensive benefits and compensation package for our employees, including but not limited to:
* Health
* Dental
* Vision
* Group Life Insurance/Long Term Disability/Short Term Disability
* Retirement/401(k)
* Flexible Leave Policy</t>
        </is>
      </c>
    </row>
    <row r="89">
      <c r="A89" t="inlineStr">
        <is>
          <t>in-1a8b7ff74b80b345</t>
        </is>
      </c>
      <c r="B89" t="inlineStr">
        <is>
          <t>Product Manager, Enterprise Product</t>
        </is>
      </c>
      <c r="C89" t="inlineStr">
        <is>
          <t>Essex Property Trust</t>
        </is>
      </c>
      <c r="D89" t="inlineStr">
        <is>
          <t>indeed</t>
        </is>
      </c>
      <c r="E89">
        <f>HYPERLINK("https://www.indeed.com/viewjob?jk=1a8b7ff74b80b345", "https://www.indeed.com/viewjob?jk=1a8b7ff74b80b345")</f>
        <v/>
      </c>
      <c r="F89">
        <f>HYPERLINK("https://essex.wd5.myworkdayjobs.com/essexcareers/job/Irvine-Regional-Office-Derian/Product-Manager--Enterprise-Product_R8508", "https://essex.wd5.myworkdayjobs.com/essexcareers/job/Irvine-Regional-Office-Derian/Product-Manager--Enterprise-Product_R8508")</f>
        <v/>
      </c>
      <c r="G89" t="inlineStr">
        <is>
          <t>Irvine, CA, US</t>
        </is>
      </c>
      <c r="H89" s="3" t="n">
        <v>46051</v>
      </c>
      <c r="I89" t="inlineStr">
        <is>
          <t>**City**
--------
Irvine**State**
---------
California**Job Location**
----------------
Irvine Regional Office (Derian)**Position Type**
-----------------
Regular
The **Product Manager, Enterprise Product** plays a pivotal role in shaping the technology ecosystem that powers Essex’s operational excellence. This role provides the strategic guidance, evaluation, implementation, and deployment of property management and corporate systems and processes. The Product Manager will provide ongoing system ownership in collaboration with the Enterprise Product Director and team by ensuring that consistent practices are used to maintain the integrity of the systems, policies \&amp; procedures. The Product Manager will work with Service Desk delivery teams to fully train and document all necessary steps for Essex associate support of systems and applications. This role will regularly collaborate with the Product Support team and will often serve as a point person for escalation of product related issues. The Product Manager is responsible for guiding the consistent use of applications and systems and will ensure the effective delivery of products and services to meet all Essex associates’ needs.
This role is part of the Enterprise Applications team which is part of the larger Essex Technology team. The Essex Technology team is a group of passionate technologists dedicated to collaborating with each other while supporting and driving Essex to a tech\-forward future.
**WHAT YOU WILL DO:**
* Work closely with business and technical subject matter experts to gather requirements as well as identify, evaluate and select feasible solutions.
* Continuously assess processes to make ongoing improvements to how Essex develops, communicates and delivers projects to the company.
* Develop extensive working knowledge of applications regularly used by on\-site and corporate associates.
* Manage vendor relations with new and existing vendors supplying technology solutions, ensuring strong performance, aligned expectations, and successful delivery of solutions.
* Assist management with identifying and developing property related and corporate document management processes, as they relate to associated applications.
* Create comprehensive support materials and train Service Desk analysts, as needed.
* Develop and maintain training materials and schedules, when needed.
* Deliver training programs virtually and on\-site, as needed.
* Coordinate with operations to test and deploy new applications, features, and functionality.
* Troubleshoot application related issues reported by customers and provide support and training solutions via phone, email, or web support.
* Establish, monitor, and continuously refine technology best practices in collaboration with key stakeholders across the business.
* Perform additional responsibilities as required to support the evolving needs of the Enterprise Applications team.
**WHAT YOU WILL NEED:**
* Bachelor’s degree in Computer Science, Engineering, Information Systems or a related field preferred.
* **5\+ years of Product Management experience**, with a proven track record of driving successful product lifecycle execution.
* **Multi\-family housing industry experience required**, with deep familiarity in the operational needs of on\-site and corporate teams.
* Hands\-on experience with **Yardi, OnSite, and other multi\-family technology platforms** supporting prospect management, resident lifecycle activities, and on\-site operational workflows.
* Proficiency in business analytics and data interpretation to support informed decision\-making; advanced analysis skills are preferred.
**WHAT THE JOB REQUIRES:**
* Demonstrated ability to diagnose, troubleshoot, and resolve software\-related issues to enhance system performance and user adoption.
* Expertise in evaluating business requirements and aligning them with scalable, fit\-for\-purpose application solutions.
* Strong capability in identifying implementation risks, developing mitigation strategies, and ensuring successful change enablement.
* Ability to translate complex technical concepts into clear, accessible language for diverse audiences across the organization.
* Proven experience delivering effective classroom and virtual training programs that drive proficiency and engagement.
* Exceptional customer service acumen and strong interpersonal skills, with the ability to build rapport and influence cross\-functional partners.
* Requires the ability to work Monday through Friday. The position includes in\-person work requirements consistent with the hybrid policy located at Essex's corporate office in Irvine (CA), Bellevue (WA), Woodland Hills (CA), or San Mateo (CA). The hybrid policy is subject to change at Essex’s sole discretion.
**WHAT YOU WILL BRING TO THE TABLE:**
* A collaborative mindset with the ability to provide informal leadership, offering technical guidance, training and coaching to peers.
* Exceptional written and verbal communication skills, with the ability to convey complex information clearly and professionally across diverse audiences.
* Strong organizational and analytical capabilities that enable timely, reliable, and service\-focused support to stakeholders at all levels.
* The capacity to interpret complex information, analyze multifaceted scenarios, and develop practical, data\-informed solutions in environments with multiple pathways and decision points.
* Sound judgment and the ability to make informed decisions grounded in established procedures, organizational priorities, and business objectives to consistently meet deadlines and drive results.
\#LI\-AA1
\#LI\-Hybrid
All full\-time regular associates are offered competitive salaries, experience career growth, and are eligible for benefit packages that include medical, dental, vision, paid parental leave, 401k employer match, excellence rewards, wellness programs, and much more. With our 12 paid holidays and 15 PTO days, work/life balance is a priority! Additionally, most positions are eligible for a housing discount of 20%.
Essex provides great communities in which to live, work and invest. We are a purpose\-driven company, and we pride ourselves on promoting an internal culture of growth and opportunity by engaging, enabling, and empowering our teams. Working at Essex is not a destination. It is a journey where you can confidently build your career.
New hires generally start between $94,000\.00 \- $117,000\.00 per year. The final salary offer will be determined after reviewing relevant factors, including but not limited to skill sets; relevant experience; internal equity; and other business and organizational needs.
This role is also eligible to participate in Essex’s discretionary Annual Bonus program that is commensurate with the level of the position.</t>
        </is>
      </c>
    </row>
    <row r="90">
      <c r="A90" t="inlineStr">
        <is>
          <t>in-e75685dd74c417f0</t>
        </is>
      </c>
      <c r="B90" t="inlineStr">
        <is>
          <t>Epic Program Manager- Ancillary</t>
        </is>
      </c>
      <c r="C90" t="inlineStr">
        <is>
          <t>Westchester Medical Center Health Network</t>
        </is>
      </c>
      <c r="D90" t="inlineStr">
        <is>
          <t>indeed</t>
        </is>
      </c>
      <c r="E90">
        <f>HYPERLINK("https://www.indeed.com/viewjob?jk=e75685dd74c417f0", "https://www.indeed.com/viewjob?jk=e75685dd74c417f0")</f>
        <v/>
      </c>
      <c r="F90">
        <f>HYPERLINK("https://wmchealthjobs.org/?jobs=epic-program-manager-ancillary-46338", "https://wmchealthjobs.org/?jobs=epic-program-manager-ancillary-46338")</f>
        <v/>
      </c>
      <c r="G90" t="inlineStr">
        <is>
          <t>Valhalla, NY, US</t>
        </is>
      </c>
      <c r="H90" s="3" t="n">
        <v>46051</v>
      </c>
      <c r="I90" t="inlineStr">
        <is>
          <t>**Job Title:** Epic Program Manager\- Ancillary
**Company:** NorthEast Provider Solutions Inc.
**City/State:** Valhalla, NY
**Category:** Executive/Management
**Department:** Info Technology\-WMC Health
**Union:** No
**Position:** Full Time
**Hours:** days
**Shift:** Day
**Req \#:** 46338
**Posted Date:** Jan 30, 2026
**Hiring Range:** $120,220\-$152,172
### **Job Details:**
**Job Summary:**
TheProgram Manager, Information Technology – Epic,provides technical and operational leadership for the implementation of enterprise Epic systems. The individual will be part of a consortium team with colleagues at affiliated institutions, consisting of clinicians, project managers, analysts, and developers with module\-specific domain expertise. This position works closely with clinical and businessleadership and leads a multidisciplinary team in the design, implementation, workflow optimization, change management, and issue resolution related to the enterprise system. This position requires broad knowledge of clinical systems such as the Epic platform, along with clinical workflow and business processes. As aProgram Manager for the Enterprise Epic initiative, this individual will collaborate with appropriate technical and operational leaders from affiliated institutions.
**Responsibilities:**
* Maintains the organization's effectiveness and efficiency by defining, delivering, and supporting strategic plans for implementing new and innovative information technologies.
* Provides technical leadership to ensure the best development practices, user experience standards and security implementation strategies are followed.
* Advises and recommends state\-of\-the\-art enterprise architecture strategies, processes and methodologies.
* Apply strategic thinking to IT service management. The ultimate goal is to design, develop, and implement service management as both an organizational capability and a strategic asset.
* Provides overall direction and guidance, coordinates schedules and related project activities to ensure the work and documentation meet appropriate department/service line standards.
* Collaborates with users and other IT departments to develop strategy and goals for the team and department.
* Participates in key user committees to identify business requirements and recommend solutions which conform to organizational goals and regulatory guidelines. Develop innovative approaches for dealing with customer needs that are also aligned with overall information services goals and objectives.
* Defines and implements programming goals such as reuse and adaptability.
* Leads the team to gather and analyze business requirements, manage design, implementation and testing of applications.
* Presents product specifications and delivery schedule clearly and concisely to individuals at all levels of an organization, including to executive management.
* Strategically collaborates with cross\-functional teams, including development and vendor resources, to solve problems effectively and quickly to deliver product.
* Manages competing priorities to keep the team on track to deliver high\-quality solutions.
* Performs all duties inherent to a managerial role.
* Participates in hiring, training, evaluation and termination of assigned staff according to hospital policies and procedures.
* Evaluates employee performance.
* Responsible for timekeeping of direct reports.
* Train and/or supervise training of users and other staff in current and new aspects of system functionality. Participate in go\-lives and support.
* Participate in On\-Call support. Accountable and responsible for supporting business critical applications and systems that operate 24/7/365\.
* Performs other special projects and duties as assigned.
Qualifications/Requirements:
**Experience:**
* 5–7 years of experience as a Technical Manager or Technical Project Management, required
**Education:**
* Bachelor’s degree in Computer Science or related field required.
* Master’s degree, preferred
**Licenses / Certifications:**
* EPIC Module Certification in job\-related module(s) is required to be obtained within 6 months and renewed quadrennial
* PMP certification, preferred
* ITIL certirfication, preferred
* Microsoft or other technology industry certifications, preferred
**Other:**
* Ability to work in surroundings with a degree of dust, noise, odors, etc. without undue discomfort.
* Ability to hear, talk, walk, stand, bend and stretch.
* Ability to read, write and interpret documents.
* Ability to sit for long periods of time at a desk to perform job functions.
* Ability to communicate effectively with clients and co\-workers.
* May be exposed to mechanical/electrical/radiant/explosive/burn and chemical hazards.
* May be required to handle, dispose of and/or identify hazardous waste and hazardous materials.
* May be required to operate and clean equipment.
* May be required to work both indoors and outdoors under extreme temperatures.
* May be required to handle reasonably heavy weights across distances.
* May be required to operate heavy vehicles.
* Must be trained in and knowledgeable of all hospital policies and procedures pertaining to hazardous waste and hazardous materials and maintain qualifications applicable to assigned work.
Special Requirements:
* Compliant with Change Control policies, familiar with ticketing systems, ability to manage communications associated with project roll\-outs.
* Excellent written and verbal communications skills. Excellent Organizational and Analytical Skills
* Compliant with Change Control policies, familiar with ticketing systems, ability to manage communications associated with project roll\-outs.
* Experience with IT architecture planning, software development methodologies and large\-scale integrated web systems implementations and upgrades in an enterprise environment.
* Deep and broad understanding of web and mobile technologies, such as Reporting/BI tools, Microsoft.NET, SharePoint 2013\.
* Knowledge of Service\-Oriented Architecture (SOA), Web services, principles, and patterns at an enterprise\-level as it relates to complex web and mobile applications.
* Comfortable leading a team using Agile SCRUM software development methodology.
* Ability to conceptualize, plan, and implement projects as well as interact effectively with applications in complex problem situations.
* Experience with selecting and managing external software vendors.
* Applications: Tableau; Statistical Application Fluency (SAS, SPSS, Python ML, Scala, Spark ML, etc.)
**About Us:**
**NorthEast Provider Solutions Inc.**
**Benefits:**
We offer a comprehensive compensation and benefits package that includes:
* Health Insurance
* Dental
* Vision
* Retirement Savings Plan
* Flexible Savings Account
* Paid Time Off
* Holidays
* Tuition Reimbursement</t>
        </is>
      </c>
    </row>
    <row r="91">
      <c r="A91" t="inlineStr">
        <is>
          <t>in-2e4f815ca219a559</t>
        </is>
      </c>
      <c r="B91" t="inlineStr">
        <is>
          <t>Epic Program Manager-Ancillary</t>
        </is>
      </c>
      <c r="C91" t="inlineStr">
        <is>
          <t>Westchester Medical Center Health Network</t>
        </is>
      </c>
      <c r="D91" t="inlineStr">
        <is>
          <t>indeed</t>
        </is>
      </c>
      <c r="E91">
        <f>HYPERLINK("https://www.indeed.com/viewjob?jk=2e4f815ca219a559", "https://www.indeed.com/viewjob?jk=2e4f815ca219a559")</f>
        <v/>
      </c>
      <c r="F91">
        <f>HYPERLINK("https://wmchealthjobs.org/?jobs=epic-program-manager-ancillary-46339", "https://wmchealthjobs.org/?jobs=epic-program-manager-ancillary-46339")</f>
        <v/>
      </c>
      <c r="G91" t="inlineStr">
        <is>
          <t>Valhalla, NY, US</t>
        </is>
      </c>
      <c r="H91" s="3" t="n">
        <v>46051</v>
      </c>
      <c r="I91" t="inlineStr">
        <is>
          <t>**Job Title:** Epic Program Manager\-Ancillary
**Company:** NorthEast Provider Solutions Inc.
**City/State:** Valhalla, NY
**Category:** Executive/Management
**Department:** Info Technology\-WMC Health
**Union:** No
**Position:** Full Time
**Hours:** days
**Shift:** Day
**Req \#:** 46339
**Posted Date:** Jan 30, 2026
**Hiring Range:** $120,220\-$152,172
### **Job Details:**
**Job Summary:**
TheProgram Manager, Information Technology – Epic,provides technical and operational leadership for the implementation of enterprise Epic systems. The individual will be part of a consortium team with colleagues at affiliated institutions, consisting of clinicians, project managers, analysts, and developers with module\-specific domain expertise. This position works closely with clinical and business leadership and leads a multidisciplinary team in the design, implementation, workflow optimization, change management, and issue resolution related to the enterprise system. This position requires broad knowledge of clinical systems such as the Epic platform, along with clinical workflow and business processes. As a Program Manager for the Enterprise Epic initiative, this individual will collaborate with appropriate technical and operational leaders from affiliated institutions.
**Responsibilities:**
* Maintains the organization's effectiveness and efficiency by defining, delivering, and supporting strategic plans for implementing new and innovative information technologies.
* Provides technical leadership to ensure the best development practices, user experience standards and security implementation strategies are followed.
* Advises and recommends state\-of\-the\-art enterprise architecture strategies, processes and methodologies.
* Apply strategic thinking to IT service management. The ultimate goal is to design, develop, and implement service management as both an organizational capability and a strategic asset.
* Provides overall direction and guidance, coordinates schedules and related project activities to ensure the work and documentation meet appropriate department/service line standards.
* Collaborates with users and other IT departments to develop strategy and goals for the team and the department.
* Participates in key user committees to identify business requirements and recommend solutions which conform to organizational goals and regulatory guidelines. Develop innovative approaches for dealing with customer needs that are also aligned with overall information services goals and objectives.
* Defines and implements programming goals such as reuse and adaptability.
* Leads the team to gather and analyze business requirements, manage design, implementation and testing of applications.
* Presents product specifications and delivery schedule clearly and concisely to individuals at all levels of an organization, including to executive management.
* Strategically collaborates with cross\-functional teams, including development and vendor resources, to solve problems effectively and quickly to deliver product.
* Manages competing priorities to keep the team on track to deliver high\-quality solutions.
* Performs all duties inherent to a managerial role.
* Participates in hiring, training, evaluation and termination of assigned staff according to hospital policies and procedures.
* Evaluates employee performance.
* Responsible for timekeeping of direct reports.
* Train and/or supervise training of users and other staff in current and new aspects of system functionality. Participate in go\-lives and support.
* Participate in On\-Call support. Accountable and responsible for supporting business critical applications and systems that operate 24/7/365\.
* Performs other special projects and duties as assigned.
Qualifications/Requirements:
**Experience:**
* 5–7 years of experience as a Technical Manager or Technical Project Management, required
**Education:**
* Bachelor’s degree in Computer Science or related field required
* Master’s degree, preferred
**Licenses / Certifications:**
* EPIC Module Certification in job\-related module(s) is required to be obtained within 6 months and renewed quadrennial
* PMP certification, preferred
* ITIL certirfication, preferred
* Microsoft or other technology industry certifications, preferred
**Other:**
* Ability to work in surroundings with a degree of dust, noise, odors, etc. without undue discomfort.
* Ability to hear, talk, walk, stand, bend and stretch.
* Ability to read, write and interpret documents.
* Ability to sit for long periods of time at a desk to perform job functions.
* Ability to communicate effectively with clients and co\-workers.
* May be exposed to mechanical/electrical/radiant/explosive/burn and chemical hazards.
* May be required to handle, dispose of and/or identify hazardous waste and hazardous materials.
* May be required to operate and clean equipment.
* May be required to work both indoors and outdoors under extreme temperatures.
* May be required to handle reasonably heavy weights across distances.
* May be required to operate heavy vehicles.
* Must be trained in and knowledgeable of all hospital policies and procedures pertaining to hazardous waste and hazardous materials and maintain qualifications applicable to assigned work.
Special Requirements:
* Compliant with Change Control policies, familiar with ticketing systems, ability to manage communications associated with project roll\-outs.
* Excellent written and verbal communications skills. Excellent Organizational and Analytical Skills
* Compliant with Change Control policies, familiar with ticketing systems, ability to manage communications associated with project roll\-outs.
* Experience with IT architecture planning, software development methodologies and large\-scale integrated web systems implementations and upgrades in an enterprise environment.
* Deep and broad understanding of web and mobile technologies, such as Reporting/BI tools, Microsoft.NET, SharePoint 2013\.
* Knowledge of Service\-Oriented Architecture (SOA), Web services, principles, and patterns at an enterprise\-level as it relates to complex web and mobile applications.
* Comfortable leading a team using Agile SCRUM software development methodology.
* Ability to conceptualize, plan, and implement projects as well as interact effectively with applications in complex problem situations.
* Experience with selecting and managing external software vendors.
* Applications: Tableau; Statistical Application Fluency (SAS, SPSS, Python ML, Scala, Spark ML, etc.)
**About Us:**
**NorthEast Provider Solutions Inc.**
**Benefits:**
We offer a comprehensive compensation and benefits package that includes:
* Health Insurance
* Dental
* Vision
* Retirement Savings Plan
* Flexible Savings Account
* Paid Time Off
* Holidays
* Tuition Reimbursement</t>
        </is>
      </c>
    </row>
    <row r="92">
      <c r="A92" t="inlineStr">
        <is>
          <t>in-d8f137328c71b2c8</t>
        </is>
      </c>
      <c r="B92" t="inlineStr">
        <is>
          <t>Epic Program Manager-Ancillary</t>
        </is>
      </c>
      <c r="C92" t="inlineStr">
        <is>
          <t>Westchester Medical Center Health Network</t>
        </is>
      </c>
      <c r="D92" t="inlineStr">
        <is>
          <t>indeed</t>
        </is>
      </c>
      <c r="E92">
        <f>HYPERLINK("https://www.indeed.com/viewjob?jk=d8f137328c71b2c8", "https://www.indeed.com/viewjob?jk=d8f137328c71b2c8")</f>
        <v/>
      </c>
      <c r="F92">
        <f>HYPERLINK("https://wmchealthjobs.org/?jobs=epic-program-manager-ancillary-46340", "https://wmchealthjobs.org/?jobs=epic-program-manager-ancillary-46340")</f>
        <v/>
      </c>
      <c r="G92" t="inlineStr">
        <is>
          <t>Valhalla, NY, US</t>
        </is>
      </c>
      <c r="H92" s="3" t="n">
        <v>46051</v>
      </c>
      <c r="I92" t="inlineStr">
        <is>
          <t>**Job Title:** Epic Program Manager\-Ancillary
**Company:** NorthEast Provider Solutions Inc.
**City/State:** Valhalla, NY
**Category:** Executive/Management
**Department:** Info Technology\-WMC Health
**Union:** No
**Position:** Full Time
**Hours:** days
**Shift:** Day
**Req \#:** 46340
**Posted Date:** Jan 30, 2026
**Hiring Range:** $120,220\-$152,172
### **Job Details:**
**Job Summary:**
TheProgram Manager, Information Technology – Epic,provides technical and operational leadership for the implementation of enterprise Epic systems. The individual will be part of a consortium team with colleagues at affiliated institutions, consisting of clinicians, project managers, analysts, and developers with module\-specific domain expertise. This position works closely with clinical and business leadership and leads a multidisciplinary team in the design, implementation, workflow optimization, change management, and issue resolution related to the enterprise system. This position requires broad knowledge of clinical systems such as the Epic platform, along with clinical workflow and business processes. As a Program Manager for the Enterprise Epic initiative, this individual will collaborate with appropriate technicaland operational leaders from affiliated institutions.
**Responsibilities:**
* Maintains the organization's effectiveness and efficiency by defining, delivering, and supporting strategic plans for implementing new and innovative information technologies.
* Provides technical leadership to ensure the best development practices, user experience standards and security implementation strategies are followed.
* Advises and recommends state\-of\-the\-art enterprise architecture strategies, processes and methodologies.
* Apply strategic thinking to IT service management. The ultimate goal is to design, develop, and implement service management as both an organizational capability and a strategic asset.
* Provides overall direction and guidance, coordinates schedules and related project activities to ensure the work and documentation meet appropriate department/service line standards.
* Collaborates with users and other IT departments to develop strategy and goals for the team and department.
* Participates in key user committees to identify business requirements and recommend solutions which conform to organizational goals and regulatory guidelines. Develop innovative approaches for dealing with customer needs that are also aligned with overall information services goals and objectives.
* Defines and implements programming goals such as reuse and adaptability.
* Leads the team to gather and analyze business requirements, manage design, implementation and testing of applications.
* Presents product specifications and delivery schedule clearly and concisely to individuals at all levels of an organization, including to executive management.
* Strategically collaborates with cross\-functional teams, including development and vendor resources, to solve problems effectively and quickly to deliver product.
* Manages competing priorities to keep the team on track to deliver high quality solutions.
* Performs all duties inherent to a managerial role.
* Participates in hiring, training, evaluation and termination of assigned staff according to hospital policies and procedures.
* Evaluates employee performance.
* Responsible for timekeeping of direct reports.
* Train and/or supervise training of users and other staff in current and new aspects of system functionality. Participate in go\-lives and support.
* Participate in On\-Call support. Accountable and responsible for supporting business critical applications and systems that operate 24/7/365\.
* Performs other special projects and duties as assigned.
Qualifications/Requirements:
**Experience:**
* 5–7 years of experience as a Technical Manager or Technical Project Management, required
**Education:**
* Bachelor’s degree in Computer Science or related field required.
* Master’s degree, preferred
**Licenses / Certifications:**
* EPIC Module Certification in job related module(s) is required to be obtained within 6 months and renewed quadrennial
* PMP certification, preferred
* ITIL certirfication, preferred
* Microsoft or other technology industry certifications, preferred
**Other:**
* Ability to work in surroundings with a degree of dust, noise, odors, etc. without undue discomfort.
* Ability to hear, talk, walk, stand, bend and stretch.
* Ability to read, write and interpret documents.
* Ability to sit for long periods of time at a desk to perform job functions.
* Ability to communicate effectively with clients and co\-workers.
* May be exposed to mechanical/electrical/radiant/explosive/burn and chemical hazards.
* May be required to handle, dispose of and/or identify hazardous waste and hazardous materials.
* May be required to operate and clean equipment.
* May be required to work both indoors and outdoors under extreme temperatures.
* May be required to handle reasonably heavy weights across distances.
* May be required to operate heavy vehicles.
* Must be trained in and knowledgeable of all hospital policies and procedures pertaining to hazardous waste and hazardous materials and maintain qualifications applicable to assigned work.
Special Requirements:
* Compliant with Change Control policies, familiar with ticketing systems, ability to manage communications associated with project roll\-outs.
* Excellent written and verbal communications skills. Excellent Organizational and Analytical Skills
* Compliant with Change Control policies, familiar with ticketing systems, ability to manage communications associated with project roll\-outs.
* Experience with IT architecture planning, software development methodologies and large\-scale integrated web systems implementations and upgrades in an enterprise environment.
* Deep and broad understanding of web and mobile technologies, such as Reporting/BI tools, Microsoft.NET, SharePoint 2013\.
* Knowledge of Service\-Oriented Architecture (SOA), Web services, principles, and patterns at an enterprise\-level as it relates to complex web and mobile applications.
* Comfortable leading a team using Agile SCRUM software development methodology.
* Ability to conceptualize, plan, and implement projects as well as interact effectively with applications in complex problem situations.
* Experience with selecting and managing external software vendors.
* Applications: Tableau; Statistical Application Fluency (SAS, SPSS, Python ML, Scala, Spark ML, etc.)
**About Us:**
**NorthEast Provider Solutions Inc.**
**Benefits:**
We offer a comprehensive compensation and benefits package that includes:
* Health Insurance
* Dental
* Vision
* Retirement Savings Plan
* Flexible Savings Account
* Paid Time Off
* Holidays
* Tuition Reimbursement</t>
        </is>
      </c>
    </row>
    <row r="93">
      <c r="A93" t="inlineStr">
        <is>
          <t>in-b8854251f1d13e5c</t>
        </is>
      </c>
      <c r="B93" t="inlineStr">
        <is>
          <t>Senior Product Manager- Service Customer Experience Platforms</t>
        </is>
      </c>
      <c r="C93" t="inlineStr">
        <is>
          <t>General Motors (GM)</t>
        </is>
      </c>
      <c r="D93" t="inlineStr">
        <is>
          <t>indeed</t>
        </is>
      </c>
      <c r="E93">
        <f>HYPERLINK("https://www.indeed.com/viewjob?jk=b8854251f1d13e5c", "https://www.indeed.com/viewjob?jk=b8854251f1d13e5c")</f>
        <v/>
      </c>
      <c r="F93">
        <f>HYPERLINK("https://generalmotors.wd5.myworkdayjobs.com/en-US/Careers_GM/job/Warren-Michigan-United-States-of-America/Senior-Product-Manager--Service-Customer-Experience-Platforms_JR-202601238", "https://generalmotors.wd5.myworkdayjobs.com/en-US/Careers_GM/job/Warren-Michigan-United-States-of-America/Senior-Product-Manager--Service-Customer-Experience-Platforms_JR-202601238")</f>
        <v/>
      </c>
      <c r="G93" t="inlineStr">
        <is>
          <t>Warren, MI, US</t>
        </is>
      </c>
      <c r="H93" s="3" t="n">
        <v>46051</v>
      </c>
      <c r="I93" t="inlineStr">
        <is>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**The Role**
As a Senior Product Manager for Service Customer Experience Platforms, you will own the vision and roadmap for a set of scalable capabilities that power how customers discover, understand, schedule, and manage vehicle service across mobile, web, and in\-vehicle channels. You will lead product strategy, discovery, prioritization, and delivery in close partnership with engineering, design, data, and business teams. This role shifts the service ecosystem beyond operational throughput toward experience\-driven outcomes by delivering platform capabilities that provide transparent, real\-time views of service needs, pricing, status, and history—empowering informed decisions and strengthening customer trust and loyalty.
**What You'll Do**
* Contribute to the definition of the product vision, strategy, and roadmap based on customer needs and market trends.
* Collaborate with cross\-functional teams, including engineering, design, marketing, and sales, to ensure product goals and priorities alignment.
* Conduct market research and competitive analysis to identify market opportunities and potential threats.
* Develop and manage product requirements, including user stories, use cases, and functional specifications.
* Create and maintain product backlogs and prioritize features and enhancements based on business value, customer needs, and technical feasibility.
* Work closely with UX/UI designers to develop intuitive and compelling user interfaces.
* Define and track key metrics using OKRs and KPIs to measure product success and inform future decisions.
* Communicate product updates, progress, and plans to stakeholders across the organization, including executives, customers, and partners.
* Manage product launches, including developing go\-to\-market strategies and coordinating cross\-functional teams to ensure successful product launches.
* Conduct post\-launch analysis to evaluate product performance and identify areas for improvement.
* Continuously iterate and improve the product based on user feedback, market trends, and business goals.
**Your Skills \&amp; Abilities (Required Qualifications)**
* 7\+ years of digital/software product management experience with technical focus.
* 3\+ years of experience managing products focused on core user experiences and strategy of digital products across a variety of platforms (vehicle, mobile, and web).
* Proven ability to balance tradeoffs between consumer needs, business objectives, and technical constraints.
* Experience developing solutions to complex problems with many constraints, using sound judgment and data\-informed decision\-making.
* Demonstrated expertise in writing, with the ability to effectively balance and integrate vision, strategy, and technical details in a cohesive narrative.
* Ability to identify key data and metrics required to make decisions and understand their implications.
* Strong communication and storytelling skills, with the ability to articulate complex concepts to all stakeholders.
**What Will Give You a Competitive Edge (Preferred Qualifications)**
* 8\+ years of digital/software product management experience.
* Experience driving go\-to\-market strategies for vehicle first user experiences and collaborating with sales and marketing teams.
**Hybrid:** This role is categorized as hybrid. This means the successful candidate is expected to report to the office three times per week, at minimum.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\#LI\-RF1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94">
      <c r="A94" t="inlineStr">
        <is>
          <t>in-8244d473229ba215</t>
        </is>
      </c>
      <c r="B94" t="inlineStr">
        <is>
          <t>Product Manager, Mortgage</t>
        </is>
      </c>
      <c r="C94" t="inlineStr">
        <is>
          <t>BMO Financial Group</t>
        </is>
      </c>
      <c r="D94" t="inlineStr">
        <is>
          <t>indeed</t>
        </is>
      </c>
      <c r="E94">
        <f>HYPERLINK("https://www.indeed.com/viewjob?jk=8244d473229ba215", "https://www.indeed.com/viewjob?jk=8244d473229ba215")</f>
        <v/>
      </c>
      <c r="F94">
        <f>HYPERLINK("https://bmo.wd3.myworkdayjobs.com/en-US/External/job/Chicago-IL-USA/Product-Manager--Mortgage_R260003224?source=Indeed", "https://bmo.wd3.myworkdayjobs.com/en-US/External/job/Chicago-IL-USA/Product-Manager--Mortgage_R260003224?source=Indeed")</f>
        <v/>
      </c>
      <c r="G94" t="inlineStr">
        <is>
          <t>Chicago, IL, US</t>
        </is>
      </c>
      <c r="H94" s="3" t="n">
        <v>46051</v>
      </c>
      <c r="I94" t="inlineStr">
        <is>
          <t>320 S Canal Street Chicago Illinois,60606
Researches, defines, aligns, develops, and implements product strategies to enable effective sales, fulfillment, and servicing of new and existing consumer lending products. Carries out market research, forecasting, pricing, and competitive analysis, monitors product and system performance, and assesses problems to develop and implement solutions. Ensures compliance with applicable laws and regulations and risk policies. Collaborates with internal partners across the enterprise to take products to market.
* Develops comprehensive business cases to enhance product or customer experience, including the identification of needs and emerging issues/trends, analysis of benefits and risks of potential options, and estimation of expected returns on investment.
* Develops detailed project implementation plans; coordinates timely execution of related activities alongside internal and external stakeholders.
* Designs and produces regular and ad\-hoc reporting to monitor key product performance and growth metrics and support risk management and policy development.
* Supports change management of varying scope and type; tasks typically focused on execution, training, and sustainment activities.
* Resolves internal, complex or higher\-risk customer escalations or policy exceptions, which may include interactions with clients and sales.
* Gathers customer and sales feedback and analyzes issues.
* Participates in and evaluates market research and competitive analysis to identify product strengths and gaps, and extract insights.
* Acts as the day\-to\-day contact for external partners; supports the implementation, maintenance, and sustainment of vendor solutions; ensures that all agreements are met as per requirements.
* Develops and updates product documentation, templates, and requirements to accurately reflect product and systems functionality.
**Qualifications:**
* Typically between 5 \- 7 years of relevant experience and post\-secondary degree in related field of study or an equivalent combination of education and experience.
* Strong experience with consumer / commercial credit applicable to retail and business financing products.
* Strong experience working with retail and business product fundamentals, including product design, functionality, and related policies and procedures
* Strong knowledge of product delivery infrastructure systems and underlying product interdependencies.
* In\-depth retail and business banking environmental awareness / understanding.
* In\-depth risk management associated with new and existing product development and management.
* Strong knowledge of process coordination and management.
* Strong knowledge of banking product management and associated industry and regulatory requirements.
* Building business cases \- in\-depth
* Researching market trends – in\-depth
* Relationship management – in\-depth
* Analytics and reporting – in\-depth
* Product marketing – in\-depth
* Negotiation skills – good
* Software and systems architecture knowledge – good/in\-depth
* Financial Understanding – good/in\-depth
* Deep knowledge and technical proficiency gained through extensive education and business experience.
* Verbal \&amp; written communication skills \- In\-depth.
* Collaboration \&amp; team skills \- In\-depth.
* Analytical and problem solving skills \- In\-depth.
* Influence skills \- In\-depth.
* Data driven decision making \- In\-depth.
**Salary:**
$74,000\.00 \- $138,000\.00
**Pay Type:**
Salaried
The above represents BMO Financial Group’s pay range and type.
Salaries will vary based on factors such as location, skills, experience, education, and qualifications for the role, and may include a commission structure. Salaries for part\-time roles will be pro\-rated based on number of hours regularly worked. For commission roles, the salary listed above represents BMO Financial Group’s expected target for the first year in this position.
BMO Financial Group’s total compensation package will vary based on the pay type of the position and may include performance\-based incentives, discretionary bonuses, as well as other perks and rewards. BMO also offers health insurance, tuition reimbursement, accident and life insurance, and retirement savings plans. To view more details of our benefits, please visit: https://jobs.bmo.com/global/en/Total\-Rewards
**About Us**
At BMO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
As a member of the BMO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
To find out more visit us at https://jobs.bmo.com/us/en
BMO is proud to be an equal employment opportunity employer. We evaluate applicants without regard to race, religion, color, national origin, sex (including pregnancy, childbirth, or related medical conditions), sexual orientation, gender identity, gender expression, transgender status, sexual stereotypes, age, status as a protected veteran, status as an individual with a disability, or any other legally protected characteristics. We also consider applicants with criminal histories, consistent with applicable federal, state and local law.
BMO is committed to working with and providing reasonable accommodations to individuals with disabilities. If you need a reasonable accommodation because of a disability for any part of the employment process, please send an e\-mail to BMOCareers.Support@bmo.com and let us know the nature of your request and your contact information.
Note to Recruiters: BMO does not accept unsolicited resumes from any source other than directly from a candidate. Any unsolicited resumes sent to BMO, directly or indirectly, will be considered BMO property. BMO will not pay a fee for any placement resulting from the receipt of an unsolicited resume. A recruiting agency must first have a valid, written and fully executed agency agreement contract for service to submit resumes.</t>
        </is>
      </c>
    </row>
    <row r="95">
      <c r="A95" t="inlineStr">
        <is>
          <t>in-ada3e2b1f676d774</t>
        </is>
      </c>
      <c r="B95" t="inlineStr">
        <is>
          <t>Program Manager, Sustaining</t>
        </is>
      </c>
      <c r="C95" t="inlineStr">
        <is>
          <t>Hologic</t>
        </is>
      </c>
      <c r="D95" t="inlineStr">
        <is>
          <t>indeed</t>
        </is>
      </c>
      <c r="E95">
        <f>HYPERLINK("https://www.indeed.com/viewjob?jk=ada3e2b1f676d774", "https://www.indeed.com/viewjob?jk=ada3e2b1f676d774")</f>
        <v/>
      </c>
      <c r="F95">
        <f>HYPERLINK("https://careers.hologic.com/search/300000435778933/program-manager-sustaining", "https://careers.hologic.com/search/300000435778933/program-manager-sustaining")</f>
        <v/>
      </c>
      <c r="G95" t="inlineStr">
        <is>
          <t>Newark, DE, US</t>
        </is>
      </c>
      <c r="H95" s="3" t="n">
        <v>46051</v>
      </c>
      <c r="I95" t="inlineStr">
        <is>
          <t>We are seeking an experienced and dynamic **Program Manager, Sustaining** with a strong background in sustaining and remediation within the medical device industry. In this pivotal role, you will lead sustaining projects, remediation initiatives, and other business\-critical efforts from conception through to market commercialization. You will play a crucial role in managing complex projects, building networks with key contacts, and resolving intricate issues creatively and effectively.
**Knowledge:**
* **Sustaining Engineering:** In\-depth understanding of sustaining engineering processes, ensuring the ongoing support and optimization of existing products.
* **Regulatory Standards:** Familiarity with ISO and FDA quality systems regulations, including post\-market surveillance and remediation activities.
* **Phase/Gate Process:** Knowledge of phase/gate approach to NPI and design control procedures.
**Skills:**
* **Leadership:** Ability to lead high\-performing teams, manage cross\-functional project activities, and drive remediation efforts effectively.
* **Project Management:** Expertise in project management, including planning, scheduling, tracking, and risk management.
* **Communication:** Excellent written and verbal communication skills, capable of adapting style to different audiences and facilitating group discussions.
* **Technical Proficiency:** Advanced knowledge in product development, sustaining engineering, and strategic thinking.
* **Analytical Skills:** Strong technical aptitude with the ability to analyze data, manage complex issues, and implement remediation solutions.
* **Tools Proficiency:** Proficient with Microsoft Office, Microsoft Project, PPM tools (e.g., Smartsheet, Planview), and reporting dashboards.
**Behaviors:**
* **Strategic Thinking:** Demonstrates strategic thinking and contributes to the development and standardization of policies and procedures.
* **Collaboration:** Works effectively with cross\-functional teams and promotes knowledge transfer and collaboration.
* **Continuous Improvement:** Champions opportunities for process enhancement and implements new tools, technologies, and methods.
* **Proactive Work Ethic:** Self\-starter with a strong proactive work ethic, well\-organized, and detail\-oriented.
* **Mentorship:** Provides guidance, feedback, and support to team members and promotes a culture of continuous learning.
**Experiences:**
* **Education:**
	+ Preferred Minimum Non\-Technical Degree: College Degree
	+ Preferred Minimum Technical/Advanced Degree: Master’s Degree
* **Industry Experience:**
	+ 8\+ years with a non\-technical degree.
	+ 6\+ years with a Master’s Degree.
	+ 3\+ years with a PhD.
* **Project Leadership:**
	+ Experience leading large cross\-functional projects with global reach.
	+ Experience in sustaining engineering and remediation efforts for medical devices.
* **Regulatory Experience:**
	+ Experienced with ISO and FDA quality systems regulations, including post\-market activities.
	+ Prior experience in medical device design, development cycles, and remediation projects.
* **Professional Development:**
	+ Participates in professional development and stays current with industry best practices.
	+ PMP Certification is beneficial.
**Essential Duties and Responsibilities:**
* Lead sustaining and remediation projects and other business\-critical initiatives from charter to commercialization.
* Guide the program core team, ensuring flawless interfaces and interdependencies between functions.
* Establish program objectives, measurable goals, and program scorecards.
* Collaborate with Core Team to establish resources needed and budget to execute program commitments.
* Author the Product Development Plan and ensure other functional planning documents are completed and up to date.
* Develop integrated cross\-functional schedules, identifying critical paths, risks, and dependencies.
* Identify and facilitate program and product risk identification throughout the program cycle, ensure effective mitigations in place; monitor risks throughout the program; transfers documentation.
* Utilize Design Control phase/gate processes to execute programs and facilitate phase gate exit readiness reviews.
* Coordinate core team meetings and prepare program status reports.
* Manage project success factors, including progress, schedule, budget, risks, and communication.
* Act as a liaison between R\&amp;D, Operations, Marketing, and Quality for all assigned projects.
* Foster a workplace culture of continuous improvement and lead process enhancement activities.
**So why join Hologic?**
We are committed to making Hologic the company where top talent comes to grow. For you to succeed, we want to enable you with the tools and knowledge required and so we provide comprehensive training when you join as well as continued development and training throughout your career. We offer a competitive salary and annual bonus scheme, one of our talent partners can discuss this in more detail with you.
If you have the right skills and experience and want to join our team, apply today. We can’t wait to hear from you!
The annualized base salary range for this role is $119,700 \- $186,600 and is bonus eligible. Final compensation packages will ultimately depend on factors including relevant experience, skillset, knowledge, geography, education, business needs and market demand.
Agency and Third\-Party Recruiter Notice: Agencies that submit a resume to Hologic must have a current executed Hologic Agency Agreement executed by a member of the Human Resource Department. In addition Agencies may only submit candidates to positions for which they have been invited to do so by a Hologic Recruiter. All resumes must be sent to the Hologic Recruiter under these terms or they will not be considered.
Hologic, Inc. is proud to be an Equal Opportunity Employer inclusive of disability and veterans.
LI\-\#RT1</t>
        </is>
      </c>
    </row>
    <row r="96">
      <c r="A96" t="inlineStr">
        <is>
          <t>in-bee46a9ca157b1b4</t>
        </is>
      </c>
      <c r="B96" t="inlineStr">
        <is>
          <t>EXCEPTIONAL FAMILY MEMBER PROGRAM MANAGER NF4 RFT</t>
        </is>
      </c>
      <c r="C96" t="inlineStr">
        <is>
          <t>U.S. Marine Corps</t>
        </is>
      </c>
      <c r="D96" t="inlineStr">
        <is>
          <t>indeed</t>
        </is>
      </c>
      <c r="E96">
        <f>HYPERLINK("https://www.indeed.com/viewjob?jk=bee46a9ca157b1b4", "https://www.indeed.com/viewjob?jk=bee46a9ca157b1b4")</f>
        <v/>
      </c>
      <c r="F96">
        <f>HYPERLINK("https://careers.usmc-mccs.org/psc/hprd/EMPLOYEE/HRMS/c/HRS_HRAM_FL.HRS_CG_SEARCH_FL.GBL?Page=HRS_APP_JBPST&amp;Action=U&amp;FOCUS=Applicant&amp;SiteId=1&amp;JobOpeningId=75996&amp;PostingSeq=1", "https://careers.usmc-mccs.org/psc/hprd/EMPLOYEE/HRMS/c/HRS_HRAM_FL.HRS_CG_SEARCH_FL.GBL?Page=HRS_APP_JBPST&amp;Action=U&amp;FOCUS=Applicant&amp;SiteId=1&amp;JobOpeningId=75996&amp;PostingSeq=1")</f>
        <v/>
      </c>
      <c r="G96" t="inlineStr">
        <is>
          <t>Norfolk, VA, US</t>
        </is>
      </c>
      <c r="H96" s="3" t="n">
        <v>46051</v>
      </c>
      <c r="I96" t="inlineStr">
        <is>
          <t>Marine Corps Community Services (MCCS) is looking for the best and brightest to join our Team! MCCS is a comprehensive program that supports and enhances the quality of life for Marines, their families, and others in the Marine Corps Community. We offer a team oriented environment comprised of military personnel, civilian employees, contractors and volunteers who keep the organization functioning smoothly and effectively. As a service\-oriented organization, we never waver in our commitment to our Corps.
Major Duties
Manages and serves as the installation subject matter expert of the Exceptional Family Member Program. Oversees the EFMP case management system and ensures effective exchange of resource information and support between staff and EFMP families. Oversees facilitation and coordination of resources between agencies, related resource offices, medical and recreational facilities, community services agencies and private organizations with emphasis on improving services.
Serves as the Program Manager to independently oversee day\-to\-day operation of the EFMP ongoing program that encompasses mission, function, operation, activity, laws, rules and regulations authorized and funded by the agency. Determines appropriate products or services for customers and defines program scope, requirements and deliverables. Develops, modifies or provides input to project plans and implements program plans to meet objectives. Coordinates and integrates project activities. Manages leads or administers project resources. Conducts presentations or briefings on all aspects of the program. Participates in phased, milestone and final program reviews. Identifies program documentation requirements or procedures. Develops and implements program marketing plans. Conducts a quarterly Special Needs Forum, open to family members to address needs and concerns. Participates in the Special Needs Evaluation and Review Team (SNERT) per Marine Corps Order 1754\.4B. Manages the installation EFMP Respite Care Program. Assesses program operations and monitors progress toward organization goals and evaluates and makes adjustments to improve the program. Develops minimum standards governing the EFMP program, policy, procedures and personnel. Ensures the EFMP is in Compliance with the IG AIRS checklist, Internal Control Reviews and meets related inspection requirements.
Maintains extensive contact with other program managers and officials of other related agencies and organizations to: resolve problems, negotiate agreements, advise on and render technical assistance in areas such as changes or improvements in program objectives, utilizing facilities and staff, redirecting programs to provide more efficient and effective service, developing new or revised curricula and programs for staff development and developing and installing reporting systems.
May supervise the EFMP Case Worker, EFMP Training, Education and Outreach Specialist and EFMP Administrative Assistant. Develops and analyzes data to be used in preparing analytical and interpretative reports and guides of EFMP program operation. Selects appropriate techniques for data collection to identify aspects of successful program operations. Selects successful methods and techniques used by other local officials (federal, state, local) and adapts and extends methods and techniques into new patterns to solve problems. This is a white\-collar position where occasional lifting up to 20 lbs may be required.
Qualifications
A four year degree in Human Services or a related field. Four years of knowledge and experience that demonstrates skill to independently oversee day\-to\-day operation of an Exceptional Family Member Program; monitor a case management system, review and recommend approval or disapproval of related program plans and materials; analyze and develop proposals or provisions in terms of impact on program resource requirements; develop new and revise operating procedures and standards to incorporate provisions that affect operating activities and requirements; conduct reviews of the administration and operation of the program and provide subject matter advice.
Skill to supervise employees in the accomplishment of work. Knowledge of human services principles and practices pertaining to individual and family needs, and problems in relation to social patterns. Knowledge of military family support programs and the related mission of readiness and retention. Knowledge of and familiarity with agencies, related resource offices, medical and recreational facilities, community services agencies and private organizations that can provide support to the EFMP.
How To Apply
All applications must be submitted online via the MCCS Careers website:
Resumes/applications emailed or mailed will not be considered for this vacancy announcement. To be considered for employment, the application or resume must be submitted online by 11:59 PM (ET) on the closing date of the announcement.
**Note:** To check the status of your application or return to a previous or incomplete application, log into your MCCS user account and review your application status.
Closing Statement
**GENERAL INFORMATION:** Applicants are assured of equal consideration regardless of race, age, color, religion, national origin, sex, GINA, political affiliation, membership or non\-membership in an employee organization, marital status, physical handicap which has no bearing on the ability to perform the duties of the position. This agency provides reasonable accommodations to applicants with disabilities. If you need a reasonable accommodation for any part of the application and hiring process, please notify the agency. The decision on granting reasonable accommodation will be on a case\-by\-case basis.
It is Department of Navy (DON) policy to provide a workplace free of discrimination and retaliation. The DON No Fear Act policy link is provided for your review: https://www.donhr.navy.mil/NoFearAct.asp.
As part of the employment process, Human Resources Division may obtain a Criminal Record Check and/or an Investigative Consumer Report. Employment is contingent upon the successful completion of a National Agency Check and Inquiries (NACI). For all positions requiring access to firearms or ammunition, the Federal Government is prohibited from employing individuals in these positions who have ever been convicted of a misdemeanor crime of domestic violence, or a felony crime of domestic violence adjudged on or after 27 November 2002\. Selectees for such positions must submit a completed DD Form 2760, Qualification to Possess Firearms or Ammunition, before a final job offer can be made.
Direct Deposit of total NET pay is mandatory as a condition of employment for all appointments to positions within MCCS.
**Required Documents:**  
* Education/certification certificate(s), if applicable.
* If prior military, DD214 Member Copy
This activity is a Drug\-free workplace. The use of illegal drugs by NAF employees, whether on or off duty, cannot and will not be tolerated. Federal employees have a right to a safe and secure workplace, and Marines, sailors, and their family members have a right to a reliable and productive Federal workforce.
Involuntarily separated members of the armed forces and eligible family members applying through the Transition Assistance Program must submit a written request/statement (may be obtained from the MCCS Human Resources Office) and present ID card with "TA" stamped in red on front of card.
INDIVIDUALS SELECTED FROM THIS ANNOUNCEMENT MAY BE CHANGED TO PART\-TIME OR FULL\-TIME AT MANAGEMENT'S DISCRETION WITHOUT FURTHER COMPETITION.
ALL ONLINE APPLICATIONS MUST BE RECEIVED BY 1159PM EASTERN TIME (ET) ON THE CLOSING DATE LISTED IN THE JOB POSTING.</t>
        </is>
      </c>
    </row>
    <row r="97">
      <c r="A97" t="inlineStr">
        <is>
          <t>in-373538ca34902f70</t>
        </is>
      </c>
      <c r="B97" t="inlineStr">
        <is>
          <t>Technical Program Manager, Synthetic Data</t>
        </is>
      </c>
      <c r="C97" t="inlineStr">
        <is>
          <t>OpenAI</t>
        </is>
      </c>
      <c r="D97" t="inlineStr">
        <is>
          <t>indeed</t>
        </is>
      </c>
      <c r="E97">
        <f>HYPERLINK("https://www.indeed.com/viewjob?jk=373538ca34902f70", "https://www.indeed.com/viewjob?jk=373538ca34902f70")</f>
        <v/>
      </c>
      <c r="F97">
        <f>HYPERLINK("https://openai.com/careers/technical-program-manager-synthetic-data-san-francisco/", "https://openai.com/careers/technical-program-manager-synthetic-data-san-francisco/")</f>
        <v/>
      </c>
      <c r="G97" t="inlineStr">
        <is>
          <t>San Francisco, CA, US</t>
        </is>
      </c>
      <c r="H97" s="3" t="n">
        <v>46051</v>
      </c>
      <c r="I97" t="inlineStr">
        <is>
          <t>About the Team
The Foundations TPM Team is responsible for providing the training data to advance our models’ intelligence and expand their capabilities. We build and manage some of the largest datasets in the world — spanning trillions of tokens across modalities and languages. Our work directly shapes what our models learn and teaches them new skills that hundreds of millions of people use.
About the Role
As a Foundations TPM, you’ll work directly with researchers to create the datasets we need to achieve AGI. You’ll work with researchers to understand what data we need and drive our efforts to acquire it. You’ll also lead the development of our data platform to power both human researchers and AI agents to search, filter, and curate massive datasets for training.
We’re looking for people who want to push the frontier of AI through better data and build the next generation of tooling for working with internet\-scale pipelines and training datasets.
This role is based in San Francisco, CA. We use a hybrid work model of 3 days in the office per week and offer relocation assistance to new employees.
**In this role, you will:**  
Lead end\-to\-end programs to acquire and deliver high\-impact data and training environments, collaborating closely with our research, crawling, partnership, and human data teams.
Drive the end\-to\-end creation of mission\-critical training datasets for major model training runs.
Own the data platform roadmap and lead the development of new features — proposing, prioritizing, and iterating on features that unlock research velocity.
**You might thrive in this role if you:**  
You’ve led large and ambitious technical programs that had a major impact.
Are fluent in infrastructure, data, or AI/ML, and love working shoulder\-to\-shoulder with researchers and engineers.
You have excellent communication skills \- you are able to articulate problems clearly and drive decision making in the face of ambiguity.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 No response will be provided to inquiries unrelated to job posting compliance.
We are committed to providing reasonable accommodations to applicants with disabilities.
OpenAI Global Applicant Privacy Policy
At OpenAI, we believe artificial intelligence has the potential to help people solve immense global challenges, and we want the upside of AI to be widely shared. Join us in shaping the future of technology.
Compensation
$207K – $285K \+ Offers Equity</t>
        </is>
      </c>
    </row>
    <row r="98">
      <c r="A98" t="inlineStr">
        <is>
          <t>in-f7aed4ed121abd72</t>
        </is>
      </c>
      <c r="B98" t="inlineStr">
        <is>
          <t>SAP Senior Program Manager - Remote US Position</t>
        </is>
      </c>
      <c r="C98" t="inlineStr">
        <is>
          <t>NTT DATA</t>
        </is>
      </c>
      <c r="D98" t="inlineStr">
        <is>
          <t>indeed</t>
        </is>
      </c>
      <c r="E98">
        <f>HYPERLINK("https://www.indeed.com/viewjob?jk=f7aed4ed121abd72", "https://www.indeed.com/viewjob?jk=f7aed4ed121abd72")</f>
        <v/>
      </c>
      <c r="F98">
        <f>HYPERLINK("https://click.appcast.io/t/mpOtKCsNMit4w7VhD-D4JjJ0eKXJZMbPhqhX4jqUtVE=", "https://click.appcast.io/t/mpOtKCsNMit4w7VhD-D4JjJ0eKXJZMbPhqhX4jqUtVE=")</f>
        <v/>
      </c>
      <c r="G98" t="inlineStr">
        <is>
          <t>Plano, TX, US</t>
        </is>
      </c>
      <c r="H98" s="3" t="n">
        <v>46051</v>
      </c>
      <c r="I98" t="inlineStr">
        <is>
          <t>**Req ID:** 356628
NTT DATA strives to hire exceptional, innovative and passionate individuals who want to grow with us. If you want to be part of an inclusive, adaptable, and forward\-thinking organization, apply now.  
We are currently seeking a **SAP Senior Program Manager \- Remote US Position**  
Our **SAP Senior Program Managers** work closely with different stakeholders through the client organization to coordinate the consultancy\-side implementation team (management, subject matter experts, consultants, and developers) accordingly. This involves driving all the project stages, including planning and execution. A Program Manager in the SAP world wears many hats. Responsibilities will vary depending on the size of the implementation and their own technical acumen.  
**Please note** \- US Citizen or US Green Card only will be considered for this position.  
**We are looking for a leader with proven track record of**
* Managing programs dealing with organizational and business process transformations and large\-scale initiatives
* Managing Program stakeholders, sponsors and customer CXO executives
* Motivating, energizing, and collaborating with team contributors at all levels in the organization, from employee to executive
* Providing strategic direction to projects guiding and directing individual Project Managers on value realization and the management of risk
* Focusing on outcomes and ensuring the objectives of the projects under their watch are met
* 10\+ years of successful experience managing large scale programs with SAP as a key component
* Minimum of 10 years of SAP Program Management experience
* Managing at least 5 full life cycle SAP Implementation Transformation programs for large enterprise clients
* Ability to clearly demonstrate the advantages of a proposed approach or solution
* Strong experience in the SAP Activate Methodology as well as excellent presentation skills
**Responsibilities**  
* The candidate is responsible for ensuring quality across all programs, projects within their portfolio ensuring project plans, scoping documentation, risk/issues logs and status reporting is line with corporate standards.
* The candidate is the escalation point for program issues and responsible for the coordination of their resolution as per the program related governance structures
* The candidate is responsible for the consolidation of all status reports under their portfolio.
* The candidate will mobilize the precepts of effective project management in a manner that aligns to client culture while optimizing likelihood of meeting (or exceeding) project objectives
* The Program Manager will manage one or more projects for our customers, providing regular steering to our Project Managers as well as thought leadership to clients
* Manage large SAP greenfield implementations as well as Brownfield technical upgrade projects or several smaller SAP projects simultaneously including related projects in non\-SAP areas
* Work closely with individual SAP project managers, solution architects, to ensure delivery
* Communicate effectively with clients regarding the SAP program, project methodology, technology and functionality
* Exercise required controls and propose improvements as required, including quality plans, issues and action logs, risk management plans and change control plans, for all aspects of the assignment
* Manage the financials for the program, ensuring revenue and margin targets for the program are in line with expectations
**Required Qualification**  
* 15\+ years of SAP experience
* 10\+ SAP Program Manager experience
* 5\+ years of S/4 HANA transformation experience
\#LI\-NorthAmerica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a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row>
    <row r="99">
      <c r="A99" t="inlineStr">
        <is>
          <t>in-1276f992b61f670e</t>
        </is>
      </c>
      <c r="B99" t="inlineStr">
        <is>
          <t>Insurance Program Manager</t>
        </is>
      </c>
      <c r="C99" t="inlineStr">
        <is>
          <t>OFFICE OF RISK MANAGEMENT</t>
        </is>
      </c>
      <c r="D99" t="inlineStr">
        <is>
          <t>indeed</t>
        </is>
      </c>
      <c r="E99">
        <f>HYPERLINK("https://www.indeed.com/viewjob?jk=1276f992b61f670e", "https://www.indeed.com/viewjob?jk=1276f992b61f670e")</f>
        <v/>
      </c>
      <c r="F99">
        <f>HYPERLINK("https://careers.dc.gov/psp/erecruit/EMPLOYEE/HRMS/c/HRS_HRAM_FL.HRS_CG_SEARCH_FL.GBL?Page=HRS_APP_JBPST_FL&amp;Action=U&amp;FOCUS=Applicant&amp;SiteId=1&amp;JobOpeningId=31378&amp;PostingSeq=1", "https://careers.dc.gov/psp/erecruit/EMPLOYEE/HRMS/c/HRS_HRAM_FL.HRS_CG_SEARCH_FL.GBL?Page=HRS_APP_JBPST_FL&amp;Action=U&amp;FOCUS=Applicant&amp;SiteId=1&amp;JobOpeningId=31378&amp;PostingSeq=1")</f>
        <v/>
      </c>
      <c r="G99" t="inlineStr">
        <is>
          <t>Washington, DC, US</t>
        </is>
      </c>
      <c r="H99" s="3" t="n">
        <v>46051</v>
      </c>
      <c r="I99" t="inlineStr">
        <is>
          <t>This position will operate as the Captive Manager and is located in the Captive Insurance Agency ("the Captive"), which is overseen by the Office of Risk Management (ORM) in the Executive Office of the Mayor. Specific services provided by the Captive and ORM include supporting agencies with insurance inquiries, insuring qualifying District health centers, procuring commercial property, stand alone and nuclear terrorism insurance for the District, providing DC government agencies with letters of self\-insurance, occupational safety and risk management analysis and support, and administering the District's public workers compensation and tort liability programs.
This position functions as Insurance Program Administrator and Captive Manager, responsible for administering and directing insurance programs, including overseeing the overall management of "the Captive," its budget, operation and handling of claims. Also, oversees the investigation and settlement of claims in compliance with regulations.
**Duties and Responsibilities**
Establishes and oversees procedures for the operation of the Captive, including payment of administrative expenses, claims processing and adjustments, dispute resolution, and tail coverage for participating health centers. Develops standards for premium subsidies, reinsurance participation, underwriting guidelines, and risk management requirements, and conducts audits to ensure compliance. Leads strategic planning by defining current and future business environments, setting performance metrics, and evaluating program effectiveness. Performs root cause analyses to identify opportunities for process improvements and drafts manuals and guides to formalize updated business practices.
Designs and conducts broad, complex management studies addressing evolving requirements, legislation, and overlapping functions, and proposes actionable management solutions. Develops and implements special projects, including strategies to track and execute recommendations. Provides expert guidance to the Mayor, City Administrator, ORM, and District agencies on insurance and risk programs, including related financial and legal matters impacting an $11 billion budget and approximately 35,000 employees. Prepares and disseminates clear written and verbal guidance on insurance policies and procedures, and analyzes reports from third\-party administrators and the Office of the Chief Financial Officer to support informed recommendations.
 **Qualifications and Education**
**Specialized Experience:** Specialized experience is experience which is directly related to the position and has equipped the individual with the knowledge, skills, and abilities to successfully perform the duties of the position. To be creditable, the incumbent must possess at least one (1\) year of specialized experience equivalent to the next lower grade level in the normal line of progression.
Prior supervisory experience and an advanced degree (Master's or J.D.) in legal, finance, insurance, pubic or business administration or risk management is preferred.
**Licenses and Certifications**
None.
**Work Conditions/Environment**
The work is primarily sedentary and performed in an office setting.
**Other Significant Facts**
**Next Screening Date:** February 6, 2026
**Tour of Duty**: Monday \- Friday; 8:15am \- 4:45pm
**Pay Plan, Series and Grade**: MS\-0301\-15
**Promotion Potential:** No known promotion potential.
**D****uration of Appointment:** Management Supervisory Service (MSS), “At\-Will”. All positions and appointments in the Management Supervisory Service serve at the pleasure of the appointing authority and may be terminated at any time with or without cause.
**Collective Bargaining Unit (Union):** This position is not covered by a collective bargaining unit.
**Position Designation:** The position has been deemed security\-sensitive. Accordingly, the incumbent will be subject to pre\-employment checks (criminal background checks, consumer credit check, traffic record checks, if applicable) as a condition of employment, and will be subject to periodic criminal background checks for the duration of your tenure.
**Emergency Designation:** This position has been designated as Emergency. Employees occupying positions designated as Emergency are required to:
* Provide advice, recommendations, and/or specific functional support necessary for the continuity of operations during a declared emergency.
* Remain at their duty station, or alternate work location (approved by their supervisor), if activated, when a situation or condition occurs and results in early dismissal for nonessential/non\-emergency employees.
* Report to their duty station, when activated, on time and as scheduled when a situation or condition occurs during non\-work hours, and results in the late arrival or closing of District government offices for non\-essential/non\-emergency employees.
* Telework during a declared emergency, instead of remaining or reporting to his or her duty station, if directed by the agency head (or designee), supervisor or manager.
* Carry or wear their official District government ID card during the period of the declared emergency, if not teleworking.
**Residency Preference:** When claiming residency preference, you are required, and must agree in writing, to maintain bona fide District residency for a period of seven (7\) consecutive years from the effective date of employment. You will be required to present documents (proofs) to show District residency and failure to maintain bona\-fide District residency for the seven\-year (7\-year) period will result in forfeiture of employment.
**EEO Statement:** The District of Columbia Government is an Equal Opportunity Employer. All qualified candidates will receive consideration without regard to race, color, religion, national origin, sex, age, marital status, personal appearance, sexual orientation, family responsibilities, matriculation, physical handicap, or political affiliation.</t>
        </is>
      </c>
    </row>
    <row r="100">
      <c r="A100" t="inlineStr">
        <is>
          <t>in-8d536be690113cab</t>
        </is>
      </c>
      <c r="B100" t="inlineStr">
        <is>
          <t>Product Manager, Measurement</t>
        </is>
      </c>
      <c r="C100" t="inlineStr">
        <is>
          <t>Teachstone</t>
        </is>
      </c>
      <c r="D100" t="inlineStr">
        <is>
          <t>indeed</t>
        </is>
      </c>
      <c r="E100">
        <f>HYPERLINK("https://www.indeed.com/viewjob?jk=8d536be690113cab", "https://www.indeed.com/viewjob?jk=8d536be690113cab")</f>
        <v/>
      </c>
      <c r="F100">
        <f>HYPERLINK("https://grnh.se/kn4cgai87us", "https://grnh.se/kn4cgai87us")</f>
        <v/>
      </c>
      <c r="G100" t="inlineStr">
        <is>
          <t>Remote, US</t>
        </is>
      </c>
      <c r="H100" s="3" t="n">
        <v>46051</v>
      </c>
      <c r="I100" t="inlineStr">
        <is>
          <t>**Company Overview:**  
Do You Thrive on Innovation and Technology? At Teachstone, we're leading the charge in transforming education through innovative, tech\-driven solutions. Founded in 2008, we revolutionized the industry with our Classroom Assessment Scoring System® (CLASS®), a research\-backed tool that measures teacher\-child interactions proven to drive learning and lifelong achievement. We're not just making a difference—we're evolving how education is delivered.
Join a technology\-focused team that's building cutting\-edge platforms like myTeachstone, which integrates data and resources to streamline classroom observations and teacher development. At Teachstone, you'll help design and deliver impactful tools that empower educators to improve their interactions with students, driving real change and success in classrooms nationwide. Be part of the future of education with us!
**Role Overview:**  
We're seeking a strategic, collaborative, and self\-driven Product Manager, focused on extending the value of Teachstone's measurement product suite to improve efficiency and effectiveness.
This role plays a key part in supporting our ongoing transition to the product operating model. As we continue this transformation, you'll help reinforce product best practices, coach cross\-functional partners on outcome\-driven thinking, and influence without authority in an environment where not all teams are fully immersed in this way of working.
You'll be expected to prioritize effectively, build strong relationships across departments, and help internal teams connect the dots between customer needs, business value, and strategic focus. While AI is not the central focus of this role, familiarity with AI\-powered technologies (e.g., machine learning, natural language processing) is a strong asset, especially as we integrate more intelligent features into our offerings.
**Role Responsibilities:**
**Product Strategy \&amp; Roadmap:**
* Shape and execute product strategies that drive measurable business outcomes—especially around client retention, satisfaction, and product margin—within a mature, evolving product ecosystem.
* Balance short\-term delivery with long\-term vision, ensuring teams are aligned on outcomes and that priorities reflect both customer value and business viability.
* Help teams understand *why* decisions are made, building shared accountability and momentum within a value stream model.
**Cross\-functional Leadership \&amp; Product Operating Model Advocacy:**
* Work closely within the product operating model alongside engineering, design, and impact teams to define, deliver, and iterate on high\-impact features.
* Help model and reinforce key principles of the **product operating model**, including user\-centered design, continuous discovery, and business outcome alignment—even when others are new to this way of working.
* Collaborate across departments, including selling teams, customer success, support, and marketing, to synthesize insights and surface customer pain points and opportunities at scale.
* Influence a wide set of stakeholders to gain alignment and support across competing business priorities.
**Customer Insight \&amp; Market Understanding**
* Lead customer discovery, synthesize qualitative and quantitative feedback, and translate those insights into actionable roadmaps.
* Help others see the connection between user feedback and business outcomes, building buy\-in through clear communication and strategic framing.
* Conduct competitive analysis and share insights that support informed prioritization and long\-term planning.
**AI Integration \&amp; Data\-Driven Decision Making**
* Leverage your knowledge of AI to identify opportunities for intelligent automation, personalization, or enhanced analytics within the product.
* Work alongside our Platform and Innovation teams to ensure any AI\-powered features are meaningful, ethical, and grounded in real user behavior.
**Success Measurement**
* Define and track product success metrics related to retention, satisfaction, and business performance.
* Use both qualitative and quantitative data to drive continuous improvement, ensuring product enhancements are resonant and results\-driven.
* Collaborate with the future\-focused product improvement team to ensure innovation is grounded in data from existing customer behavior and use.
**Role Qualifications:**
* Experience: 5\+ years in product management with experience on AI\-powered products, ideally with experience managing mature, revenue\-generating product suites and improving client engagement metrics.
* Familiarity with working in a product operating model, including experience with empowered teams and value stream alignment.
* Proven ability to navigate and influence in complex stakeholder environments with competing priorities.
* Demonstrated strength in prioritization, product storytelling, and helping others understand the *why* behind product decisions.
* Strong cross\-functional collaboration skills and an ability to work transparently and constructively across design, engineering, and business teams.
* Customer\-Centricity: Demonstrated ability to synthesize high\-volume customer inputs into actionable product changes. Passionate about delivering continuous value to drive client satisfaction and retention.
* Experience or familiarity with AI\-powered technologies and an ability to identify where they can add value without over\-engineering solutions.
* Clear, concise communication style with the ability to tailor messaging to both technical and non\-technical audiences.
* Passion for improving educator and learner outcomes—and a mindset focused on delivering value, not just features.
**What We Offer:**  
**Fair, Competitive Pay:** We ensure equal pay for equal work, using consistent salary bands based on market benchmarks, reviewed annually. Prior salaries, negotiation skills, or fear of conflict don't influence your pay.  
**Salary Range:** $100,000 \- $120,000, determined by your experience, skills and internal equity.  
**Comprehensive benefits:** We offer an inclusive benefits package to support your overall well\-being. Eligibility depends on your role and employment status.
**Ready to Make a Difference?**  
At Teachstone, we believe that every interaction shapes a brighter future. If you're passionate about transforming education and want to be part of a team that's committed to meaningful impact, we want to hear from you. Apply today and help us create classrooms where every child thrives!
*At Teachstone, we encourage all individuals to apply and bring their unique perspectives to our team. All qualified applicants will receive consideration for employment without regard to race, color, religion, national origin, sex, gender, gender identity, sexual orientation, protected veteran status, disability, age, or any other characteristic protected by law. We value the different experiences and ideas our team members bring and believe they are essential to solving complex challenges and driving our mission forward.*</t>
        </is>
      </c>
    </row>
    <row r="101">
      <c r="A101" t="inlineStr">
        <is>
          <t>in-2ca86a51398f3cdf</t>
        </is>
      </c>
      <c r="B101" t="inlineStr">
        <is>
          <t>PMC: Product Manager</t>
        </is>
      </c>
      <c r="C101" t="inlineStr">
        <is>
          <t>Penske Media</t>
        </is>
      </c>
      <c r="D101" t="inlineStr">
        <is>
          <t>indeed</t>
        </is>
      </c>
      <c r="E101">
        <f>HYPERLINK("https://www.indeed.com/viewjob?jk=2ca86a51398f3cdf", "https://www.indeed.com/viewjob?jk=2ca86a51398f3cdf")</f>
        <v/>
      </c>
      <c r="F101">
        <f>HYPERLINK("https://grnh.se/nzi8m0nx5us", "https://grnh.se/nzi8m0nx5us")</f>
        <v/>
      </c>
      <c r="G101" t="inlineStr">
        <is>
          <t>Los Angeles, CA, US</t>
        </is>
      </c>
      <c r="H101" s="3" t="n">
        <v>46051</v>
      </c>
      <c r="I101" t="inlineStr">
        <is>
          <t>Media company **Penske Media Corporation (PMC)** technology team is seeking a digital **Product Manager**. The Product Manager will be expected to work across multiple projects and product development streams at once, supporting delivery and process improvement across teams in various locations. You're a highly motivated self\-starter who is organized, can wear many hats, loves using AI to make your job easier and outcomes better, and are passionate about digital products and growing an engaged user base.
You will have the chance to work on some of the largest, trusted brands in entertainment and fashion news, including Variety, Billboard, Deadline, WWD, and Robb Report
We deliver using a combination of Agile (Scrum, Kanban) as well as more traditional project management methodologies.
**Responsibilities:**
---------------------
* Partner with engineering, design, project management and stakeholders at our brands and corporate teams to deliver new features and products.
* Use AI in your daily role and evangelize use of AI across all PMC departments. Research and recommend AI tools to empower product management and editorial workflows.
* Operate autonomously in a fast\-paced environment with a high level of ambiguity and change.
* Conduct market research, gather user feedback, and analyze data to identify opportunities for product innovation and improvement.
* Collaborate with stakeholders across the company (including senior executives) to prioritize features, establish project timelines, and ensure successful product delivery.
* Monitor key product metrics and performance indicators, conduct A/B tests, and iterate features to optimize user experiences.
* Stay informed about industry trends, competitor products, and emerging technologies.
* Interact with key stakeholders at PMC's iconic brands, working with them to understand their business goals, strategies, event cycles, and audience.
**Skills:**
-----------
You don't need to check every box for the experience below. If you are passionate about this opportunity, we would love to hear from you.
* Minimum 4 years' experience working with development projects / teams in the media, entertainment, or publishing industries.
* Excellent understanding of User Experience best practices across digital products.
* Experience using AI across key product management functions including idea generation and validation, feature prioritization, product development and optimization, workflow automation, and strategic decision\-making. Candidates should be comfortable using AI not just as a tool to drive efficiency, but as a part of their problem\-solving and product\-thinking approach.
* Superb attention to detail.
* Good understanding of Agile project management.
* Experience working with technical teams and translating 'tech speak' to non\-technical parties.
* Excellent verbal and written communication skills and ability to work with multiple teams / stakeholders in multiple locations across multiple projects simultaneously.
* Preferred: Knowledge of content management and publishing systems including WordPress.
* Preferred: Experience with project management systems and software including planning software such as JIRA / Confluence; prioritization and road mapping tools such as JIRA Product Discovery / Productboard; diagramming and presentation software such as Visio / PowerPoint / Balsamiq.
**As PMC values in\-person collaboration and team cohesion, employees work onsite 4 days a week and 1 day remotely with a focus on maintaining a vibrant and inclusive culture.**
A good faith estimate of the salary range is $115,000\-$125,000 upon hire. Factors that could be used to determine your actual salary may include your specific skills, years of experience and comparison to current employees already in this role. If you have more or less experience than specified on this job posting, please apply and list your salary expectations.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**It's all About You…**
PMC's comprehensive benefits package is thoughtfully designed to support every aspect of your life, empowering you to thrive both personally and professionally. **We offer PMC\-Paid Healthcare with no employee paycheck contributions on medical, dental, and vision for you and your family.** PMC also offers Flexible Spending Accounts (Healthcare, Dependent Care \&amp; Commuter), an Employee Assistance Program, Life Insurance, Short\- \&amp; Long\-Term Disability, Paid Parental Leave, and a 401(k) Retirement Plan with an Employer match. Employees are also eligible to take advantage of company discounts and perks including Pet Insurance, Home \&amp; Auto Insurance, Mortgage discounts, and a variety of other savings on wellness, lifestyle, and financial essentials. As part of PMC's dedication to consistently meeting employees' needs, we are currently launching a new Flexible Vacation Policy.
At PMC, we believe working in a highly collaborative, office\-first environment fosters real\-time communication, spontaneous idea sharing, and stronger interpersonal relationships that drive innovation and team cohesion. PMC prioritizes in\-person collaboration and does not offer remote\-only roles.
**About PMC:**
Penske Media Corporation (PMC) is a leading global media and information services company whose award\-winning content attracts a passionate audience of over 300 million globally. Since 2004, PMC has been a pioneer in digital media reaching viewers on all screens across its ever\-growing constellation of iconic brands, which includes Variety, Rolling Stone, The Hollywood Reporter, Billboard, Dick Clark Productions, WWD, SHE Media, Robb Report, Deadline, TVLine, Sportico, BGR, ARTnews, Fairchild Media, Vibe, IndieWire, Artforum, Gold Derby, and Luminate, the premier data and analytics company. PMC's journalists and content creators deliver daily the most comprehensive news and information in their industries and areas of coverage, unequaled in ambition, depth, and courage. In addition, PMC owns several vital cultural events such as SXSW, LA3C, and Latin Music Week. Headquartered in New York and Los Angeles with additional offices in 14 countries worldwide, PMC believes companies should not only be profitable but also forces for good. PMC is committed to fostering a working environment that is inclusive and responsible, where we value a company culture built on all backgrounds, voices, and experiences. For more information on the company, please visit www.PMC.com</t>
        </is>
      </c>
    </row>
    <row r="102">
      <c r="A102" t="inlineStr">
        <is>
          <t>in-591e94748eb231df</t>
        </is>
      </c>
      <c r="B102" t="inlineStr">
        <is>
          <t>Product Manager</t>
        </is>
      </c>
      <c r="C102" t="inlineStr">
        <is>
          <t>Wabash</t>
        </is>
      </c>
      <c r="D102" t="inlineStr">
        <is>
          <t>indeed</t>
        </is>
      </c>
      <c r="E102">
        <f>HYPERLINK("https://www.indeed.com/viewjob?jk=591e94748eb231df", "https://www.indeed.com/viewjob?jk=591e94748eb231df")</f>
        <v/>
      </c>
      <c r="F102">
        <f>HYPERLINK("https://recruiting.adp.com/srccsh/public/RTI.home?r=5001175670606&amp;c=1168751&amp;d=ExternalCareerSite&amp;rb=INDEED&amp;idUnique=5001175670606", "https://recruiting.adp.com/srccsh/public/RTI.home?r=5001175670606&amp;c=1168751&amp;d=ExternalCareerSite&amp;rb=INDEED&amp;idUnique=5001175670606")</f>
        <v/>
      </c>
      <c r="G102" t="inlineStr">
        <is>
          <t>Lafayette, IN, US</t>
        </is>
      </c>
      <c r="H102" s="3" t="n">
        <v>46051</v>
      </c>
      <c r="I102" t="inlineStr">
        <is>
          <t>**About the Role:**
As a Product Manager, you are responsible for Product Ownership, customer advocacy, strategic alignment, and single point orchestration of a visionary product strategy. You will plan, manage, and support a portfolio of products and solutions for the vans product line.
**Your** **Responsibilities:**
* Support the selling process, gather the voice of the customer, and translate insights into a tangible product strategy
* Develop and maintain product roadmaps, in alignment with corporate strategy, business plans, market and customer assessments to fully leverage customer value creation opportunities.
* Utilize product roadmaps to prioritize resource allocation in the execution of product strategy
* Oversee the developing and managing of new product idea funnels
* Understand and articulate the alignment of Customer problems, company capabilities and technology solutions
* Assist and create go\-to\-market programs that align with the buying process
* Support commercial organization with market and product expertise
* Seek opportunities to enhance our value proposition, product and service coverage, capabilities, and speed to market
* Develop tools and processes that promote high levels of open communication, critical thinking, and accountability throughout the enterprise**.**
* Other duties as assigned
**Let's Talk About Your Qualifications:**
* Bachelor's Degree (Preferred Major: Engineering, Finance or other technical or business major)
* 5\-10 years of experience in a B2B or B2C Product Development environment
* At least 7 years of experience working in a manufacturing environment
* Knowledge in operational level financial management and decision making
* Familiarity with value proposition design, market definition, and segmentation
* Six Sigma (Green Belt, Black Belt or Master Black Belt) Certification preferred
* Master's Degree (Degree Desired: MS or MBA) preferred
**Leadership Attributes:**
At Wabash, we pride ourselves on being empowering, and there are some things we feel very strongly about:
Embrace Diversity and Inclusion * \- Solicit and respect the input of others, celebrate differences, and strive for transparency and inclusiveness
Seek to Listen * \- Actively listen to reach the best solution and make the strongest decisions
Always Learn * \- Strive to improve; do not quit or settle for the status quo
Be Authentic * \- Demonstrate honesty, incredible energy, and grit in everything you do
Win Together * \- Collaborate, seek alignment, and excel at cross\-group communication to success as one team and One Wabash
Join us in turning ideas into world\-changing realities. Curate and build your high\-impact professional career at Wabash!
**Affirmative Action/EEO Statement:**
Wabash is committed to providing equal employment opportunity for its associates and applicants without regard to race, color, religion, sex, age, national origin, veteran status, disability, or other protected class or activity under federal, state, or local law. All employment decisions must be based on neutral, legitimate criteria. All employment policies and rules shall be applied equally to similarly situated associates.
\#LI\-Onsite
\#LI\-RM1</t>
        </is>
      </c>
    </row>
    <row r="103">
      <c r="A103" t="inlineStr">
        <is>
          <t>in-48f4dab7b2759362</t>
        </is>
      </c>
      <c r="B103" t="inlineStr">
        <is>
          <t>Part Time Child Care Program Manager (Renton, WA)</t>
        </is>
      </c>
      <c r="C103" t="inlineStr">
        <is>
          <t>Right at School</t>
        </is>
      </c>
      <c r="D103" t="inlineStr">
        <is>
          <t>indeed</t>
        </is>
      </c>
      <c r="E103">
        <f>HYPERLINK("https://www.indeed.com/viewjob?jk=48f4dab7b2759362", "https://www.indeed.com/viewjob?jk=48f4dab7b2759362")</f>
        <v/>
      </c>
      <c r="F103">
        <f>HYPERLINK("https://rightatschool.sensehq.cloud/careers/jobs?jobId=5668&amp;utm_source=Indeed&amp;utm_medium=JOB_PORTAL", "https://rightatschool.sensehq.cloud/careers/jobs?jobId=5668&amp;utm_source=Indeed&amp;utm_medium=JOB_PORTAL")</f>
        <v/>
      </c>
      <c r="G103" t="inlineStr">
        <is>
          <t>Kent, WA, US</t>
        </is>
      </c>
      <c r="H103" s="3" t="n">
        <v>46051</v>
      </c>
      <c r="I103" t="inlineStr">
        <is>
          <t>**Right At School Program Manager ;**
 **Program Manager Pay Range: $25\-$27 per hour (based on education and experience)**
 **Monday Through Friday Split shift required. Estimated shifts:** ;
**Before School Shift: 6am\-9am (Friday 6am\-10:30am) and After School Shift: 3pm\-6pm**
Right At School – a place to be a kid!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mitigate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High school diploma or GED completed
* 2 years of direct experience working with children under 13
* 1 year of supervisory experience
* 18\+ years of age
* Proof of High School Diploma or equivalent ;and 12 credits from 100 class or above in college coursework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 Ability to meet state\-specific requirements;
* First Aid and CPR\-in\-person
* Cleared tuberculosis test
* Proof of MMR
* 18\+ years of age
* Proof of High School diploma/GED required
 **Benefits Offered with Right At School:**
* **Health \&amp; Wellness:** Medical/Virtual Care, Dental and Vision Insurance Plans
* **Pet Health:** Pet discount programs and pet insurance
* **Physical Wellness:** Supplemental Insurance (e.g.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104">
      <c r="A104" t="inlineStr">
        <is>
          <t>in-8db4485142d0c565</t>
        </is>
      </c>
      <c r="B104" t="inlineStr">
        <is>
          <t>Pre School Program Manager - Bellevue School District</t>
        </is>
      </c>
      <c r="C104" t="inlineStr">
        <is>
          <t>Right at School</t>
        </is>
      </c>
      <c r="D104" t="inlineStr">
        <is>
          <t>indeed</t>
        </is>
      </c>
      <c r="E104">
        <f>HYPERLINK("https://www.indeed.com/viewjob?jk=8db4485142d0c565", "https://www.indeed.com/viewjob?jk=8db4485142d0c565")</f>
        <v/>
      </c>
      <c r="F104">
        <f>HYPERLINK("https://rightatschool.sensehq.cloud/careers/jobs?jobId=5672&amp;utm_source=Indeed&amp;utm_medium=JOB_PORTAL", "https://rightatschool.sensehq.cloud/careers/jobs?jobId=5672&amp;utm_source=Indeed&amp;utm_medium=JOB_PORTAL")</f>
        <v/>
      </c>
      <c r="G104" t="inlineStr">
        <is>
          <t>Redmond, WA, US</t>
        </is>
      </c>
      <c r="H104" s="3" t="n">
        <v>46051</v>
      </c>
      <c r="I104" t="inlineStr">
        <is>
          <t>Right At School – a place to be a kid!
 **Program Manager Pay Rate: $27\-30/hr (based on education and experience)**
 **Some split shifts \- but totals about 35 hours per week \- is considered full time.**
 **Have an ECE state certificate or equivalent \- must have at least 12 credits ;of 100 level or above level courses ;**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Location: Bellevue School District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mitigate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Have two years of experience as a teacher of children in any age group enrolled in any early learning program
* Have an ECE state certificate or equivalent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**Washington Requirements:**
* Ability to meet state\-specific requirements
* First Aid and CPR\-in\-person
* Cleared tuberculosis test
* Proof of MMR
* Food Handlers Card
* 18\+ years of age
* Have an ECE state certificate or equivalent
* Cleared background check with fingerprinting
* Completion of Licensing Orientation
**Benefits Offered with Right At School:**
* Health \&amp; Wellness: Medical/Virtual Care, Dental and Vision Insurance Plans
* Pet Health: Pet discount programs and pet insurance
* Physical Wellness: Supplemental Insurance (e.g.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105">
      <c r="A105" t="inlineStr">
        <is>
          <t>in-98cebd15fee8399d</t>
        </is>
      </c>
      <c r="B105" t="inlineStr">
        <is>
          <t>Jeep Brand Product Manager</t>
        </is>
      </c>
      <c r="C105" t="inlineStr">
        <is>
          <t>Stellantis</t>
        </is>
      </c>
      <c r="D105" t="inlineStr">
        <is>
          <t>indeed</t>
        </is>
      </c>
      <c r="E105">
        <f>HYPERLINK("https://www.indeed.com/viewjob?jk=98cebd15fee8399d", "https://www.indeed.com/viewjob?jk=98cebd15fee8399d")</f>
        <v/>
      </c>
      <c r="F105">
        <f>HYPERLINK("https://recruiting.adp.com/srccsh/public/RTI.home?r=5001176521400&amp;c=2183219&amp;d=ExternalCareerSite&amp;rb=INDEED&amp;idUnique=5001176521400", "https://recruiting.adp.com/srccsh/public/RTI.home?r=5001176521400&amp;c=2183219&amp;d=ExternalCareerSite&amp;rb=INDEED&amp;idUnique=5001176521400")</f>
        <v/>
      </c>
      <c r="G105" t="inlineStr">
        <is>
          <t>Auburn Hills, MI, US</t>
        </is>
      </c>
      <c r="H105" s="3" t="n">
        <v>46051</v>
      </c>
      <c r="I105" t="inlineStr">
        <is>
          <t>About the Role: Have you ever dreamed of defining the strategy for new vehicles and creating products that outpace the competition? As a Jeep Brand Product Manager, you'll be at the center of shaping the future of Jeep—turning insights into bold strategies and decisions that influence vehicles loved by millions. This is your chance to make a lasting impact on an iconic brand and lead the next wave of automotive excellence. The ideal candidate is passionate about the Jeep brand, a strategic thinker who can also execute detail\-oriented assignments with precision and can translate customer insights and market trends into compelling product and commercial plans, balancing big\-picture vision with hands\-on accuracy to deliver results with urgency.
**Key Responsibilities:**
* Champion Jeep's future product vision and advocate for innovative solutions that align with brand objectives
* Define product strategy, lifecycle plans, and feature content based on customer needs and competitive analysis
* Develop commercial strategy for the nameplate, including sales targets, mix optimization, and pricing to maximize profitability and competitiveness
* Directly manage the product grid, ensuring alignment of features, trims, and configurations with brand strategy and market requirements
* Drive timely decision\-making and execution to meet aggressive program milestones and market launch timelines
* Lead cross\-functional teams (Engineering, Design, Marketing, Finance, Procurement) to align technical execution with business objectives
* Analyze market trends, customer data, and competitive landscape to inform product positioning and profitability
* Prepare governance materials for executive reviews and ensure program KPIs are achieved
* Support production and market launch activities, ensuring product correctness for external communications
Why Join Us? Be part of a team that defines the future of Jeep and help shape the future of Jeep by directly influencing product decisions on one of the world's most iconic automotive brands.
Requirements:
**Basic Qualifications:**
* Bachelor's degree
* Minimum 5 years of experience in Product Planning, Brand Management, Product Strategy, Engineering, or related fields
* Automotive product knowledge
* Strong analytical, strategic thinking, and presentation skills
* Proficiency in Microsoft Office (PowerPoint \&amp; Excel)
* Ability to lead and influence cross\-functional teams in a matrix organization with urgency and accountability
**Preferred Qualifications:**
* Master's degree (MBA or related)
* Passion for the Jeep brand
* Experience converting customer insights into product concepts and delivering concise proposals</t>
        </is>
      </c>
    </row>
    <row r="106">
      <c r="A106" t="inlineStr">
        <is>
          <t>in-860613f408de16c4</t>
        </is>
      </c>
      <c r="B106" t="inlineStr">
        <is>
          <t>Technical Training Program Manager</t>
        </is>
      </c>
      <c r="C106" t="inlineStr">
        <is>
          <t>Toyota Material Handling</t>
        </is>
      </c>
      <c r="D106" t="inlineStr">
        <is>
          <t>indeed</t>
        </is>
      </c>
      <c r="E106">
        <f>HYPERLINK("https://www.indeed.com/viewjob?jk=860613f408de16c4", "https://www.indeed.com/viewjob?jk=860613f408de16c4")</f>
        <v/>
      </c>
      <c r="F106">
        <f>HYPERLINK("https://recruiting.adp.com/srccsh/public/RTI.home?r=5001174467406&amp;c=1138141&amp;d=TMHUCareerSite&amp;rb=INDEED&amp;idUnique=5001174467406", "https://recruiting.adp.com/srccsh/public/RTI.home?r=5001174467406&amp;c=1138141&amp;d=TMHUCareerSite&amp;rb=INDEED&amp;idUnique=5001174467406")</f>
        <v/>
      </c>
      <c r="G106" t="inlineStr">
        <is>
          <t>Greene, NY, US</t>
        </is>
      </c>
      <c r="H106" s="3" t="n">
        <v>46051</v>
      </c>
      <c r="I106" t="inlineStr">
        <is>
          <t>Join our Team as a **Technical Training Program Manager**!
**The Role:**
The trainer is responsible for facilitating training for Toyota Material Handling of North America (Raymond Corporation) dealers utilizing a variety of delivery modes. You will be responsible to identify training and development needs within our dealer network and execute on initiatives to meet those needs; enhancing performance, moral, and corporate loyalty throughout the organization while reflecting Toyota Material Handling of North America core values.
**What You'll Be Doing:**
* Lead and facilitate collaboration with trainers, stakeholders, and subject matter experts to assess technician training needs and develop effective, scalable learning strategies.
* Guide the design and development of technician\-focused learning programs, ensuring content equips trainers to deliver consistent, high\-quality instruction aligned with business and safety requirements.
* Plan, coordinate, and support the delivery of training programs across multiple modalities—including classroom, virtual, eLearning, multimedia, simulations, conferences, and workshops—primarily through trainer enablement.
* Evaluate training effectiveness at both the trainer and technician level, using feedback and performance data to identify gaps and implement targeted improvements.
* Maintain functional and technical proficiency within assigned programs to ensure training content remains current, relevant, and aligned with evolving products, technologies, and field needs.
* Partner closely with trainers to foster a strong learning environment, supporting instructional excellence and enhancing the technician learning experience across the enterprise.
* Drive the strategic evolution of learning and development initiatives by leveraging research, data, and industry trends to strengthen technician capability and readiness.
* Mentor, coach, and support trainers, reinforcing best practices in instructional delivery, consistency of standards, and professional growth.
**What We're Looking For:**
* Bachelor's degree in Education, Training or related field preferred
* Minimum of 5 years of related experience required
* Demonstrated Proficiency with Microsoft Office Suite (Word, Excel, PowerPoint, Outlook)
* Experience with technologies and best practices for instructional documents and teaching platforms utilizing a variety of learning and development concepts, practices, and procedures
* Proficient in effective verbal and written communication, adept at delivering engaging presentations, and skilled in public speaking
* Proficiency working within learning management systems to schedule training sessions, track attendance and interact with learners
* Ability to complete full data analysis for responsible area and implement solutions for continuous improvement
* Demonstrated project management skills to achieve target timelines and ensure quality outcomes with minimal supervision or guidance
**Where and When You'll Work:**
* Enjoy the best of both worlds with a hybrid schedule—collaborate in person at our Greene, New York office and work remotely three days per week.
* Up to 25% travel may be required.
**What Your Total Compensation \&amp; Benefits Package will look like:**
**Salary** \- $83,340 \- $118,598 per year. Compensation depends on the selected candidate's education and experience.
**Relocation:** This role may be eligible for relocation assistance.
**World Class Benefits:**
* Competitive Salary
* Performance Bonus
* Generous Paid Time Off and 13 Paid Holidays
* Affordable Medical plans and no\-cost Dental \&amp; Vision options
* 100% 401(k) match up to 6%
* Company\-Paid Life Insurance, Short\-Term Disability, and Long\-Term Disability
* Tuition Assistance Program
* Employee Assistance Program (EAP) with access to mental health care, legal support, and financial guidance
* Recognition and Kaizen (continuous improvement) Reward Programs
* Meaningful opportunities for personal and professional development
* Onsite Fitness Center \&amp; Occupational Health Clinic
* Best in class work culture!
**Big Name \| Big Opportunities \| Life is Better at Toyota**
Toyota Material Handling North America (TMHNA), the industry leader in forklift sales, comprises two main brands: Toyota Material Handling and The Raymond Corporation. We believe investing in the best people, products, and processes will fuel our future success, and we will always be driven by our foundational principles of “respect for people” and “continuous improvement”. With opportunities across North America, we are confident you will find the right position within TMHNA that can help you build a long, fulfilling career.
**Learn more here:** https://www.toyotaforklift.com/careers
**Follow us on Social Media:** Working at Toyota Material Handling \| Glassdoor
Additional Details : Employment authorization required. Toyota Material Handling North America will not pursue visa sponsorship for this position.</t>
        </is>
      </c>
    </row>
    <row r="107">
      <c r="A107" t="inlineStr">
        <is>
          <t>in-1d6b0f74d38e6ade</t>
        </is>
      </c>
      <c r="B107" t="inlineStr">
        <is>
          <t>NPI Operations Program Manager</t>
        </is>
      </c>
      <c r="C107" t="inlineStr">
        <is>
          <t>Formlabs</t>
        </is>
      </c>
      <c r="D107" t="inlineStr">
        <is>
          <t>indeed</t>
        </is>
      </c>
      <c r="E107">
        <f>HYPERLINK("https://www.indeed.com/viewjob?jk=1d6b0f74d38e6ade", "https://www.indeed.com/viewjob?jk=1d6b0f74d38e6ade")</f>
        <v/>
      </c>
      <c r="F107">
        <f>HYPERLINK("https://grnh.se/k1epy6tn1us", "https://grnh.se/k1epy6tn1us")</f>
        <v/>
      </c>
      <c r="G107" t="inlineStr">
        <is>
          <t>Somerville, MA, US</t>
        </is>
      </c>
      <c r="H107" s="3" t="n">
        <v>46051</v>
      </c>
      <c r="I107" t="inlineStr">
        <is>
          <t>**About Formlabs:**
Do you want to change how the world creates?
At Formlabs, we're building the tools that make it possible for anyone to bring their ideas to life, from cutting\-edge products to life\-saving medical devices. Our 3D printing technology powers innovation at more than 50,000 industry leaders worldwide, including Apple, Google, Tesla, New Balance, and NASA. Together, we're helping everyone design, prototype, and manufacture faster than ever before.
We're a team of hands\-on builders, engineers, and innovators reinventing how the world makes physical things. If you're ready to shape the future of fabrication, come build it with us.
**Your Impact:**
Our passion is designing and building powerful 3D printing tools. Our manufacturing team is responsible for researching and developing the manufacturing processes for all Formlabs products. They work cross\-functionally with R\&amp;D design, sales, and customer service teams.
If you're excited to help us develop and deploy the tools, processes, and teams required to build Formlabs products, we want you as an **Operations Program Manager.**
**What You'll Do:**
* Lead cross\-functional teams (supply chain, manufacturing engineering, design, and logistics) to deliver against program requirements and resolve critical blockers.
* Drive a program and go beyond coordination and reporting. Identify risks and blockers proactively, prioritize them and help key stakeholders choose the right path forward to keep on track.
* Prepare regular leadership level presentations and reports on program readiness, top risks, path \&amp; timeline to issue resolution.
* Proactively and systematically ensure production starts and ramps as fast as possible on time, budget, and with the right quality product meeting technical requirements.
* Design and implement scalable production readiness frameworks—processes, tools, and metrics—that enable repeatable, high\-velocity product launches.
* Balance a bias for action with strategic Operations program planning and risk management.
* Build and manage relationships with Tier 1 and Tier 2 suppliers to enable strong communication which yields strong partnerships and predictable execution.
* Balance tactical execution with long\-term operational strategy, ensuring today's programs scale into tomorrow's supply chain advantage.
**About You:**
* B.S. Degree in Engineering; Mechanical, electrical, computer science, or related field.
* Willingness and ability to travel internationally \&amp; domestically \~10\-20%.
* Experience working in Operations; program management, manufacturing, supply chain, vendor management, procurement or similar environment
* Independent, self\-starter with strong ability to think strategically and execute tactically with a persistent attention to full program details.
* Excellent presentation, written and verbal communication skills; presenting at all business levels.
**Bonus Skills:**
* Experience with complex project management.
* Experience in an electromechanical system development environment.
**Our Perks \&amp; Benefits:**
* Robust equity program to build future wealth through RSUs
* Comprehensive healthcare coverage (Medical, Dental, Vision)
* Low cost fund options in our 401K and access to advisors
* Generous paid Parental Leave (up to 16 weeks)
* Tenure\-based paid Sabbatical Leave (up to 6 weeks)
* Flexible Out of Office Plan – Take time when you need it
* Ample on\-site parking \&amp; pre\-tax commuter benefits
* Healthy on\-site lunches, snacks, beverages, \&amp; treats
* Regular sponsored professional development opportunities
* Many opt\-in culture events across our diverse community
* And of course… unlimited 3D prints
*We are an equal opportunity employer and value diversity at our company. We do not discriminate on the basis of race, religion, color, national origin, gender, sexual orientation, age, marital status, veteran status, or disability status.*
**Even if you don't check every box, but see yourself contributing, please apply.** Help us build an inclusive community that will change the face of 3D printing.</t>
        </is>
      </c>
    </row>
    <row r="108">
      <c r="A108" t="inlineStr">
        <is>
          <t>in-da17b214437fca5e</t>
        </is>
      </c>
      <c r="B108" t="inlineStr">
        <is>
          <t>NPI Operations Program Manager</t>
        </is>
      </c>
      <c r="C108" t="inlineStr">
        <is>
          <t>Formlabs</t>
        </is>
      </c>
      <c r="D108" t="inlineStr">
        <is>
          <t>indeed</t>
        </is>
      </c>
      <c r="E108">
        <f>HYPERLINK("https://www.indeed.com/viewjob?jk=da17b214437fca5e", "https://www.indeed.com/viewjob?jk=da17b214437fca5e")</f>
        <v/>
      </c>
      <c r="F108">
        <f>HYPERLINK("https://grnh.se/u19ny9np1us", "https://grnh.se/u19ny9np1us")</f>
        <v/>
      </c>
      <c r="G108" t="inlineStr">
        <is>
          <t>Boston, MA, US</t>
        </is>
      </c>
      <c r="H108" s="3" t="n">
        <v>46051</v>
      </c>
      <c r="I108" t="inlineStr">
        <is>
          <t>**About Formlabs:**
Do you want to change how the world creates?
At Formlabs, we're building the tools that make it possible for anyone to bring their ideas to life, from cutting\-edge products to life\-saving medical devices. Our 3D printing technology powers innovation at more than 50,000 industry leaders worldwide, including Apple, Google, Tesla, New Balance, and NASA. Together, we're helping everyone design, prototype, and manufacture faster than ever before.
We're a team of hands\-on builders, engineers, and innovators reinventing how the world makes physical things. If you're ready to shape the future of fabrication, come build it with us.
**Your Impact:**
Our passion is designing and building powerful 3D printing tools. Our manufacturing team is responsible for researching and developing the manufacturing processes for all Formlabs products. They work cross\-functionally with R\&amp;D design, sales, and customer service teams.
If you're excited to help us develop and deploy the tools, processes, and teams required to build Formlabs products, we want you as an **Operations Program Manager.**
**What You'll Do:**
* Lead cross\-functional teams (supply chain, manufacturing engineering, design, and logistics) to deliver against program requirements and resolve critical blockers.
* Drive a program and go beyond coordination and reporting. Identify risks and blockers proactively, prioritize them and help key stakeholders choose the right path forward to keep on track.
* Prepare regular leadership level presentations and reports on program readiness, top risks, path \&amp; timeline to issue resolution.
* Proactively and systematically ensure production starts and ramps as fast as possible on time, budget, and with the right quality product meeting technical requirements.
* Design and implement scalable production readiness frameworks—processes, tools, and metrics—that enable repeatable, high\-velocity product launches.
* Balance a bias for action with strategic Operations program planning and risk management.
* Build and manage relationships with Tier 1 and Tier 2 suppliers to enable strong communication which yields strong partnerships and predictable execution.
* Balance tactical execution with long\-term operational strategy, ensuring today's programs scale into tomorrow's supply chain advantage.
**About You:**
* B.S. Degree in Engineering; Mechanical, electrical, computer science, or related field.
* Willingness and ability to travel internationally \&amp; domestically \~10\-20%.
* Experience working in Operations; program management, manufacturing, supply chain, vendor management, procurement or similar environment
* Independent, self\-starter with strong ability to think strategically and execute tactically with a persistent attention to full program details.
* Excellent presentation, written and verbal communication skills; presenting at all business levels.
**Bonus Skills:**
* Experience with complex project management.
* Experience in an electromechanical system development environment.
**Our Perks \&amp; Benefits:**
* Robust equity program to build future wealth through RSUs
* Comprehensive healthcare coverage (Medical, Dental, Vision)
* Low cost fund options in our 401K and access to advisors
* Generous paid Parental Leave (up to 16 weeks)
* Tenure\-based paid Sabbatical Leave (up to 6 weeks)
* Flexible Out of Office Plan – Take time when you need it
* Ample on\-site parking \&amp; pre\-tax commuter benefits
* Healthy on\-site lunches, snacks, beverages, \&amp; treats
* Regular sponsored professional development opportunities
* Many opt\-in culture events across our diverse community
* And of course… unlimited 3D prints
*We are an equal opportunity employer and value diversity at our company. We do not discriminate on the basis of race, religion, color, national origin, gender, sexual orientation, age, marital status, veteran status, or disability status.*
**Even if you don't check every box, but see yourself contributing, please apply.** Help us build an inclusive community that will change the face of 3D printing.</t>
        </is>
      </c>
    </row>
    <row r="109">
      <c r="A109" t="inlineStr">
        <is>
          <t>in-1c38bbfbb3629944</t>
        </is>
      </c>
      <c r="B109" t="inlineStr">
        <is>
          <t>Asset Protection Program Manager or Sr. Asset Protection Program Manager</t>
        </is>
      </c>
      <c r="C109" t="inlineStr">
        <is>
          <t>Duke Energy</t>
        </is>
      </c>
      <c r="D109" t="inlineStr">
        <is>
          <t>indeed</t>
        </is>
      </c>
      <c r="E109">
        <f>HYPERLINK("https://www.indeed.com/viewjob?jk=1c38bbfbb3629944", "https://www.indeed.com/viewjob?jk=1c38bbfbb3629944")</f>
        <v/>
      </c>
      <c r="F109">
        <f>HYPERLINK("https://dukeenergy.wd1.myworkdayjobs.com/en-US/search/job/Gainesville-FL/Asset-Protection-Program-Manager-or-Sr-Asset-Protection-Program-Manager_R38244", "https://dukeenergy.wd1.myworkdayjobs.com/en-US/search/job/Gainesville-FL/Asset-Protection-Program-Manager-or-Sr-Asset-Protection-Program-Manager_R38244")</f>
        <v/>
      </c>
      <c r="G109" t="inlineStr">
        <is>
          <t>Gainesville, FL, US</t>
        </is>
      </c>
      <c r="H109" s="3" t="n">
        <v>46051</v>
      </c>
      <c r="I109" t="inlineStr">
        <is>
          <t>Important Application Submission Information
In order to ensure your application is successfully received before the job posting expires, please submit your application by 11:59 PM on Thursday, February 12, 2026
More than a career \- a chance to make a difference in people's lives.
Build an exciting, rewarding career with us – help us make a difference for millions of people every day. Consider joining the Duke Energy team, where you'll find a friendly work environment, opportunities for growth and development, recognition for your work, and competitive pay and benefits.
The preferred locations Gainesville, Ocala, Monticello open all locations in Northern Florida. The exact location will be determined at the time of offer based on business needs.
This position manages, inspects, and protects a designated portion of the approximate 33,000 miles of purchased easement and fee owned Transmission corridors to ensure customers, contractors, and developers are in compliance with the established AP guidelines. The position collaborates with and presents guidelines to stakeholders and customers and participates in the decision making of the release of transmission easements and selling of fee owned property. In performing the duties, this position must review technical engineering drawings and site plans to ensure that customers, contractors, and developers comply with Duke Energy's guidelines and recorded property rights documents. Engineering plan reviews require a general knowledge of engineering standards, construction standards and techniques, future transmission planning, OSHA rules, NESC rules, as well as other applicable rules. Duties also include the removal of existing encroachments and execution of relevant encroachment agreements. The job requires legal involvement in which the position must be able to maintain detailed documentation, read and interpret legal documents, give depositions, and testify in a court of law.*Depending upon the desired qualifications of the successful applicant, the hiring manager may elect to fill this position at a higher level within the job hierarchy*
Responsibilities:* Resolves existing encroachments \&amp; Helicopter Reports of encroachments.
* This involves negotiating with customers, reviewing, and effectively communicating to customers Duke’s legal rights while pursuing an appropriate course of action.
* In some cases, will involve court action and testifying and will require an empathic approach.
* Collaborate with observer during Helicopter flight.
* Reviews and approves technical engineering drawings (site plans, grading, utilities, landscaping, etc.) to ensure compliance to Duke Energy’s transmission guidelines.
* This includes evaluating grade changes to protect and ensure the National Electric Safety Code issues, OSHA minimum approach distances, and Duke Energy minimum clearance standards are not violated.
* Meets with developers, architects, engineers, corporate executives, governmental leaders, and lawyers to prevent and resolve encroachment issues created during the plan reviews above.
* Prepares professional letters to property owners outlining plan review findings.
* Document – detailed conversations, site visits, emails, etc., to support potential review by management or legal team for court action.
* With Management oversight, this involves negotiating with customers, reviewing, and effectively communicating Duke’s legal rights to customers while pursuing and recommending an appropriate course of action.
* In some cases, this will involve court action and testifying.
* Meets with developers, architects, engineers, corporate executives, governmental leaders, and lawyers to resolve encroachment issues that are not resolved at the employee level.
* Train, onboard and mentor new employees
* Responds to customers and community concerns associated with our AP Programs
* Identifies and assigns opportunities for Asset Protection team members to meet with influential leaders to develop a relationship that enhances our ability to prevent encroachments.
* Evaluates, recommends, and attends conferences of Professional Land Surveyors, Home Builders, Professional Engineers and Grading Contractors Associations, etc. that are most effective for Asset Protection to attend each year.
* Works with government agencies, including DOT and Environmental to ensure compliance with appropriate state and federal regulations and proactive communications of area vegetation management plans and procedures to community stakeholders.
* This includes meeting with City/County Planning Boards, Architectural \&amp; Engineering Firms, major developers of commercial and residential developments and others who have the ability to encroach on transmission easements.
* Assists with activities for escalated projects across the enterprise.
* Monitor the performance of contract resources to assure safe work practices, asset protection procedures/standards adherence, and productivity consistent with Duke Energy Expectations
* Assist the Lead AP Program Manager as needed for effective coordination and participation during emergency storm operations.
* Works with minimal supervision on complex issues
* Applying advanced knowledge and problem\-solving skills to wide\-ranging issues
* Integrates industry knowledge related to data into everyday business practices and decision making.
* Manages expenditures within region and area of responsibility to ensure that budget target and forecast changes are met.
* Implement adjustments within region and area of responsibility to complete necessary work while meeting budget forecasts, including forecast changes.
* Participates in and may be required to testify in court issues (meetings with property owner council, depositions, and trial)
* Provide and assist in the collection of legal documentation in preparation for any Asset Protection legal action to give depositions or testify in court concerning unresolved encroachment issues.
* Coordinates the accumulation of supporting evidence, documenting the case from the beginning to support legal action.
*Note:* *This posting is for one position. Dependent on relevant experience, the level to which a candidate is aligned is outlined below.*
Asset Protection Program Manager
Basic/Required Qualifications* Bachelor's degree in communications, Forestry, Engineering, Real Estate, Business other related discipline
* In lieu of associate degree High School Diploma/GED and seven (7\) years minimum related work experience.
* Valid Driver's License
Sr. Asset Protection Program Manager
Basic/Required Qualifications* Bachelor's degree in communications, Forestry, Engineering, Real Estate, Business other related discipline
* In lieu of associate degree High School Diploma/GED and ten (10\) years minimum related work experience.
* Valid Driver's License
Additional Preferred Qualifications* Possess working knowledge of how AP affects the safety and reliability of the electrical system.
* Project management work experience and/or PMI© Knowledge
* Familiarity with GIS databases, mapping and othe geo\-spatial systems
* Utility Experience – Working knowledge to proficiency
* Demonstrated organizational, planning and time management skills
* Demonstrated effective communication and customer relation skills, both verbal and written, including strong presentation skills
* Demonstrated collaboration skills and teamwork
* Demonstrated leadership skills, including influencing and motivation skills
* Demonstrated excellent negotiating and conflict management skills
* Demonstrated ability to deal with highly stressful situations
* Demonstrated ability to collaborate with multiple levels within an organization
* Demonstrated ability to get work done through use of contractors.
* Demonstrated computer skills in working with Word, Excel, PowerPoint and SharePoint
* Demonstrated ability to work independently and is a self motivator, self initiator, and is able to make decisions and supervise/self manage
* Demonstrated ability to read engineering plans
* Demonstrated ability to read easement documents
* Demonstrated ability to give depositions and/or testify in a courtroom setting
* Demonstrated familiarity with NESC \&amp; OSHA requirements for the electric business
* Demonstrated attention to detail
* Demonstrated ability to implement asset protection methods, processes and procedures and train and develop other AP Specialists in the implementation of the same
Working Conditions* Field
Specific Requirements* Valid Driver's License
\#LI\-LM1  
\#LI\-Field
Travel Requirements
5\-15%
Relocation Assistance Provided (as applicable)
No
Represented/Union Position
No
Visa Sponsored Position
No
Please note that in order to be considered for this position, you must possess all of the basic/required qualifications.
Privacy
Do Not Sell My Personal Information (CA)
Terms of Use
Accessibility</t>
        </is>
      </c>
    </row>
    <row r="110">
      <c r="A110" t="inlineStr">
        <is>
          <t>in-f38b9744753e398b</t>
        </is>
      </c>
      <c r="B110" t="inlineStr">
        <is>
          <t>Senior Product Manager, Subscription &amp; Lifecycle</t>
        </is>
      </c>
      <c r="C110" t="inlineStr">
        <is>
          <t>Muck Rack</t>
        </is>
      </c>
      <c r="D110" t="inlineStr">
        <is>
          <t>indeed</t>
        </is>
      </c>
      <c r="E110">
        <f>HYPERLINK("https://www.indeed.com/viewjob?jk=f38b9744753e398b", "https://www.indeed.com/viewjob?jk=f38b9744753e398b")</f>
        <v/>
      </c>
      <c r="F110">
        <f>HYPERLINK("https://grnh.se/3bs05u3q2us", "https://grnh.se/3bs05u3q2us")</f>
        <v/>
      </c>
      <c r="G110" t="inlineStr">
        <is>
          <t>Remote, US</t>
        </is>
      </c>
      <c r="H110" s="3" t="n">
        <v>46051</v>
      </c>
      <c r="I110" t="inlineStr">
        <is>
          <t>Muck Rack is the leading SaaS platform for public relations and communications professionals. Our mission is to enable organizations to build trust, tell their stories, and demonstrate the unique value of earned media. Muck Rack's AI\-powered, comprehensive, and integrated platform streamlines the PR workflow to help businesses generate positive media coverage, monitor mentions to manage brand reputation, and analyze PR's impact on business outcomes. By combining media database, monitoring, and reporting into one dynamic platform, we empower teams to collaborate seamlessly, pitch effectively, and analyze results faster and more efficiently.
Founder\-controlled, fully distributed, and growing sustainably, Muck Rack has received several awards for its unparalleled culture and product from organizations like Inc., Quartz, G2, and BuiltIn. We value resilience, transparency, ownership, and customer devotion, and infuse these values into everything we do.
We're looking for a technically curious, customer\-obsessed **Senior Product Manager, Subscription \&amp; Lifecycle** to own the foundational experiences that define how customers activate, manage, and grow their relationship with Muck Rack. This role focuses on subscription lifecycle workflows including activation, onboarding, provisioning, entitlements, access changes, and ongoing maintenance that enable product\-led growth while supporting sales\-assisted expansion.
This is an end\-user product role with deep platform adjacency. You will work closely with Engineering, Product, UX, Operations, and Go\-To\-Market partners to design and ship scalable systems that determine how customers get more Muck Rack — from first activation through expansion, change, and long\-term use.
**What you'll do:**
-------------------
* Own the subscription and lifecycle product surface end to end, including activation, onboarding, provisioning, entitlements, access changes, and maintenance workflows
* Partner closely with Engineering to design scalable, API\-driven solutions that support customer growth, internal tooling, and future platform evolution
* Translate customer and internal needs into clear product requirements that balance usability, security, scalability, and system constraints
* Drive product\-led growth (PLG) experiences that make it easy for customers to discover, adopt, and expand their use of Muck Rack over time
* Collaborate with Sales, Customer Success, and Enablement to ensure lifecycle workflows support real GTM motion without creating friction or manual workarounds
* Maintain and prioritize a backlog of work in close partnership with Engineering, ensuring clarity on scope, dependencies, and tradeoffs
* Use qualitative and quantitative data to identify opportunities, validate decisions, and measure impact across activation, usage, retention, and expansion
* Communicate clearly with stakeholders across Product, Engineering, and GTM to align on priorities, timelines, and outcomes
### **How success will be measured in this role:**
* Customers can easily activate, manage, and expand their subscriptions with minimal friction
* Subscription and lifecycle workflows support both self\-serve PLG and sales\-assisted growth
* Engineering teams have clear, well\-scoped requirements that enable scalable, maintainable systems
* APIs and internal systems are designed with long\-term extensibility and reliability in mind
* Product decisions are grounded in data, customer insight, and thoughtful tradeoffs
**If the details below describe you, you could be a great fit for this role:**
------------------------------------------------------------------------------
* 4\+ years of product management experience in a SaaS environment, or equivalent experience in platform\-adjacent product roles.
* Experience owning end\-user product solutions tied to subscriptions, accounts, users, provisioning, entitlements, or lifecycle workflows.
* Strong understanding of how APIs and large systems work, and how product decisions impact engineering complexity.
* Demonstrated experience with product\-led growth, from activation through ongoing customer maintenance and expansion.
* Comfort working closely with Engineering to understand technical requirements, ask the right questions, and scope feasible solutions.
* Experience collaborating cross\-functionally across Product, UX, Sales, Customer Success, Onboarding, Support, and Enablement.
* Experience using product development and analytics tools (e.g., Jira, Linear, Heap, Pendo, SQL\-based analysis).
* Salesforce API experience is a plus, but not required.
### **Interview Overview**
Here's what you can expect from our process. We'll keep you informed at every step and let you know if anything changes along the way.
* Intro call with a member of our Talent Team
* A video interview with the Hiring Manager
* Peer interviews
* Final conversation(s) with member(s) of our executive team
### **Salary**
For roles based in Europe, we offer a competitive salary range aligned with local market value.
* The base salary for this role in the UK is between £96,000 \- 114,000 GBP.
* The base salary for this role in Ireland is between 91,000 \- 107,000 EUR.
Total compensation for this role consists of base salary, a quarterly bonus plan, and equity. For all other countries, we have competitive pay bands based on market standards.
###### **Individual compensation decisions are based on a number of factors, including experience level, skillset, and balancing internal equity relative to peers at the company. We expect the majority of the candidates who are offered roles at our company to fall healthily throughout the range based on these factors. We recognize that the person we hire may be less experienced (or more senior) than this job description as posted. If that ends up being the case, the updated salary range will be communicated with you as a candidate.**
**Why Muck Rack?**
------------------
**Remote Work, Forever**
* Fully distributed team with a permanent remote setup
* Home office stipend, phone and internet reimbursement, coworking membership
* Virtual and in\-person team bonding (lunches, events, competitions)
**Transparent \&amp; Fair Compensation**
* Competitive geo\-neutral pay in the U.S.
* Annual reviews to ensure equity and market alignment
* Standardized bonus or commission structure
* 401(k) with employer contributions
* Equity opportunities
**Health \&amp; Wellness**
* Comprehensive medical, dental, vision, disability, and life insurance for employees and dependents
* 100% premium coverage for individuals on high\-deductible plans
* 24/7 Virtual Care and Employee Assistance Program
* Employer\-funded HSA contributions and other pre\-tax benefits
* Quarterly wellness stipend and free Headspace subscription
**Time Off \&amp; Family Benefits**
* 4\+ weeks of PTO, plus paid sick and mental health days
* 13 paid holidays with the option to swap for personal days
* Up to 16 weeks of fully paid parental leave
**Learning and Development**
* Transparent pathways for internal mobility and promotion
* Bi\-annual performance reviews, team workshops, and leadership training
* Unlimited access to Coursera and O'Reilly
* 2 additional PTO days annually for learning and development
**Inclusive, Customer\-First Culture**
* Commitment to equity and valuing diverse perspectives
* Agile, founder\-led company focused on collaboration and innovation
* Trusted by 3,000\+ companies worldwide
*Note: Benefits and compensation reflect offerings for U.S.\-based employees. Support is provided for employees in other locations, in compliance with local laws and regulations.*
While we are a fully distributed team, we do have limitations on where we can hire and maintain a list of acceptable working locations based on job function. If we are unable to hire in your current location for the role for which you applied, you will be notified via email. While we enjoy many benefits as a permanently distributed and remote company, we cannot always support relocation or extended travel and have guidelines in place to ensure compliant work away from your designated permanent residence.
\#LI\-Remote
###### **Please note: For detailed information regarding our GDPR and/or CCPA compliance policies, including how we handle personal data and privacy rights, kindly refer to the email correspondence accompanying this application.**
###### **Muck Rack does not accept unsolicited resumes from search firms or any other third parties. Any unsolicited resume sent to Muck Rack will be considered Muck Rack property, and Muck Rack will not pay a fee should it hire the subject of any unsolicited resume.**
###### **Muck Rack considers applicants for all positions on the basis of merit, qualifications, and business needs, and without regard to race, color, national origin, religion, sex, age, disability, sexual orientation, gender identity, alienage or citizenship status, ancestry, marital status, genetic predisposition or carrier status, veteran status, familial status, status as a victim of domestic violence, or any other status or characteristic protected by applicable federal, state, or local law.**
###### **Note to applicants/job seekers: We have recently been made aware of scams impersonating Muck Rack's HR team. Please be cautious of these attempts to elicit banking or other financial or sensitive information. Muck Rack will never request financial information during the interview process, and follow ups for interviews or next steps will always come from an '@muckrack.com' email address. If you are contacted by anyone from a different domain who claims to be from Muck Rack, please forward the communication to** **legal@muckrack.com****.**</t>
        </is>
      </c>
    </row>
    <row r="111">
      <c r="A111" t="inlineStr">
        <is>
          <t>in-f86d509b2c0d17cd</t>
        </is>
      </c>
      <c r="B111" t="inlineStr">
        <is>
          <t>Product Manager II - Commercial Card</t>
        </is>
      </c>
      <c r="C111" t="inlineStr">
        <is>
          <t>Truist</t>
        </is>
      </c>
      <c r="D111" t="inlineStr">
        <is>
          <t>indeed</t>
        </is>
      </c>
      <c r="E111">
        <f>HYPERLINK("https://www.indeed.com/viewjob?jk=f86d509b2c0d17cd", "https://www.indeed.com/viewjob?jk=f86d509b2c0d17cd")</f>
        <v/>
      </c>
      <c r="F111">
        <f>HYPERLINK("https://careers.truist.com/us/en/job/TBJTBFUSR0110823EXTERNALENUS/Product-Manager-II-Commercial-Card?utm_source=indeed&amp;utm_medium=phenom-feeds", "https://careers.truist.com/us/en/job/TBJTBFUSR0110823EXTERNALENUS/Product-Manager-II-Commercial-Card?utm_source=indeed&amp;utm_medium=phenom-feeds")</f>
        <v/>
      </c>
      <c r="G111" t="inlineStr">
        <is>
          <t>Charlotte, NC, US</t>
        </is>
      </c>
      <c r="H111" s="3" t="n">
        <v>46051</v>
      </c>
      <c r="I111"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Responsible for managing the strategic and tactical aspects of assigned product portfolio to meet the needs of our targeted commercial markets and the strategic goals of Treasury Solutions. A product manager is responsible for managing product lifecycle processes including ideation, strategy, development, management, marketing, communication, commercialization, profitability, sales support strategies and ongoing monitoring and risk managemen**Essential Duties and Responsibilities**
Following is a summary of the essential functions for this job. Other duties may be performed, both major and minor, which are not mentioned below. Specific activities may change from time to time.
1\. Plan, promote, manage and coordinate activities for assigned product portfolio and ensure synergy with related product line managers to meet objectives.  
2\. Document and socialize concepts for new products and/or line extensions to meet existing or anticipated market needs; present to management as appropriate.  
3\. Support development of new products and/or lines extensions as required pursuant to pre\-established product development processes.  
4\. Manage product line direction through leading and participating in ongoing assessment of current products, pricing, and position; systematically develop and evaluate opportunities for new products and/or line extensions; and identify new target markets and related strategies.  
5\. Lead the development, execution and maintenance of a product profit and loss and product family business plan that provides current market information, including sales and gross profit margin history, year to date actuals and projections, key market position, sales channels and competitive strategies, pricing, market share, and product lifecycle and evolution plans.  
6\. Lead the development and presentation of monthly, quarterly and annual product line update reports, as directed.  
7\. Initiate and encourage continuous process improvement by developing ways to assess and maximize opportunities for change.  
8\. Establish, socialize and manage development of clear pricing strategies, discount structures, and guidelines for all sales channels and target markets; analyze market data, competitive data, segment data, revenue/cost/profitability data and product/product line strategy.  
9\. Lead the development of volume forecasts based on historical trends, market environment, business plan and pricing strategy impacts.  
10\. Initiate and participate in the prioritization of development and promotional projects for the product line and partnership with sales partners.  
11\. Support sales through joint sales calls to key clients; trade show support and conference calls.  
12\. Initiate and maintain awareness of the competition and other market forces affecting the product line, through effective networking and research.  
13\. Act as a mentor and/or team lead to junior product managers, product associates and analysts.  
14\. Adhere to and follows all applicable policies and procedures; proactively escalate issues and risks to senior leadership's attention.
**Qualifications**
**Required Qualifications:**
1\. Bachelor's degree in related field or an equivalent combination of education and related work experience.  
2\. 10\+ years of relevant financial services or consulting firm experience, working on teams with responsibility for strategic planning, product management, sales force effectiveness and industry analysis.  
3\. Strong product management, design and development skills.  
4\. In\-depth and broad knowledge of Treasury Solutions applications and products.  
5\. Strong leadership, management and marketing skills.  
6\. Strong analytical and problem\-solving skills.  
7\. Excellent verbal and written communication, presentation, organization and time management skills.  
8\. Superior influencing, negotiation and conflict management skills.  
9\. Advanced knowledge of payments systems and practices.  
10\. Superior financial and competitive analysis skills.  
11\. Demonstrated proficiency in basic computer applications, such as Microsoft Office software products.
**Preferred Qualifications:**
1\. Master’s degree in Business Administration  
2\. Certified Treasury Professional (CTP) designation and/or Accredited Automated Clearing House (ACH) Professional (AAP) certifications  
3\. Creative problem solver; demonstrated marketing and research skills  
4\. Ability to create strong strategic plans and business cases for new opportunities  
5\. Ability to synthesize complex information to communicate effectively with teammates at all levels
**Other Job Requirements / Working Conditions**
Sitting/Standing/Walking/Bending/Lifting
X Sitting (if checked, indicate frequency)
 Constantly (more than 50% of time)
* Standing (if checked, indicate frequency)
 not applicable
* Walking (if checked, indicate frequency)
 not applicable
* Bending (if checked, indicate frequency)
 not applicable  
* Lifting (if checked, indicate pounds)
 not applicable
x Visual / Audio / Speaking
Able to access and interpret client information received from the computer and able to hear and speak with individuals in person and on the phone.
x Manual Dexterity / Keyboarding
Able to work standard office equipment, including PC keyboard and mouse, copy/fax machines, and printers.
x Availability
Able to work all hours scheduled, including overtime as directed by manager/supervisor and required by business need.
þ Travel *(Must select one)*
Up to 25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12">
      <c r="A112" t="inlineStr">
        <is>
          <t>in-7eeb9a953f6834b8</t>
        </is>
      </c>
      <c r="B112" t="inlineStr">
        <is>
          <t>Principal Design Program Manager</t>
        </is>
      </c>
      <c r="C112" t="inlineStr">
        <is>
          <t>Salesforce</t>
        </is>
      </c>
      <c r="D112" t="inlineStr">
        <is>
          <t>indeed</t>
        </is>
      </c>
      <c r="E112">
        <f>HYPERLINK("https://www.indeed.com/viewjob?jk=7eeb9a953f6834b8", "https://www.indeed.com/viewjob?jk=7eeb9a953f6834b8")</f>
        <v/>
      </c>
      <c r="F112">
        <f>HYPERLINK("https://salesforce.wd12.myworkdayjobs.com/en-US/External_Career_Site/job/California---San-Francisco/Principal-Design-Program-Manager_JR326788-1", "https://salesforce.wd12.myworkdayjobs.com/en-US/External_Career_Site/job/California---San-Francisco/Principal-Design-Program-Manager_JR326788-1")</f>
        <v/>
      </c>
      <c r="G112" t="inlineStr">
        <is>
          <t>San Francisco, CA, US</t>
        </is>
      </c>
      <c r="H112" s="3" t="n">
        <v>46051</v>
      </c>
      <c r="I112" t="inlineStr">
        <is>
          <t>*To get the best candidate experience, please consider applying for a maximum of 3 roles within 12 months to ensure you are not duplicating efforts.*
Job Category
Program \&amp; Project Management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Salesforce experience Operations is looking for a self\-starting, organized, and experienced Principal Design Program Manager (DPM). Working hand\-in\-hand with the UX team is the Salesforce Design Operations team, a talented group of professionals that create the conditions for great design to flourish. We are growing, and we are looking for you.
Will you join us?
**Your Impact \- Responsibilities**
-----------------------------------
This role requires someone who is a relationship builder and an operational thinker; someone who is fluent in the best practices of user experience and design delivery, and who wants to empower the Experience Design team to partner with our product teams in a sustainable and healthy way. **How will you do this?**  
You will operationalize how our design and real search team works together, and create rituals and cadences that foster team connection, a shared purpose, and a collaborative UX community. You’ll create new processes and frameworks that help Experience teams define, prioritize, and review its work, and then bring this work forward for consumption by Salesforce’s other UX teams. You will connect the dots between our product teams’ roadmaps and UX’s priorities and deliverables, helping both groups manage design dependencies and deliver successfully. You’ll liaise with design leadership and build strong partnerships with cross\-functional stakeholders. You will be the point\-of\-contact for a complex network of business units and functions, and own regular communications up, down, and out to assure alignment and clarity of goals. Lastly, you’ll be the strategic nerve center the product UX’s leadership team, coordinating reviews, leading team events, and coordinating presentation material for partner audiences.  
**Minimum Qualifications**
--------------------------
* BS in Business, Computer Science, Engineering, or a related field.
* At least 7 years experience working in enterprise software in any combination of Design, DesignOps, or PgM roles.
* Outstanding partnership, interpersonal, and relationship\-building skills. The ability to collaborate well in a cross\-functional, matrix’d management environment, and work across multiple departments and business units.
* Proven experience partnering directly with product management and engineering teams, with an understanding of their priorities, constraints, and how UX informs their work streams.
* Thorough familiarity with how design gets done. Understand what happens when and why, what natural dependencies exist, how to mitigate risks, and when it’s OK to be visionary (and when it’s not).
* Superb communication skills that shine in\-person and across multiple mediums. The talent to tell a story, advocate for a project or program, and facilitate understanding to different audiences at whichever level is appropriate.
* Strong understanding of what it takes to ship software at scale. Experience running projects using agile and/or scrum processes, and understand development team make\-ups (i.e., roles, responsibilities, and how they interact).
* Ability to learn and master internal project management tools to ensure design work is properly represented and tracked, and contribute new tools and processes to make work more visible to the entire organization.
**Preferred Qualifications**
----------------------------
* Ability to establish credibility and rapport with senior executives, and technical and non\-technical team members.
* An internal compass that points towards ethics and equality, and the conviction to speak up if we stray off\-course.
* Demonstrated ability to influence peers and managers, and build consensus while dealing with ambiguity.
* Experience running events and programs for internal teams, external customers, or both at the same time!
* Experience designing and thinking in systems, not just single\-purpose apps.
* Experience designing for visual page builders, mobile apps, content management systems, app development tools.
* Project Management Professional (PMP) certification.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regions.\&amp;\#xa;\&amp;\#xa;The typical base salary range for this position is $171,200 \- $248,200 annually. In select cities within the San Francisco and New York City metropolitan area, the base salary range for this role is $205,800 \- $298,400 annually.\&amp;\#xa;\&amp;\#xa;The range represents base salary only, and does not include company bonus, incentive for sales roles, equity or benefits, as applicable.</t>
        </is>
      </c>
    </row>
    <row r="113">
      <c r="A113" t="inlineStr">
        <is>
          <t>in-a8b0987e9c91079e</t>
        </is>
      </c>
      <c r="B113" t="inlineStr">
        <is>
          <t>Program Manager 1 - Department of Electrical Engineering</t>
        </is>
      </c>
      <c r="C113" t="inlineStr">
        <is>
          <t>University of Houston</t>
        </is>
      </c>
      <c r="D113" t="inlineStr">
        <is>
          <t>indeed</t>
        </is>
      </c>
      <c r="E113">
        <f>HYPERLINK("https://www.indeed.com/viewjob?jk=a8b0987e9c91079e", "https://www.indeed.com/viewjob?jk=a8b0987e9c91079e")</f>
        <v/>
      </c>
      <c r="F113">
        <f>HYPERLINK("https://careers.uh.edu/jobs/program-manager-1-department-of-electrical-engineering-houston-texas-united-states", "https://careers.uh.edu/jobs/program-manager-1-department-of-electrical-engineering-houston-texas-united-states")</f>
        <v/>
      </c>
      <c r="G113" t="inlineStr">
        <is>
          <t>Houston, TX, US</t>
        </is>
      </c>
      <c r="H113" s="3" t="n">
        <v>46051</v>
      </c>
      <c r="I113" t="inlineStr">
        <is>
          <t>* 495559
* Full\-Time
* Electrical Engineering
**Add to favorites** **View favorites****Department**: Electrical Engineering **Salary**: Commensurate with Experience/Education
**Description**:
Manages the day\-to\-day operations of a small or medium\-sized university program or department. May supervise staff employees, student workers, programs or processes.
1\. Plans and develops procedures for administering a small or medium\-sized department or program.
2\. Oversees program expenditures and ensures adherence to budget.
3\. Provides guidance to subordinate staff and evaluates performance.
4\. May prepare or participate in the creation of abstracts, research reports, funding proposals, operations and procedure manuals, and other written material and documentation.
5\. Reviews reports of budgets and activities.
6\. Prepares ad hoc reports as needed.
7\. May administer grants and grant\-related related communications, scholarships and other operations.  
8\. Develops, implements and maintains appropriate policies and procedures.
9\. May serve as property custodian for the department.
10\. Performs other job\-related duties as assigned.
Additional Posting Information:
* Attend teleconferences
* Facilitate communication of program evaluation with project evaluator by sharing program data with external evaluator
* Track budget/spending on grants in real\-time
* Can create flyers and manage online applications for student program participants
* Keep student database and track student progress
* Plan and execute the annual or on\-site virtual site visit for the Activity Manager
* Plan and execute annual External Advisory Council meetings
* Lead the development of the Milestone chart
* Lead the development of the semi\-annual report to include:
* Activities performed during the period
* Planned activities to be performed next period
* Objective and/or strategy changes
* Budget expenditures during the period as compared to the total budget
* Demographic makeup of program participants during that period
* Lead the development of the annual progress report
* Work with the engineering communications office to get the websites for the grant set up
* Execute Contracts with advisory board members, contractors, etc.
* P\-CARD eligible for project purchasing
* Able to execute Concur travel
* Making travel arrangements for seminar and guest presenters
* Support proposal writing
* Other items as requested
**Experience will be considered in lieu of education.**  
**Education will be considered in lieu of experience.**
MQ: Education: Requires a thorough understanding of both theoretical and practical aspects of an analytical, technical or professional discipline; or the basic knowledge of more than one professional discipline. Knowledge of the discipline is normally obtained through a formal, directly job\-related 4 year degree from a college or university or an equivalent in\-depth specialized training program that is directly related to the type of work being performed. Experience: No experience required.
All positions at the University of Houston\-System are security sensitive and will require a criminal history check.
The University of Houston System and its universities are Equal Opportunity Institutions. Everyone is encouraged to apply.</t>
        </is>
      </c>
    </row>
    <row r="114">
      <c r="A114" t="inlineStr">
        <is>
          <t>in-f7c3da43013ed11f</t>
        </is>
      </c>
      <c r="B114" t="inlineStr">
        <is>
          <t>Sr Program Manager - Global Operations Team</t>
        </is>
      </c>
      <c r="C114" t="inlineStr">
        <is>
          <t>CBRE</t>
        </is>
      </c>
      <c r="D114" t="inlineStr">
        <is>
          <t>indeed</t>
        </is>
      </c>
      <c r="E114">
        <f>HYPERLINK("https://www.indeed.com/viewjob?jk=f7c3da43013ed11f", "https://www.indeed.com/viewjob?jk=f7c3da43013ed11f")</f>
        <v/>
      </c>
      <c r="F114">
        <f>HYPERLINK("https://careers.cbre.com/en_US/careers/JobDetail/Sr-Program-Manager-Global-Operations-Team/251259", "https://careers.cbre.com/en_US/careers/JobDetail/Sr-Program-Manager-Global-Operations-Team/251259")</f>
        <v/>
      </c>
      <c r="G114" t="inlineStr">
        <is>
          <t>Seattle, WA, US</t>
        </is>
      </c>
      <c r="H114" s="3" t="n">
        <v>46051</v>
      </c>
      <c r="I114" t="inlineStr">
        <is>
          <t>Sr Program Manager \- Global Operations Team
Job ID
251259
Posted
30\-Jan\-2026
Service line
GWS Segment
Role type
Full\-time
Areas of Interest
Project Management
Location(s)
Seattle \- Washington \- United States of America
**About the Role:**
-------------------
This CBRE Program Senior Manager role in Seattle requires leading a team to deliver complex, strategic programs for a global online travel agency. Key responsibilities include program planning, execution, and monitoring, ensuring alignment with business objectives. The ideal candidate will possess strong program management, team leadership, and cross\-functional collaboration skills, with strong experience using Tableau for data visualization and reporting.
A deep understanding of the online travel industry is crucial, along with adaptability and problem\-solving abilities. The hybrid work environment necessitates effective communication and collaboration. This role offers an opportunity to drive impactful initiatives within a leading online travel company.
**What You’ll Do:**
-------------------
* Supervise, train, and evaluate staff, including recruitment, performance coaching, and task assignment.
* Manage cross\-functional projects end\-to\-end, ensuring timely completion and issue resolution.
* Build and maintain relationships with internal and external partners to support program goals.
* Support the development of global systematic approaches and programs.
* Create and distribute PMO reports (status updates, Gantt charts) and maintain/enhance reporting platforms.
* Act as point of contact for sustainability initiatives, ensuring compliance with global regulations.
* Identify and implement better methods to achieve individual and departmental objectives.
* Manage global utility bill pay, reporting, and documentation, collaborating with partners in EMEA and APAC.
**What You’ll Need:**
---------------------
* Bachelor's Degree preferred with 8\-10 years of relevant experience. In lieu of a degree, a combination of experience and education will be considered. PgMP or PMP certifications preferred
* Experience in the areas of staffing, selection, training, development, coaching, mentoring, measuring, appraising, and rewarding performance and retention is preferred.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
 **Why CBRE?**
We value a culture of respect, integrity, service, and excellence crafts our approach to every opportunity! We are guided by the needs of the cities we inhabit, the communities we build, and the world we thrive in.
Competitive pay and benefits including Medical, Dental, Vision, PTO, 401k, and more that start 1st of the month. Internal advancement available after 6\-month mark.
* **FORTUNE Most Admired Company \#1** in real estate for third consecutive year; **Ten** years in a row on the list!
* **Forbes** Named one of the **best large employers** in America and one of the **World's Best Employers**
* **Relocation assistance and sign\-on bonuses may be available on select positions only, for experienced applicants based on role requirements and experience**
**Disclaimers**
---------------
Applicants must be currently authorized to work in the United States without the need for visa sponsorship now or in the future
CBRE carefully considers multiple factors to determine compensation, including a candidate’s education, training, and experience. The minimum salary for the \[Sr Program Manager] position is $107,500\.00 annually and the maximum salary for the \[Sr Program Manager] position is $199,500 annually. The compensation that is offered to a successful candidate will depend on the candidate’s skills, qualifications, and experience. Successful candidates will also be eligible for a discretionary bonus based on CBRE’s applicable benefit program.
* Benefits for Full\-Time Employees
* Corporate welfare benefits, which includes medical, dental, vision, disability, health care and dependent care reimbursement accounts, life and AD\&amp;D insurance
* 401(k) Plan
* Paid time off, parental leave, and holidays are available as established by Company policy
**Equal Employment Opportunity:** CBRE has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t>
        </is>
      </c>
    </row>
    <row r="115">
      <c r="A115" t="inlineStr">
        <is>
          <t>in-377fb2bb83765438</t>
        </is>
      </c>
      <c r="B115" t="inlineStr">
        <is>
          <t>Advanced Specialist, Product Manager</t>
        </is>
      </c>
      <c r="C115" t="inlineStr">
        <is>
          <t>Pearson</t>
        </is>
      </c>
      <c r="D115" t="inlineStr">
        <is>
          <t>indeed</t>
        </is>
      </c>
      <c r="E115">
        <f>HYPERLINK("https://www.indeed.com/viewjob?jk=377fb2bb83765438", "https://www.indeed.com/viewjob?jk=377fb2bb83765438")</f>
        <v/>
      </c>
      <c r="F115">
        <f>HYPERLINK("https://rr.jobsyn.org/F72C3FD81DF2416985719839F65587CF1554", "https://rr.jobsyn.org/F72C3FD81DF2416985719839F65587CF1554")</f>
        <v/>
      </c>
      <c r="G115" t="inlineStr">
        <is>
          <t>San Antonio, TX, US</t>
        </is>
      </c>
      <c r="H115" s="3" t="n">
        <v>46051</v>
      </c>
      <c r="I115" t="inlineStr">
        <is>
          <t>**Job Title \- Advanced Specialist, Product Manager**
**Description**
***You’ll own the vision and evolution of Q\-interactive, Pearson’s market\-leading iOS assessment platform, shaping how clinicians deliver digital assessments through data\-driven, user\-centred product decisions.***
**Overview**
We are Pearson, the world’s learning company. We combine world\-class educational content and assessment, powered by services and technology, to enable more effective teaching and personalized learning at scale. We believe that wherever learning flourishes so do people. We are bold thinkers and standout innovators who motivate each other to explore new frontiers in an environment that supports and inspires us to always be better.
As the Advanced Specialist, Product Manager you will serve as a key leader within Clinical Assessment’s Technology Strategy group. Q\-interactive is an innovative and market\-leading iOS\-based assessment platform for psychologists, speech language pathologists, and other clinical professionals. It’s transforming the field of assessment, and we are seeking a passionate and experienced Product Manager to join our high\-performing team with end\-to\-end accountability for shaping and delivering the future of this platform. You will partner with other Product Managers, Designers, and Engineers to drive the vision, strategy, and execution of Q\-interactive. You will collaborate closely with these cross\-functional teams to deliver a user\-friendly, highly functional, and scalable product that meets the evolving needs of our users.
This position reports to the Lead, Product Manager – Q Platforms.
**Your key responsibilities will include:**
* **Product Vision \&amp; Strategy** : Own and evolve the product vision, strategy, and outcome\-based roadmap for the iOS assessment application, aligning it with business goals and customer needs.
* **Customer Discovery** : Lead continuous product discovery alongside design and engineering, regularly engaging with customers and stakeholders to identify, validate, and prioritize the most valuable problems to solve.
* **Cross\-Functional Collaboration** : Collaborate within the 4\-in\-the\-box model (with Product Design, Engineering, and Scrum Master) to ensure shared ownership of outcomes, strong team alignment, and fast, high\-quality decision\-making across the product lifecycle.
* **Feature Development** : Translate strategy and customer insights into clearly articulated problems, desired outcomes, and success metrics, working with the team to shape solutions and maintain a prioritized backlog aligned to outcomes.
* **Metrics\-Driven Decisions** : Define success metrics, ensure proper instrumentation is in place, track KPIs, and make data\-driven decisions to inform trade\-offs, and iteratively improve product outcomes.
* **Stakeholder Management** : Communicate product updates, vision, and progress to internal and external stakeholders. Drive alignment through clear prioritization decisions and transparent trade\-offs aligned to business objectives.
* **Competitive Analysis** : Stay informed on industry trends, competitor activities, and market demands, leveraging insights to keep the product ahead of the competition.
**We are looking for the following strengths and qualifications:**
* 3\-5\+ years of product management experience, preferably with iOS applications, educational technologies, or assessment platforms.
* Strong understanding of iOS design principles, development processes, and Apple’s App Store guidelines.
* Strong understanding of modern product development practices including continuous discovery, outcome\-based roadmaps, and empowered, cross\-functional teams
* Demonstrated ability to identify and deeply understand customer problems and translate them into impactful product solutions.
* Experience using product analytics, experimentation, and metrics to inform decisions. Familiarity with tools like Pendo, Mixpanel, Looker, SQL (or equivalents) is a plus.
* Demonstrated experience owning product outcomes rather than delivery outputs.
* Demonstrated ability to leverage AI tools to accelerate product work, including rapid prototyping, hypothesis testing, experiment design, and synthesis of customer and data insights, resulting in improved decision quality and team efficiency.
* Solid understanding of technical constraints and trade\-offs related to mobile development, APIs, and third\-party integrations.
* Experience working with remote or globally distributed teams.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Assessment \&amp; Qualifications
**Schedule:** FULL\\\_TIME
**Workplace Type:** Hybrid
**Req ID:** 22466</t>
        </is>
      </c>
    </row>
    <row r="116">
      <c r="A116" t="inlineStr">
        <is>
          <t>in-fb11313d32787e6e</t>
        </is>
      </c>
      <c r="B116" t="inlineStr">
        <is>
          <t>Advanced Specialist, Product Manager</t>
        </is>
      </c>
      <c r="C116" t="inlineStr">
        <is>
          <t>Pearson</t>
        </is>
      </c>
      <c r="D116" t="inlineStr">
        <is>
          <t>indeed</t>
        </is>
      </c>
      <c r="E116">
        <f>HYPERLINK("https://www.indeed.com/viewjob?jk=fb11313d32787e6e", "https://www.indeed.com/viewjob?jk=fb11313d32787e6e")</f>
        <v/>
      </c>
      <c r="F116">
        <f>HYPERLINK("https://rr.jobsyn.org/99E6CE2D82544C4EB6221B84735052141554", "https://rr.jobsyn.org/99E6CE2D82544C4EB6221B84735052141554")</f>
        <v/>
      </c>
      <c r="G116" t="inlineStr">
        <is>
          <t>Austin, TX, US</t>
        </is>
      </c>
      <c r="H116" s="3" t="n">
        <v>46051</v>
      </c>
      <c r="I116" t="inlineStr">
        <is>
          <t>**Job Title \- Advanced Specialist, Product Manager**
**Description**
***You’ll own the vision and evolution of Q\-interactive, Pearson’s market\-leading iOS assessment platform, shaping how clinicians deliver digital assessments through data\-driven, user\-centred product decisions.***
**Overview**
We are Pearson, the world’s learning company. We combine world\-class educational content and assessment, powered by services and technology, to enable more effective teaching and personalized learning at scale. We believe that wherever learning flourishes so do people. We are bold thinkers and standout innovators who motivate each other to explore new frontiers in an environment that supports and inspires us to always be better.
As the Advanced Specialist, Product Manager you will serve as a key leader within Clinical Assessment’s Technology Strategy group. Q\-interactive is an innovative and market\-leading iOS\-based assessment platform for psychologists, speech language pathologists, and other clinical professionals. It’s transforming the field of assessment, and we are seeking a passionate and experienced Product Manager to join our high\-performing team with end\-to\-end accountability for shaping and delivering the future of this platform. You will partner with other Product Managers, Designers, and Engineers to drive the vision, strategy, and execution of Q\-interactive. You will collaborate closely with these cross\-functional teams to deliver a user\-friendly, highly functional, and scalable product that meets the evolving needs of our users.
This position reports to the Lead, Product Manager – Q Platforms.
**Your key responsibilities will include:**
* **Product Vision \&amp; Strategy** : Own and evolve the product vision, strategy, and outcome\-based roadmap for the iOS assessment application, aligning it with business goals and customer needs.
* **Customer Discovery** : Lead continuous product discovery alongside design and engineering, regularly engaging with customers and stakeholders to identify, validate, and prioritize the most valuable problems to solve.
* **Cross\-Functional Collaboration** : Collaborate within the 4\-in\-the\-box model (with Product Design, Engineering, and Scrum Master) to ensure shared ownership of outcomes, strong team alignment, and fast, high\-quality decision\-making across the product lifecycle.
* **Feature Development** : Translate strategy and customer insights into clearly articulated problems, desired outcomes, and success metrics, working with the team to shape solutions and maintain a prioritized backlog aligned to outcomes.
* **Metrics\-Driven Decisions** : Define success metrics, ensure proper instrumentation is in place, track KPIs, and make data\-driven decisions to inform trade\-offs, and iteratively improve product outcomes.
* **Stakeholder Management** : Communicate product updates, vision, and progress to internal and external stakeholders. Drive alignment through clear prioritization decisions and transparent trade\-offs aligned to business objectives.
* **Competitive Analysis** : Stay informed on industry trends, competitor activities, and market demands, leveraging insights to keep the product ahead of the competition.
**We are looking for the following strengths and qualifications:**
* 3\-5\+ years of product management experience, preferably with iOS applications, educational technologies, or assessment platforms.
* Strong understanding of iOS design principles, development processes, and Apple’s App Store guidelines.
* Strong understanding of modern product development practices including continuous discovery, outcome\-based roadmaps, and empowered, cross\-functional teams
* Demonstrated ability to identify and deeply understand customer problems and translate them into impactful product solutions.
* Experience using product analytics, experimentation, and metrics to inform decisions. Familiarity with tools like Pendo, Mixpanel, Looker, SQL (or equivalents) is a plus.
* Demonstrated experience owning product outcomes rather than delivery outputs.
* Demonstrated ability to leverage AI tools to accelerate product work, including rapid prototyping, hypothesis testing, experiment design, and synthesis of customer and data insights, resulting in improved decision quality and team efficiency.
* Solid understanding of technical constraints and trade\-offs related to mobile development, APIs, and third\-party integrations.
* Experience working with remote or globally distributed teams.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Assessment \&amp; Qualifications
**Schedule:** FULL\\\_TIME
**Workplace Type:** Hybrid
**Req ID:** 22466</t>
        </is>
      </c>
    </row>
    <row r="117">
      <c r="A117" t="inlineStr">
        <is>
          <t>in-80aab0c1dd7d3635</t>
        </is>
      </c>
      <c r="B117" t="inlineStr">
        <is>
          <t>Program Manager</t>
        </is>
      </c>
      <c r="C117" t="inlineStr">
        <is>
          <t>Dover Fueling Solutions</t>
        </is>
      </c>
      <c r="D117" t="inlineStr">
        <is>
          <t>indeed</t>
        </is>
      </c>
      <c r="E117">
        <f>HYPERLINK("https://www.indeed.com/viewjob?jk=80aab0c1dd7d3635", "https://www.indeed.com/viewjob?jk=80aab0c1dd7d3635")</f>
        <v/>
      </c>
      <c r="F117">
        <f>HYPERLINK("https://careers.dovercorporation.com/job/Austin-Program-Manager-TX-78728/1289070101/?feedId=231901&amp;utm_source=Indeed&amp;utm_campaign=Dover_Indeed", "https://careers.dovercorporation.com/job/Austin-Program-Manager-TX-78728/1289070101/?feedId=231901&amp;utm_source=Indeed&amp;utm_campaign=Dover_Indeed")</f>
        <v/>
      </c>
      <c r="G117" t="inlineStr">
        <is>
          <t>Austin, TX, US</t>
        </is>
      </c>
      <c r="H117" s="3" t="n">
        <v>46051</v>
      </c>
      <c r="I117" t="inlineStr">
        <is>
          <t>At Dover Fueling Solutions (DFS), A Dover Company, we are taking fueling and convenience retail to the next level. We are passionate about cultivating excellence in everything we do, but what really fuels us is our people. They’re the heart of our company. As an employee, our promise to you is that you’ll work on new and innovative products and solutions, be mentored by managers and teammates who are collaborative, caring, and act with integrity, and can grow in ways that are meaningful to you. Unique and interesting projects – both locally and globally – will challenge you and allow you to pursue different and rewarding career paths.
 *Headquartered in Austin, TX, DFS has a significant technology development and manufacturing presence worldwide, including facilities in Brazil, China, India, Italy, Poland, the Netherlands, the United Kingdom and the United States.*
 *Headquartered in Downers Grove, Illinois, Dover Corporation trades on the New York Stock Exchange under "DOV." Additional information is available at dovercorporation.com.*
 **Position Summary**
Dover Fueling Solutions, one of the world’s leading suppliers of fuel dispensers, payment terminals, forecourt control devices, point\-of\-sale and other measurement and control solutions to the retail and commercial fueling industry is seeking a Program Manager whose primary role is to manage, execute and coordinate complex, cross\-departmental projects both internally for new product introductions and externally for post\-sales large multi\-product implementations of hardware, software, or integrated solutions. Dover Fueling Solutions products and applications are hardware, software or integrated hardware and software offerings, therefore experience with new product launch for hardware platforms as well as software integration are preferred. This role is expected to manage the program both at the highest levels engaging senior management and at the detail level ensuring all teams are delivering on commitments within the accepted timelines. This role will coordinate multiple programs simultaneously and work with other Program Managers and internal stakeholders to ensure alignment.
 **Stakeholder Engagement**
* Partner closely with Product Management, Engineering, Sales, Service and other cross functional extended team leads to:
* translate the product vision and strategy into a project plan within the overall NPD framework and/or
* plan and coordinate all activities related to specific customer product sales opportunities, implemented to meet sales goals
* Ensure that key program stakeholders are fully engaged in and aligned with the program deliverables, progress and emerging risks.
 **Program Management \&amp; Control**
* Execute DFS’ New Product Development processes, including but not limited to project gate transitions and change management processes.
* Drive process discipline and accountability throughout the planning, execution, monitoring, and successful completion of projects.
* Develop and maintain project plans and status reports, manage project resources, engage cross\-functional teams to provide quality analyses, coordinate beta plans, track and report defects and defect resolution, complete final documentation, training, and coordinate product launch plans.
* Prepare and manage project budgets and facilitate and communicate periodic cost analyses.
* Experience in Agile/SAFe, waterfall and hybrid program delivery methods.
 **Business Acumen**
* Understand the business imperative of the programs being led to effectively drive program delivery.
* Clearly communicate all program\-level financial commitments to core team members and stakeholders.
 **Technical Acumen**
* Strong Hardware and Software development knowledge. Understand the technology concepts used on projects in enough depth to challenge assumptions, estimates, approaches, and risks. Possess general understanding of technical design, implementation, and quality assurance.
 **Change Management**
* Strong change management skills creating clarity of vision, unifying teams and resources and dealing with conflict and resistance
* Flexible during times of change. Adjust to shifting priorities, demands and timelines through analytical and problem\-solving capabilities.
* Elicit cooperation from a wide variety of sources, across the hierarchy, peers, and other functional teams. Engage the team to drive creative solutions when challenges arise.
* Ability to defuse tension among project team and facilitate constructive discussion to reach resolutions.
 **Communication**
* Manage the expectations of all stakeholders from the highest levels in the company through transparent and proactive communications. Develop strategies to ensure status, accomplishments, issues, and risks are communicated clearly. Facilitate effective and efficient forward\-looking team meetings.
 **Risk Management**
* Identify and quantify project risks and initiate risk management plans to address such risks.
 **Candidate Experience and Qualifications**
* Strong collaborative and influencing skills
* Bachelor’s Degree required (Engineering or related field of study preferred)
* Minimum of 5 years of work experience in program or project management, or a related function working with technology products and/or services
 **Preferred Qualifications**
* PMP certification preferred
* Experience managing new product/technology introductions, including supply chain readiness, is strongly preferred
* Software program management and/or software/hardware integration experience is a plus
* Experience in the retail petroleum industry is a plus
* Experience with cloud IoT and management of implementations involving customers, partners and service providers is a plus
 **Essential Functions**
* Ability to demonstrate flexibility and manage multiple complex projects simultaneously
* Excellent written and oral communication skills; comfortable facilitating and presenting to groups
* Ability and desire to work in a fast\-paced team environment
* Ability to perform the essential functions is a requirement of the job. Reasonable accommodation may be used to meet these requirements.
We are \#EnergizedByGrowth.
DFS is part of a legacy of leadership that spans back generations, made up of some of the most trusted, leading\-edge brands in the industry. As part of Dover Corporation and with our talented, innovative, outstanding people, we are doing great things and redefining what is possible in fueling and convenience retail. Providing advanced fuel\-dispensing equipment, including clean energy solutions, systems and payment, automatic tank gauging and wet stock\-management solutions, DFS comprises the product brands of Wayne Fueling Systems, OPW Fuel Management Systems, ClearView, Tokheim, ProGauge, Fairbanks, LIQAL, AvaLAN, and Bulloch Technologies. Headquartered in Austin, TX, DFS has a significant technology development and manufacturing presence worldwide, including facilities in Brazil, China, India, Italy, Poland, the Netherlands, the United Kingdom and the United States.
Work Arrangement : Hybrid
Bonus Eligible: This position is eligible to earn a discretionary bonus based on performance metrics and other criteria outlined in our applicable bonus plan.  
We consider several job\-related, non\-discriminatory factors when determining the pay rate for a position, including, but not limited to, the position’s responsibilities, a candidate’s work experience, a candidate’s education/training, the position’s location, and the key skills needed for the position. Pay is one of the Total Rewards that we provide to compensate and recognize employees for their work.
Benefits: Our total rewards package for eligible team members also includes: a 401(k) savings plan with employer contributions; medical, dental and vision insurance; wellness programs; health savings account, health care and dependent care flexible spending accounts; company paid short\-term disability and long\-term disability; company paid employee basic life and AD\&amp;D insurance; supplemental employee and dependent life insurance; optional accident, hospital indemnity and critical illness insurance; adoption, surrogacy, and fertility benefits and assistance; commuter benefits; parental, military, jury duty, and bereavement leaves of absence; paid time off, 13 paid holidays/floating holidays per calendar year, paid vacation days, and paid sick leave; including business travel services; employee discounts; and an employee assistance program that includes company paid counseling sessions and legal services. Eligibility for benefits is governed by applicable plan documents and policies.
All qualified applicants will receive consideration for employment without discrimination based on race, colour, religion, sex, sexual orientation, gender identity, national origin, protected veteran status, disability, age, genetic information, or any other factors prohibited by law.
Attention Applicants: If you are an individual with a disability and require reasonable accommodation to complete any part of the application process, please let us know. Likewise, if you are limited in the ability to access or use this online application process and need an alternative method for applying, we will determine an alternate way for you to apply. Please contact dfs.hrinquiries@doverfs.com for assistance with an accommodation. Kindly specify Job Requisition Number / Job Title and Location in response.
Location:
Job Function:
\#LI\-TE1</t>
        </is>
      </c>
    </row>
    <row r="118">
      <c r="A118" t="inlineStr">
        <is>
          <t>in-bc774e2c8bad0c3d</t>
        </is>
      </c>
      <c r="B118" t="inlineStr">
        <is>
          <t>Program Manager - Beacon</t>
        </is>
      </c>
      <c r="C118" t="inlineStr">
        <is>
          <t>Ann &amp; Robert H. Lurie Children's Hospital of Chicago</t>
        </is>
      </c>
      <c r="D118" t="inlineStr">
        <is>
          <t>indeed</t>
        </is>
      </c>
      <c r="E118">
        <f>HYPERLINK("https://www.indeed.com/viewjob?jk=bc774e2c8bad0c3d", "https://www.indeed.com/viewjob?jk=bc774e2c8bad0c3d")</f>
        <v/>
      </c>
      <c r="F118">
        <f>HYPERLINK("https://luriechildrens.wd1.myworkdayjobs.com/en-US/externalportal/job/Streeterville-Chicago-IL/Program-Manager---Beacon_JR2026-245", "https://luriechildrens.wd1.myworkdayjobs.com/en-US/externalportal/job/Streeterville-Chicago-IL/Program-Manager---Beacon_JR2026-245")</f>
        <v/>
      </c>
      <c r="G118" t="inlineStr">
        <is>
          <t>Chicago, IL, US</t>
        </is>
      </c>
      <c r="H118" s="3" t="n">
        <v>46051</v>
      </c>
      <c r="I118" t="inlineStr">
        <is>
          <t>Ann \&amp; Robert H. Lurie Children’s Hospital of Chicago provides superior pediatric care in a setting that offers the latest benefits and innovations in medical technology, research and family\-friendly design. As the largest pediatric provider in the region with a 140\-year legacy of excellence, kids and their families are at the center of all we do. Ann \&amp; Robert H. Lurie Children’s Hospital of Chicago is ranked in all 10 specialties by the U.S. News \&amp; World Report.
Location
680 Lake Shore Drive
Job Description
General Summary:
The Program Manager for the Beacon Child Population Health Think Tank leads the design, implementation, and evaluation of strategic initiatives that advance child population health through research and innovation. This role collaborates with internal and external experts, manages complex interdependent projects, and supports research, data\-driven policy recommendations, and funding efforts to improve health outcomes for all children.
Essential Job Functions:* Leads the development, implementation, and management of strategic child population health initiatives that align with research institute and health system goals, including defining scope, deliverables, timelines, budgets, and resource needs.
* Coordinates and integrates interdependent projects across departments, divisions, and investigators, ensuring alignment and collaboration among institutional, community, and governmental partners.
* Evaluates program effectiveness using objective metrics and collaborator feedback
* Tracks emerging issues, conducts literature reviews, and maintains a repository of relevant policies and peer\-reviewed research.
* Prepares and disseminates high\-quality written materials, including policy briefs, manuscript sections, fact sheets, community\-facing reports, and program updates.
* Provides financial and operational oversight, including regular status reports to leadership and support for identifying and pursuing federal and foundation funding opportunities.
* Serves as a liaison and trusted collaborator between internal teams and external partners to advance shared population health goals.
* Performs other job functions as assigned by population health leadership, including support for special projects.
* The authority to hire, separate, promote, demote, write and administer performance evaluations.
* Other job functions as assigned.
Knowledge, Skills and Abilities:* Education
	+ Master’s degree in Public Health, Public Policy, Health Administration, or a related field.
* Certification/Licensure/Registration
	+ None required.
* Years of Relevant Experience
	+ Minimum 5 years of experience in program management, public health, health policy, or a related area.
* Computer Skills
	+ Proficiency in Microsoft Office Suite (Word, Excel, PowerPoint).
	+ Familiarity with project management tools (e.g., Asana, Trello, MS Project).
	+ Ability to use literature databases (e.g., PubMed) and data visualization tools.
* Other Skills (Required)
	+ Strong understanding of population health principles, health systems, and policy development.
	+ Excellent analytical, evaluation, and communication skills.
	+ Proven ability to manage complex, multi\-component projects and budgets.
	+ Strong interpersonal and collaboration skills.
* Other Skills (Preferred)
	+ Knowledge of child population health issues and emerging trends.
	+ Experience with community\-based participatory research or systems\-level change.
	+ Familiarity with academic publishing and manuscript preparation.
	+ Grant writing and funding opportunity identification.
Education
Pay Range
$70,720\.00\-$115,627\.20 Salary
At Lurie Children’s, we are committed to competitive and fair compensation aligned with market rates and internal equity, reflecting individual contributions, experience, and expertise. The pay range for this job indicates minimum and maximum targets for the position. Ranges are regularly reviewed to stay aligned with market conditions. In addition to base salary, Lurie Children’s offer a comprehensive rewards package that may include differentials for some hourly employees, leadership incentives for select roles, health and retirement benefits, and wellbeing programs. For more details on other compensation, consult your recruiter or click the following link to learn more about our benefits.
Benefit Statement
For full time and part time employees who work 20 or more hours per week we offer a generous benefits package that includes:
Medical, dental and vision insurance
Employer paid group term life and disability
Employer contribution toward Health Savings Account
Flexible Spending Accounts
Paid Time Off (PTO), Paid Holidays and Paid Parental Leave
403(b) with a 5% employer match
Various voluntary benefits:* Supplemental Life, AD\&amp;D and Disability
* Critical Illness, Accident and Hospital Indemnity coverage
* Tuition assistance
* Student loan servicing and support
* Adoption benefits
* Backup Childcare and Eldercare
* Employee Assistance Program, and other specialized behavioral health services and resources for employees and family members
* Discount on services at Lurie Children’s facilities
* Discount purchasing program
There’s a Place for You with Us
At Lurie Children’s, we embrace and celebrate building a team with a variety of backgrounds, skills, and viewpoints — recognizing that different life experiences strengthen our workplace and the care we provide to the Chicago community and beyond. We treat everyone fairly, appreciate differences, and make meaningful connections that foster belonging. This is a place where you can be your best, so we can give our best to the patients and families who trust us with their care. *Lurie Children’s and its affiliates are equal employment opportunity employers. All qualified applicants will receive consideration for employment without regard to race, color, sex, sexual orientation, gender identity or expression, religion, national origin, ancestry, age, disability, marital status, pregnancy, protected veteran status, order of protection status, protected genetic information, or any other characteristic protected by law.*
Support email: candidatesupport@luriechildrens.org</t>
        </is>
      </c>
    </row>
    <row r="119">
      <c r="A119" t="inlineStr">
        <is>
          <t>in-1ddc437603423862</t>
        </is>
      </c>
      <c r="B119" t="inlineStr">
        <is>
          <t>Product Manager-Annuities WMS</t>
        </is>
      </c>
      <c r="C119" t="inlineStr">
        <is>
          <t>Ameriprise Financial</t>
        </is>
      </c>
      <c r="D119" t="inlineStr">
        <is>
          <t>indeed</t>
        </is>
      </c>
      <c r="E119">
        <f>HYPERLINK("https://www.indeed.com/viewjob?jk=1ddc437603423862", "https://www.indeed.com/viewjob?jk=1ddc437603423862")</f>
        <v/>
      </c>
      <c r="F119">
        <f>HYPERLINK("https://ameriprise.wd5.myworkdayjobs.com/Ameriprise/job/Charlotte-North-Carolina/Product-Manager-Annuities-WMS_R26_0123-1", "https://ameriprise.wd5.myworkdayjobs.com/Ameriprise/job/Charlotte-North-Carolina/Product-Manager-Annuities-WMS_R26_0123-1")</f>
        <v/>
      </c>
      <c r="G119" t="inlineStr">
        <is>
          <t>Minneapolis, MN, US</t>
        </is>
      </c>
      <c r="H119" s="3" t="n">
        <v>46041</v>
      </c>
      <c r="I119" t="inlineStr">
        <is>
          <t>The Product Manager role, within Wealth Management Solutions, will be responsible for the product management and growth of the annuity platform. Overall responsibilities will include carrier relationship management, product and concept knowledge, industry rules and regulations, projects and initiatives, operations, compensation maintenance, and advisor communications, education and marketing.**Key Responsibilities**
* Manage carrier relationships
* Provide insights and actionable recommendations to support advisor and client experience improvements
* Assist in due diligence of carriers, products and concepts
* Support firm recruiting efforts
* Develop effective and relevant advisor education and training opportunities
* Guide carrier and product onboarding process
* Provide support for annuity sales desk
* Support annuity related initiatives
 **Required Qualifications**
* Bachelor's degree or equivalent experience with 5\+ years financial services experience, preferably in annuity product management
* Excellent strategic and analytical skills to solve complex problems and identify new product solutions along with attention to detail and personal accountability
* Relationship and Project Management experience preferably with background in annuities
* Strong written and verbal communication skills, organizational skills and proficiency in Microsoft Excel
* Knowledge of laws and regulations related to broker dealer responsibilities with regard to annuity products preferred
* Active Series 7 or the ability to obtain within 120 days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$90,000 \- $110,000 /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Marketing/Product Management**Line of Business**
FPPS Wealth Management Solutions</t>
        </is>
      </c>
    </row>
    <row r="120">
      <c r="A120" t="inlineStr">
        <is>
          <t>in-9d395bd358e5ef13</t>
        </is>
      </c>
      <c r="B120" t="inlineStr">
        <is>
          <t>Product Manager Wealth Management</t>
        </is>
      </c>
      <c r="C120" t="inlineStr">
        <is>
          <t>Ameriprise Financial</t>
        </is>
      </c>
      <c r="D120" t="inlineStr">
        <is>
          <t>indeed</t>
        </is>
      </c>
      <c r="E120">
        <f>HYPERLINK("https://www.indeed.com/viewjob?jk=9d395bd358e5ef13", "https://www.indeed.com/viewjob?jk=9d395bd358e5ef13")</f>
        <v/>
      </c>
      <c r="F120">
        <f>HYPERLINK("https://ameriprise.wd5.myworkdayjobs.com/Ameriprise/job/Minneapolis-Minnesota/Product-Manager-Wealth-Management_R25_0000004315-1", "https://ameriprise.wd5.myworkdayjobs.com/Ameriprise/job/Minneapolis-Minnesota/Product-Manager-Wealth-Management_R25_0000004315-1")</f>
        <v/>
      </c>
      <c r="G120" t="inlineStr">
        <is>
          <t>Charlotte, NC, US</t>
        </is>
      </c>
      <c r="H120" s="3" t="n">
        <v>46027</v>
      </c>
      <c r="I120" t="inlineStr">
        <is>
          <t>As a Product Manager within the Wealth Management business group, you will be responsible for managing business/product critical processes, reports and audits. You will also represent the wealth management products group as a subject matter expert and liaison with project initiatives.**Key Responsibilities**
* Act as a subject matter expert on small to medium scale projects related to the Advisory, Mutual Fund, 529 Plans, Alternative Investments, Structured Products, Capital Markets, Third Party Insurance and Annuity product lines
* Ensure the maintenance of a healthy compliance environment by completing regular reviews of policies, procedures, and reports
* Perform routine reports and audits accurately and on\-time
* Manage resolution of complex and non\-routine advisor/client issues with internal/external partners
* Own and act as subject matter expert for client pre\-qualification and product sales kit process for Alternative Investments
* Work on special projects and perform other duties as assigned
 **Required Qualifications**
* 5\+ years financial services experience
* Bachelor's degree or equivalent experience
* Active Series 7 or the ability to obtain within 120 days
 **Preferred Qualifications**
* Excellent strategic and analytical skills to solve complex problems and identify new product solutions
* Knowledge and experience working with Ameriprise product suite
* Strong understanding of compliance and regulatory environment
* Proven organizational skills, including managing multiple tasks simultaneously
* Strong written and verbal communication skills
* Attention to detail, accuracy, and high level of personal accountability
* Project Management experience
* Experience working with Ameriprise project methodologies
* Working knowledge of Ameriprise systems and tools (including BETA Host, Thomson One/Refinitiv, Denodo)
* Data analysis experience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$81,700 \- $112,300 /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Marketing/Product Management**Line of Business**
FPPS Wealth Management Solutions</t>
        </is>
      </c>
    </row>
    <row r="121">
      <c r="A121" t="inlineStr">
        <is>
          <t>in-e75829acdaa3dbe2</t>
        </is>
      </c>
      <c r="B121" t="inlineStr">
        <is>
          <t>Program Manager (Contract-to-Hire)</t>
        </is>
      </c>
      <c r="C121" t="inlineStr">
        <is>
          <t>Zeus Jones</t>
        </is>
      </c>
      <c r="D121" t="inlineStr">
        <is>
          <t>indeed</t>
        </is>
      </c>
      <c r="E121">
        <f>HYPERLINK("https://www.indeed.com/viewjob?jk=e75829acdaa3dbe2", "https://www.indeed.com/viewjob?jk=e75829acdaa3dbe2")</f>
        <v/>
      </c>
      <c r="F121">
        <f>HYPERLINK("https://zeus-jones.breezy.hr/p/999496535014-program-manager-contract-to-hire?source=indeed", "https://zeus-jones.breezy.hr/p/999496535014-program-manager-contract-to-hire?source=indeed")</f>
        <v/>
      </c>
      <c r="G121" t="inlineStr">
        <is>
          <t>Minneapolis, MN, US</t>
        </is>
      </c>
      <c r="H121" s="3" t="n">
        <v>46022</v>
      </c>
      <c r="I121" t="inlineStr">
        <is>
          <t>**3–4 Month Contract with Opportunity for Full\-Time**
Zeus Jones is looking for a Program Manager to join our team of Producers. This role is designed for someone who has solid experience leading complex work, is excited to own meaningful pieces of the work while continuing to learn and grow and wants to deepen their craft alongside senior producers, strategists, creatives and designers.
Program Managers at Zeus Jones help turn ambition into action. They navigate complexity, bring structure to ambiguity and keep teams aligned and moving forward. This is a hands\-on role where you'll lead defined programs or workstreams, partner closely with senior teams and steadily grow into greater ownership over time.
This is a role for an operator who understands marketing, brand strategy and how creative work actually gets made. We're seeking someone who can help translate bold ideas into actionable plans to solve real client problems.
You would join Zeus Jones with the title of Program Manager, working within our production team alongside producers with complementary and overlapping skillsets across program management, creative production, project management, product development and brand innovation. On projects, you'll partner closely with Strategy, Creative, Design and external collaborators as needed.
**The day\-to\-day job (as best as we can define it):**
This role is both client\-facing and team\-facing. You'll serve as a day\-to\-day partner to clients while managing the work behind the scenes to build trust, create clarity and strengthen relationships in close partnership with your team.
* Lead day\-to\-day program management for defined projects or workstreams, translating strategy into clear plans, timelines and deliverables.
* Partner with senior team members and/or clients to shape approaches, clarify objectives and align on scope, priorities and success metrics.
* Coordinate cross\-functional teams (internal and external), ensuring work stays on track, risks are surfaced early and decisions are well communicated.
* Support creative and strategic problem\-solving by organizing information, synthesizing inputs and helping teams move from ambiguity to action.
* Manage schedules, budgets and resourcing with guidance, escalating thoughtfully when tradeoffs or risks arise.
* Collaborate with other Producers to define and deliver assets such as digital experiences, apps, sites, events, programs, products and tools.
* Be a strong advocate for both the work and the people doing it, helping teams stay motivated, focused and aligned.
* Learn and grow your leadership, client presence and judgment through real work, feedback and mentorship.
**The mindset we're looking for:**
* Collective ambition: motivated by the quality of the work and the people around you, not a job title.
* A confident but curious leader who can guide teams forward while continuing to learn.
* Comfortable navigating ambiguity, with support—and willing to ask questions, test ideas and iterate.
* Organized, thoughtful and proactive, with strong follow\-through.
* Self\-aware and reflective; open to feedback and interested in growing your responsibilities over time.
* Curious and culturally engaged, with an interest in how brands show up in the world.
* Nimble and adaptable in a fast\-moving, evolving environment.
**Essential experience:**
* 4–7 years of experience in program management, project management, production or a related role in a creative, consulting or agency environment.
* Experience working with cross\-functional teams and managing multiple workstreams.
* Strong organizational, communication and time\-management skills.
* Solid problem\-solving ability, with experience breaking down complex challenges into actionable steps.
* Working knowledge of digital, branding, innovation and/or experience design.
**Role details:**
* **Contract\-to\-hire:** 3–4 month full\-time contract with the intention of converting to full\-time based on mutual fit and business needs.
* **Location:** This role is preferably based in Minneapolis–St. Paul with remote a consideration for the right candidate, with regular travel for company core weeks (quarterly) and client work (1–4 times per quarter). For Minneapolis\-St. Paul employees, we're hybrid, with Tuesday–Thursday in the office.
* **Salary range:** The role has a salary range of $95,000\-$120,000 depending on experience (with contractor rate between $65\-85/hr).
**Culture \&amp; Benefits:** Zeus Jones offers a strong culture, ability to work on a wide range of tough\-to\-crack but fascinating business problems and opportunity to grow alongside a set of industry\-leading colleagues. In addition, we provide medical and dental insurance, 401(k) with employer match, unlimited PTO, short\- and long\-term disability insurance, Flexible Spending Accounts, work from home reimbursements and generous parental leave.
**How We Work:** Zeus Jones encodes our clients' brands into AI\-powered systems (what we call Living Brands) that guide how every tool, agent and experience shows up in the world. This means we are looking for people who are: curious about and engaged in AI; systems thinkers as well as implementers and who can quickly translate high\-level ideas into tangible prototypes.</t>
        </is>
      </c>
    </row>
    <row r="122">
      <c r="A122" t="inlineStr">
        <is>
          <t>in-3e860f3bf2b93361</t>
        </is>
      </c>
      <c r="B122" t="inlineStr">
        <is>
          <t>Technical Product Manager - FP&amp;A</t>
        </is>
      </c>
      <c r="C122" t="inlineStr">
        <is>
          <t>Lennar</t>
        </is>
      </c>
      <c r="D122" t="inlineStr">
        <is>
          <t>indeed</t>
        </is>
      </c>
      <c r="E122">
        <f>HYPERLINK("https://www.indeed.com/viewjob?jk=3e860f3bf2b93361", "https://www.indeed.com/viewjob?jk=3e860f3bf2b93361")</f>
        <v/>
      </c>
      <c r="F122">
        <f>HYPERLINK("https://lennar.wd1.myworkdayjobs.com/en-US/Lennar_Jobs/job/Miami-FL-Job-Posting-Location/Technical-Product-Manager---FP-A_R26_0000000323", "https://lennar.wd1.myworkdayjobs.com/en-US/Lennar_Jobs/job/Miami-FL-Job-Posting-Location/Technical-Product-Manager---FP-A_R26_0000000323")</f>
        <v/>
      </c>
      <c r="G122" t="inlineStr">
        <is>
          <t>Miami, FL, US</t>
        </is>
      </c>
      <c r="H122" s="3" t="n">
        <v>46051</v>
      </c>
      <c r="I122" t="inlineStr">
        <is>
          <t>We are Lennar
Lennar is one of the nation's leading homebuilders, dedicated to making an impact and creating an extraordinary experience for their Homeowners, Communities, and Associates by building quality homes and providing exceptional customer service, giving back to the communities in which we work and live in, and fostering a culture of opportunity and growth for our Associates throughout their career. Lennar has been recognized as a Fortune 500® company and consistently ranked among the top homebuilders in the United States.
Join a Company that Empowers you to Build your Future
We are seeking a highly skilled Technical Product Manager (TPM) to lead the evolution and transformation of FP\&amp;A platforms within a large\-scale homebuilding organization. This role sits at the intersection of finance, technology, and product, owning the roadmap and delivery of FP\&amp;A capabilities across Oracle JD Edwards (E1\) and Oracle EPM solutions.
The ideal candidate brings deep understanding of homebuilding financial models, strong FP\&amp;A domain expertise, and hands\-on experience driving enterprise financial system transformations in complex, multi\-entity environments.* A career with purpose.
* A career built on making dreams come true.
* A career built on building zero defect homes, cost management, and adherence to schedules.
Your Responsibilities on the Team
Product Strategy \&amp; Ownership* Own the end\-to\-end product vision and roadmap for FP\&amp;A systems supporting budgeting, forecasting, long\-range planning, and management reporting.
* Translate FP\&amp;A business needs into clear product requirements, epics, and user stories to drive tangible improvements.
* Collaborate with Finance team to prioritize needs based on business value, financial impact, technical complexity, and regulatory needs.
Oracle EPM Transformation* Lead tech modernization and transformation initiatives involving Oracle EPM.
* As part of the Lennar Technology Group (LTG), partner across with LTG \&amp; Finance teams to design scalable, future\-state FP\&amp;A architectures and models.
* Drive integrations between Oracle E1, Oracle EPM, data warehouses, and downstream reporting tools.
FP\&amp;A \&amp; Homebuilding Domain Leadership* Serve as a trusted partner to FP\&amp;A leaders, supporting:
* Community\- and division\-level forecasting
* Land acquisition and development financial modeling
* Cost\-to\-complete, backlog, and margin analysis
* Ensure systems support homebuilding\-specific complexities such as:
* Multi\-entity structures
* Job cost accounting
* Revenue recognition and WIP considerations
Technical \&amp; Delivery Leadership* Collaborate closely with architects, developers, data engineers, and QA teams.
* Ensure high\-quality delivery through agile execution, release planning, and backlog management.
* Balance configuration vs. customization decisions with long\-term maintainability in mind.
Stakeholder \&amp; Change Management* Drive adoption through training, documentation, and change management strategies.
* Communicate roadmap progress, risks, and outcomes to senior leadership.
Requirements* Experience with large, decentralized, multi\-division organizations
* Exposure to cloud data platforms (Snowflake, Azure, OCI, etc.)
* Familiarity with agile / SAFe delivery models
* MBA, Finance, Accounting, or related advanced degree
* Oracle EPM or JD Edwards certifications
What Success Looks Like* FP\&amp;A leaders rely on modern, reliable, and scalable systems for decision\-making.
* Oracle E1 and EPM platforms are tightly integrated, well\-governed, and future\-ready.
* Financial planning cycles are faster, more accurate, and more automated.
* Stakeholders view the TPM as a strategic partner—not just a delivery lead.
\#LI\-GQ1
Life at Lennar
At Lennar, we are committed to fostering a supportive and enriching environment for our Associates, offering a comprehensive array of benefits designed to enhance their well\-being and professional growth. Our Associates have access to robust health insurance plans, including Medical, Dental, and Vision coverage, ensuring their health needs are well taken care of. Our 401(k) Retirement Plan, complete with a $1 for $1 Company Match up to 5%, helps secure their financial future, while Paid Parental Leave and an Associate Assistance Plan provide essential support during life's critical moments. To further support our Associates, we provide an Education Assistance Program and up to $30,000 in Adoption Assistance, underscoring our commitment to their diverse needs and aspirations. From the moment of hire, they can enjoy up to three weeks of vacation annually, alongside generous Holiday, Sick Leave, and Personal Day policies. Additionally, we offer a New Hire Referral Bonus Program, significant Home Purchase Discounts, and unique opportunities such as the Everyone’s Included Day. At Lennar, we believe in investing in our Associates, empowering them to thrive both personally and professionally. Lennar Associates will have access to these benefits as outlined by Lennar’s policies and applicable plan terms. Visit Lennartotalrewards.com to view our suite of benefits.
Join the fun and follow us on social media to see what's happening at our company, and don't forget to connect with us on Lennar: Overview \| LinkedIn\&lt;https://www.linkedin.com/company/lennar/\&gt; for the latest job opportunities.
Lennar is an equal opportunity employer and complies with all applicable federal, state, and local fair employment practices laws.</t>
        </is>
      </c>
    </row>
    <row r="123">
      <c r="A123" t="inlineStr">
        <is>
          <t>in-e72ff4d63c1fe268</t>
        </is>
      </c>
      <c r="B123" t="inlineStr">
        <is>
          <t>Technical Product Manager - Treasury</t>
        </is>
      </c>
      <c r="C123" t="inlineStr">
        <is>
          <t>Lennar</t>
        </is>
      </c>
      <c r="D123" t="inlineStr">
        <is>
          <t>indeed</t>
        </is>
      </c>
      <c r="E123">
        <f>HYPERLINK("https://www.indeed.com/viewjob?jk=e72ff4d63c1fe268", "https://www.indeed.com/viewjob?jk=e72ff4d63c1fe268")</f>
        <v/>
      </c>
      <c r="F123">
        <f>HYPERLINK("https://lennar.wd1.myworkdayjobs.com/en-US/Lennar_Jobs/job/Miami-FL-Job-Posting-Location/Technical-Product-Manager---Treasury_R26_0000000326", "https://lennar.wd1.myworkdayjobs.com/en-US/Lennar_Jobs/job/Miami-FL-Job-Posting-Location/Technical-Product-Manager---Treasury_R26_0000000326")</f>
        <v/>
      </c>
      <c r="G123" t="inlineStr">
        <is>
          <t>Miami, FL, US</t>
        </is>
      </c>
      <c r="H123" s="3" t="n">
        <v>46051</v>
      </c>
      <c r="I123" t="inlineStr">
        <is>
          <t>LI\-We are Lennar
Lennar is one of the nation's leading homebuilders, dedicated to making an impact and creating an extraordinary experience for their Homeowners, Communities, and Associates by building quality homes and providing exceptional customer service, giving back to the communities in which we work and live in, and fostering a culture of opportunity and growth for our Associates throughout their career. Lennar has been recognized as a Fortune 500® company and consistently ranked among the top homebuilders in the United States.
Join a Company that Empowers you to Build your Future
We are seeking an experienced Technical Product Manager (TPM) to own and modernize Treasury platforms and capabilities within a large\-scale homebuilding organization. This role partners closely with Treasury, Finance, Accounting, and Technology teams to drive system transformation across Oracle JD Edwards (E1\) and Oracle EPM, ensuring scalable, secure, and efficient cash, debt, and liquidity management.
The ideal candidate combines deep Treasury domain expertise, strong technical systems knowledge, and hands\-on experience leading enterprise financial system transformations in complex, multi\-entity environments.* A career with purpose.
* A career built on making dreams come true.
* A career built on building zero defect homes, cost management, and adherence to schedules.
Your Responsibilities on the Team
Product Strategy \&amp; Ownership* Own the end\-to\-end product vision, roadmap, and backlog for Treasury systems and capabilities
* Translate Treasury business needs into product requirements, epics, and user stories to drive tangible improvements
* Collaborate with Treasury team to prioritize initiatives based on business value, risk reduction, regulatory impact, and technical dependencies
Treasury Systems \&amp; Transformation* Lead transformation initiatives across Treasury platforms, including:
	+ Cash positioning and forecasting
	+ Debt and covenant management
	+ Bank account management and signatory controls
	+ Payments, wires, ACH, and fraud prevention
* Drive integration between Oracle JD Edwards (E1\), Oracle EPM (including FCCS, ARCS, PCM where applicable), banks, and payment platforms.
* Partner with Treasury leadership to support evolving funding strategies and liquidity needs.
Oracle E1 \&amp; EPM Leadership* Serve as the product manager for Treasury\-related functionality within Oracle JD Edwards (E1\).
* As part of the Lennar Technology Group (LTG), partner across with LTG and Treasury teams on Oracle EPM enablement supporting Treasury reporting, forecasting, and reconciliation processes.
* Guide system design decisions to balance standard functionality, configuration, and customization.
Homebuilding \&amp; Capital\-Intensive Domain Expertise* Support Treasury needs specific to homebuilding, including:
* High\-volume cash flows and land acquisition funding.
* Multi\-entity, multi\-bank operating structures.
* Seasonal liquidity planning and working capital management.
* Ensure systems scale across divisions, communities, and legal entities.
Technical \&amp; Delivery Leadership* Collaborate with architects, developers, data engineers, and external integrators.
* Ensure secure, reliable, and compliant solutions across Treasury systems.
* Lead agile delivery, release planning, testing, and production readiness.
Stakeholder \&amp; Governance Management* Support SOX, audit, and regulatory requirements through strong system controls and documentation.
* Communicate roadmap progress, risks, and outcomes to senior leadership.
Requirements* 7\+ years of experience in Technical Product Management, Finance Systems, or Treasury Systems leadership.
* Strong Treasury domain expertise, including cash management, debt, and banking operations.
* Hands\-on experience with Oracle JD Edwards (E1\) in finance or Treasury contexts.
* Direct experience leading Oracle EPM implementations or transformations.
* Experience in homebuilding, construction, real estate, or other capital\-intensive industries.
* Strong technical fluency (integrations, data models, financial systems architecture).
* Proven ability to translate complex Treasury requirements into scalable system solutions.
Preferred Qualifications* Experience integrating with banks, payment processors, and Treasury Management Systems (TMS).
* Familiarity with EPM modules such as FCCS, ARCS, or Planning for Treasury use cases.
* Experience with cloud data platforms and reporting tools.
* Agile / SAFe experience.
* MBA, Finance, Accounting, or related advanced degree.
* Oracle EPM or JD Edwards certifications.
What Success Looks Like* Treasury has real\-time visibility into cash, liquidity, and debt positions.
* Oracle E1 and EPM platforms are well\-integrated, secure, and audit\-ready.
* Treasury processes are standardized, automated, and scalable.
* The TPM is viewed as a strategic partner to Treasury and Finance leadership.
\#LI\-GQ1
Life at Lennar
At Lennar, we are committed to fostering a supportive and enriching environment for our Associates, offering a comprehensive array of benefits designed to enhance their well\-being and professional growth. Our Associates have access to robust health insurance plans, including Medical, Dental, and Vision coverage, ensuring their health needs are well taken care of. Our 401(k) Retirement Plan, complete with a $1 for $1 Company Match up to 5%, helps secure their financial future, while Paid Parental Leave and an Associate Assistance Plan provide essential support during life's critical moments. To further support our Associates, we provide an Education Assistance Program and up to $30,000 in Adoption Assistance, underscoring our commitment to their diverse needs and aspirations. From the moment of hire, they can enjoy up to three weeks of vacation annually, alongside generous Holiday, Sick Leave, and Personal Day policies. Additionally, we offer a New Hire Referral Bonus Program, significant Home Purchase Discounts, and unique opportunities such as the Everyone’s Included Day. At Lennar, we believe in investing in our Associates, empowering them to thrive both personally and professionally. Lennar Associates will have access to these benefits as outlined by Lennar’s policies and applicable plan terms. Visit Lennartotalrewards.com to view our suite of benefits.
Join the fun and follow us on social media to see what's happening at our company, and don't forget to connect with us on Lennar: Overview \| LinkedIn\&lt;https://www.linkedin.com/company/lennar/\&gt; for the latest job opportunities.
Lennar is an equal opportunity employer and complies with all applicable federal, state, and local fair employment practices laws.</t>
        </is>
      </c>
    </row>
    <row r="124">
      <c r="A124" t="inlineStr">
        <is>
          <t>in-9e0b780ff0400c43</t>
        </is>
      </c>
      <c r="B124" t="inlineStr">
        <is>
          <t>Technical Product Manager - Land / Accounting</t>
        </is>
      </c>
      <c r="C124" t="inlineStr">
        <is>
          <t>Lennar</t>
        </is>
      </c>
      <c r="D124" t="inlineStr">
        <is>
          <t>indeed</t>
        </is>
      </c>
      <c r="E124">
        <f>HYPERLINK("https://www.indeed.com/viewjob?jk=9e0b780ff0400c43", "https://www.indeed.com/viewjob?jk=9e0b780ff0400c43")</f>
        <v/>
      </c>
      <c r="F124">
        <f>HYPERLINK("https://lennar.wd1.myworkdayjobs.com/en-US/Lennar_Jobs/job/Miami-FL-Job-Posting-Location/Technical-Product-Manager---Land---Accounting_R26_0000000327", "https://lennar.wd1.myworkdayjobs.com/en-US/Lennar_Jobs/job/Miami-FL-Job-Posting-Location/Technical-Product-Manager---Land---Accounting_R26_0000000327")</f>
        <v/>
      </c>
      <c r="G124" t="inlineStr">
        <is>
          <t>Miami, FL, US</t>
        </is>
      </c>
      <c r="H124" s="3" t="n">
        <v>46051</v>
      </c>
      <c r="I124" t="inlineStr">
        <is>
          <t>We are Lennar
Lennar is one of the nation's leading homebuilders, dedicated to making an impact and creating an extraordinary experience for their Homeowners, Communities, and Associates by building quality homes and providing exceptional customer service, giving back to the communities in which we work and live in, and fostering a culture of opportunity and growth for our Associates throughout their career. Lennar has been recognized as a Fortune 500® company and consistently ranked among the top homebuilders in the United States.
Join a Company that Empowers you to Build your Future
We are seeking a highly skilled Technical Product Manager (TPM) to lead the transformation of Land / Accounting systems and capabilities within a large\-scale homebuilding organization. This role owns the product strategy and delivery for land\-related financial systems, with a primary focus on Terra, Foundry, and their integration with core ERP, FP\&amp;A, and data platforms.
The ideal candidate brings deep land accounting domain expertise, strong technical product leadership, and proven experience driving enterprise platform transformations in complex, multi\-entity homebuilding environments.* A career with purpose.
* A career built on making dreams come true.
* A career built on building zero defect homes, cost management, and adherence to schedules.
Your Responsibilities on the Team
Product Strategy \&amp; Ownership* Own the product vision, roadmap, and backlog for Land Accounting systems and capabilities
* Translate Land, Accounting, and Finance business needs into clear product requirements, epics, and user stories to drive tangible improvements
* Collaborate with Land / Accounting team to prioritize initiatives based on business value, operational efficiency, compliance, and scalability
Land Accounting \&amp; Platform Transformation* Lead transformation initiatives across Terra / Foundry, including:
* Land acquisition and option accounting.
* Lot development cost capitalization and allocation.
* Inventory tracking and lot cost rollups.
* Joint venture and multi\-entity land structures.
* Drive system modernization to improve accuracy, transparency, and cycle times.
Terra \&amp; Foundry Platform Leadership* Serve as the product manager for Terra / Foundry platforms and related integrations.
* As part of the Lennar Technology Group (LTG), partner across with LTG \&amp; other key business stakeholder teams to design future\-state workflows and scalable platforms.
* Ensure tight integration with ERP, job cost, FP\&amp;A, Treasury, and reporting platforms.
Homebuilding Domain Expertise* Support land and lot accounting processes specific to homebuilding, including:
* Phase\-level land development accounting.
* Lot takedown schedules and cost reforecasting.
* Impairment analysis and land valuation support.
* Ensure systems scale across divisions, regions, and legal entities.
Technical \&amp; Delivery Leadership* Collaborate with architects, developers, data engineers, and system integrators.
* Balance configuration vs. customization to support long\-term platform sustainability.
* Lead agile delivery, testing, release management, and production readiness.
Stakeholder \&amp; Change Management* Drive adoption through training, documentation, and change management.
* Communicate roadmap progress, risks, and outcomes to senior stakeholders.
Requirements* Experience integrating Terra / Foundry with ERP, FP\&amp;A, or data warehouse platforms.
* Familiarity with job cost accounting, inventory, and revenue recognition processes.
* Experience supporting audit, compliance, and internal controls.
* Agile / SAFe delivery experience.
* CPA, MBA, or related advanced degree.
What Success Looks Like* Land Accounting processes are standardized, automated, and auditable.
* Terra / Foundry platforms provide accurate, timely land and lot cost visibility.
* Systems support faster land close, development, and reporting cycles.
* Stakeholders view the TPM as a strategic partner in land and inventory transformation.
\#LI\-GQ1
Life at Lennar
At Lennar, we are committed to fostering a supportive and enriching environment for our Associates, offering a comprehensive array of benefits designed to enhance their well\-being and professional growth. Our Associates have access to robust health insurance plans, including Medical, Dental, and Vision coverage, ensuring their health needs are well taken care of. Our 401(k) Retirement Plan, complete with a $1 for $1 Company Match up to 5%, helps secure their financial future, while Paid Parental Leave and an Associate Assistance Plan provide essential support during life's critical moments. To further support our Associates, we provide an Education Assistance Program and up to $30,000 in Adoption Assistance, underscoring our commitment to their diverse needs and aspirations. From the moment of hire, they can enjoy up to three weeks of vacation annually, alongside generous Holiday, Sick Leave, and Personal Day policies. Additionally, we offer a New Hire Referral Bonus Program, significant Home Purchase Discounts, and unique opportunities such as the Everyone’s Included Day. At Lennar, we believe in investing in our Associates, empowering them to thrive both personally and professionally. Lennar Associates will have access to these benefits as outlined by Lennar’s policies and applicable plan terms. Visit Lennartotalrewards.com to view our suite of benefits.
Join the fun and follow us on social media to see what's happening at our company, and don't forget to connect with us on Lennar: Overview \| LinkedIn\&lt;https://www.linkedin.com/company/lennar/\&gt; for the latest job opportunities.
Lennar is an equal opportunity employer and complies with all applicable federal, state, and local fair employment practices laws.</t>
        </is>
      </c>
    </row>
    <row r="125">
      <c r="A125" t="inlineStr">
        <is>
          <t>in-02129cfb1d132b3b</t>
        </is>
      </c>
      <c r="B125" t="inlineStr">
        <is>
          <t>Senior AI/Machine Learning &amp; Data Platform SW Product Manager</t>
        </is>
      </c>
      <c r="C125" t="inlineStr">
        <is>
          <t>HP</t>
        </is>
      </c>
      <c r="D125" t="inlineStr">
        <is>
          <t>indeed</t>
        </is>
      </c>
      <c r="E125">
        <f>HYPERLINK("https://www.indeed.com/viewjob?jk=02129cfb1d132b3b", "https://www.indeed.com/viewjob?jk=02129cfb1d132b3b")</f>
        <v/>
      </c>
      <c r="F125">
        <f>HYPERLINK("https://hp.wd5.myworkdayjobs.com/en-US/ExternalCareerSite/job/Palo-Alto-California-United-States-of-America/Senior-AI-Machine-Learning---Data-Platform-SW-Product-Manager_3157521-1", "https://hp.wd5.myworkdayjobs.com/en-US/ExternalCareerSite/job/Palo-Alto-California-United-States-of-America/Senior-AI-Machine-Learning---Data-Platform-SW-Product-Manager_3157521-1")</f>
        <v/>
      </c>
      <c r="G125" t="inlineStr">
        <is>
          <t>Palo Alto, CA, US</t>
        </is>
      </c>
      <c r="H125" s="3" t="n">
        <v>46042</v>
      </c>
      <c r="I125" t="inlineStr">
        <is>
          <t>**Description \-**
Senior AI/ML \&amp; SW Product Manager to lead the strategy, development, and launch of HP's AI/ML and Data Platforms. This PM will be responsible for translating complex customer and business needs into clear product requirements, driving innovation using advanced data techniques like multimodal data analysis and data fusion, and ensuring the delivery of high\-impact data products across the organization.
**Key Responsibilities:**
* Product Strategy \&amp; Vision: Define and champion the product vision, strategy, and roadmap for AI/ML and Data Analytics solutions, ensuring alignment with overall business objectives and market needs.
* Cross\-functional Leadership: Lead and collaborate with cross\-functional teams including data scientists, data engineers, software engineers, data analysts, designers, and marketing to guide products from conception to launch.
* AI/ML Product Development: Oversee the development, testing, and deployment of machine learning models and AI\-powered features, ensuring they are scalable, reliable, and deliver measurable value.
* Data Strategy \&amp; Management: Spearhead data collection strategies, define data modeling requirements, and collaborate on data governance and compliance to ensure the availability and quality of extensive, high\-integrity datasets.
* Advanced Data Techniques: Drive the application of advanced data techniques, including multimodal data analysis and data fusion, to uncover deep insights and build sophisticated, market\-leading solutions.
* Telemetry \&amp; Analytics: Define, instrument, and analyze key performance indicators (KPIs) and telemetry data to measure product performance, user behavior, and business impact, using a data\-driven approach to inform future iterations.
* Stakeholder Management \&amp; Communication: Cultivate strong relationships with internal and external stakeholders, effectively translating complex technical concepts into clear business requirements and communicating product progress and results to leadership.
* Market \&amp; User Research: Conduct market research, competitive analysis, and user research to identify pain points, emerging trends, and new opportunities for AI applications.
**Experience** :
* 8\+ years of proven experience in product management, with at least 3\-5 years specifically focused on AI, ML, data analytics, or data platforms.
* Proven track record of successfully launching and scaling AI\-driven products from 0\-to\-1 and beyond, delivering measurable business outcomes.
* Experience working in an Agile/Lean development environment.
**Technical Skills:**
* Strong understanding of the AI/ML lifecycle, including data collection, model training, deployment, and monitoring (MLOps).
* Familiarity with data technologies such as data warehouses, data lakes, SQL, and cloud platforms (AWS, GCP, or Azure).
* Proficiency in data analysis and experimentation design using tools like Python, R, or BI platforms (Tableau, Looker, Power BI).
* Knowledge of concepts like natural language processing (NLP), computer vision, predictive modeling, and data enrichment techniques.
**Education** :
* Bachelor's degree in a relevant technical field (e.g., Computer Science, Data Science, Engineering, Statistics) or equivalent practical experience.
* An MBA/ Master's degree is preferred
**Soft Skills:**
* Exceptional communication, presentation, and storytelling skills, with the ability to influence stakeholders at all levels.
* Strong analytical and strategic thinking abilities, comfortable with ambiguity and complex problem\-solving.
* Demonstrated leadership skills with a collaborative mindset and a passion for driving innovation
The pay range for this role is **$147,050** to **$230,850**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 US benefits overview )
The compensation and benefits information is accurate as of the date of this posting. The Company reserves the right to modify this information at any time, with or without notice, subject to applicable law.
**Job \-**
Software
**Schedule \-**
Full time
**Shift \-**
No shift premium (United States of America)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 Know Your Rights: Workplace Discrimination is Illegal "</t>
        </is>
      </c>
    </row>
    <row r="126">
      <c r="A126" t="inlineStr">
        <is>
          <t>in-f8b03144165701b1</t>
        </is>
      </c>
      <c r="B126" t="inlineStr">
        <is>
          <t>Data Product Manager</t>
        </is>
      </c>
      <c r="C126" t="inlineStr">
        <is>
          <t>HP</t>
        </is>
      </c>
      <c r="D126" t="inlineStr">
        <is>
          <t>indeed</t>
        </is>
      </c>
      <c r="E126">
        <f>HYPERLINK("https://www.indeed.com/viewjob?jk=f8b03144165701b1", "https://www.indeed.com/viewjob?jk=f8b03144165701b1")</f>
        <v/>
      </c>
      <c r="F126">
        <f>HYPERLINK("https://hp.wd5.myworkdayjobs.com/en-US/ExternalCareerSite/job/Vancouver-Washington-United-States-of-America/Data-Product-Manager_3157214-1", "https://hp.wd5.myworkdayjobs.com/en-US/ExternalCareerSite/job/Vancouver-Washington-United-States-of-America/Data-Product-Manager_3157214-1")</f>
        <v/>
      </c>
      <c r="G126" t="inlineStr">
        <is>
          <t>Vancouver, WA, US</t>
        </is>
      </c>
      <c r="H126" s="3" t="n">
        <v>46029</v>
      </c>
      <c r="I126" t="inlineStr">
        <is>
          <t>**Description \-**
Join the HP Print Software Platform team and be a part of history as we push the industry forward, redefining the state\-of\-the\-art Print Software Platform. It is an exciting time to be at HP as our services and solutions business are growing fast. The Print software organization has grown significantly, and we need to evolve the way we work to keep up.
HP is focused on converging multiple cloud stacks and data lakes into a unified scalable platform to serve as a single comprehensive Intelligent platform to meet the needs of HP's printers, PCs and other product lines.
**Job Summary**  
The Data Product Manager will be responsible for planning, prioritizing, and breaking down data requirements for the Print software platform. This involves working closely with business stakeholders, software and data engineers, data scientists, designers and others in order to understand pain points, develop data strategies and build a successful ecosystem of data products. It'll involve crafting roadmaps that will help build a next\-generation data platform for maximum impact across all HP business units. Role includes managing data as an asset, motivating and launching data\-driven products that will ensure our customers’ success in creating technology that makes life better for everyone, everywhere. It is a highly visible role being part of a team supporting thousands of software developers, and hundreds of millions of users and devices
**Responsibilities**
* Facilitate and partner with business and technical leaders to develop value propositions for data science\-driven products that help achieve HP’s strategic initiatives across multiple business units.
* Collaborate with solution product teams to gather the voice of the customer, identify needs \&amp; create platform opportunities for data science to inform the delivery of rich, compelling user experiences.
* Collaborate with data engineers \&amp; data analysts to match data sources, data quality needs, and data science technical requirements with desired business outcomes.
* Develop use cases and roadmaps that build an ecosystem of data products and solutions that drive customer value with strong ROI.
* Manage the data platform’s end\-to\-end product and feature lifecycle, from strategic planning ideation to tactical execution implementation and stabilization.
* Establish source\-of\-truth data products and dashboards that the entire company can use to answer their own product questions.
* Manage solution engagement and onboarding, ensuring customer and partner success in using the data platform.
* Communicate with scrum teams, program teams, management and senior executives about data product strategy, requirements, development and launch.
* Maintain clear priorities and relentless execution in a dynamic, fast\-paced environment.
* Define and monitor data platform performance metrics against goals.
* Support data platform design and integration across adjacent platforms in HP.
* Maintain deep expertise on the solution space, market environment and overall HP business strategies as they relate to data science activities.
**Education \&amp; Experience** Recommended
* Four\-year or Graduate Degree in Computer Science, Software Engineering, Information Systems, or any other related discipline or commensurate work experience or demonstrated competence.
* Typically has 10\+ years of work experience, preferably in product management, digital or software product development, or a related field.
**Knowledge \&amp; Skills**
* Agile Methodology
* Automation
* Change Management
* Big Data Management and Analytics
* Computer Science
* Continuous Improvement Process
* JIRA
* Kanban Principles
* Lean Manufacturing
* Milestones (Project Management)
* New Product Development
* Process Improvement
* Product Management
* Project Engineering
* Project Management
* Project Planning
* Project Schedules
* Risk Management
* Scrum (Software Development)
* Software Development
* Sprint Planning
The pay range for this role is **$147,050** to **$230,850**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 US benefits overview )
The compensation and benefits information is accurate as of the date of this posting. The Company reserves the right to modify this information at any time, with or without notice, subject to applicable law.
**Job \-**
Software
**Schedule \-**
Full time
**Shift \-**
No shift premium (United States of America)
**Travel \-**
No
**Relocation \-**
No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 Know Your Rights: Workplace Discrimination is Illegal "</t>
        </is>
      </c>
    </row>
    <row r="127">
      <c r="A127" t="inlineStr">
        <is>
          <t>in-6051e6451274b9b4</t>
        </is>
      </c>
      <c r="B127" t="inlineStr">
        <is>
          <t>Product Manager - Platform Integrations</t>
        </is>
      </c>
      <c r="C127" t="inlineStr">
        <is>
          <t>Lumin Digital</t>
        </is>
      </c>
      <c r="D127" t="inlineStr">
        <is>
          <t>indeed</t>
        </is>
      </c>
      <c r="E127">
        <f>HYPERLINK("https://www.indeed.com/viewjob?jk=6051e6451274b9b4", "https://www.indeed.com/viewjob?jk=6051e6451274b9b4")</f>
        <v/>
      </c>
      <c r="F127">
        <f>HYPERLINK("https://jobs.lever.co/LuminDigital/766c9acf-3de9-4b43-ba6d-0f152223aec7?lever-source=Indeed", "https://jobs.lever.co/LuminDigital/766c9acf-3de9-4b43-ba6d-0f152223aec7?lever-source=Indeed")</f>
        <v/>
      </c>
      <c r="G127" t="inlineStr">
        <is>
          <t>Remote, US</t>
        </is>
      </c>
      <c r="H127" s="3" t="n">
        <v>46051</v>
      </c>
      <c r="I127" t="inlineStr">
        <is>
          <t>**Basic Function**
Are you looking for a challenging career where you can change the lives of millions of Americans, work with the most talented team in the field, and become the best version of yourself? If so, join Lumin Digital as a Product Manager. In this role, you will own the product lifecycle, collaborate with cross\-functional teams, and deliver innovative digital banking solutions. Your work will directly enhance the financial lives of users and contribute to Lumin Digital’s mission to redefine digital banking. **Essential Functions, Responsibilities, Experience:**  
Be a true leader, working alongside engineers, project managers, and professional services teams to design, develop, and launch software solutions.
Own the product lifecycle from concept to delivery, managing requirements gathering, documentation, timelines, user experience, quality assurance, and performance metrics.
Collaborate with cross\-functional teams of designers, engineers, data scientists, and trainers to bring innovative products to market.
Craft and communicate a compelling product vision and strategy with stakeholders, including internal teams, clients, and prospects.
Utilize user, platform, and third\-party data to develop exciting features that improve the financial lives of consumers.Monitor and measure launched products to drive continuous improvements in usability, incorporating insights into future development cycles.
Engage with the Lumin Digital community, contributing to organizational growth through honest, candid, and respectful feedback.
Perform other duties as assigned. **Role Growth:**
30 days: Gain an understanding of Lumin Digital’s product portfolio, processes, and key stakeholders while building relationships with cross\-functional teams.
90 days: Take ownership of key product initiatives, contributing to the development of innovative features and solutions.
1 year: Deliver impactful products that demonstrate measurable improvements in user adoption, client satisfaction, and business outcomes. **Position Specifications****Required**:
At least 3 years of experience in product management, ideally within the Banking or FinTech sectors.
Expertise in card integrations and platforms, including Velera, Elan, Visa DPS, Fiserv, FIS and others.
Experience in working with core integrations for both credit unions and banksProven ability to craft and communicate a compelling product vision and strategy to diverse audiences.
Strong organizational, communication, and analytical skills.
Experience managing multiple, competing priorities in a fast\-paced, innovative environment.
Proficiency in Agile methodologies and tools (e.g., JIRA, Confluence). **Nice\-to\-Have:**
Experience with other third\-party integrations, APIs, SSO, and banking platforms.
Background in data\-driven product development and collaborating with clients and development teams to deliver new products **Education:**
BA/BS degree or equivalent educational and professional experience. **Travel:**
Minimal, generally 12 days or less per year, \~2X team get togethers a year
**LIFE AT LUMIN DIGITAL**  
Lumin Digital is a trailblazer in digital banking solutions, driven by a unique approach to technology, service, and people. We empower credit unions and banks by creating cutting\-edge digital experiences that continuously serve, engage, and grow their membership base. Lumin is 100% cloud\-native, purpose\-built to unlock the full advantages of the cloud for financial institutions and their users.  
At Lumin, we thrive on curiosity and innovation. Our culture fosters trust \- in our expertise and decisions, respect \- for diverse perspectives and talents, and boldness \- in pursuing innovative paths. These values guide us, shaping a workplace where collaboration thrives, ideas flourish, and new possibilities are discovered. Focused on continuous improvement and innovation, we encourage our team to explore, experiment, and put new ideas into action, challenging the usual way of doing things.  
Lumin Digital is an equal opportunity employer. We consider all qualified applicants without regard to race, color, religion, sex, national origin, disability, protected veteran status, sexual orientation, gender identity, or any other legally protected basis, in accordance with applicable law.  
For more information, visit lumindigital.com.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8">
      <c r="A128" t="inlineStr">
        <is>
          <t>in-8f794b439690c777</t>
        </is>
      </c>
      <c r="B128" t="inlineStr">
        <is>
          <t>Technical Product Manager - AI Platform, Remote</t>
        </is>
      </c>
      <c r="C128" t="inlineStr">
        <is>
          <t>Aledade, Inc.</t>
        </is>
      </c>
      <c r="D128" t="inlineStr">
        <is>
          <t>indeed</t>
        </is>
      </c>
      <c r="E128">
        <f>HYPERLINK("https://www.indeed.com/viewjob?jk=8f794b439690c777", "https://www.indeed.com/viewjob?jk=8f794b439690c777")</f>
        <v/>
      </c>
      <c r="F128">
        <f>HYPERLINK("https://jobs.lever.co/aledade/76677033-2329-4b4d-94c6-0486ea6b010c?lever-source=Indeed", "https://jobs.lever.co/aledade/76677033-2329-4b4d-94c6-0486ea6b010c?lever-source=Indeed")</f>
        <v/>
      </c>
      <c r="G128" t="inlineStr">
        <is>
          <t>Remote, US</t>
        </is>
      </c>
      <c r="H128" s="3" t="n">
        <v>46051</v>
      </c>
      <c r="I128" t="inlineStr">
        <is>
          <t>Aledade is dedicated to transforming value\-based care through innovative technology. Our AI Platform team is at the forefront of this mission, building foundational tools, services, and infrastructure that empower internal product teams to seamlessly integrate cutting\-edge AI capabilities into Aledade’s products and develop powerful internal AI solutions. **As a Technical Product Manager on the AI Platform team, you will:**  
Define and deliver the roadmap to drive execution and scale of the AI Platform that supports internal stakeholders and external AI products.
Operate at the intersection of machine learning systems, data engineering, and applied healthcare AI.
Partner closely with AI engineers, data scientists, and clinical leadership to deliver production\-grade systems that support reliable inference pipelines across millions of patient records.
Contribute to the improvement of quality and cost of care for over 2 million patients served by Aledade providers.
### **Primary Duties:**
* Partner with business owners to cultivate a shared vision for the problem space, constraints, priorities, and ideal end state, and be able to articulate and advocate for this perspective.
* Lead the full lifecycle of ML and LLM platform workstreams—from data ingestion, training, and deployment to ongoing optimization of live user workflows based on performance metrics and feedback.
* Work with internal teams and end users to develop a deep understanding of requirements, perform thoughtful solution design, use data to test hypotheses, and support teams throughout execution.
* Write detailed user stories for new features, capturing descriptions of business rationale, requirements, and success criteria defined by measurable outcomes.
* Develop short\- and long\-term roadmaps that deliver maximum value with minimum risk and assume ongoing iteration.
* Partner with AI Researchers to mature proofs\-of\-concept into production\-ready capabilities; perform exploration of user feedback, healthcare records, and validation data to validate model performance.
### **Minimum Qualifications:**
* 6\+ years of product management experience in technology, technology\-enabled services, or SaaS.
* Strong understanding of artificial intelligence and/or machine learning technologies.
* Experience using data and primary research to inform solution design and build business understanding.
* Familiarity with Agile teams, Jira, and the software development lifecycle.
* Knowledge of APIs, DevOps, enterprise software development, and cloud infrastructure (e.g., Databricks, AWS, GCP, Azure).
* Understanding of data engineering principles.
* Ability to communicate technical trade\-offs to non\-technical stakeholders.
* Skilled at translating ambiguous product requirements into a technical roadmap.
### **Preferred Knowledge, Skills and/or Abilities:**
* Experience leading AI/ML platform products and scaling platforms vertically and horizontally.
* Track record of building and launching AI/ML platforms, tools, or internal services.
* Deep knowledge of AI/ML product lifecycle, MLOps, and scalable AI infrastructure (training, deployment, monitoring, observability, reliability).
* Experience with large language models (LLMs) and generative AI technologies, including prompt engineering strategies and VLMs.
* Background as a data scientist or backend engineer.
* Fluency in translating technical concepts into value propositions and storytelling for diverse stakeholders.
* Clinical Data Literacy: Familiarity with EHR data, Claims, or population health datasets.
* Experience in healthcare technology environments, particularly physician\-facing products or work with clinical datasets (EHR, Claims, Population Health datasets).
### **Physical Requirements:**
* Sitting for prolonged periods of time. Extensive use of computers and keyboards. Occasional walking and lifting may be required.
**Who We Are:**
Aledade, a public benefit corporation, exists to empower the most transformational part of our health care landscape \- independent primary care. We were founded in 2014, and since then, we've become the largest network of independent primary care in the country \- helping practices, health centers and clinics deliver better care to their patients and thrive in value\-based care. Additionally, by creating value\-based contracts across a wide variety of health plans, we aim to flip the script on the traditional fee\-for\-service model. Our work strengthens continuity of care, aligns incentives and ensures primary care physicians are paid for what they do best \- keeping patients healthy. If you want to help create a health care system that is good for patients, good for practices and good for society \- and if you're eager to join a collaborative, inclusive and remote\-first culture \- you've come to the right place. **What Does This Mean for You?**
At Aledade, you will be part of a creative culture that is driven by a passion for tackling complex issues with respect, open\-mindedness and a desire to learn. You will collaborate with team members who bring a wide range of experiences, interests, backgrounds, beliefs and achievements to their work \- and who are all united by a shared passion for public health and a commitment to the Aledade mission.  
In addition to time off to support work\-life balance and enjoyment, we offer the following comprehensive benefits package designed for the overall well\-being of our team members:  
Flexible work schedules and the ability to work remotely are available for many roles
Health, dental and vision insurance paid up to 80% for employees, dependents and domestic partners
Robust time\-off plan (21 days of PTO in your first year)
Two paid volunteer days and 11 paid holidays
12 weeks paid parental leave for all new parents
Six weeks paid sabbatical after six years of service
Educational Assistant Program and Clinical Employee Reimbursement Program
401(k) with up to 4% match
Stock options
And much more! *At Aledade, we don’t just accept differences, we celebrate them! We strive to attract, develop and retain highly qualified individuals representing the diverse communities where we live and work. Aledade is committed to creating a diverse environment and is proud to be an equal opportunity employer. Employment policies and decisions at Aledade are based on merit, qualifications, performance and business needs. All qualified candidates will receive consideration for employment without regard to age, race, color, national origin, gender (including pregnancy, childbirth or medical conditions related to pregnancy or childbirth), gender identity or expression, religion, physical or mental disability, medical condition, legally protected genetic information, marital status, veteran status, or sexual orientation.*  
Privacy Policy: By applying for this job, you agree to Aledade's Applicant Privacy Policy available at https://www.aledade.com/privacy\-policy\-applicants
We may use automated tools, including artificial intelligence (AI), to help organize and evaluate application materials. These tools support our recruiters and hiring managers by helping manage large applicant pools. Human judgment plays an essential role in our hiring process, including in the oversight and use of any automated tools. If you would like more information about our screening and hiring process, please contact us.</t>
        </is>
      </c>
    </row>
    <row r="129">
      <c r="A129" t="inlineStr">
        <is>
          <t>in-e7f4962d32a32346</t>
        </is>
      </c>
      <c r="B129" t="inlineStr">
        <is>
          <t>Senior and Principal Technical Program Manager for Release, Compliance, Privacy - CoreAI (3 roles)</t>
        </is>
      </c>
      <c r="C129" t="inlineStr">
        <is>
          <t>Microsoft</t>
        </is>
      </c>
      <c r="D129" t="inlineStr">
        <is>
          <t>indeed</t>
        </is>
      </c>
      <c r="E129">
        <f>HYPERLINK("https://www.indeed.com/viewjob?jk=e7f4962d32a32346", "https://www.indeed.com/viewjob?jk=e7f4962d32a32346")</f>
        <v/>
      </c>
      <c r="F129">
        <f>HYPERLINK("https://apply.careers.microsoft.com/careers/job/1970393556748020?utm_source=indeed&amp;domain=microsoft.com", "https://apply.careers.microsoft.com/careers/job/1970393556748020?utm_source=indeed&amp;domain=microsoft.com")</f>
        <v/>
      </c>
      <c r="G129" t="inlineStr">
        <is>
          <t>Redmond, WA, US</t>
        </is>
      </c>
      <c r="H129" s="3" t="n">
        <v>46047</v>
      </c>
      <c r="I129" t="inlineStr">
        <is>
          <t>**Overview**  
We are the team that ships the world's most popular frameworks and runtimes including .NET, C\+\+, Java, Python, Node, Go, Rust, etc., the world’s \#1 used and loved IDEs across the Visual Studio family, and numerous Azure services like App Service, Functions, ACA, etc. We are looking for a strong, highly motivated Senior Technical Program Manager to join our team to define the future of release and compliance functions across our entire portfolio of products. This is an individual contributor role, but there is no limit to the impact and influence you will bear on a wide swath of technical programs.
This posting represents multiple openings on the team for Senior Technical Program Managers and Principal Technical Program Managers in different focus areas, including Release Management, Compliance, and Privacy. Each role is hired, scoped, and staffed independently, while sharing a common foundation of technical program execution and collaboration across engineering and partner teams.
 **Responsibilities**  
All Roles \- Common Responsibilities:
* **Program \&amp; Execution Ownership**: Own complex cross‑functional programs end‑to‑end; drive accountability, track progress against milestones, manage risks, dependencies, and ambiguity to ensure successful outcomes.
* **Cross‑Functional Partnership**: Collaborate closely with engineering, product, legal, and business stakeholders to align priorities, unblock execution, and support teams navigating technical, policy, and operational constraints.
* **Strategic Translation \&amp; Planning**: Translate complex requirements, policies, and standards into clear, actionable plans tailored to product portfolios, organizational maturity, and industry expectations.
* **Operational Rigor \&amp; Scale**: Balance evolving business needs with strong operational discipline; design scalable, repeatable processes that support delivery across teams, products, and geographies.
* **Communication \&amp; Executive Engagement**: Synthesize program health, risks, and insights for senior leadership; communicate complex topics clearly to enable informed decision‑making.
* **Risk Management \&amp; Problem Solving**: Identify emerging risks, resolve ambiguity, and drive clarity in fast‑moving or regulated environments through structured analysis and sound judgment.
* **Process Improvement, Automation \&amp; Tooling**: Continuously improve processes and tooling; define requirements for automation and system enhancements that reduce toil and increase delivery effectiveness including building relevant tools and AI agents yourself as appropriate.
* **Metrics, Outcomes \&amp; Culture**: Define and track key performance indicators to measure impact and guide prioritization; contribute to a culture of inclusion, trust, and accountability.
 *Release Manager – Role‑Specific Responsibilities:*
* Lead end‑to‑end orchestration of multiple complex, parallel product releases across platforms, defining integrated release plans, ship readiness criteria, and launch governance
* Adapt release strategies to changes in product cadence, lifecycle, and customer impact while ensuring adherence to release fundamentals and commitments
* Be a champion for solid release fundamentals and ensure releases deliver on their compliance obligations.
* Champion continuous improvement through feedback loops with engineering and partners to strengthen release quality, predictability, and platform maturity
 *Compliance – Role‑Specific Responsibilities*
* Partner with legal, security, and industry compliance leaders to define compliance vision, strategy, and execution across regulatory domains
* Operationalize regulatory requirements into scalable processes, controls, and programs, translating standards across security, privacy, reliability, accessibility, licensing, and globalization and assist engineers navigate these requirements.
* Navigate regulatory ambiguity, resolve compliance risks, and drive clarity and alignment in evolving global regulatory environments
 *Privacy – Role‑Specific Responsibilities*
* Define and drive privacy governance, risk management, and compliance strategy in partnership with legal and cross‑functional stakeholders
* Drive divisional programs to ensure our products, services, and communications comply with Microsoft’s Privacy and related legal standards and requirements.
* Evangelize and embed privacy principles into product development through feature reviews, design evaluations, technical privacy assessments, and audit‑ready documentation
* Serve as a subject matter expert in consultations with products, evaluate product and service features, UI, and functionality to identify and mitigate privacy\-impacting concerns for early remediations. Assist engineers navigate Privacy requirements.
* Conduct technical Privacy reviews for products, services, and communications, document the outcomes of these reviews to support compliance audits.
* Lead privacy incident response, escalation, and remediation efforts while driving adoption of privacy tools, features, and process improvements
 **Qualifications**  
Required Qualifications:
* Bachelor's Degree AND 4\+ years experience in engineering, product/technical program management, data analysis, or product development OR equivalent experience
* 2\+ years of experience managing cross\-functional and/or cross\-team projects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8\+ years of experience in technical program management managing cross\-functional and cross\-team projects.
* Release Manager
	+ 6\+ years of experience in release management or delivery orchestration, managing multiple parallel releases across products, services, or platforms
* Compliance Program Manager
	+ 6\+ years of experience working with regulatory or compliance programs in software development environments, ideally in domains relevant to cloud or platform development (e.g. security, privacy, responsible AI, accessibility, licensing, etc.)
* Privacy Program Manager
	+ 6\+ years of experience in privacy regulation, policy, and governance within a software development environment, ideally having partnered with legal teams on privacy review, risk assessment, audit, and incident response.
	+ IAPP certifications like CIPP, CIPM, CIPT pr JD with coursework or experience in privacy, cybersecurity, or technology law
	+ Thorough understanding of global privacy laws like GDPR, CCPA, etc.
* Hands‑on experience building tools using AI coding agents like GitHub Copilot or other similar coding agents
* 3\+ years of hands‑on experience as a software developer or in a deeply technical role working closely with engineering teams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Technical Program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30">
      <c r="A130" t="inlineStr">
        <is>
          <t>in-b860e7e9b527f952</t>
        </is>
      </c>
      <c r="B130" t="inlineStr">
        <is>
          <t>Cloud Software Platform Product Manager</t>
        </is>
      </c>
      <c r="C130" t="inlineStr">
        <is>
          <t>HP</t>
        </is>
      </c>
      <c r="D130" t="inlineStr">
        <is>
          <t>indeed</t>
        </is>
      </c>
      <c r="E130">
        <f>HYPERLINK("https://www.indeed.com/viewjob?jk=b860e7e9b527f952", "https://www.indeed.com/viewjob?jk=b860e7e9b527f952")</f>
        <v/>
      </c>
      <c r="F130">
        <f>HYPERLINK("https://hp.wd5.myworkdayjobs.com/en-US/ExternalCareerSite/job/Vancouver-Washington-United-States-of-America/Software-Platform-Product-Manager_3148096-1", "https://hp.wd5.myworkdayjobs.com/en-US/ExternalCareerSite/job/Vancouver-Washington-United-States-of-America/Software-Platform-Product-Manager_3148096-1")</f>
        <v/>
      </c>
      <c r="G130" t="inlineStr">
        <is>
          <t>Vancouver, WA, US</t>
        </is>
      </c>
      <c r="H130" s="3" t="n">
        <v>46041</v>
      </c>
      <c r="I130" t="inlineStr">
        <is>
          <t>**Description \-**
HP is transforming the way people work through consumer and enterprise business solutions and services that delight our customers. These new solutions and services leverage our internal HP Cloud Platform offering common infrastructure, tools, and services for software developers.
As part of the Software Product Management team for the platform, you will be responsible for defining and managing key components of our next\-generation cloud platform by engaging with HP software and business teams to understand their pain points, strategies, programs and solution needs. This role focuses in two areas: defining and selecting best\-in\-class cloud platform capabilities from internal services as they converge onto the platform, and enabling new agentic AI solutions \&amp; processes that will transform and accelerate software development and delivery at HP. You will help build and prioritize the platform roadmap for maximum impact across all HP business units. You will ensure our customers’ success in using the cloud platform to leverage best\-in\-class core services, managed infrastructure services, and software development tools and processes to deliver HP customer experiences that amaze. This role leads from both a product and program perspective, as you formulate strategies and meticulous plans for our future technologies and AI transformation. You will be part of a team supporting thousands of software developers, and hundreds of millions of users and devices worldwide.
**Job Responsibilities:**
* Facilitate and partner with business and technical leaders to develop value propositions, secure budgets, assess priorities, and integrate strategic initiatives across HP business units.
* Drive strong professional relationships with HP businesses and software solutions, including program, product, engineering, and executive management teams.
* Lead the creation \&amp; development of the cloud platform product in partnership with internal stakeholders.
* Lead cross\-functional teams through agile development processes.
* Manage the entire product and feature lifecycle for your domain, from strategic planning ideation to tactical execution implementation and stabilization.
* Integrate usability studies, gather voice of the customer, and use research and market analysis to discover and define rich, compelling user experiences.
* Manage solution engagement and onboarding, ensuring customer and partner success.
* Maintain clear priorities and relentless execution in a dynamic, fast\-paced environment.
* Partner with program management team to create SMART goals and a realistic schedule balancing speed, quality and resource constraints.
* Collaborate with software engineering bring ideas and prototypes to life.
* Advise key stakeholders on the portfolio strategy across all phases of the lifecycle.
* Define and report key metrics to drive future product developments.
* Define and use Agentic AI tools to fast track most of the above tasks.
Education \&amp; Experience
* Four\-year or Graduate Degree in Business, Computer Science, Software Engineering, Product Marketing, or similar discipline, commensurate work experience or demonstrated competence.
* 7\+ years of experience in software development, cloud infrastructure, platform engineering, business planning, and/or product marketing.
* Experience in product development transformation through agentic AI.
Knowledge \&amp; Skills
* Relentlessly focused on engaging customer experiences.
* Outstanding communication and presentation skills, both written and verbal, for diverse audiences including the scrum team, the program team, business solution teams, and executive management.
* Excellent interpersonal skills; able to build, manage and influence virtual teams over which you have no direct control.
* Excellent consensus\-building and conflict\-resolution skills.
* Excellent critical and analytical thinking and problem\-solving skills.
* Excellent organizational, project planning, change management and risk management skills.
* Able to connect plans and activities to measurable business results.
* Solid knowledge of agile software development and CI/CD principles.
* Technical knowledge of cloud services, web applications, and API development.
* Technical knowledge of data pipelines and event management services.
* Technical knowledge to create and manage AI agents.
* Knowledge of product marketing principles and practices.
* Knowledge of HP businesses, strategies, and operating environments.
* Able to work under pressure in a complex environment.
The pay range for this role is **$116,150** to **$182,400**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 US benefits overview )
The compensation and benefits information is accurate as of the date of this posting. The Company reserves the right to modify this information at any time, with or without notice, subject to applicable law.
**Job \-**
Software
**Schedule \-**
Full time
**Shift \-**
No shift premium (United States of America)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 Know Your Rights: Workplace Discrimination is Illegal "</t>
        </is>
      </c>
    </row>
    <row r="131">
      <c r="A131" t="inlineStr">
        <is>
          <t>in-4e4260790c3bace1</t>
        </is>
      </c>
      <c r="B131" t="inlineStr">
        <is>
          <t>Lead Software Engineering Program Manager - HP IQ</t>
        </is>
      </c>
      <c r="C131" t="inlineStr">
        <is>
          <t>HP</t>
        </is>
      </c>
      <c r="D131" t="inlineStr">
        <is>
          <t>indeed</t>
        </is>
      </c>
      <c r="E131">
        <f>HYPERLINK("https://www.indeed.com/viewjob?jk=4e4260790c3bace1", "https://www.indeed.com/viewjob?jk=4e4260790c3bace1")</f>
        <v/>
      </c>
      <c r="F131">
        <f>HYPERLINK("https://hp.wd5.myworkdayjobs.com/en-US/ExternalCareerSite/job/San-Francisco-California-United-States-of-America/Lead-Software-Engineering-Program-Manager---HP-IQ_3157144-1", "https://hp.wd5.myworkdayjobs.com/en-US/ExternalCareerSite/job/San-Francisco-California-United-States-of-America/Lead-Software-Engineering-Program-Manager---HP-IQ_3157144-1")</f>
        <v/>
      </c>
      <c r="G131" t="inlineStr">
        <is>
          <t>San Francisco, CA, US</t>
        </is>
      </c>
      <c r="H131" s="3" t="n">
        <v>45991</v>
      </c>
      <c r="I131" t="inlineStr">
        <is>
          <t>**Description \-**
**Who We Are**
HP IQ is HP’s new AI innovation lab. Combining startup agility with HP’s global scale, we’re building intelligent technologies that redefine how the world works, creates, and collaborates.
We’re assembling a diverse, world\-class team—engineers, designers, researchers, and product minds—focused on creating an intelligent ecosystem across HP’s portfolio. Together, we’re developing intuitive, adaptive solutions that spark creativity, boost productivity, and make collaboration seamless.
We create breakthrough solutions that make complex tasks feel effortless, teamwork more natural, and ideas more impactful—always with a human\-centric mindset.
By embedding AI advancements into every HP product and service, we’re expanding what’s possible for individuals, organisations, and the future of work.
Join us as we reinvent work, so people everywhere can do their best work.
**About the Role**
HP IQ is a recently acquired business unit combining the agility of a startup with the scale of an enterprise. We’re seeking a highly motivated Lead Software EPM to drive cross\-functional programs at the intersection of software, hardware, and AI. This role will play a critical part in shaping future\-connected experiences across a diverse portfolio of devices and platforms.This technical leader will be comfortable navigating ambiguity and can help define and drive high\-impact initiatives with minimal upfront guidance.
You may come from a software or systems engineering background and be transitioning into program management, or you may already be a seasoned EPM with deep technical fluency in complex SW\-HW systems development. Either way, curiosity, adaptability, and a desire to learn are essential.
**What You Might Do**
* Own the full lifecycle of software initiatives with strong hardware dependencies—scoping, planning, execution, and delivery—ensuring alignment with strategic goals and engineering excellence.
* Partner closely with software developers, hardware engineering, and product managers to define technical requirements and drive cross\-functional execution.
* Navigate shifting priorities by balancing long\-term platform investments with rapid delivery of impactful user\-facing features.
* Build strong relationships with partner teams across engineering, product, research, and design to align goals and deliver against key milestones.
* Foster a culture of trust, clarity, and shared ownership. Communicate effectively across technical and non\-technical audiences.
**Essential Qualifications**
* Experienced in leading zero\-to\-one product or platform development, ideally in fast\-paced or emerging environments.
* Experience delivering software solutions with closely tied dependencies to embedded hardware and sensor solutions.
* Strong foundation in software product development, with full\-stack systems understanding from cloud services to on\-device components.
* Strong foundation in hardware product development, with an understanding of hardware development life cycles and embedded software development.
* Experience in managing cross functional teams across multiple time zones, including contract firms.
* Bachelor’s Degree in Computer Science, Engineering, or a related technical field—or equivalent practical experience.
* 10\+ years in technical program management, software engineering, or program roles supporting complex hardware\-software development.
* Solid grasp of Agile methodologies and project tracking tools, with a proven track record of driving cross\-functional programs.
* Excellent written and verbal communication skills—able to simplify complex concepts and drive alignment across diverse teams.
* Strong analytical skills, a bias for action, and a proactive, ownership\-driven mindset.
**Preferred Skills**
* Experience within both startup environments and large\-scale enterprise organizations.
* Proven experience in launching software products with hardware dependencies for consumer markets.
* Able to tailor processes to fit team structure, ensuring efficient planning and streamlined status updates.
* Understands how to increase development velocity while maintaining high technical standards and aligning with product and design goals.
* Skilled in using bug and task tracking tools, particularly Jira.
Salary: $190,000\- $240,000
**Compensation \&amp; Benefits (Full\-Time Employees)**
The salary range for this role is listed above. Final salary offered is based upon multiple factors including individual job\-related qualifications, education, experience, knowledge and skills.
At HP IQ, we offer a competitive and comprehensive benefits package,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 US benefits overview )
**Job \-**
Software
**Schedule \-**
Full time
**Shift \-**
No shift premium (United States of America)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 Know Your Rights: Workplace Discrimination is Illegal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li-4367254498</t>
        </is>
      </c>
      <c r="B2" t="inlineStr">
        <is>
          <t>Product Manager, Measurement</t>
        </is>
      </c>
      <c r="C2" t="inlineStr">
        <is>
          <t>Teachstone</t>
        </is>
      </c>
      <c r="D2" t="inlineStr">
        <is>
          <t>linkedin</t>
        </is>
      </c>
      <c r="E2" t="inlineStr"/>
      <c r="F2" t="inlineStr"/>
      <c r="G2" t="inlineStr"/>
      <c r="H2" t="inlineStr"/>
      <c r="I2" t="inlineStr">
        <is>
          <t>**Company Overview:**
 Do You Thrive on Innovation and Technology? At Teachstone, we’re leading the charge in transforming education through innovative, tech\-driven solutions. Founded in 2008, we revolutionized the industry with our Classroom Assessment Scoring System® (CLASS®), a research\-backed tool that measures teacher\-child interactions proven to drive learning and lifelong achievement. We’re not just making a difference—we’re evolving how education is delivered.
 Join a technology\-focused team that’s building cutting\-edge platforms like myTeachstone, which integrates data and resources to streamline classroom observations and teacher development. At Teachstone, you’ll help design and deliver impactful tools that empower educators to improve their interactions with students, driving real change and success in classrooms nationwide. Be part of the future of education with us!
**Role Overview:**
 We’re seeking a strategic, collaborative, and self\-driven Product Manager, focused on extending the value of Teachstone’s measurement product suite to improve efficiency and effectiveness.
 This role plays a key part in supporting our ongoing transition to the product operating model. As we continue this transformation, you’ll help reinforce product best practices, coach cross\-functional partners on outcome\-driven thinking, and influence without authority in an environment where not all teams are fully immersed in this way of working.
 You’ll be expected to prioritize effectively, build strong relationships across departments, and help internal teams connect the dots between customer needs, business value, and strategic focus. While AI is not the central focus of this role, familiarity with AI\-powered technologies (e.g., machine learning, natural language processing) is a strong asset, especially as we integrate more intelligent features into our offerings.
**Role Responsibilities:**
**Product Strategy \&amp; Roadmap:**
* Shape and execute product strategies that drive measurable business outcomes—especially around client retention, satisfaction, and product margin—within a mature, evolving product ecosystem.
* Balance short\-term delivery with long\-term vision, ensuring teams are aligned on outcomes and that priorities reflect both customer value and business viability.
* Help teams understand why decisions are made, building shared accountability and momentum within a value stream model.
**Cross\-functional Leadership \&amp; Product Operating Model Advocacy:**
* Work closely within the product operating model alongside engineering, design, and impact teams to define, deliver, and iterate on high\-impact features.
* Help model and reinforce key principles of the product operating model, including user\-centered design, continuous discovery, and business outcome alignment—even when others are new to this way of working.
* Collaborate across departments, including selling teams, customer success, support, and marketing, to synthesize insights and surface customer pain points and opportunities at scale.
* Influence a wide set of stakeholders to gain alignment and support across competing business priorities.
**Customer Insight \&amp; Market Understanding**
* Lead customer discovery, synthesize qualitative and quantitative feedback, and translate those insights into actionable roadmaps.
* Help others see the connection between user feedback and business outcomes, building buy\-in through clear communication and strategic framing.
* Conduct competitive analysis and share insights that support informed prioritization and long\-term planning.
**AI Integration \&amp; Data\-Driven Decision Making**
* Leverage your knowledge of AI to identify opportunities for intelligent automation, personalization, or enhanced analytics within the product.
* Work alongside our Platform and Innovation teams to ensure any AI\-powered features are meaningful, ethical, and grounded in real user behavior.
**Success Measurement**
* Define and track product success metrics related to retention, satisfaction, and business performance.
* Use both qualitative and quantitative data to drive continuous improvement, ensuring product enhancements are resonant and results\-driven.
* Collaborate with the future\-focused product improvement team to ensure innovation is grounded in data from existing customer behavior and use.
**Role Qualifications:**
* Experience: 5\+ years in product management with experience on AI\-powered products, ideally with experience managing mature, revenue\-generating product suites and improving client engagement metrics.
* Familiarity with working in a product operating model, including experience with empowered teams and value stream alignment.
* Proven ability to navigate and influence in complex stakeholder environments with competing priorities.
* Demonstrated strength in prioritization, product storytelling, and helping others understand the why behind product decisions.
* Strong cross\-functional collaboration skills and an ability to work transparently and constructively across design, engineering, and business teams.
* Customer\-Centricity: Demonstrated ability to synthesize high\-volume customer inputs into actionable product changes. Passionate about delivering continuous value to drive client satisfaction and retention.
* Experience or familiarity with AI\-powered technologies and an ability to identify where they can add value without over\-engineering solutions.
* Clear, concise communication style with the ability to tailor messaging to both technical and non\-technical audiences.
* Passion for improving educator and learner outcomes—and a mindset focused on delivering value, not just features.
**What We Offer:**
**Fair, Competitive Pay:** 
 We ensure equal pay for equal work, using consistent salary bands based on market benchmarks, reviewed annually. Prior salaries, negotiation skills, or fear of conflict don’t influence your pay.
**Salary Range:** 
 $100,000 \- $120,000, determined by your experience, skills and internal equity.
**Comprehensive benefits:** 
 We offer an inclusive benefits package to support your overall well\-being. Eligibility depends on your role and employment status.
**Ready to Make a Difference?**
 At Teachstone, we believe that every interaction shapes a brighter future. If you're passionate about transforming education and want to be part of a team that's committed to meaningful impact, we want to hear from you. Apply today and help us create classrooms where every child thrives!
*At Teachstone, we encourage all individuals to apply and bring their unique perspectives to our team. All qualified applicants will receive consideration for employment without regard to race, color, religion, national origin, sex, gender, gender identity, sexual orientation, protected veteran status, disability, age, or any other characteristic protected by law. We value the different experiences and ideas our team members bring and believe they are essential to solving complex challenges and driving our mission forward.*</t>
        </is>
      </c>
    </row>
    <row r="3">
      <c r="A3" t="inlineStr">
        <is>
          <t>li-4367486269</t>
        </is>
      </c>
      <c r="B3" t="inlineStr">
        <is>
          <t>Product Manager</t>
        </is>
      </c>
      <c r="C3" t="inlineStr">
        <is>
          <t>Stripe</t>
        </is>
      </c>
      <c r="D3" t="inlineStr">
        <is>
          <t>linkedin</t>
        </is>
      </c>
      <c r="E3" t="inlineStr"/>
      <c r="F3" t="inlineStr"/>
      <c r="G3" t="inlineStr"/>
      <c r="H3" t="inlineStr"/>
      <c r="I3" t="inlineStr">
        <is>
          <t>**About The Company**
 Stripe is a leading financial infrastructure platform that empowers businesses of all sizes to accept payments, grow revenue, and explore new opportunities. Serving millions of companies worldwide, from large enterprises to innovative startups, Stripe is dedicated to increasing the GDP of the internet. Our mission is to make economic infrastructure accessible and efficient, enabling entrepreneurs and organizations to succeed in a rapidly evolving digital economy. With a focus on innovation, security, and reliability, Stripe continuously develops cutting\-edge solutions to support the global business ecosystem. Our team is composed of talented professionals committed to building products that make a meaningful impact, fostering a culture of collaboration, integrity, and relentless pursuit of excellence.
**About The Role**
 We are seeking a highly experienced Senior Product Leader to join Stripe’s ML Foundations and Gen AI team. In this role, you will lead a cross\-functional team responsible for incubating and scaling new machine learning and artificial intelligence applications across Stripe’s product suite. Your primary focus will be to define and execute the company\-wide strategy for ML/AI innovations, driving product development, and advancing our AI technology infrastructure. You will collaborate closely with product leaders across various business units to deliver AI\-centric solutions that generate tangible business outcomes. Additionally, you will oversee the development of our core AI technology stack, empowering teams to integrate agentic capabilities and continuous improvement APIs. This role offers a unique opportunity to shape the future of AI at Stripe, influencing how we leverage machine learning to enhance user experiences, streamline operations, and unlock new revenue streams.
**Qualifications**
* 7\+ years of experience delivering successful and innovative software products powered by machine learning
* Strong understanding of ML and applied AI technology stacks
* Proven ability to influence company\-level strategy and collaborate with executive leadership
* Experience leading cross\-functional teams in a fast\-paced environment
* Exceptional communication skills to articulate complex ideas clearly and persuasively
* Ability to analyze both quantitative and qualitative data to inform decision\-making
* Deep empathy for consumer and business users, with a passion for building delightful and trustworthy products
* Track record of driving product quality and continuous improvement
* Experience working on both first\-party and third\-party products
* Preferred: Experience with AI infrastructure, agent\-based systems, and API development
**Responsibilities**
* Develop and implement the strategic vision for ML/AI applications across Stripe’s product ecosystem
* Identify and prioritize areas for investment in ML/AI, aligning with overall business objectives
* Lead cross\-functional teams to execute the product roadmap, ensuring timely and successful launches of new AI\-driven solutions
* Collaborate with product leaders and stakeholders to define AI\-centric product strategies and roadmaps
* Drive innovation by incubating new AI applications and integrating emerging ML techniques
* Advance Stripe’s AI infrastructure, tooling, and platform capabilities to support scalable AI deployment
* Communicate effectively with executive leadership to ensure alignment and transparency on AI initiatives
* Foster a culture of experimentation, continuous learning, and high\-quality product development
**Benefits**
* Competitive salary and comprehensive benefits package
* Equity options and potential for performance\-based bonuses
* 401(k) retirement plan with company matching
* Medical, dental, and vision insurance coverage
* Wellness stipends and health\-related perks
* Flexible work arrangements, including remote work options
* Opportunities for professional growth and development within a pioneering technology company
* Inclusive and diverse workplace culture that values innovation and integrity
 Equal Opportunity
 Stripe is an equal opportunity employer. We celebrate diversity and are committed to creating an inclusive environment for all employees. We do not discriminate based on race, religion, gender, sexual orientation, age, national origin, disability, or any other protected characteristic. All qualified applicants will receive consideration for employment without regard to these factors. We encourage individuals from all backgrounds to apply and join us in shaping the future of financial technology.</t>
        </is>
      </c>
    </row>
    <row r="4">
      <c r="A4" t="inlineStr">
        <is>
          <t>li-4344851671</t>
        </is>
      </c>
      <c r="B4" t="inlineStr">
        <is>
          <t>Product Manager, Lyft Business</t>
        </is>
      </c>
      <c r="C4" t="inlineStr">
        <is>
          <t>Lyft</t>
        </is>
      </c>
      <c r="D4" t="inlineStr">
        <is>
          <t>linkedin</t>
        </is>
      </c>
      <c r="E4" t="inlineStr"/>
      <c r="F4" t="inlineStr"/>
      <c r="G4" t="inlineStr">
        <is>
          <t>New York, NY</t>
        </is>
      </c>
      <c r="H4" t="inlineStr"/>
      <c r="I4" t="inlineStr">
        <is>
          <t>At Lyft, our purpose is to serve and connect. We aim to achieve this by cultivating a work environment where all team members belong and have the opportunity to thrive.
 We are looking for product managers who bring exceptional creative, strategic, and analytical skills to drive forward a best\-in\-class product. Product management at Lyft leads the integration of engineering, data science, and design to achieve the company’s vision for reinventing transportation. We are looking for entrepreneurial and passionate Product Managers to innovate and execute across a rapidly growing, fast\-paced company and industry.
 The Lyft Business team is one of Lyft’s fastest\-growing and most profitable units, providing transportation solutions for organizations, including business travel, employee commutes, courtesy rides, and non\-emergency medical trips. The scope of Lyft Business is expansive, from B2B capabilities (Self service tools, APIs, billing \&amp; reporting, etc) in addition to the B2B2C Rider experience of Business Profiles \&amp; Rewards.
 The scope of this role is to lead our Lyft Pass Product. Lyft Pass is our B2B2C product that enables organizations to sponsor rides for their employees, customers, or community members. By allowing companies, universities, healthcare providers, and other organizations to cover all or portions of ride costs, Lyft Pass creates seamless transportation solutions that benefit both organizations and riders. The product automatically applies eligible benefits based on customizable parameters like time, location, and ride type.
 We're seeking an experienced Product Manager to own and scale Lyft Pass, one of our key enterprise products. You'll be responsible for driving the product strategy, roadmap, and execution to grow our B2B transportation solutions business. This role sits at the intersection of consumer experience, enterprise needs, and marketplace dynamics.
**Responsibilities** 
**:**
* Understand Lyft's strategic and competitive position. Drive the vision and execution of Lyft Pass. Identify new market opportunities and use cases for sponsored transportation across industries (corporate, healthcare, education, government).
* Build a product roadmap to achieve your goals and lead a core team of Engineers, Enterprise Sales, Designers, Data Scientists, and Product Marketers to execute on it.
* Deeply understand the needs and motivations of your customers across different Business entities and use cases.
* Completely own your team’s products – existing or new – from ideation, through development, launch, growth, and maintenance.
* Clearly communicate roadmaps, priorities, experiments, and decisions across a wide spectrum of audiences from partner teams to executive levels.
**Experience:**
* 4\+ years of product management experience, with at least 2 years in B2B or marketplace products.
* Experience partnering with both tech and non\-technical business teams, such as Enterprise sales or Finance, on product vision, strategy, and execution.
* Natural leadership and ability to make things happen. You manage project ambiguity, complexity, and interdependencies in an organized and structured way, and you are able to define and analyze metrics that inform the success of your products.
* Strong communication skills and intuition for communication strategy at every level \-\- within teams, within the company, to users, and other audiences.
* Detail oriented with superior organizational skills \-\- balancing multiple projects, deadlines, and requests should be second nature to you.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New York City area is $128,000 \- $160,000\.,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5">
      <c r="A5" t="inlineStr">
        <is>
          <t>li-4367479067</t>
        </is>
      </c>
      <c r="B5" t="inlineStr">
        <is>
          <t>Product Manager - Locals</t>
        </is>
      </c>
      <c r="C5" t="inlineStr">
        <is>
          <t>Saransh Inc</t>
        </is>
      </c>
      <c r="D5" t="inlineStr">
        <is>
          <t>linkedin</t>
        </is>
      </c>
      <c r="E5" t="inlineStr"/>
      <c r="F5" t="inlineStr"/>
      <c r="G5" t="inlineStr">
        <is>
          <t>Phoenix, AZ</t>
        </is>
      </c>
      <c r="H5" t="inlineStr"/>
      <c r="I5" t="inlineStr">
        <is>
          <t>Role Overview
* The candidate should have experience working as a Product Analyst and/or Program Manager, acting as a liaison between business and technology teams.
* Operate effectively in a fast\-paced, multi\-tasking environment, demonstrating strong organization and planning skills.
* Support the delivery, governance, and adoption of a data\-driven platform.
 Key Responsibilities
* Define, track, and report platform health metrics, including KPIs, SLIs, and SLAs.
* Author high\-quality user stories with clear acceptance criteria and supporting documentation.
* Participate across the entire development lifecycle:
+ Feature delivery tracking
+ Impediment mitigation
+ User Acceptance Testing (UAT)
+ Sprint and increment completion tracking
* Review and oversee data flows in and out of the platform to ensure standardization and governance.
* Support data standardization and platform oversight.
* Collaborate with cross\-functional teams to identify capability dependencies, gaps, and future enhancements.
* Work closely with Platform, Engineering, Technology, and Business stakeholders.
* Communicate with platform users regarding:
+ Platform announcements
+ Compliance requirements
+ User access and maintenance
+ Usage updates
* Measure and report on platform usage metrics, including:
+ Data ingestion volumes
+ Efficiency and performance indicators
* Implement and manage data and platform controls to ensure compliance.
* Manage platform\-related projects and programs, resolving data\-related issues to ensure timely delivery.
**Required Experience \&amp; Skills** 
* 2\+ years of experience in Product Management or Product Development.
* Proven experience managing projects and programs involving both technical and non\-technical stakeholders.
* Strong data foundation, including:
+ Python
+ SQL
+ Hive
+ UNIX/Linux
* Demonstrated ability to analyze data and processes, identify opportunities, and drive continuous improvement.
* Experience in:
+ System Analysis / Technology roles
+ Big Data environments
+ Data Warehousing
+ Business Intelligence platforms
* Hands\-on knowledge of Big Data platforms, including Hadoop ecosystems.
* Experience working in SAFe Agile environments.
* Familiarity with Agile collaboration tools:
+ Rally Software
+ Atlassian Suite (Jira, Confluence)
+ Slack
 Soft Skills
* Excellent interpersonal, written, and verbal communication skills.
* Strong problem\-solving ability with keen attention to detail.
* Ability to take independent ownership of projects and deliverables.</t>
        </is>
      </c>
    </row>
    <row r="6">
      <c r="A6" t="inlineStr">
        <is>
          <t>li-4367605011</t>
        </is>
      </c>
      <c r="B6" t="inlineStr">
        <is>
          <t>Senior Product Manager - Ad Experiences</t>
        </is>
      </c>
      <c r="C6" t="inlineStr">
        <is>
          <t>Roku</t>
        </is>
      </c>
      <c r="D6" t="inlineStr">
        <is>
          <t>linkedin</t>
        </is>
      </c>
      <c r="E6" t="inlineStr"/>
      <c r="F6" t="inlineStr"/>
      <c r="G6" t="inlineStr">
        <is>
          <t>New York, NY</t>
        </is>
      </c>
      <c r="H6" t="inlineStr"/>
      <c r="I6"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role** 
 The Viewer Experience organization owns how people discover, choose, and enjoy content on Roku—from the iconic Home Screen and navigation, to Live TV and Sports, to The Roku Channel and our mobile apps.
 Roku is looking for a product manager to lead the development of next\-generation Ad Experiences and Interactive Advertising solutions that help marketers and advertisers drive visually appealing, high\-impact sponsorships on the platform.
 The ideal candidate will have endless curiosity and can pair a global mindset with locally relevant execution. You should be a gritty problem solver and self\-starter who can drive programs with the product and commercial teams within Roku and across external strategic partner organizations. The successful candidate will display a balance of hard and soft skills, including the ability to respond quickly to changing business needs. 
 For New York Only \- The estimated annual salary for this position is between $176,163 \- $233,750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**What you'll be doing** 
 Product Strategy \&amp; Opportunity Assessment
* Identify \&amp; Quantify Opportunities: Conduct rigorous market analysis and user research to identify high\-growth monetization opportunities. Build robust business cases that balance short\-term revenue goals with long\-term ecosystem health.
* Strategic Roadmap Ownership: Define and execute a multi\-quarter roadmap for ad innovation products, ensuring alignment with Roku’s overarching platform strategy and the evolving needs of the programmatic and direct\-sales markets.
 Product Execution \&amp; Lifecycle Management
* High\-Fidelity Documentation: Author comprehensive Feature Guides / Product Requirement Documents (FGs / PRDs) and technical specifications. Translate complex business needs into actionable engineering tasks to ensure on\-time, high\-quality delivery.
* Agile Innovation: Partner with the UX team for rapid prototyping, A/B testing, and iterative design methodologies to validate ad formats. Minimize "time to insight" by testing hypotheses in live environments.
* Operational Excellence: Drive feature prioritization and process improvements, maintaining a relentless focus on key KPIs such as Ad Fill Rate, CPM, User Engagement, and Churn impact.
 Cross\-Functional Leadership \&amp; Communication
* Engineering Partnership: Serve as the "voice of the customer" for the engineering team. Provide deep business context to technical leads to foster creative problem\-solving and architectural scalability.
* Stakeholder Orchestration: Lead a cross\-functional "squad"—including Sales, Marketing, Data Science, Finance, and Legal—to navigate the complexities of privacy regulations and advertising standards.
* Vendor Ecosystem Management: Manage strategic relationships with 3rd\-party technology vendors/partners. Ensure rigorous SLA compliance and influence their roadmaps to align with Roku’s proprietary tech stack.
 Market Intelligence \&amp; Thought Leadership
* AdTech Subject Matter Expertise: Act as the internal authority on AdTech trends (e.g., CTV measurement, identity solutions, shoppable TV). Translate industry shifts into strategic POVs that influence executive decision\-making.
* Competitive Benchmarking: Monitor the competitive landscape of streaming and hardware (OEMs) to ensure Roku remains the industry leader in native, non\-intrusive, and high\-performing ad experiences.
**We're excited if you have** 
* 5\+ years of experience in product management, building advertising and marketing solutions
* Domain expertise in AdTech, AdUX, OTT, and/or DMPs
* An extraordinarily high level of customer empathy
* Experience working with business intelligence/data analytics tools and data dashboarding tools such as Tableau or Looker
* Practical knowledge of Experimentation, A/B Testing, and Lift Measurement
* Data\-driven and an entrepreneurial self\-starter who deals well with ambiguity
* Experience in working with marketers, marketing operations, data scientists, and data analysts
* Strong, influential cross\-functional team leader with experience working in enterprise and matrixed environments
* Excellent problem\-solving skills and ability to work independently
* Minimum of a bachelor’s degree (preferably in engineering); MBA preferred
* Based in San Jose or Santa Monica, with the ability and willingness to travel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7">
      <c r="A7" t="inlineStr">
        <is>
          <t>li-4367479907</t>
        </is>
      </c>
      <c r="B7" t="inlineStr">
        <is>
          <t>Senior Product Manager - Ad Experiences</t>
        </is>
      </c>
      <c r="C7" t="inlineStr">
        <is>
          <t>Roku</t>
        </is>
      </c>
      <c r="D7" t="inlineStr">
        <is>
          <t>linkedin</t>
        </is>
      </c>
      <c r="E7" t="inlineStr"/>
      <c r="F7" t="inlineStr"/>
      <c r="G7" t="inlineStr">
        <is>
          <t>Santa Monica, CA</t>
        </is>
      </c>
      <c r="H7" t="inlineStr"/>
      <c r="I7"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role** 
 The Viewer Experience organization owns how people discover, choose, and enjoy content on Roku—from the iconic Home Screen and navigation, to Live TV and Sports, to The Roku Channel and our mobile apps.
 Roku is looking for a product manager to lead the development of next\-generation Ad Experiences and Interactive Advertising solutions that help marketers and advertisers drive visually appealing, high\-impact sponsorships on the platform.
 The ideal candidate will have endless curiosity and can pair a global mindset with locally relevant execution. You should be a gritty problem solver and self\-starter who can drive programs with the product and commercial teams within Roku and across external strategic partner organizations. The successful candidate will display a balance of hard and soft skills, including the ability to respond quickly to changing business needs. 
 For California Only \- The estimated annual salary for this position is between $176,163 \- $233,750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**What you'll be doing** 
 Product Strategy \&amp; Opportunity Assessment
* Identify \&amp; Quantify Opportunities: Conduct rigorous market analysis and user research to identify high\-growth monetization opportunities. Build robust business cases that balance short\-term revenue goals with long\-term ecosystem health.
* Strategic Roadmap Ownership: Define and execute a multi\-quarter roadmap for ad innovation products, ensuring alignment with Roku’s overarching platform strategy and the evolving needs of the programmatic and direct\-sales markets.
 Product Execution \&amp; Lifecycle Management
* High\-Fidelity Documentation: Author comprehensive Feature Guides / Product Requirement Documents (FGs / PRDs) and technical specifications. Translate complex business needs into actionable engineering tasks to ensure on\-time, high\-quality delivery.
* Agile Innovation: Partner with the UX team for rapid prototyping, A/B testing, and iterative design methodologies to validate ad formats. Minimize "time to insight" by testing hypotheses in live environments.
* Operational Excellence: Drive feature prioritization and process improvements, maintaining a relentless focus on key KPIs such as Ad Fill Rate, CPM, User Engagement, and Churn impact.
 Cross\-Functional Leadership \&amp; Communication
* Engineering Partnership: Serve as the "voice of the customer" for the engineering team. Provide deep business context to technical leads to foster creative problem\-solving and architectural scalability.
* Stakeholder Orchestration: Lead a cross\-functional "squad"—including Sales, Marketing, Data Science, Finance, and Legal—to navigate the complexities of privacy regulations and advertising standards.
* Vendor Ecosystem Management: Manage strategic relationships with 3rd\-party technology vendors/partners. Ensure rigorous SLA compliance and influence their roadmaps to align with Roku’s proprietary tech stack.
 Market Intelligence \&amp; Thought Leadership
* AdTech Subject Matter Expertise: Act as the internal authority on AdTech trends (e.g., CTV measurement, identity solutions, shoppable TV). Translate industry shifts into strategic POVs that influence executive decision\-making.
* Competitive Benchmarking: Monitor the competitive landscape of streaming and hardware (OEMs) to ensure Roku remains the industry leader in native, non\-intrusive, and high\-performing ad experiences.
**We're excited if you have** 
* 5\+ years of experience in product management, building advertising and marketing solutions
* Domain expertise in AdTech, AdUX, OTT, and/or DMPs
* An extraordinarily high level of customer empathy
* Experience working with business intelligence/data analytics tools and data dashboarding tools such as Tableau or Looker
* Practical knowledge of Experimentation, A/B Testing, and Lift Measurement
* Data\-driven and an entrepreneurial self\-starter who deals well with ambiguity
* Experience in working with marketers, marketing operations, data scientists, and data analysts
* Strong, influential cross\-functional team leader with experience working in enterprise and matrixed environments
* Excellent problem\-solving skills and ability to work independently
* Minimum of a bachelor’s degree (preferably in engineering); MBA preferred
* Based in San Jose or Santa Monica, with the ability and willingness to travel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8">
      <c r="A8" t="inlineStr">
        <is>
          <t>li-4367458719</t>
        </is>
      </c>
      <c r="B8" t="inlineStr">
        <is>
          <t>Senior Product Manager</t>
        </is>
      </c>
      <c r="C8" t="inlineStr">
        <is>
          <t>EllieMD</t>
        </is>
      </c>
      <c r="D8" t="inlineStr">
        <is>
          <t>linkedin</t>
        </is>
      </c>
      <c r="E8" t="inlineStr"/>
      <c r="F8" t="inlineStr"/>
      <c r="G8" t="inlineStr"/>
      <c r="H8" t="inlineStr"/>
      <c r="I8" t="inlineStr">
        <is>
          <t>**Senior Product Manager** 
**NY, NY – Hybrid** 
**About EllieMD** 
 EllieMD is on a mission to revolutionize healthcare by empowering individuals with pharmaceutical\-grade products and a network of dedicated brand partners. We believe healthcare should be accessible, transparent, and built on trust. Inspired by the wisdom, strength, and nurturing nature of elephants, our name reflects our commitment to care, integrity, and empowerment—ensuring that our customers, partners, and community feel supported, valued, and protected.
 As a member of our team, you’ll help bring this mission to life by upholding our values of accountability, collaboration, and excellence. We’re looking for individuals who take pride in delivering high\-quality experiences and who thrive in a fast\-moving, innovative environment.
**Position Overview** 
 EllieMD is seeking a Product Manager to build and ship products that drive the evolution of our healthcare platform. In this high\-impact, in\-person role, you will partner closely with cross\-functional leaders to translate strategic vision into tangible products that deliver measurable results. You'll be responsible for deeply understanding the needs of both our customers and Brand Partners, prioritizing initiatives, and collaborating with Design, Engineering, Data, and Operations teams to ship high\-quality products that solve real problems at scale.
 This is an individual contributor role with high visibility and broad organizational collaboration. You'll own products from concept through launch and beyond \- ensuring alignment across teams, driving toward clear success metrics, and continuously iterating based on user feedback and data. You'll thrive in ambiguity, move quickly, and bring both strategic thinking and hands\-on execution to ship products that make a real impact.
**What You’ll Do** 
* Partner directly with the leadership team to translate strategic vision into products that customers and Brand Partners love.
* Deeply understand and embody the voice of our Brand Partners and customers in everything you build.
* Define success metrics, prioritize product problems, and ship solutions that achieve measurable business goals.
* Own and drive one or more products from concept through launch and beyond, maintaining accountability for outcomes and continuous improvement.
* Work closely with Design, Engineering, Data, and Operations to learn quickly, iterate rapidly, and ship high\-quality products.
* Build and maintain product backlogs that balance quick wins with long\-term strategic initiatives, driving progress against milestones and resolving blockers while maintaining team health.
* Gather and analyze user research, product insights, and market analysis to inform what you build and how you prioritize.
* Create structured product documentation, including PRDs, user stories, and technical specifications, to guide implementation and ensure team alignment.
* Coordinate effectively across all functions to ship products that work seamlessly across the customer journey.
* Communicate clearly on what you're building, why it matters, progress updates, and key learnings.
* Identify gaps and interdependencies across systems and proactively ship solutions that enhance organizational efficiency.
* Facilitate brainstorming and strategy sessions, distilling complexity into products that solve real problems.
**Required Qualifications** 
* 5\+ years of experience in product management, with proven ability to build and scale products from early stages.
* Bachelor's degree required.
* Strong track record of balancing user experience and technical scalability in products you've built.
* Data\-driven approach: skilled at digging into data, defining clear goals, and driving teams to ship products that deliver measurable impact.
* Proven ability to translate strategic vision into products that customers use and love.
* Exceptional written and verbal communication skills, with ability to synthesize complex concepts for diverse audiences.
* Experience facilitating cross\-functional collaboration and influencing without direct authority.
* Ability to work in\-person when needed.
**Preferred Qualifications** 
* Experience in startups, healthcare, health\-tech, or wellness industries.
* Experience with e\-commerce, subscription systems, or marketplace platforms.
* Familiarity with direct sales, MLM, or affiliate/partner network models.
* Experience working with regulated industries (HIPAA, FDA, healthcare compliance).
* Proficiency with product management and collaboration tools (Linear, Figma, Miro, etc.).
* Technical background or strong fluency in working with engineering teams.
 While not required, they reflect the company's technical direction and are valuable as EllieMD scales.
**Who You Are** 
* A builder who thrives at the intersection of vision, systems, and execution—and ships products that prove it.
* Someone who can think strategically while remaining hands\-on in shipping and iterating on products.
* Deeply customer\-focused and obsessed with understanding user needs and building products that solve real pain points.
* Highly organized, self\-directed, and a resourceful problem\-solver who drives products from concept to launch.
* Strong communicator who creates clarity and alignment across diverse stakeholders to ship products efficiently.
* Comfortable working side\-by\-side with executive leadership and cross\-functional teams to build great products.
* Passionate about improving healthcare experiences and building technology products that support both customers and partners.
* Aligned with EllieMD's core values: Accountability, Collaboration, Excellence, Integrity, and Care.
**Compensation \&amp; Structure** 
* **Contract Role:** 
 Starting as a 1099 contractor.
* **Future Conversion:** 
 Planned transition to full\-time W2 in 2026\.
* **Compensation:** 
 $170,000\-$190,000 (commensurate with experience)
* **Benefits:** 
 Planned upon full\-time conversion.
**Equal Opportunity Statement** 
 EllieMD is an equal opportunity employer. We celebrate diversity and are committed to fostering an inclusive environment for all employees. We welcome applicants from all backgrounds, identities, and levels of experience.</t>
        </is>
      </c>
    </row>
    <row r="9">
      <c r="A9" t="inlineStr">
        <is>
          <t>li-4367491095</t>
        </is>
      </c>
      <c r="B9" t="inlineStr">
        <is>
          <t>Senior Product Manager - Ad Experiences</t>
        </is>
      </c>
      <c r="C9" t="inlineStr">
        <is>
          <t>Roku</t>
        </is>
      </c>
      <c r="D9" t="inlineStr">
        <is>
          <t>linkedin</t>
        </is>
      </c>
      <c r="E9" t="inlineStr"/>
      <c r="F9" t="inlineStr"/>
      <c r="G9" t="inlineStr">
        <is>
          <t>San Jose, CA</t>
        </is>
      </c>
      <c r="H9" t="inlineStr"/>
      <c r="I9"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role** 
 The Viewer Experience organization owns how people discover, choose, and enjoy content on Roku—from the iconic Home Screen and navigation, to Live TV and Sports, to The Roku Channel and our mobile apps.
 Roku is looking for a product manager to lead the development of next\-generation Ad Experiences and Interactive Advertising solutions that help marketers and advertisers drive visually appealing, high\-impact sponsorships on the platform.
 The ideal candidate will have endless curiosity and can pair a global mindset with locally relevant execution. You should be a gritty problem solver and self\-starter who can drive programs with the product and commercial teams within Roku and across external strategic partner organizations. The successful candidate will display a balance of hard and soft skills, including the ability to respond quickly to changing business needs. 
 For California Only \- The estimated annual salary for this position is between $176,163 \- $233,750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**What you'll be doing** 
 Product Strategy \&amp; Opportunity Assessment
* Identify \&amp; Quantify Opportunities: Conduct rigorous market analysis and user research to identify high\-growth monetization opportunities. Build robust business cases that balance short\-term revenue goals with long\-term ecosystem health.
* Strategic Roadmap Ownership: Define and execute a multi\-quarter roadmap for ad innovation products, ensuring alignment with Roku’s overarching platform strategy and the evolving needs of the programmatic and direct\-sales markets.
 Product Execution \&amp; Lifecycle Management
* High\-Fidelity Documentation: Author comprehensive Feature Guides / Product Requirement Documents (FGs / PRDs) and technical specifications. Translate complex business needs into actionable engineering tasks to ensure on\-time, high\-quality delivery.
* Agile Innovation: Partner with the UX team for rapid prototyping, A/B testing, and iterative design methodologies to validate ad formats. Minimize "time to insight" by testing hypotheses in live environments.
* Operational Excellence: Drive feature prioritization and process improvements, maintaining a relentless focus on key KPIs such as Ad Fill Rate, CPM, User Engagement, and Churn impact.
 Cross\-Functional Leadership \&amp; Communication
* Engineering Partnership: Serve as the "voice of the customer" for the engineering team. Provide deep business context to technical leads to foster creative problem\-solving and architectural scalability.
* Stakeholder Orchestration: Lead a cross\-functional "squad"—including Sales, Marketing, Data Science, Finance, and Legal—to navigate the complexities of privacy regulations and advertising standards.
* Vendor Ecosystem Management: Manage strategic relationships with 3rd\-party technology vendors/partners. Ensure rigorous SLA compliance and influence their roadmaps to align with Roku’s proprietary tech stack.
 Market Intelligence \&amp; Thought Leadership
* AdTech Subject Matter Expertise: Act as the internal authority on AdTech trends (e.g., CTV measurement, identity solutions, shoppable TV). Translate industry shifts into strategic POVs that influence executive decision\-making.
* Competitive Benchmarking: Monitor the competitive landscape of streaming and hardware (OEMs) to ensure Roku remains the industry leader in native, non\-intrusive, and high\-performing ad experiences.
**We're excited if you have** 
* 5\+ years of experience in product management, building advertising and marketing solutions
* Domain expertise in AdTech, AdUX, OTT, and/or DMPs
* An extraordinarily high level of customer empathy
* Experience working with business intelligence/data analytics tools and data dashboarding tools such as Tableau or Looker
* Practical knowledge of Experimentation, A/B Testing, and Lift Measurement
* Data\-driven and an entrepreneurial self\-starter who deals well with ambiguity
* Experience in working with marketers, marketing operations, data scientists, and data analysts
* Strong, influential cross\-functional team leader with experience working in enterprise and matrixed environments
* Excellent problem\-solving skills and ability to work independently
* Minimum of a bachelor’s degree (preferably in engineering); MBA preferred
* Based in San Jose or Santa Monica, with the ability and willingness to travel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10">
      <c r="A10" t="inlineStr">
        <is>
          <t>li-4344803752</t>
        </is>
      </c>
      <c r="B10" t="inlineStr">
        <is>
          <t>Remote: Senior Product Owner</t>
        </is>
      </c>
      <c r="C10" t="inlineStr">
        <is>
          <t>IntePros</t>
        </is>
      </c>
      <c r="D10" t="inlineStr">
        <is>
          <t>linkedin</t>
        </is>
      </c>
      <c r="E10" t="inlineStr"/>
      <c r="F10" t="inlineStr"/>
      <c r="G10" t="inlineStr"/>
      <c r="H10" t="inlineStr"/>
      <c r="I10" t="inlineStr">
        <is>
          <t>IntePros is seeking a Product Owner to join our global client. This role is execution\-focused, emphasizing user story definition, backlog management, delivery support, and ensuring solutions meet user needs and quality standards. Within a SAFe agile environment, the Product Manager acts as the day\-to\-day product authority for their assigned scope, partnering closely with engineering, design, and business stakeholders.
**Responsibilities**
* Define clear product requirements and user stories to enable efficient and accurate delivery by engineering teams.
* Maintain and prioritize the product backlog to maximize value delivery aligned with sprint and quarterly objectives.
* Collaborate with subject matter experts and stakeholders to translate assessment concepts into actionable product specifications.
* Manage the end\-to\-end product development process, ensuring cross\-functional alignment throughout delivery.
* Identify and mitigate risks that could impact product success, including technical, operational, or delivery challenges.
* Support discovery activities to validate user needs and refine solution designs.
* Partner with design and engineering teams to ensure solutions are usable, reliable, and fit for purpose.
* Define acceptance criteria and lead user acceptance testing to ensure high\-quality outcomes.
* Coordinate release readiness activities to support smooth deployment into production.
* Gather and synthesize user feedback to drive continuous improvement.
* Track feature\-level performance metrics to enable data\-driven iteration.
**Qualifications \&amp; Experience**
* Bachelor’s degree required.
* 4–8 years of experience in product management or as a product owner.
* Strong grounding in agile product delivery with a solid understanding of the product development lifecycle; SAFe experience preferred.
* Technical acumen with hands\-on exposure to software development.
* Experience working on B2B digital products; assessment or analytics experience a plus.
* Familiarity with relevant industry trends, technologies, and best practices.
* Proficiency with product management tools such as JIRA, Confluence, and Aha!.
* Strong customer empathy with the ability to translate user needs into clear product requirements.
* Ability to conduct market research and competitive analysis.
* Excellent verbal and written communication skills.
* Detail\-oriented and execution\-focused.
* Strong communicator who can influence and build consensus across business and technical teams.
* Curious, adaptable, and eager to learn complex domains.
* High level of personal accountability and follow\-through.</t>
        </is>
      </c>
    </row>
    <row r="11">
      <c r="A11" t="inlineStr">
        <is>
          <t>li-4356810917</t>
        </is>
      </c>
      <c r="B11" t="inlineStr">
        <is>
          <t>Product Manager</t>
        </is>
      </c>
      <c r="C11" t="inlineStr">
        <is>
          <t>CareerXperts Consulting</t>
        </is>
      </c>
      <c r="D11" t="inlineStr">
        <is>
          <t>linkedin</t>
        </is>
      </c>
      <c r="E11" t="inlineStr"/>
      <c r="F11" t="inlineStr"/>
      <c r="G11" t="inlineStr"/>
      <c r="H11" t="inlineStr"/>
      <c r="I11" t="inlineStr">
        <is>
          <t>**Role Overview** 
 This role is ideal for a strategic and user\-focused
 **Product Manager** 
 who can transform ideas into impactful products. Ownership of the product lifecycle is central, from concept and discovery to launch and optimization, while collaborating closely with cross\-functional teams.
**Key Responsibilities** 
 • Define product vision, strategy, and roadmaps aligned with business objectives
 • Gather, analyze, and prioritize requirements based on user needs and market insights
 • Work closely with engineering, design, marketing, and sales teams
 • Translate business goals into clear user stories and product specifications
 • Monitor product performance and drive continuous improvements
 • Lead product launches and feature enhancements
**Required Skills** 
 • Strong understanding of product lifecycle management
 • Excellent communication and stakeholder management abilities
 • Data\-driven decision\-making and analytical thinking
 • Experience working in Agile or Scrum environments
 • Customer\-centric mindset with strong problem\-solving skills
**Preferred Qualifications** 
 • Experience with SaaS or technology\-driven products
 • Familiarity with tools such as Jira, Confluence, Figma, or Productboard
 • Basic knowledge of UX principles and product analytics
**Why This Role** 
 • Opportunity to own and scale meaningful products
 • Exposure to fast\-paced, growth\-focused environments
 • Career growth through learning and leadership opportunities
 • Competitive compensation with flexible work options</t>
        </is>
      </c>
    </row>
    <row r="12">
      <c r="A12" t="inlineStr">
        <is>
          <t>li-4367493255</t>
        </is>
      </c>
      <c r="B12" t="inlineStr">
        <is>
          <t>Product Manager, API &amp; Platform</t>
        </is>
      </c>
      <c r="C12" t="inlineStr">
        <is>
          <t>Descript</t>
        </is>
      </c>
      <c r="D12" t="inlineStr">
        <is>
          <t>linkedin</t>
        </is>
      </c>
      <c r="E12" t="inlineStr"/>
      <c r="F12" t="inlineStr"/>
      <c r="G12" t="inlineStr"/>
      <c r="H12" t="inlineStr"/>
      <c r="I12" t="inlineStr">
        <is>
          <t>**About The Role**
 Automated video editing is an emerging category, and we're positioned to define it. Media companies want to turn thousands of podcast episodes into social clips. Marketing teams want to automatically create product demos for every release. Agencies want to process client content in bulk with consistent branding. And they want to do all of that at scale.
 As the Product Manager for this 0 to 1 area, you'll build and own the platform that makes this all possible. You'll create APIs that let developers programmatically import media, run AI\-powered edits, and export content. In essence, turning Descript's already powerful editing capabilities into infrastructure that media businesses can depend on.
 What you’ll do
* Own the API and developer experience that lets teams create content workflows at scale
* Launch integrations that unlock new use cases: MCP wrappers, no\-code workflow platforms, and strategic partner integrations
* Work closely with our Agentic AI team to influence what editing capabilities we build and how they're exposed through the API
* Define and grow this business line by shaping positioning, pricing, and go\-to\-market strategy with Sales and Marketing teams
 Who you are
* You’ve shipped technical products before: You have 5 or more years of product management experience shipping internal APIs, developer platforms, and foundational systems that enable other teams
* You build things from scratch: Building a brand new product means venturing into the unknown, and you find that energizing rather than scary. You've taken products from 0 to 1, figured out ambiguous problem spaces, and created the playbook to make it successful.
* You start with the customer: Plenty of “AI products” start with the technology and they all suck. You care deeply about understanding customers, and have experience in doing customer discovery and defining features that solve real problems.
* You are funny, creative, maybe kind of weird: Ok, this isn’t a hard requirement but Descript is kind of a quirky place and the people who love it tend to like that about working here. So, just want to drop a hint early on. Also, the sense of humor is important because even though we take our work seriously it’s still just, like, video creation and editing. We aren’t flying rockets into space so let’s all have a good time.
 The base salary range for this role is $171,000 \- $235,000/year. Final offer amounts will carefully consider multiple factors, including prior experience, expertise, and location, and may vary from the amount above.
**About Descript**
 Descript is building a simple, intuitive, fully\-powered editing tool for video and audio — an editing tool built for the age of AI. We are a team of 150 and the backing of some of the world's greatest investors (OpenAI, Andreessen Horowitz, Redpoint Ventures, Spark Capital).
 Descript is the special company that's in possession of both product market fit and the raw materials (passionate user community, great product, large market) for growth, but is still early enough that each new employee has a measurable influence on the direction of the company.
 Benefits include a generous healthcare package, 401k matching program, catered lunches, and flexible vacation time. Our headquarters are located in the Mission District of San Francisco, CA. We're hiring for a mix of remote roles and hybrid roles. For those who are remote, we have a handful of opportunities throughout the year for in person collaboration. For our hybrid roles, we're flexible, and you're an adult—we don't expect or mandate that you're in the office every day. We do believe there are valuable and serendipitous moments of discovery and collaboration that come from working together in person.
 Descript is an equal opportunity workplace—we are dedicated to equal employment opportunities regardless of race, color, ancestry, religion, sex, national origin, sexual orientation, age, citizenship, marital status, disability, gender identity, or Veteran status. We believe in actively building a team rich in diverse backgrounds, experiences, and opinions to better allow our employees, products, and community to thrive.</t>
        </is>
      </c>
    </row>
    <row r="13">
      <c r="A13" t="inlineStr">
        <is>
          <t>li-4344990635</t>
        </is>
      </c>
      <c r="B13" t="inlineStr">
        <is>
          <t>Product Manager, Lyft Business</t>
        </is>
      </c>
      <c r="C13" t="inlineStr">
        <is>
          <t>Lyft</t>
        </is>
      </c>
      <c r="D13" t="inlineStr">
        <is>
          <t>linkedin</t>
        </is>
      </c>
      <c r="E13" t="inlineStr"/>
      <c r="F13" t="inlineStr"/>
      <c r="G13" t="inlineStr">
        <is>
          <t>San Francisco County, CA</t>
        </is>
      </c>
      <c r="H13" t="inlineStr"/>
      <c r="I13" t="inlineStr">
        <is>
          <t>At Lyft, our purpose is to serve and connect. We aim to achieve this by cultivating a work environment where all team members belong and have the opportunity to thrive.
 We are looking for product managers who bring exceptional creative, strategic, and analytical skills to drive forward a best\-in\-class product. Product management at Lyft leads the integration of engineering, data science, and design to achieve the company’s vision for reinventing transportation. We are looking for entrepreneurial and passionate Product Managers to innovate and execute across a rapidly growing, fast\-paced company and industry.
 The Lyft Business team is one of Lyft’s fastest\-growing and most profitable units, providing transportation solutions for organizations, including business travel, employee commutes, courtesy rides, and non\-emergency medical trips. The scope of Lyft Business is expansive, from B2B capabilities (Self service tools, APIs, billing \&amp; reporting, etc) in addition to the B2B2C Rider experience of Business Profiles \&amp; Rewards.
 The scope of this role is to lead our Lyft Pass Product. Lyft Pass is our B2B2C product that enables organizations to sponsor rides for their employees, customers, or community members. By allowing companies, universities, healthcare providers, and other organizations to cover all or portions of ride costs, Lyft Pass creates seamless transportation solutions that benefit both organizations and riders. The product automatically applies eligible benefits based on customizable parameters like time, location, and ride type.
 We're seeking an experienced Product Manager to own and scale Lyft Pass, one of our key enterprise products. You'll be responsible for driving the product strategy, roadmap, and execution to grow our B2B transportation solutions business. This role sits at the intersection of consumer experience, enterprise needs, and marketplace dynamics.
**Responsibilities** 
**:**
* Understand Lyft's strategic and competitive position. Drive the vision and execution of Lyft Pass. Identify new market opportunities and use cases for sponsored transportation across industries (corporate, healthcare, education, government).
* Build a product roadmap to achieve your goals and lead a core team of Engineers, Enterprise Sales, Designers, Data Scientists, and Product Marketers to execute on it.
* Deeply understand the needs and motivations of your customers across different Business entities and use cases.
* Completely own your team’s products – existing or new – from ideation, through development, launch, growth, and maintenance.
* Clearly communicate roadmaps, priorities, experiments, and decisions across a wide spectrum of audiences from partner teams to executive levels.
**Experience:**
* 4\+ years of product management experience, with at least 2 years in B2B or marketplace products.
* Experience partnering with both tech and non\-technical business teams, such as Enterprise sales or Finance, on product vision, strategy, and execution.
* Natural leadership and ability to make things happen. You manage project ambiguity, complexity, and interdependencies in an organized and structured way, and you are able to define and analyze metrics that inform the success of your products.
* Strong communication skills and intuition for communication strategy at every level \-\- within teams, within the company, to users, and other audiences.
* Detail oriented with superior organizational skills \-\- balancing multiple projects, deadlines, and requests should be second nature to you.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$128,000 \- $160,000,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14">
      <c r="A14" t="inlineStr">
        <is>
          <t>li-4367458774</t>
        </is>
      </c>
      <c r="B14" t="inlineStr">
        <is>
          <t>Senior Product Manager</t>
        </is>
      </c>
      <c r="C14" t="inlineStr">
        <is>
          <t>EllieMD</t>
        </is>
      </c>
      <c r="D14" t="inlineStr">
        <is>
          <t>linkedin</t>
        </is>
      </c>
      <c r="E14" t="inlineStr"/>
      <c r="F14" t="inlineStr"/>
      <c r="G14" t="inlineStr">
        <is>
          <t>Palo Alto, CA</t>
        </is>
      </c>
      <c r="H14" t="inlineStr"/>
      <c r="I14" t="inlineStr">
        <is>
          <t>**Senior Product Manager** 
**Palo Alto, CA \- Hybrid** 
**About EllieMD** 
 EllieMD is on a mission to revolutionize healthcare by empowering individuals with pharmaceutical\-grade products and a network of dedicated brand partners. We believe healthcare should be accessible, transparent, and built on trust. Inspired by the wisdom, strength, and nurturing nature of elephants, our name reflects our commitment to care, integrity, and empowerment—ensuring that our customers, partners, and community feel supported, valued, and protected.
 As a member of our team, you’ll help bring this mission to life by upholding our values of accountability, collaboration, and excellence. We’re looking for individuals who take pride in delivering high\-quality experiences and who thrive in a fast\-moving, innovative environment.
**Position Overview** 
 EllieMD is seeking a Product Manager to build and ship products that drive the evolution of our healthcare platform. In this high\-impact, in\-person role, you will partner closely with cross\-functional leaders to translate strategic vision into tangible products that deliver measurable results. You'll be responsible for deeply understanding the needs of both our customers and Brand Partners, prioritizing initiatives, and collaborating with Design, Engineering, Data, and Operations teams to ship high\-quality products that solve real problems at scale.
 This is an individual contributor role with high visibility and broad organizational collaboration. You'll own products from concept through launch and beyond \- ensuring alignment across teams, driving toward clear success metrics, and continuously iterating based on user feedback and data. You'll thrive in ambiguity, move quickly, and bring both strategic thinking and hands\-on execution to ship products that make a real impact.
**What You’ll Do** 
* Partner directly with the leadership team to translate strategic vision into products that customers and Brand Partners love.
* Deeply understand and embody the voice of our Brand Partners and customers in everything you build.
* Define success metrics, prioritize product problems, and ship solutions that achieve measurable business goals.
* Own and drive one or more products from concept through launch and beyond, maintaining accountability for outcomes and continuous improvement.
* Work closely with Design, Engineering, Data, and Operations to learn quickly, iterate rapidly, and ship high\-quality products.
* Build and maintain product backlogs that balance quick wins with long\-term strategic initiatives, driving progress against milestones and resolving blockers while maintaining team health.
* Gather and analyze user research, product insights, and market analysis to inform what you build and how you prioritize.
* Create structured product documentation, including PRDs, user stories, and technical specifications, to guide implementation and ensure team alignment.
* Coordinate effectively across all functions to ship products that work seamlessly across the customer journey.
* Communicate clearly on what you're building, why it matters, progress updates, and key learnings.
* Identify gaps and interdependencies across systems and proactively ship solutions that enhance organizational efficiency.
* Facilitate brainstorming and strategy sessions, distilling complexity into products that solve real problems.
**Required Qualifications** 
* Ability to work in\-person when needed with the CEO
* 5\+ years of experience in product management, with proven ability to build and scale products from early stages.
* Bachelor's degree required.
* Strong track record of balancing user experience and technical scalability in products you've built.
* Data\-driven approach: skilled at digging into data, defining clear goals, and driving teams to ship products that deliver measurable impact.
* Proven ability to translate strategic vision into products that customers use and love.
* Exceptional written and verbal communication skills, with ability to synthesize complex concepts for diverse audiences.
* Experience facilitating cross\-functional collaboration and influencing without direct authority.
**Preferred Qualifications** 
* Experience in startups, healthcare, health\-tech, or wellness industries.
* Experience with e\-commerce, subscription systems, or marketplace platforms.
* Familiarity with direct sales, MLM, or affiliate/partner network models.
* Experience working with regulated industries (HIPAA, FDA, healthcare compliance).
* Proficiency with product management and collaboration tools (Linear, Figma, Miro, etc.).
* Technical background or strong fluency in working with engineering teams.
 While not required, they reflect the company's technical direction and are valuable as EllieMD scales.
**Who You Are** 
* A builder who thrives at the intersection of vision, systems, and execution—and ships products that prove it.
* Someone who can think strategically while remaining hands\-on in shipping and iterating on products.
* Deeply customer\-focused and obsessed with understanding user needs and building products that solve real pain points.
* Highly organized, self\-directed, and a resourceful problem\-solver who drives products from concept to launch.
* Strong communicator who creates clarity and alignment across diverse stakeholders to ship products efficiently.
* Comfortable working side\-by\-side with executive leadership and cross\-functional teams to build great products.
* Passionate about improving healthcare experiences and building technology products that support both customers and partners.
* Aligned with EllieMD's core values: Accountability, Collaboration, Excellence, Integrity, and Care.
**Compensation \&amp; Structure** 
* **Contract Role:** 
 Starting as a 1099 contractor.
* **Future Conversion:** 
 Planned transition to full\-time W2 in 2026\.
* **Compensation:** 
 $170,000\-$190,000 (commensurate with experience)
* **Benefits:** 
 Planned upon full\-time conversion.
**Equal Opportunity Statement** 
 EllieMD is an equal opportunity employer. We celebrate diversity and are committed to fostering an inclusive environment for all employees. We welcome applicants from all backgrounds, identities, and levels of experience.</t>
        </is>
      </c>
    </row>
    <row r="15">
      <c r="A15" t="inlineStr">
        <is>
          <t>li-4334173776</t>
        </is>
      </c>
      <c r="B15" t="inlineStr">
        <is>
          <t>Senior Product Manager</t>
        </is>
      </c>
      <c r="C15" t="inlineStr">
        <is>
          <t>Zillow</t>
        </is>
      </c>
      <c r="D15" t="inlineStr">
        <is>
          <t>linkedin</t>
        </is>
      </c>
      <c r="E15" t="inlineStr"/>
      <c r="F15" t="inlineStr"/>
      <c r="G15" t="inlineStr"/>
      <c r="H15" t="inlineStr"/>
      <c r="I15" t="inlineStr">
        <is>
          <t>**About The Team**
 The Elevate advertising team at Zillow plays a key role in connecting advertisers with hundreds of millions of customers who visit our platforms. We are responsible for creating impactful ad products and experiences that generate revenue both onsite and offsite, collaborating across Zillow’s consumer brands and business lines to ensure every advertiser and customer interaction is relevant and meaningful.
**About The Role**
 As a Senior Product Manager for Offsite Advertising, you will help shape Zillow’s offsite advertising strategy and product offerings. Your work will directly impact how advertisers reach Zillow’s unique audience beyond our owned and operated channels, driving innovation in digital ad experiences and contributing to Zillow’s mission of unlocking life’s next chapter for our customers.
 You Will Get To
* Serve as Zillow’s expert and thought leader on offsite advertising trends and capabilities
* Own the end\-to\-end ideation, evaluation, execution, and iteration of offsite ad products
* Quantify and prioritize opportunities by business impact to develop and maintain a product roadmap
* Collaborate with engineering, data science, sales, and product teams to support ad data collection and metrics reporting
* Present offsite ad data trends and insights to senior leadership
* Influence other product teams’ roadmaps to drive ad tests and optimize the core ad experience
* Work closely with a highly motivated, cross\-functional team in an agile environment
* Communicate plans, status, and outcomes regularly with partners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$148,600\.00 \- $237,400\.00 annually. This base pay range is specific to these locations and may not be applicable to other locations. In Colorado, Hawaii, Illinois, Minnesota, Nevada, Ohio, Rhode Island, and Vermont the standard base pay range for this role is $141,200\.00 \- $225,600\.00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 5\+ years of experience in product management or marketing with ad technology and/or ad buying experience of $30M\+
* Hands\-on experience building, integrating, or managing Ad Tech products for Social (Meta, TikTok, Pinterest, LinkedIn), CTV, OLV, and OOH technologies
* Strong understanding of industry standards (e.g., OpenRTB, VAST) and the ad tech stack (supply\-side and demand\-side)
* Experience with buy and sell side programmatic advertising platforms (e.g., DV360, The Trade Desk, Amazon DSP, Magnite, Criteo) and knowledge of deal structures
* Proven track record of driving measurable improvements in ad performance through creative testing and iteration
* Ability to define and prioritize product objectives using data aligned to business strategy
* Excellent written communication skills, with experience creating high\-quality product briefs and presentations
* Strong collaboration skills with cross\-functional teams and the ability to influence and resolve challenges
* Here at Zillow, we value the experience and perspective of candidates with non\-traditional backgrounds. We encourage you to apply if you have transferable skills or related experiences.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16">
      <c r="A16" t="inlineStr">
        <is>
          <t>li-4367492636</t>
        </is>
      </c>
      <c r="B16" t="inlineStr">
        <is>
          <t>AI Product Owner</t>
        </is>
      </c>
      <c r="C16" t="inlineStr">
        <is>
          <t>Intellibee Inc</t>
        </is>
      </c>
      <c r="D16" t="inlineStr">
        <is>
          <t>linkedin</t>
        </is>
      </c>
      <c r="E16" t="inlineStr"/>
      <c r="F16" t="inlineStr"/>
      <c r="G16" t="inlineStr">
        <is>
          <t>Charlotte, AR</t>
        </is>
      </c>
      <c r="H16" t="inlineStr"/>
      <c r="I16" t="inlineStr">
        <is>
          <t>AI Product Owner, Charlotte, NC, US
**AI Product Owner**
**Top Three Skills**
 Understanding of AI concepts including machine learning, generative AI. data science, model lifecycle.
 Project Management – extremely organized and able to juggle multiple moving pieces \-Stakeholder communication
 Ability to communicate with data scientists, engineer, and business leadership;
**Required Skills**
* Understanding of AI technologies, specifically within Azure and Bedrock
* Project or product management skills.
* Strong analytical and problem
* Solving skills to address technical challenges and optimize AI models;
**Desired Skills**
* Understanding of data scientist practices, ability to understand different methodologies to measure AI use cases
* Data and ethics awareness.
* Ability to identify, assess, and mitigate risks associated with AI project
* Familiarity with software development practices, version control, and deployment strategies;
**Ideal Candidate Profile**
* An ideal candidate for the AI Product Analyst should have a strong understanding in AI, project/product management, and proficiency in Agile methodologies.
* They must excel in communication and leadership, effectively managing cross\-functional teams and engaging with business and risk stakeholders to ensure alignment and successful project delivery from experimentation to production.
* Additionally, the candidate should be adept at defining AI use cases, setting clear objectives, and establishing measurable success criteria to evaluate the impact and performance of AI solutions. Their ability to translate complex technical concepts into actionable business insights will be crucial in driving innovation and achieving strategic goals;
**Industry Experience:** 
 Financial or related industry;
**Tools or Technologies:** 
 Cloud platforms such as Azure and Bedrock, Other AI solutions;
**Detailed Job Description**
* Guide specific lines of business on how to experiment, integrate and measure AI use cases.
* Collaborate closely with other product teams, lines of businesses, engineering, data governance, and data science teams to experiment and implement Generative AI and AI / Machine Learning solutions in production.
* Gather, document, and provide business requirements, system requirement specification reviews, analytics requirements, and user acceptance testing for projects and releases that impact the digital channel.
* Continuously assess market needs, adapting the product strategy to capitalize new opportunities and address evolving challenges in the AI space.
* Support the overall product lifecycle launch and ongoing improvements. Monitor Key Performance Indicators user feedback.
* Identify potential risks and mitigations throughout the product development.
* Ability to break a large, complex and ambiguous problem into small well defined use cases and roadmap them. Define appropriate and measurable KPIs for a use case for estimating and measuring business impact.
* Experience supporting business units to develop AI Strategies for products.
* Flexible attitude, ability to perform under pressure, ability to achieve balance between the right technical and business solution, ability to translate complex technical information into simple terms, commitment to quality, thorough approach, and pride in what we deliver.
* Passion for creating leading edge solutions to complex business problems, appetite for career advancement through expanded responsibility, desire to learn new things and work on different teams, interest in solving the puzzle (intellectual curiosity), objective thinking and perspective (courage of our convictions)
* Consulting experience preferred within project or product management.</t>
        </is>
      </c>
    </row>
    <row r="17">
      <c r="A17" t="inlineStr">
        <is>
          <t>li-4367482280</t>
        </is>
      </c>
      <c r="B17" t="inlineStr">
        <is>
          <t>Principal Product Manager</t>
        </is>
      </c>
      <c r="C17" t="inlineStr">
        <is>
          <t>People Inc.</t>
        </is>
      </c>
      <c r="D17" t="inlineStr">
        <is>
          <t>linkedin</t>
        </is>
      </c>
      <c r="E17" t="inlineStr"/>
      <c r="F17" t="inlineStr"/>
      <c r="G17" t="inlineStr">
        <is>
          <t>New York, NY</t>
        </is>
      </c>
      <c r="H17" t="inlineStr"/>
      <c r="I17" t="inlineStr">
        <is>
          <t>**About The Position \|
 *Major goals and objectives and location requirements***
 We are seeking an experienced and strategic Principal Product Manager to own and evolve the core services, platforms, and content management systems (CMS) that power the PEOPLE app. This role focuses on building scalable, reliable, and flexible platforms that enable editorial, product, and engineering teams to efficiently deliver high\-quality consumer experiences at scale.
 This is a senior individual contributor role requiring strong systems thinking, deep collaboration across functions, and the ability to balance immediate delivery needs with long\-term platform health and leverage. The Principal Product Manager will partner closely with engineering, design, editorial, and other product teams to define platform strategy, execute against complex roadmaps, and unlock velocity across the organization for one of the most iconic brands in media.
**Hybrid 3x a week\- (New York, NY)**
**In\-office Expectations: This position is hybrid in\-office, with the ability to work remotely for up to 2 days per week.** 
**About The Positions Contributions:**
**Accountabilities, Actions and Expected Measurable Results:** 
* Own the vision, strategy, and roadmap for core app services and CMS platforms that support multiple product surfaces and internal teams across the PEOPLE app ecosystem.
* Lead the execution of platform initiatives, balancing short\-term business and editorial needs with long\-term scalability, reliability, and maintainability.
* Serve as the primary product partner for internal customers (including editorial, business, content operations, engineering, and other product teams), deeply understanding their workflows, pain points, and success metrics.
* Be accountable for platform success through measurable outcomes such as internal adoption, content velocity, publish latency, system reliability, and downstream impact on consumer\-facing experiences.
* Collaborate closely with engineering to shape technical strategy, including service architectures, APIs, data models, integrations, and platform capabilities.
* Manage platform dependencies across teams, align stakeholders on priorities, and reduce duplication of effort through shared services and clear product direction.
* Use qualitative and quantitative insights to inform prioritization and decision\-making, validating solutions through internal user testing, phased rollouts, and experimentation where appropriate.
* Lead platform migrations, system improvements, and deprecations while minimizing disruption to internal teams and maintaining operational stability.
* Act as a hands\-on platform product expert and mentor, sharing best practices and contributing to the overall maturity of product management within the organization.
* 
**The Role’s Minimum Qualifications and Job Requirements:**
**Education:** 
 Bachelor’s degree in Computer Science, Business, or related field (MBA or equivalent advanced degree preferred).
**Experience:** 
* 7\+ years of product management experience, including ownership of platforms, services, CMS, or internal tools that support multiple stakeholders and product surfaces.
* Proven experience defining and managing complex roadmaps for foundational systems in collaboration with engineering and cross\-functional partners.
* Demonstrated ability to lead cross\-functional teams through ambiguity, technical constraints, and competing priorities to deliver durable platform solutions.
* Experience supporting content\-heavy, media, or editorial\-driven products is a strong plus.
**Specific Knowledge, Skills, Certifications and Abilities:** 
* Strong systems thinking with the ability to design and evolve platforms that balance flexibility, consistency, and speed.
* Understanding of how platform services and CMS systems support and scale high\-quality mobile app experiences across iOS and Android.
* Experience partnering with engineering on service\-oriented architectures, APIs, and data\-driven systems.
* Comfort working with legacy systems, platform migrations, and long\-term technical investments.
* Familiarity with Agile methodologies and modern product development practices.
* Excellent communication and stakeholder management skills, with the ability to align diverse teams around shared platform goals.</t>
        </is>
      </c>
    </row>
    <row r="18">
      <c r="A18" t="inlineStr">
        <is>
          <t>li-4367265307</t>
        </is>
      </c>
      <c r="B18" t="inlineStr">
        <is>
          <t>Product Manager, Web Experience</t>
        </is>
      </c>
      <c r="C18" t="inlineStr">
        <is>
          <t>The Jed Foundation (JED)</t>
        </is>
      </c>
      <c r="D18" t="inlineStr">
        <is>
          <t>linkedin</t>
        </is>
      </c>
      <c r="E18" t="inlineStr"/>
      <c r="F18" t="inlineStr"/>
      <c r="G18" t="inlineStr"/>
      <c r="H18" t="inlineStr"/>
      <c r="I18" t="inlineStr">
        <is>
          <t>**Application Deadline:** 
 28 February 2026
**Department:** 
 02\. OPS\-Digital Products
**Location:** 
 Remote
**Compensation:** 
 $90,000 \- $125,000 / year
**Description**
 The Jed Foundation (JED) is a nonprofit organization that protects emotional health and prevents suicide for our nation’s teens and young adults. JED seeks a highly motivated and experienced Product Manager to join our team. Reporting to the Vice President of Digital Products, the Product Manager will guide the strategy, execution, and performance of one of its most critical digital assets: JedFoundation.org. This position requires a highly skilled and experienced individual who is passionate about helping organizations grow and deliver impact through digital products and experiences. Initially, you will lead a team through the comprehensive redesign of JedFoundation.org to better serve each of its diverse audiences and organizational objectives. Following the launch, you will guide the product’s ongoing strategy and implementation to ensure it effectively supports JED's growth goals. You will be responsible for balancing three key priorities: delivering free, evidence\-based resources through our Mental Health Resource Center; driving revenue through data\-driven online fundraising; and growing the reach of JED's programs by generating qualified leads for our school, community, and policy/advocacy initiatives
**Key Responsibilities**
**Website Redesign \&amp; Launch (Year 1\)**
* **Discovery \&amp; Strategy:** 
 Guide the discovery, research, and strategic planning for the full\-scale redesign of JedFoundation.org, aligning all stakeholders on project goals, KPI’s, scope, and audience needs.
* **Project Leadership:** 
 Act as the central owner for the redesign project, managing the timeline, budget, and relationships with internal teams (Marketing, Programs, Development) and external vendors (design and development agencies).
* **Collaborate on Product Design and Prototyping:** 
 Championing a user\-centric and data\-informed approach, you’ll partner with product designers in the co\-creation, prototyping and testing of new site designs. You’ll support the design team in creating intuitive, engaging, and highly accessible (WCAG compliant) user journeys, along with a scalable UI design system for implementation. This includes working with youth and other key stakeholders to co\-design solutions that deliver critical value for both JED and its users.
* **Requirements \&amp; Execution:** 
 Translate stakeholder needs and user research into clear product requirements, user stories, and acceptance criteria for the engineering team.
* **QA Testing and Launch Preparation** 
 : Oversee the content migration, QA testing, and go\-live procedure to mitigate risk of SEO loss and avoid introducing usability or performance issues.
* **Launch and Change Management:** 
 Work with internal staff and external partners to facilitate the deployment . Coordinate training and documentation support to ensure seamless change management. Establish baseline KPIs and measurement plans to evaluate the new site's success.
**Ongoing Product Management \&amp; Strategy (Post\-Launch)**
* **Agile Leadership:** 
 Guide a cross\-department team through continuous optimization and scaling of this product by championing a data\-informed, iterative process where user feedback and analytics drive a shared roadmap of feature enhancements, growth experiments, fixes and ongoing maintenance. Develop and maintain product documentation, including product manuals, release notes, user guides, and FAQs.
* **Data\-Driven Decisions:** 
 Continuously analyze site performance using BI and data analytics tools to identify optimization opportunities and guide the ongoing implementation of data\-informed product improvements. Collaborate with data and evaluation teams to ensure JED stakeholders and constituents have access to key data for reporting and growth. Maintain up\-to\-date knowledge of digital product trends and emerging technologies, and incorporate these into product management strategies.
* **Vendor Managemen** 
 t: Collaborate with external partners and ensure our digital products are developed and maintained according to best practices and industry standards.
* **Product Roadmap:** 
 Develop, own, and communicate the long\-term product roadmap for JedFoundation.org, prioritizing features and enhancements that align with JED's strategic objectives.
* **Oversee The Quality Assurance Lifecycle** 
 : Refine and lead JED’s quality assurance testing protocols throughout the product lifecycle. Work with internal and external engineers, JED program staff, and external QA partners to ensure the site is performant and usable across audiences and devices.
* **Stakeholder Alignment:** 
 Act as the primary digital product expert, regularly reporting on performance, gathering feedback, and aligning cross\-functional teams around a unified product vision.
**Functional Optimization \&amp; Growth (Core Priorities)**
* **Mental Health Resource Center:** 
 Partner with JED's clinical and content teams to enhance the discoverability, accessibility, and impact of our free, evidence\-based mental health resources.
* **Data\-Driven Fundraising:** 
 Collaborate with the Development and Marketing teams to design, test, and optimize online donation funnels, appeal pages, and user flows to grow revenue.
**Program \&amp; Advocacy Lead Generation:** 
 Design and refine conversion pathways to capture and nurture new leads for JED's school and community programs, as well as its policy and advocacy work, integrating seamlessly with our CRM (e.g., Salesforce).
**Skills, Knowledge \&amp; Expertise**
* **5\+ years of experience** 
 in digital product management, with a proven track record of managing high\-traffic, content\-rich websites.
* **Demonstrated experience leading a large\-scale product redesign** 
 from discovery through launch and iteration.
* **Strong technical literacy,** 
 including deep experience with CMS platforms (e.g., Contentful, Wordpress), BI/analytics and data infrastructure (eg: GA4, Looker, Snowflake), collaboration/design and testing tools (eg: Figjam, Maze) experimentation and user behavior tools (VWO, Hotjar, Qualtrics).
* **Expertise in data\-driven decision\-making,** 
 with a strong ability to conduct A/B tests, analyze user data, and translate insights into product requirements.
* **Experience working in an agile/scrum** 
 development environment, with a strong understanding of product owner responsibilities.
* **Proven success in optimizing digital funnels** 
 for specific conversion goals, such as online fundraising, e\-commerce, or lead generation.
* **Exceptional communication and stakeholder management skills,** 
 with the ability to unite diverse, non\-technical teams around a common goal.
* **Deep understanding of UX/UI principles** 
 and a passionate commitment to web accessibility (WCAG) and creating inclusive digital experiences.
* **Experience with SEO/SEM best practices** 
 and marketing automation/CRM integrations (Salesforce preferred).
**Experience with social impact, behavioral health, or education** 
**field** 
 is a plus.
**Pay Ranges:**
 The range listed on this job posting is based on JED's compensation posting ranges. The range(s) are informed by market research conducted across various U.S. regions and are designed to account for geographic differences in compensation.
 **Actual salary will depend on factors such as experience, qualifications, and work location and may not exceed the posted pay ranges.**
**Location/Travel Information:**
 Roles at JED are primarily
 **hybrid** 
 and based out of the
 **New York City Tri‑State Area** 
 , which supports all of JED’s core services and functions. For positions supporting
 **JED’s Policy \&amp; Advocacy team, the location is based in the Washington, D.C. area** 
 .
**Certain positions may have additional or specific location requirements as determined by organizational needs.** 
**Location requirements for each role are specified on the top right of this job opening page — please pay particular attention when applying.** 
 Also note that JED does not cover permanent relocation costs at this time.
 In‑person attendance is required for periodic retreats or business meetings at JED’s central office in NYC or other locations as designated by JED leadership. Additional travel may be required based on role responsibilities, team priorities, or organizational projects.
**Work Authorization**
 All applicants must be legally authorized to work in the United States. JED does not provide employment visa sponsorship at this time.
**Physical Requirements:** 
* Prolonged periods of sitting and working on a computer, including typing, viewing screens, and engaging in virtual meetings.
* Frequent phone, email, and video conferencing communication require clear speech, active listening, and visual acuity.
* Occasional standing, walking, and lifting up to 25 pounds for conference booth setup, promotional materials, or event\-related tasks.
* Flexibility to adjust to different work environments, including home offices, shared workspaces, and on\-site event locations.
**General Benefits:**
 At JED, you’ll join a team of compassionate professionals committed to protecting youth mental health. Our mission\-driven culture encourages collaboration, innovation, and a shared sense of purpose. Join us to make a meaningful impact in the lives of young people across the country.
 Employees who are eligible for benefits may participate in JED’s equity program and have access to a comprehensive benefits package that includes medical, dental, vision, retirement, mental health support, and more.
 For our benefits\-eligible employees (such as full\-time staff), we also offer a generous paid time off policy, an Employee Assistance Program (EAP), and a 401(k) plan with employer matching. Temporary staff and interns may be eligible for limited benefits.
***These benefits apply to all benefits\-eligible permanent staff. Eligibility may vary based on role, employment status, and location. Temporary employees and interns are eligible for limited benefits, which will be communicated during the hiring or onboarding process.***
**🌟 Benefits That Support You — Professionally and Personally** 
 At JED, we’re committed to creating an environment where our team can thrive. From generous time off to comprehensive health and financial benefits, we’ve got you covered.
**🏖️ Paid Time Off** 
* **Vacation** 
 – \~15 days per year to rest, recharge, and reset (increases to 20 days after 4 years)
* **Holidays** 
 – 10 paid holidays throughout the year
* **Floating Holiday** 
 – 1 personal day to use however you'd like
* **Birthday Day Off** 
 – Take your birthday off to celebrate YOU! 🎉
* **Winter Break (No FOMO Week)** 
 – 5\-day, all\-team holiday closure at the end of each calendar year
* **Personal Leave (Life Leave)** 
 – 3 days annually to take care of life—errands, appointments, or personal time
* **Sick Leave** 
 – 6 days annually for your health or to care for a sick loved one
**🛑 Leaves of Absence** 
 We follow all applicable
 **state and federal leave guidelines** 
 , including the
 **Family and Medical Leave Act (FMLA)** 
 and
 **state\-specific family and medical leave programs** 
 (e.g., NYS Paid Family Leave). Where no state plan exists, we use NYS PFML as a baseline. Please note:
 **Eligibility or waiting periods may apply** 
 depending on the type of leave and your location. We will help you navigate your options should a leave need arise.
**⏱️ Other Time Off** 
* **Bereavement Leave** 
 – 5 days of paid leave for the loss of an immediate family member
* **Jury Duty** 
 – Paid time off to fulfill your civic responsibility
**💸 Health \&amp; Financial Wellbeing** 
* **Transit Benefits** 
 – Use pre\-tax dollars for eligible commuting costs
* **Flexible Spending Account (FSA)** 
 – Pay for qualifying out\-of\-pocket healthcare or dependent care expenses with pre\-tax dollars
* **Healthcare Reimbursement Arrangements (HRA):** 
	+ **Mental Health HRA** 
	 – $1,500/year for all benefits\-eligible staff, with additional funds for those covering dependents
	+ **Health HRA** 
	 – Available for employees enrolled in JED’s medical plan
	+ **Dental HRA** 
	 – Available for employees enrolled in JED’s dental plan
**🩺 24/7 Health Support** 
* **Employee Assistance Program (EAP)**
* **Teladoc Virtual Health** 
 – 24/7 access to doctors and mental health professionals, at no cost to you
**🪙 Retirement Planning** 
* **401(k) Safe Harbor Plan** 
	+ Start contributing on
	 **Day 1**
	+ **Employer Match** 
	 (after 6 months):
		- 100% match on the first 3% of compensation
		- 50% match on the next 2%
 We’re building a mission\-driven team—and that starts by investing in the people behind the mission.
**Reasonable Accommodations Statement**
 We are committed to providing an inclusive and accessible hiring process for all candidates. If you require a reasonable accommodation to participate in the application or interview process, please let us know by responding to the confirmation emails you receive from us when you apply or schedule an interview. We will work with you to meet your needs in accordance with applicable laws.
**Equal Employment Opportunity ("EEO") Statement**
 JED is committed to fostering a diverse and inclusive workplace that values collaboration and creativity. We are proud to be an Equal Opportunity Employer, and we do not discriminate on the basis of race, color, religion, gender, sexual orientation, age, disability, or any other protected characteristic in accordance with applicable state, federal, and local laws. We welcome and encourage individuals from all backgrounds to apply and contribute to our mission of protecting emotional health and preventing suicide.</t>
        </is>
      </c>
    </row>
    <row r="19">
      <c r="A19" t="inlineStr">
        <is>
          <t>li-4345929542</t>
        </is>
      </c>
      <c r="B19" t="inlineStr">
        <is>
          <t>Senior Product Manager, SLG</t>
        </is>
      </c>
      <c r="C19" t="inlineStr">
        <is>
          <t>Everbridge</t>
        </is>
      </c>
      <c r="D19" t="inlineStr">
        <is>
          <t>linkedin</t>
        </is>
      </c>
      <c r="E19" t="inlineStr"/>
      <c r="F19" t="inlineStr"/>
      <c r="G19" t="inlineStr"/>
      <c r="H19" t="inlineStr"/>
      <c r="I19" t="inlineStr">
        <is>
          <t>As a Senior Product Manager, you will play a pivotal role in shaping the vision, strategy, and roadmap for the products that drive our Public Sector portfolio for State and Local. The existing and new products in this portfolio combine our industry\-leading Critical Event Management Platform and purpose\-built offering for the Public Sector. You will collaborate across teams to drive innovation, deliver value to our customers, and maintain our position as a market leader in CEM.
**What You'll Do**
* Define and communicate the product vision, strategy, and roadmap for CEM for Public Sector, particularly State and Local Government
* Lead cross\-functional teams, including engineering, design, and marketing, to deliver high\-quality features and enhancements.
* Gather and prioritize customer feedback and market insights to inform product decisions.
* Develop detailed requirements and user stories that translate customer needs into actionable development tasks.
* Ensure seamless integration of government regulations to enhance product compliance
* Collaborate with sales and customer success teams to enable effective go\-to\-market strategies and customer adoption.
**What You'll Bring**
* Bachelor’s degree in engineering, computer science, or a related field (MBA is a plus).
* 5\+ years of experience as a Product Manager, preferably in a SaaS environment and in Public Sector.
* Experience building and delivering both SaaS and mobile products, with a strong understanding of how the two interact to drive user value.
* Strong understanding of Agile and Scrum methodologies.
* Familiarity with Critical Event Management solutions, Public Notification solutions, Nixle is a plus.
* Excellent communication, collaboration, and leadership skills.
* Proficiency in using product management tools (e.g., JIRA, Trello, Aha!).
* Proven ability to manage multiple priorities and meet deadlines.
* Passion for technology and a keen interest in emerging trends in critical event management and business continuity.
 The reasonably estimated salary for this role at Everbridge ranges from $105,000 \- $141,000 and may also include variable compensation. Actual compensation is based on factors such as the candidate's skills, qualifications, and experience. In addition, Everbridge offers a wide range of best in class, comprehensive and inclusive employee benefits for this role including healthcare, dental, parental planning, and mental health benefits, disability income benefits, life and AD\&amp;D insurance, a 401(k) plan and match, paid time off, and fitness reimbursements.
**Fair Chance Statement US \&amp; Canada**
 We are committed to providing equal employment opportunities in compliance with all applicable Federal, Provincial/State and Local laws, including the California Fair Chance Act and any local County Fair Chance Ordinance (or local equivalent). Pursuant to these and other relevant regulations, we consider qualified applicants with criminal histories in a manner consistent with the law.
 For roles subject to background checks, the following material job duties may be affected by an applicant’s criminal history:
* Access to sensitive or confidential information, such as financial records, proprietary data, or client information.
* Management of cash, company funds, or other valuable assets.
* Work in environments requiring heightened security measures.
* Compliance with contractual or regulatory requirements specific to the position.
 We evaluate each applicant's criminal history individually, considering its nature, timing, and relevance to the specific job duties, while maintaining our commitment to fair hiring practices and promoting workplace equity.
**About Everbridge**
 Everbridge empowers enterprises and government organizations to anticipate, mitigate, respond to, and recover stronger from critical events. In today’s unpredictable world, resilient organizations minimize impact to people and operations, absorb stress, and return to productivity faster when deploying critical event management (CEM) technology. Everbridge digitizes organizational resilience by combining intelligent automation with the industry’s most comprehensive risk data to Keep People Safe and Organizations Running™. For more information, visit www.everbridge.com, read the company blog, and follow on Twitter. Everbridge… Empowering Resilience
*Everbridge is an Equal Opportunity/Affirmative Action Employer. All qualified Applicants will receive consideration for employment without regard to race, creed, color, religion, or sex including sexual orientation and gender identity, national origin, disability, protected Veteran Status, or any other characteristic protected by applicable federal, state, or local law.*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0">
      <c r="A20" t="inlineStr">
        <is>
          <t>li-4367444962</t>
        </is>
      </c>
      <c r="B20" t="inlineStr">
        <is>
          <t>Product Manager</t>
        </is>
      </c>
      <c r="C20" t="inlineStr">
        <is>
          <t>NetApp</t>
        </is>
      </c>
      <c r="D20" t="inlineStr">
        <is>
          <t>linkedin</t>
        </is>
      </c>
      <c r="E20" t="inlineStr"/>
      <c r="F20" t="inlineStr"/>
      <c r="G20" t="inlineStr">
        <is>
          <t>San Jose, CA</t>
        </is>
      </c>
      <c r="H20" t="inlineStr"/>
      <c r="I20" t="inlineStr">
        <is>
          <t>**Job Summary**
 NetApp is seeking an experienced and results\-driven Senior Product Manager, Monetization to join our dynamic Cloud Storage \&amp; Services Business Unit.
 In this role, you’ll have the unique opportunity to shape impactful monetization strategies that drive business success while maintaining alignment with long\-term strategic objectives. By collaborating effectively with cross\-functional teams, you’ll lead initiatives from inception to execution with a focus on delivering measurable results.
**Responsibilities**
* To be successful in this highly visible role, you should be able to work in a dynamic environment, think big, and be comfortable navigating complexity and ambiguity. You should have strong business and communication skills, be comfortable analyzing data to provide data\-driven recommendations, and be able to partner with stakeholders to help define key business questions and build solutions that answer them.
* Drive the end\-to\-end execution of product initiatives by partnering with cross\-functional teams (engineering, operations, marketing, sales and customer success) to ensure seamless rollout of new models, feature bundles, and market offers
* Develop product enhancements and packaging options that elevate the customer value proposition and resonate with target enterprise segment
**Qualifications**
* 5\+ years leading integrated Hardware \&amp; Software products strategy, including release management, field\-reliability feedback, and compliance/readiness for enterprise customers aligning organizational priorities and the needs of customers.
* 3\+ years driving multi\-year product transformations for technical products (platform modernization, cloud/hyperscaler migrations, or pricing model shifts etc.) with operating\-model design, OKRs \&amp; KPI governance, and executive stakeholder alignment.
* Experience working directly with hyperscalers to leverage co\-marketing strategies and deploy advanced AI/ML solutions.
* Experience applying AI based solutions to conduct user interviews, run experiments, simplify customer experience and define innovative monetization/growth strategy
* 2 years of post\-MBA experience owning the creation and implementation of long\-term product strategies with an engineering background
* Expertise in owning and driving roadmap strategy, definition, and execution.
* Demonstrated ability to lead end\-to\-end product delivery processes effectively
* Experience in the cloud storage and services industry is preferred
* Advanced analytical skills with the ability to dive into product usage data and experiment results. Familiarity with data analysis tools (e.g., Python, Excel) and experience with statistical analysis and A/B testing frameworks is a must
**Education**
 Bachelor's degree in Engineering with a STEM focused MBA preferred.
**Compensation**
 The target salary range for this position is 154,700 \- 231,000 USD.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(PTO),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t>
        </is>
      </c>
    </row>
    <row r="21">
      <c r="A21" t="inlineStr">
        <is>
          <t>li-4344962071</t>
        </is>
      </c>
      <c r="B21" t="inlineStr">
        <is>
          <t>Staff Product Manager, Mobile - US (Remote)</t>
        </is>
      </c>
      <c r="C21" t="inlineStr">
        <is>
          <t>Luxury Presence</t>
        </is>
      </c>
      <c r="D21" t="inlineStr">
        <is>
          <t>linkedin</t>
        </is>
      </c>
      <c r="E21" t="inlineStr"/>
      <c r="F21" t="inlineStr"/>
      <c r="G21" t="inlineStr"/>
      <c r="H21" t="inlineStr"/>
      <c r="I21" t="inlineStr">
        <is>
          <t>**Luxury Presence** 
 is the leading growth platform for high\-performing real estate agents, teams, and brokerages. The company provides agent\-branded websites, advanced marketing tools, and Presence® CRM, the AI relationship engine that transforms an agent’s sphere into a proactive source of new business. More than 17,000 real estate businesses rely on Luxury Presence to elevate their brand, attract clients, and grow their business, including 30% of the Wall Street Journal RealTrends top agents and teams.
 Why this role
 We’re reshaping how agents and clients find and sell homes together — a high‑stakes, emotional journey that over 100,000 buyers and sellers take through our products every year. When collaboration breaks, agents lose visibility, clients lose confidence, and decisions drift to other apps. You’re here to fix that.
 As a Staff Product Manager, you’ll own the pulse of agent–client collaboration. You’ll define an industry\-leading experience that blends shared search, communication, and decision‑making across our premium mobile app and a fully reimagined web portal. This is a flagship initiative and one of the biggest unlocks for where Luxury Presence is headed.
 You’ll work with a highly empowered team of cutting‑edge, AI‑enabled engineers, supported by in‑house AI tooling that gives PMs rapid prototyping, experimentation, and insight generation at their fingertips. You’ll work with an empowered team to build fast, learn fast, and ship directly. And because LP is known for top‑tier design and a client base filled with high‑performing, often well‑known agents, the bar for craft is high; and you’ll have the talent around you to meet it.
 If you want to shape a critical consumer experience at a pivotal moment for the company, this is your role.
**What You’ll Do**
* Own the vision, strategy, and roadmap for agent–client collaboration across mobile and web
* Uncover the behaviors and gaps that cause client engagement to drift to other platforms, and uncover solutions that pull that value back into our ecosystem
* Partner with design and engineering to build a collaboration experience that works the way real people do: for agents hustling between showings and clients making decisions in the margins of their busy lives
* Work with design to deliver a polished, intuitive experience that reflects LP’s industry‑leading aesthetic
* Strengthen core flows: shared search, shortlists, messaging, notifications, and decision checkpoints, to keep clients aligned and moving
* Use our in‑house AI tooling to turn ideas into proofs fast: gathering insights, validating direction, and feeding clean, build‑ready specs straight into our AI‑enabled engineering pipeline
* Run experiments to improve activation, engagement, retention, and deal velocity
* Define and own success metrics that prove we’re helping our customers win: agents actively invite their clients to collaborate, those clients return frequently every week, and as a result, deals close faster
**What We’re Looking For**
* 7\+ years of product management experience with a proven track record of building and iterating mobile products to drive measurable outcomes
* Demonstrated success creating experiences that build trust, form new habits, and deliver repeat engagement
* Strong systems and experience design skills. You see how data, flows, and UI come together to drive behavior
* Deep comfort with experimentation: funnels, metrics, test design, and rapid iteration
* Experience building AI‑assisted or signal‑driven features that shape recommendations, personalization, or collaboration
* Strong partnership instincts. You elevate engineering and design, and they elevate you
* A high bar for craft: clarity, polish, and precision matter to you
* Comfortable in fast‑moving environments where ambiguity is normal and momentum is expected
* Experience in real estate, marketplaces, or multi‑sided consumer products is a plus
**Why You’ll Love It Here**
* 🚀 Join a product‑led, design‑forward company trusted by many of the industry’s top‑performing, and often famous, real estate agents
* 🎯 Own one of LP’s most strategically important initiatives: the collaboration experience that unlocks the future of our platform
* 🤖 Build with cutting‑edge, AI‑enabled engineers and in‑house AI tooling that lets PMs prototype, test, and ship with speed
* 📱 Work on a deeply consumer‑facing product used by over 100,000 buyers and sellers each year
* 🌍 Thrive in a remote‑first, async‑friendly environment
* 🌱 Step into a role with real influence, with no giant enterprise customers dictating your roadmap
**Join us in shaping the future of real estate**
 The real estate industry is in the midst of a seismic shift, and the future belongs to those who break new ground. As one of the fastest\-growing companies in the proptech and marketing sectors, Luxury Presence challenges the status quo of what technology can do for real estate agents, leaders, and brokerages.
 We’re a team of agile and tenacious innovators working collaboratively to drive the industry forward. Together, we build game\-changing products that empower modern real estate entrepreneurs to dominate their markets. From award\-winning web design to agile SEO solutions to cutting\-edge AI tools, we deliver tech that anticipates market shifts and keeps our clients ahead of their competition.
 Founded in 2016 by Stanford Business School alum Malte Kramer, Luxury Presence has grown to a global team ranked on the Inc. 5000 fastest\-growing companies list three years in a row. We’re backed by world\-class investors, including Bessemer Venture Partners, Toba Capital, and Switch Ventures, and have raised
 **$52\.6 million** 
 to date.
 More than 17,000 real estate businesses rely on our platform, including 30% of the Wall Street Journal RealTrends top agents and teams. Additionally, many of the industry’s most powerful brokerages — including Compass, Coldwell Banker, and Sotheby’s International Realty — rely on Luxury Presence as a trusted business partner.
 Every year since 2020, Luxury Presence has ranked on BuiltIn’s Best Place to Work lists. HousingWire named our founder and CEO a 2024 Tech Trendsetter, we’ve received several Tech100 Awards, and our lead nurturing tool just scored an Inman Innovation Award for Best AI\-Powered Platform.
**Luxury Presence is an Equal Opportunity Employer.** 
 All qualified applicants will receive consideration for employment without regard to race, color, religion, sex, sexual orientation, gender identity, or national origin.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2">
      <c r="A22" t="inlineStr">
        <is>
          <t>li-4356670589</t>
        </is>
      </c>
      <c r="B22" t="inlineStr">
        <is>
          <t>Senior Product Manager</t>
        </is>
      </c>
      <c r="C22" t="inlineStr">
        <is>
          <t>DocGo</t>
        </is>
      </c>
      <c r="D22" t="inlineStr">
        <is>
          <t>linkedin</t>
        </is>
      </c>
      <c r="E22" t="inlineStr"/>
      <c r="F22" t="inlineStr"/>
      <c r="G22" t="inlineStr">
        <is>
          <t>New York, NY</t>
        </is>
      </c>
      <c r="H22" t="inlineStr"/>
      <c r="I22" t="inlineStr">
        <is>
          <t>**Title:** 
 Senior Product Manager
**Employment Type:** 
 Full\-Time
**Location:** 
 685 Third Avenue New York, NY 10017 (on\-site)
**Annual Salary Range:** 
 $130,000 \- $150,000
**Benefits:** 
 Medical, Dental, and Vision (with company contribution), Paid Time Off, 401k
**About DocGo:** 
 DocGo is leading the proactive healthcare revolution with an innovative care delivery platform that includes mobile health services, population health, remote patient monitoring, and ambulance services. DocGo disrupts the traditional four\-wall healthcare system by providing high quality, highly affordable care to patients where and when they need it. DocGo's proprietary, AI\-powered technology, logistics network, and dedicated field staff of over 5,000 certified health professionals elevate the quality of patient care and drive efficiencies for municipalities, hospital networks, and health insurance providers. With Mobile Health, DocGo empowers the full promise and potential of telehealth by facilitating healthcare treatment, in tandem with a remote physician, in the comfort of a patient's home or workplace. Together with DocGo's integrated Ambulnz medical transport services, DocGo is bridging the gap between physical and virtual care.
**Position Overview:** 
 The Senior Product Manager \- Health Systems, will lead the development and continuous improvement of DocGo’s proprietary software supporting our medical transportation division. This role works closely with EMS professionals, dispatch teams, and cross\-functional stakeholders to ensure that our transportation products meet the highest standards for reliability and efficiency. The ideal candidate has experience in the health tech or EMS field and a deep understanding of the complexities of healthcare systems and their workflows. You will manage the full product lifecycle \- from ideation and development to deployment and scaling \- ensuring our digital solutions meet evolving market demands and elevate patient care outcomes.
**Responsibilities:** 
* Collaborate with EMS professionals, dispatchers, operations teams, and leadership to gather insights and identify product development opportunities.
* Own the entire product lifecycle, from initial concept to launch, optimization, and scaling.
* Define and prioritize features in collaboration with engineering, data, and operations teams.
* Conduct market research and competitor analysis to ensure products remain competitive and forward\-looking.
* Lead implementation of new features or services, integrating them seamlessly into existing workflows.
* Monitor KPIs and collect feedback from users, field teams, and leadership to iterate and improve the product.
* Partner with marketing and sales teams to support product promotion and adoption strategies.
* Prepare product performance reports, roadmaps, and documentation for stakeholders.
* Facilitate engaging product demos and walkthroughs for internal and external stakeholders.
* Other tasks as assigned.
**Qualifications:** 
* Requirements and Qualifications
* Bachelor’s degree preferred but not required.
* 3\+ years of product management experience, preferably in health tech or healthcare operations.
* Strong analytical skills and experience with product metrics and performance evaluation.
* Excellent communication skills and ability to work cross\-functionally across engineering, operations, and business teams.
* Proficiency with tools like JIRA, Confluence, or similar platforms used in product lifecycle management.
* Experience with technical specifications, process flow documentation, platform integrations, and workflow automation.
* Demonstrated ability to craft product strategies, convert them into initiatives, and write clear user stories.
* Familiarity with agile methodologies and iterative product development practices.
* Ability to balance data\-driven decision\-making with operational intuition.
* Willingness to travel up to 10% for meetings, site visits, or conferences.
 EEO/AAP Statement: DocGo is an equal opportunity employer. We acknowledge and honor the fundamental value and dignity of all individuals. We pledge ourselves to crafting and maintaining an environment that respects diverse traditions, heritages, and experiences. DocGo is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*The above\-noted job description is not intended to describe, in detail, the multitude of tasks that may be assigned but rather to give the applicant a general sense of the responsibilities and expectations of this position. As the nature of business demands change so, too, may the essential functions of the position.*</t>
        </is>
      </c>
    </row>
    <row r="23">
      <c r="A23" t="inlineStr">
        <is>
          <t>li-4339043528</t>
        </is>
      </c>
      <c r="B23" t="inlineStr">
        <is>
          <t>Product Manager</t>
        </is>
      </c>
      <c r="C23" t="inlineStr">
        <is>
          <t>SalesIntel.io</t>
        </is>
      </c>
      <c r="D23" t="inlineStr">
        <is>
          <t>linkedin</t>
        </is>
      </c>
      <c r="E23" t="inlineStr"/>
      <c r="F23" t="inlineStr"/>
      <c r="G23" t="inlineStr"/>
      <c r="H23" t="inlineStr"/>
      <c r="I23" t="inlineStr">
        <is>
          <t>**About the Company** 
 SalesIntel is a signal\-first pipeline generation platform using agentic AI workflows to identify ready\-to\-buy accounts and engage buying groups. Powered by Signal360, we track thousands of buying signals, giving you early\-mover advantage to capture in\-market buyers.
**About the Role** 
 We’re looking for someone who is passionate and technically adept with a deep understanding of modern software development to join our team. SalesIntel is looking for a Product Manager for our core signal\-based, pipeline generation product. Our data assets are at the heart of everything we do, and these tools put this data front\-and\-center in a way that drives our users’ businesses forward. You will collaborate with a cross\-functional team, including engineering, marketing, and customer success, to develop and enhance solutions that meet the needs of our clients using our data in many different ways to help grow their business. You’ll also contribute to roadmap development and prioritization for your product lines.
**Responsibilities** 
* Drive development of our web application, browser extension, and/or integrations/apps.
* Define requirements and work with technical and non\-technical resources to accomplish goals.
* Conduct customer discovery and market research to determine the future of these product lines and provide input into our roadmap and backlog.
* Become a subject matter expert in your product line, educate internal users about new features and provide feedback about external enablement in partnership with product marketing, and triage inbound issues and requests.
**Qualifications** 
* Bachelor's degree in Business Administration, Project Management, or related field.
* Minimum of two\-to\-four years as a SaaS or DaaS Product Manager, with a minimum of four years post school experience, not including internships; preferably including some experience in a startup environment.
* Ability to set feature\-level requirements and priorities, while contributing thoughtfully to a cohesive product\-level roadmap.
* Iterative thinker and planner, valuing progress with an eye towards the bigger picture.
* Experience working cross\-functionally, including directly with engineers to set requirements and manage projects, and with go\-to\-market teams to coordinate enablement and communications efforts.
* Excellent written and verbal communication skills in English.
* Experience with JIRA or other software development project tracking software.
**Required Skills** 
* Ability to perform each essential duty satisfactorily.
* Knowledge, skill and/or ability required.
* Reasonable accommodations may be made to enable individuals with disabilities to perform the essential functions.
**Preferred Skills** 
* Experience in a startup environment.
* Strong partnerships with product management counterparts.
 SalesIntel is a globally\-distributed company. All R\&amp;D team members must be available regularly during normal business hours in the EST time zone.</t>
        </is>
      </c>
    </row>
    <row r="24">
      <c r="A24" t="inlineStr">
        <is>
          <t>li-4367231620</t>
        </is>
      </c>
      <c r="B24" t="inlineStr">
        <is>
          <t>Product Manager</t>
        </is>
      </c>
      <c r="C24" t="inlineStr">
        <is>
          <t>RemoteHunter</t>
        </is>
      </c>
      <c r="D24" t="inlineStr">
        <is>
          <t>linkedin</t>
        </is>
      </c>
      <c r="E24" t="inlineStr"/>
      <c r="F24" t="inlineStr"/>
      <c r="G24" t="inlineStr"/>
      <c r="H24" t="inlineStr"/>
      <c r="I24" t="inlineStr">
        <is>
          <t>About the Opportunity:
 The organization is a leading broad line distributor operating primarily in North America, Japan, and the United Kingdom. It serves millions of customers worldwide by providing maintenance, repair, and operating (MRO) products and services, including technical support and inventory management. The role of Product Manager focuses on guiding and developing generative AI solutions for deployment within the customer service center, contributing to the product vision and roadmap with a high degree of ownership over key features and the customer experience. The position involves collaboration with engineering, design, and operations teams within a matrix organization.
 Responsibilities:
 • Strategize, plan, and develop software related to generative AI and machine learning strategy.
 • Develop business plans using data to make recommendations that create competitive advantage.
 • Conceptualize customer and internal team member needs and build product roadmap and requirements.
 • Lead teams of software engineers, data engineers, and ML scientists by providing business context and establishing shared ownership of outcomes.
 • Lead software development activities including management, deployment, troubleshooting, and administration of new features.
 • Lead, communicate, and coordinate product launches across business, product, and engineering teams considering schedule, risk, and tradeoffs.
 • Facilitate product review discussions with C\-suite executives tailored to the audience.
 • Partner with analytics, UX, peer product managers, and operational business leaders to deliver quality capabilities and measure growth.
 Requirements:
 • Demonstrated experience designing solutions to complex problems by conceptualizing, building, or substantially modifying enterprise internal tools or external websites, preferably for B2B customers. Experience with AI and ML solutions strongly desired.
 • 7\+ years of product management or related experience, including leading agile sprint teams and working with design, analytics, and business partners.
 • Continuous improvement mindset with up\-to\-date technology knowledge.
 • Ability to guide team members to accomplish outcomes.
 • Ability to operate effectively with ambiguity and within a matrix organization under tight schedules.
 • Strong problem\-solving, planning, and creative time management skills, with a high degree of ownership and ability to influence teams to act urgently.
 • Analytical skills with the ability to use data metrics to support business cases for executive leadership and business partners.
 • Bachelor’s degree in computer science, engineering, science, math, or related field; Master’s or MBA preferred.
 Benefits \&amp; Perks:
 • Medical, dental, vision, and life insurance with coverage starting on day one.
 • Six free therapy sessions annually with a licensed therapist for emotional wellbeing.
 • 18 paid time off days annually for full\-time employees, prorated based on start date.
 • Six company holidays per year.
 • 6% company contribution to a 401(k) Retirement Savings Plan each pay period without employee contribution required.
 • Employee discounts, tuition reimbursement, student loan refinancing, and free access to financial counseling, education, and tools.
 • Maternity support programs, nursing benefits, and up to 14 weeks paid leave for birth parents and up to 4 weeks paid leave for non\-birth parents.
 Compensation:
 • Anticipated base pay range for this position is $110,500\.00 to $184,100\.00\.
 • Actual compensation depends on geographic location, relevant experience, and skills.
 • Compensation range is subject to change and may be higher or lower than stated.
 • The organization reserves the right to amend or terminate compensation and benefit programs at its discretion in accordance with applicable law.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5">
      <c r="A25" t="inlineStr">
        <is>
          <t>li-4334531194</t>
        </is>
      </c>
      <c r="B25" t="inlineStr">
        <is>
          <t>Product Manager</t>
        </is>
      </c>
      <c r="C25" t="inlineStr">
        <is>
          <t>Saronic Technologies</t>
        </is>
      </c>
      <c r="D25" t="inlineStr">
        <is>
          <t>linkedin</t>
        </is>
      </c>
      <c r="E25" t="inlineStr"/>
      <c r="F25" t="inlineStr"/>
      <c r="G25" t="inlineStr">
        <is>
          <t>Austin, TX</t>
        </is>
      </c>
      <c r="H25" t="inlineStr"/>
      <c r="I25" t="inlineStr">
        <is>
          <t>Saronic Technologies is a leader in revolutionizing autonomy at sea, dedicated to developing state\-of\-the\-art solutions that enhance maritime operations through autonomous and intelligent platforms.
**Job Overview**
 We're seeking a Product Manager to drive the strategy, development, and delivery of cutting\-edge autonomous maritime products. Your expertise in software and hardware engineering, maritime technologies, and product fundamentals will be leveraged to meet the rigorous requirements of defense and commercial applications.
**Responsibilities**
* Product Strategy: Develop and execute a comprehensive product strategy that is aligned to Saronic's vision and considerate of defense and commercial requirements. Analyze operational needs, market trends, competition, and user feedback to identify opportunities and drive product differentiation.
* Product Development: Oversee the product development lifecycle, from concept to launch to scaled production, ensuring that Saronic solutions meet high standards for autonomy, security, reliability, and performance. Facilitate thorough testing and validation to verify product functionality and compliance with regulatory standards.
* Roadmap Planning: Create and maintain a detailed product roadmap, outlining product refresh cycles, feature enhancements, and timelines for product development. Triage and prioritize programmatic obligations, market demands, and internal R\&amp;D objectives.
* Stakeholder Engagement: Collaborate closely with DoW and commercial maritime stakeholders, including program managers, engineers, and end\-users. Understand their needs, gather requirements, and ensure that product development aligns with strategic objectives.
* Customer Engagement: Engage with customers regularly to gather feedback, solicit input, and build strong relationships. Act as a point of contact for customer inquiries, providing timely updates and resolving issues to maintain customer satisfaction.
* Cross\-functional Leadership: Coordinate across Engineering, Production, Growth, Programs, and other functions to deliver high\-quality solutions on schedule and within budget. Foster a collaborative and innovative team culture focused on rapid iteration and reliable delivery.
**Qualifications**
* Bachelor's degree in Engineering, Computer Science, Business, or a related field
* Shrewd judgement and a keen sense for what differentiates good products from bad
* Diplomatic disposition with a proven track record of cross\-functional collaboration
* Strong technical background with knowledge of autonomous systems and/or constituent technologies (sensors and perception, radios and networking, structures and mechanical design, board design and electrical architectures, etc)
* Mature written and verbal communication skills, with comfort and experience creating presentations, writing memos, and briefing senior personnel
* Experience in product management, preferably in the defense or maritime industry, focusing on autonomous systems
* Familiarity with DoW procurement processes, regulations, and compliance requirements
**Benefits**
* Medical Insurance: Comprehensive health insurance plans covering a range of services
* Dental and Vision Insurance: Coverage for routine dental check\-ups, orthodontics, and vision care
* Saronic pays 99% of the premium for employees and 80% for dependents
* Time Off: Generous PTO and Holidays
* Parental Leave: Paid maternity and paternity leave to support new parents
* Competitive Salary: Industry\-standard salaries with opportunities for performance\-based bonuses
* Retirement Plan: 401(k) plan
* Stock Options: Equity options to give employees a stake in the company’s success
* Life and Disability Insurance: Basic life insurance and short\- and long\-term disability coverage
* Additional Perks: Free lunch benefit and unlimited free drinks and snacks in the office
**Physical Demands**
* Prolonged periods of sitting and computer work.
* Occasional standing and walking within the office.
* Manual dexterity to operate computers and office equipment.
* Visual acuity to read screens and documents.
* Occasional reaching or lifting up to 20 pounds (e.g., equipment or supplies).
 This role requires access to export\-controlled information or items that require “U.S. Person” status. As defined by U.S. law, individuals who are any one of the following are considered to be a “U.S. Person”: (1\) U.S. citizens, (2\) legal permanent residents (a.k.a. green card holders), and (3\) certain protected classes of asylees and refugees, as defined in 8 U.S.C. 1324b(a)(3\) .
 Saronic does not discriminate on the basis of race, sex, color, religion, age, national origin, marital status, disability, veteran status, genetic information, sexual orientation, gender identity or any other reason prohibited by law in provision of employment opportunities and benefits.</t>
        </is>
      </c>
    </row>
    <row r="26">
      <c r="A26" t="inlineStr">
        <is>
          <t>li-4359643307</t>
        </is>
      </c>
      <c r="B26" t="inlineStr">
        <is>
          <t>Senior Product Manager - Nordstrom Product Group (Hybrid - Seattle)</t>
        </is>
      </c>
      <c r="C26" t="inlineStr">
        <is>
          <t>Nordstrom</t>
        </is>
      </c>
      <c r="D26" t="inlineStr">
        <is>
          <t>linkedin</t>
        </is>
      </c>
      <c r="E26" t="inlineStr"/>
      <c r="F26" t="inlineStr"/>
      <c r="G26" t="inlineStr">
        <is>
          <t>Seattle, WA</t>
        </is>
      </c>
      <c r="H26" t="inlineStr"/>
      <c r="I26" t="inlineStr">
        <is>
          <t>The Senior Product Manager plays a strategic leadership role in transforming Nordstrom's product development processes, specifically supporting our private label business, Nordstrom Product Group. As a senior leader on the Product Management team, you will craft product vision, drive complex technology implementations, and deliver measurable value to stakeholders across the organization.
 As Nordstrom Product Group undergoes a technology\-driven transformation, this role offers an exciting opportunity to lead the adoption of new platforms and capabilities. You will drive the transition from manual, fragmented systems to an integrated, AI\-enabled ecosystem that empowers design, sourcing, and planning teams. By leading vendor partnerships, orchestrating complex integrations, and championing innovation, you will shape the future of how Nordstrom develops products.
**What You'll Do**
 As a Senior Product Manager, you will:
* Craft and evangelize product vision and strategy for product data management and digital collaboration capabilities, ensuring alignment with business objectives
* Lead end\-to\-end vendor partnerships, including evaluating solutions, defining requirements, and managing ongoing relationships
* Orchestrate complex technology implementations involving data integration, system configuration, user experience design, and business process transformation
* Develop strategic roadmaps independently, balancing short\-term deliverables with long\-term vision across multiple product domains
* Partner with engineering leadership to make technical architecture decisions and drive complex integrations between systems
* Define requirements through user research, process analysis, wireframes, user stories, and technical specifications
* Lead go\-to\-market execution, including UAT planning, stakeholder communication, and success measurement
* Manage production systems, triaging incidents and driving continuous improvement initiatives
* Influence stakeholders across the organization, from working teams to senior leadership, driving alignment on product direction
* Mentor junior product managers, fostering their development and elevating team capabilities
* Evaluate emerging technologies, particularly AI and machine learning capabilities, determining strategic fit and value potential
**What We're Looking For**
 The ideal candidate will bring:
**Experience:** 
 5\+ years of product management experience; Experience with product lifecycle management (PLM) or product data management (PDM) systems strongly preferred; Retail or merchandising industry helpful but not required.
**Vendor \&amp; Partner Management:** 
 Proven track record of leading vendor implementations and managing complex technology partnerships
**Technical Depth:** 
 Strong technical foundation with ability to engage in API integrations, data architecture, and system configuration discussions; Experience with AI/ML product features and ability to critically evaluate emerging technologies.
**Strategic Leadership:** 
 Demonstrated ability to develop product vision and strategy independently, operate with minimal oversight, and influence stakeholders at all organizational levels.
**Analytical \&amp; Problem\-Solving Skills:** 
 Strong ability to define success metrics, analyze data to inform decisions, and drive continuous improvement through measurement and learning.
**Collaboration \&amp; Influence:** 
 Exceptional ability to build relationships and orchestrate work across Analytics, Engineering, User Experience, Business teams, and external partners; Proven track record of influencing senior stakeholders and driving organizational alignment.
**Communication Skills:** 
 Outstanding interpersonal, verbal, and written communication skills, with experience presenting complex topics to diverse audiences from technical teams to executive leadership.
**Team Development:** 
 Experience mentoring and developing product managers, with commitment to elevating team capabilities.
**Software Collaboration:** 
 Extensive experience working with both internally developed and third\-party software solutions, with demonstrated ability to evaluate, implement, and optimize enterprise platforms.
**We’ve got you covered…**
**Benefits**
 Our employees are our most important asset and that’s reflected in our benefits. Nordstrom is proud to offer a variety of benefits to support employees and their families, including:
* Medical/Vision, Dental, Retirement and Paid Time Away
* Life Insurance and Disability
* Merchandise Discount and EAP Resources
 A few more important points...
 The job posting highlights the most critical responsibilities and requirements of the job. It’s not all\-inclusive. There may be additional duties, responsibilities and qualifications for this job.
 For Los Angeles or San Francisco applicants: Nordstrom is required to inform you that we conduct background checks after conditional offer and consider qualified applicants with criminal histories in a manner consistent with legal requirements per Los Angeles, Cal. Muni. Code 189\.04 and the San Francisco Fair Chance Ordinance. For additional state and location specific notices, please refer to the Legal Notices document within the FAQ section of the Nordstrom Careers site.
 Applicants with disabilities who require assistance or accommodation should contact the nearest Nordstrom location, which can be identified at www.nordstrom.com.
 Please be mindful that there may be legal notices and requirements related to this job posting that are specific to your state. Review the Career Site FAQ’s for relevant information and guidelines.
 © 2022 Nordstrom, Inc
 Current Nordstrom employees: To apply, log into Workday, click the Careers button and then click Find Jobs.
 Nordstrom keeps job postings open for at least one day after the posting date.
**Pay Range Details**
 The pay range(s) below has been provided in compliance with state specific laws. Pay ranges may be different for other locations.
 Pay offers are dependent on the location, as well as job\-related knowledge, skills, and experience.
 $142,000\.00 \- $220,500\.00 Annual
 This position may be eligible for performance\-based incentives/bonuses. Benefits include 401k, medical/vision/dental/life/disability insurance options, PTO accruals, Holidays, and more. Eligibility requirements may apply based on location, job level, classification, and length of employment. Learn more in the Nordstrom Benefits Overview by copying and pasting the following URL into your browser: https://careers.nordstrom.com/pdfs/Ben\_Overview\_17\-19\.pdf</t>
        </is>
      </c>
    </row>
    <row r="27">
      <c r="A27" t="inlineStr">
        <is>
          <t>li-4367460487</t>
        </is>
      </c>
      <c r="B27" t="inlineStr">
        <is>
          <t>Principal Product Manager</t>
        </is>
      </c>
      <c r="C27" t="inlineStr">
        <is>
          <t>UVeye</t>
        </is>
      </c>
      <c r="D27" t="inlineStr">
        <is>
          <t>linkedin</t>
        </is>
      </c>
      <c r="E27" t="inlineStr"/>
      <c r="F27" t="inlineStr"/>
      <c r="G27" t="inlineStr">
        <is>
          <t>Teaneck, NJ</t>
        </is>
      </c>
      <c r="H27" t="inlineStr"/>
      <c r="I27" t="inlineStr">
        <is>
          <t>At UVeye, we're on a mission to redefine vehicle safety and reliability on a global scale. Founded in 2016, we pioneered the world's first fully automated suite of vehicle inspection systems. At the heart of this innovation lies our advanced AI\-centric technology, representing the pinnacle of computer vision, machine learning, and generative AI within the automotive sector.
 With over $380M in funding and strategic partnerships with industry giants such as Toyota, Amazon, General Motors, Volvo, and Hertz, our technology is utilized in manufacturing plants, dealerships, wholesale auctions, delivery fleets, seaports, and more. Our growing global team of 250\+ employees is committed to creating a workplace that celebrates diversity, encourages teamwork, and strives for excellence.
 We are looking for a
 ***Principal Product Manager***
 to drive the evolution of our AI\-enabled product suite from initial concept to global scale. This is a high\-impact,
 **individual contributor** 
 role designed for a customer\-obsessed leader who balances long\-term strategic vision with a "builder" mindset.
 In this role, you won't just define the roadmap—you will be at the front lines, actively
 **building, prototyping, and validating** 
 product bets. Working at the intersection of customer insights and emerging technology, you will partner closely with engineering, design, and executive leadership to transform complex technical challenges into scalable, real\-world solutions.
 If you thrive in high\-velocity environments and possess the technical fluency to leverage
 **AI\-assisted workflows** 
 and rapid iteration, you will play a defining role in shaping our automotive technology and influencing our product organization’s future.
**A day in the life and how you’ll make an impact:**
* Hands\-On Innovation \&amp; Technical Solutions: This is a high\-autonomy, execution\-focused role where you will build robust MVPs from the ground up, leveraging AI\-assisted development workflows (LLMs, Copilot) and modern tech stacks to rapidly validate complex hypotheses and define the technical roadmap.
* As a senior leader, you will align engineering, design, and GTM teams around a shared vision, driving confident decision\-making through credibility and strong communication rather than formal authority.
* Own Product Direction End\-to\-End: You will drive product strategy from discovery to delivery, identifying high\-impact problems and defining strategic product bets that align long\-term vision with short\-term execution.
* Strategic Executive Partnership: You will collaborate directly with C\-level leadership to shape company strategy, pitch new initiatives, and connect technical depth with business outcomes to influence investment decisions.
* Champion the Customer \&amp; Market: You will serve as the "voice of the customer," leveraging direct feedback, usage data, and industry research to anticipate future needs and translate them into differentiated, technology\-forward solutions.
 Requirements:
* 10\+ years proven experience in Product Management and R\&amp;D, with a track record of driving products from initial MVP to scaled market adoption in high\-growth ecosystems.
* Deep technical fluency with a hands\-on approach to modern development, including: Modern IDEs \&amp; Tools: Proficient with Visual Studio Code and Cursor.
* Expert\-level use of LLM\-based coding agents and AI\-assisted development to accelerate prototyping.
* AI\-Native Workflows: Full\-Stack Fundamentals: Strong grasp of both Backend and Frontend architecture to guide technical decision\-making.
* Advanced experience in product discovery workflows and UX design principles, ensuring a seamless bridge between complex technology and user\-centric value.
* Revenue\-Driven Mindset: Demonstrated ability to translate product features and platform capabilities into measurable business impact and revenue growth.
* Exceptional communication skills with the ability to navigate complex stakeholder landscapes, influencing engineers, executives, and external partners without formal authority.
* A high\-autonomy "owner" mindset, comfortable leading through ambiguity and taking full accountability for end\-to\-end outcomes.
**Ideally, we’re looking for:**
* Experience building and scaling products from the ground up in startup or high\-growth environments.
* Experience working in the automotive industry or adjacent, highly technical domains.
**Benefits we offer:**
* Competitive Medical, Dental, Vision.
* Company 401k Match.
* 20 PTO days, Company paid holidays.
* Career growth as we scale across the US.</t>
        </is>
      </c>
    </row>
    <row r="28">
      <c r="A28" t="inlineStr">
        <is>
          <t>li-4316524837</t>
        </is>
      </c>
      <c r="B28" t="inlineStr">
        <is>
          <t>Principal Product Manager - AI and ML</t>
        </is>
      </c>
      <c r="C28" t="inlineStr">
        <is>
          <t>SailPoint</t>
        </is>
      </c>
      <c r="D28" t="inlineStr">
        <is>
          <t>linkedin</t>
        </is>
      </c>
      <c r="E28" t="inlineStr"/>
      <c r="F28" t="inlineStr"/>
      <c r="G28" t="inlineStr"/>
      <c r="H28" t="inlineStr"/>
      <c r="I28" t="inlineStr">
        <is>
          <t>**About SailPoint:**
 SailPoint is the leader in identity security for the modern enterprise. We empower organizations to control access, mitigate risk, and ensure compliance in today's complex digital landscape. Our innovative platform leverages AI and machine learning to automate identity governance, streamline access requests, and provide real\-time insights into user access privileges. With a large and vibrant customer base, SailPoint is a publicly traded company (NYSE: SAIL) that continues to experience rapid growth and is recognized as a leader in the identity security market. We are committed to fostering a culture of innovation, collaboration, and customer success. Join us as we continue to shape the future of identity security!
**About the Role:**
 We are seeking a highly motivated and experienced
**Principal**
 Product Manager to lead aspects of our Data and AI Platform product strategy. In this critical role, you will be responsible for defining and executing aspects of the product roadmap for our Data and AI Platform, which will directly produce or enable customer\-facing AI product features. You will work closely with AI/ML engineering, marketing, and sales teams to deliver innovative platform capabilities that support our AI\-powered identity security solutions and solve our customers' most challenging identity security problems. A key aspect of this role will be focusing on real\-world use cases and driving meaningful value for our customers through our Data and AI Platform, including our emerging agent\-powered identity security capabilities such as Harbor Pilot.
**Responsibilities:**
* Develop and maintain aspects of the product roadmap for the Data and AI Platform, aligned with SailPoint's overall strategic objectives.
* Conduct market research, customer interviews, and competitive analysis to identify opportunities and unmet needs related to data and AI in the identity security space.
* Define detailed platform requirements and use cases to support AI\-driven features and functionalities, with a focus on practical applications and measurable results.
* Prioritize and manage the product backlog, ensuring alignment with business goals and resource constraints.
* Collaborate closely with AI Engineering teams to drive AI\-first innovations and deliver scalable AI platform solutions across the broader product suite
* Work with marketing and sales teams to develop product positioning, messaging, and go\-to\-market strategies for the Data and AI Platform.
* Track and analyze platform performance, identifying areas for improvement and optimization.
* Stay up\-to\-date on the latest trends in AI, machine learning, data science, and data platforms.
* Be an evangelist for SailPoint's Data and AI Platform, both internally and externally.
**Qualifications:**
* Bachelor's degree in Computer Science, Engineering, or a related field
* 8\+ years of product management experience, with a focus on data platforms, AI, and machine learning.
* Demonstrated ability to hone in on real\-world use cases and drive meaningful value
* Demonstrated expertise in Artificial Intelligence and a proven track record of innovation in product development.
* Experience with big data technologies, including Snowflake.
* Deep understanding of the identity security market and its challenges.
* Proven ability to define and launch successful data platforms and AI\-powered products.
* Strong analytical and problem\-solving skills.
* Excellent communication, presentation, and interpersonal skills.
* Experience working in an agile development environment.
* Experience leading and managing product management teams.
**Preferred Qualifications:**
* Experience with cloud\-based software solutions.
* Experience with security analytics.
* Experience with identity and access management systems
* Experience with agent\-based technologies
**Education:**
 BA/BS in technical field required.
**Travel:**
 This position requires approximately 25% travel
 Benefits and Compensation listed vary based on the location of your employment and the nature of your employment with SailPoint.
 As a part of the total compensation package, this role may be eligible for the SailPoint Corporate Bonus Plan or a role\-specific commission, along with potential eligibility for equity participation. SailPoint maintains broad salary ranges for its roles to account for variations in knowledge, skills, experience, market conditions and locations, as well as reflect SailPoint’s differing products, industries, and lines of business. Candidates are typically placed into the range based on the preceding factors as well as internal peer equity.
 We estimate the base salary, for US\-based employees, will be in this range from (min\-mid\-max, USD):
 $171,100 \- $244,400 \- $317,700
 Base salaries for employees based in other locations are competitive for the employee’s home location.
 Benefits Overview
 1\. Health and wellness coverage: Medical, dental, and vision insurance
 2\. Disability coverage: Short\-term and long\-term disability
 3\. Life protection: Life insurance and Accidental Death \&amp; Dismemberment (AD\&amp;D)
 4\. Additional life coverage options: Supplemental life insurance for employees, spouses, and children
 5\. Flexible spending accounts for health care, and dependent care; limited purpose flexible spending account
 6\. Financial security: 401(k) Savings and Investment Plan with company matching
 7\. Time off benefits: Flexible vacation policy
 8\. Holidays: 8 paid holidays annually
 9\. Sick leave
 10\. Parental support: Paid parental leave
 11\. Employee Assistance Program (EAP) and Care Counselors
 12\. Voluntary benefits: Legal Assistance, Critical Illness, Accident, Hospital Indemnity and Pet Insurance options
 13\. Health Savings Account (HSA) with employer contribution
 SailPoint is an equal opportunity employer and we welcome all qualified candidates to apply to join our team.  All qualified applicants will receive consideration for employment without regard to race, color, religion, sex, sexual orientation, gender identity, national origin, disability, protected veteran status, or any other category protected by applicable law.  
 Alternative methods of applying for employment are available to individuals unable to submit an application through this site because of a disability. Contact applicationassistance@sailpoint.com or mail to 11120 Four Points Dr, Suite 100, Austin, TX 78726, to discuss reasonable accommodations.  NOTE: Any unsolicited resumes sent by candidates or agencies to this email will not be considered for current openings at SailPoint.</t>
        </is>
      </c>
    </row>
    <row r="29">
      <c r="A29" t="inlineStr">
        <is>
          <t>li-4367252139</t>
        </is>
      </c>
      <c r="B29" t="inlineStr">
        <is>
          <t>Product Manager, Integrations</t>
        </is>
      </c>
      <c r="C29" t="inlineStr">
        <is>
          <t>Vibe.co</t>
        </is>
      </c>
      <c r="D29" t="inlineStr">
        <is>
          <t>linkedin</t>
        </is>
      </c>
      <c r="E29" t="inlineStr"/>
      <c r="F29" t="inlineStr"/>
      <c r="G29" t="inlineStr">
        <is>
          <t>New York, United States</t>
        </is>
      </c>
      <c r="H29" t="inlineStr"/>
      <c r="I29" t="inlineStr">
        <is>
          <t>At Vibe.co, we’re shaping the future of advertising by helping brands connect with audiences in more human, data\-driven, and measurable ways. Our platform brings together creativity, technology, and automation to make ad experiences more relevant, efficient, and impactful — across every screen, including CTV.
 We’re growing fast\- our goal is to 2\.5x revenue in 2026, and content will be at the core of how we get there. The stories we tell, the experiences we design, and the value we communicate will define how brands, agencies, and partners see Vibe as a category leader in CTV innovation.
 We’re a small, high\-performing team that values clarity, speed, and execution. We move quickly, experiment relentlessly, and take pride in content that doesn’t just inform — it converts.
 What You’ll Do
 You will own the full lifecycle of external partner integrations — from business scoping to execution, rollout, and continuous improvement — using integration insights to drive enhancements to Vibe’s core product and maximize business impact.
* Business prioritization: Build a strong business understanding to prioritize integrations based on ROI and customer impact, working closely with Sales, CS, and Product teams.
* End\-to\-end delivery: Own the full lifecycle of integrations — from scoping, spec writing, and project management to coordinating internal and external stakeholders and ensuring successful rollouts.
* Run \&amp; support – Ensure integrations remain reliable and effective over time. Monitor their health, coordinate fixes when needed, and support internal teams when issues arise.
* Core product improvement: Leverage insights from integrations and data flows to proactively suggest and spec new product features that improve customer experience, audience activation, and overall business performance.
* API excellence: Own and continuously improve Vibe’s public API to make future integrations easier, faster, and more reliable, with a focus on scalability, quality, and security.
**We’d Love To Work With You If**
* You have at least 5 years of experience in roles closely aligned with the scope and challenges of this position.
* Strong technical foundation, able to navigate complex system architectures and technical integrations.
* Experience in API integrations — Comfortable designing, scoping, and validating API\-based workflows with external partners.
* Strong product management and project management skills — Able to build roadmaps, write clear specs, manage timelines, and drive projects to completion.
* Data fluency — Comfortable working with data ingestion, synchronization, and export flows; able to dig into data to validate assumptions.
* Marketing \&amp; Martech awareness — Strong grasp of marketing workflows to quickly understand use cases, prioritize smartly, and maximize business impact.
* Excellent communication skills — Clear, structured, and able to align business, technical, and external stakeholders effectively.
**Perks \&amp; Benefits**
* Comprehensive medical, dental, and vision insurance
* 401(k) plan with company matching
* Unlimited PTO to recharge and reset
* Paid parental leave for maternity and paternity
* Flexible hybrid work model\- we’re based in NYC’s Flatiron District and looking for someone excited to spend time in our new office
* Compensation for this role varies based on experience, skill set, and leveling. The estimated base salary range is $180,000–$250,000, plus bonus. Candidates with varying levels of experience are encouraged to apply.</t>
        </is>
      </c>
    </row>
    <row r="30">
      <c r="A30" t="inlineStr">
        <is>
          <t>li-4362991966</t>
        </is>
      </c>
      <c r="B30" t="inlineStr">
        <is>
          <t>Product Manager</t>
        </is>
      </c>
      <c r="C30" t="inlineStr">
        <is>
          <t>U.S. Bank</t>
        </is>
      </c>
      <c r="D30" t="inlineStr">
        <is>
          <t>linkedin</t>
        </is>
      </c>
      <c r="E30" t="inlineStr"/>
      <c r="F30" t="inlineStr"/>
      <c r="G30" t="inlineStr">
        <is>
          <t>Englewood, CO</t>
        </is>
      </c>
      <c r="H30" t="inlineStr"/>
      <c r="I30"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Product Managers at U.S. Bank are customer obsessed in driving product visioning, planning and development to deliver on our human \+ digital product strategy and staying one step ahead of evolving economic, technological, and customer needs.
**As a Product Manager, you will:**
* Identify, analyze and interpret business data using various kinds of techniques to meet business needs and requirements.
* Activate the connective tissue between U.S. Bank, customer experience, digital, technology, and business line strategy to identify and prioritize product / portfolio opportunities, and establish the product vision, charter and roadmap.
* Defines product outcomes and Objectives and Key Results (OKRs) to prioritize Features/Epics and breaks down work into actionable steps to facilitate product discovery, design, development and delivery.
* Manages the end\-to\-end product lifecycle and drives the product roadmap leveraging OKRs (Objectives and Key Results). Creates the product in conjunction with agile, experience design, technology and risk partners to achieve business and customer outcomes. In the case of technical products, understands and cares for the technical features, debt reduction and modernization of the technical product with expertise in the technology required of the product.
**Preferred qualifications, capabilities, and skills:**
* Expertise on the critical interdependencies among product model system elements that help and hinder performance; ability to plan and design solutions that synchronize resources to achieve business results using business metrics, key performance indicators, design systems, service blueprints, and reusability.
* Ability to anticipate shifting market priorities, internal and external customer needs in a manner that consistently adds value.
* Strong customer centricity to implement strategies and techniques used to ensure that customers have a positive experience with the organization's products and services at every touch point.
* Knowledge of technical aspects of software products; ability to design, configure and integrate technical aspects of software products.
* Knowledge of Agile ways of working, knowledge of processes, tools and techniques for assessing and controlling an organization's exposure to risks of various kinds; ability to apply knowledge of risk management appropriately to diverse situations.
* Preferred skills: product PnL, product strategy, vision and planning, product discovery, product development, channel alignment and management, adoption, customer experience research, insight and execution, agile ways of working, go to market and sales channels, performance measurement and optimization, marketing and analytics, customer centricity.
**Minimum Qualifications:**
* Product management experience.
**Additional detail:**
* Have working knowledge or familiarity with Open Systems Interconnection (OSI) technologies, including middleware, Application Programming Interfaces (APIs) and financial services software.
* Some knowledge of digital marketing \&amp; MarTech would be valuable (personalized recommendations, advertising networks, Adobe Analytics)
* Should be comfortable reviewing program performance data and making data\-driven decision for optimization
* Will be expected to work\-cross functionally to discuss Payments products/services with PMs and assess their viability for inclusion in the product recommendations program)
* Will be expected to review creative content, including partnering with Marketing and compliance
* Will be expected to partner with CX team on research and experience design.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$105,400\.00 \- $124,000\.00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31">
      <c r="A31" t="inlineStr">
        <is>
          <t>li-4367256519</t>
        </is>
      </c>
      <c r="B31" t="inlineStr">
        <is>
          <t>Principal Product Manager, Cart, Checkout, and Payments</t>
        </is>
      </c>
      <c r="C31" t="inlineStr">
        <is>
          <t>The Knot Worldwide</t>
        </is>
      </c>
      <c r="D31" t="inlineStr">
        <is>
          <t>linkedin</t>
        </is>
      </c>
      <c r="E31" t="inlineStr"/>
      <c r="F31" t="inlineStr"/>
      <c r="G31" t="inlineStr"/>
      <c r="H31" t="inlineStr"/>
      <c r="I31" t="inlineStr">
        <is>
          <t>**WHAT WE DO MATTERS:** 
 At The Knot Worldwide, we champion celebration \- and that starts with celebrating our people. Our employees are passionate dreamers, thoughtful doers, and lifelong learners who power meaningful moments for millions around the world. We’re united by authentic connection, shared purpose, and a deep commitment to the global community we serve. Here, flexibility and belonging go hand in hand with high performance. Driven by our core values, we believe the best ideas come from empowered teams: those who consistently collaborate with intention to design solutions, spark ideas, and drive impact. Our people are at the heart of our success.
**ABOUT THE ROLE AND OUR TEAM:** 
 We are seeking a Principal Product Manager to define and own the future of e\-commerce for The Knot Worldwide. This is a strategic, high\-visibility role focused on the cart and payments platform that powers our entire business. You will be the single\-threaded owner responsible for the multi\-year strategy, product performance, and user experience of a platform that processes millions of transactions across complex, mixed\-cart scenarios. We're looking for a product\-led entrepreneur who thrives at the intersection of large\-scale retail technology and complex financial systems. You will report to the Senior Director of Product and lead a dedicated squad of exceptional design, data, and engineering partners with deep retail expertise. If you are obsessed with solving complex, high\-scale problems and are passionate about making one of life's biggest moments joyful (and seamless), this is your opportunity.
**RESPONSIBILITIES:** 
* Act as the company's foremost subject matter expert for all e\-commerce transactions, payments, and compliance, guiding executive stakeholders and engineering architects on technical and strategic decisions.
* Lead the company's core payments strategy, managing the full stack from payment processing and gateway relationships to fraud prevention and cost optimization.
* Define the strategic vision and multi\-year roadmap for the TKWW checkout and cart experience, creating a scaled, seamless, trustworthy, and high\-converting funnel for both couples and their guests.
* Own the product lifecycle for our universal cart, optimizing for complex, mixed\-cart scenarios (e.g., third\-party registry items, cash funds, honeymoon contributions, and physical products).
* Drive outcome\-focused execution \- what matters most is how the product impacts our customers and our business.
* Champion a world\-class guest experience, deeply understanding the user psychology of "gifting" to reduce friction, build trust, and drive measurable improvements.
* Partner with design and user research to prototype, test, and launch new checkout experiences.
* Drive the roadmap for payment method expansion, evaluating and integrating digital wallets (Apple Pay, Google Pay), Buy Now Pay Later (BNPL) solutions.
* Own the key business metrics for payments and implement strategies to improve them continuously.
* Serve as the principal product liaison with Finance, Legal, and Security to ensure ironclad compliance.
* Lead and mentor a pod of engineers and analysts, fostering a culture of data\-driven decision\-making, rapid experimentation, and customer obsession.
* Collaborate with product leaders to ensure cohesion between your products and the overall product experience on The Knot
**SUCCESSFUL PRINCIPAL PRODUCT MANAGER CANDIDATES HAVE:** 
* 10\+ years in product management, with a track record of driving complex, high\-impact initiatives
* Subject matter expertise in e\-commerce with a focus on cart, checkout, and payment systems.
* A perspective, backed by experience, on how to best serve users in cash gifting scenarios.
* The ability to set a strategic direction and help ideate and launch new products and experiences
* The ability to refer to quantitative and qualitative data in making product decisions, and have experience with analytics and research tools \+ methods, and comfort with analytical tools
* A track record of crafting strategies that lead to scaled, quality consumer experiences
* Well\-developed executive communication and presence
* Keen aesthetics and empathy, and a user\-centered mentality
* A track record of being a strong partner for engineers, empathetic to their unique needs, and you believe there’s such a thing as tech debt
**WORK MODEL:** 
 This role is Together@TKWW\-eligible. If you’re based in NYC, we follow a hybrid schedule, balancing in\-office collaboration of days a week and work\-from\-home flexibility. If you’re in Austin, this position is remote for now, with the potential to shift to a hybrid model as our local team grows.
 At The Knot Worldwide, we believe you are more than a resume and invite you to go for it, take the leap of faith, and apply for this job. Together, we have an incredible opportunity to make it even easier for our customers to plan life’s most meaningful moments and for our small business owners to grow and scale. We would love to have you with us on our journey.   
**WHAT WE LOVE ABOUT YOU:** 
* ****Commit to our customers****
 : You act as one team on behalf of our customers. You lead with head and heart, and build what matters for life's most meaningful moments.
* ****Raise the bar:****
 You define "great" and work backwards. You don't just accept how it's been done, but boldly define how it should be. You are unafraid to innovate, learn, and keep moving forward toward our shared vision.
* ****Be all in:****
 You believe in our mission and take ownership of your work. You debate openly to reach the best outcomes, speaking with clarity and care, embracing diverse perspectives, then commit fully.
* ****Celebrate impact:****
 You measure success by the outcomes you create. You hold yourself accountable to delivering value, while recognizing progress and the lessons learned along the way.  You love to win, together.
**WHAT YOU LOVE ABOUT US:** 
 We believe in a wide range of holistic offerings to support our employees so that they can live our values day in and day out. From mental wellbeing, physical health and financial planning, to engaging perks and discounts, we are in the business of celebrating and supporting the Moments that Matter, both in and out of the office.. We offer flexible vacation, generous parental leave, and prioritize initiatives that support the growth, development, and happiness of our people.
**Together@TKWW is our approach to hybrid work.** 
  It’s designed to support how we work best: combining the flexibility we value with meaningful opportunities to connect in person. Whether a role is Together@TKWW\-eligible or not, we believe in purposeful moments to come together, build strong relationships, and drive bold ideas forward.
 * ****For Together@TKWW\-eligible roles,****
  this includes regular in\-office time to foster collaboration and connection.
* ****For roles not eligible for in\-office expectations****
 , we support connection through virtual collaboration and intentional gatherings.
 To facilitate in\-person collaboration, we have office spaces in Barcelona, Spain; Delhi, India; Galway, Ireland; London, England; New York, NY; and Washington, D.C.
 \_\_
**US Notice:**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**Privacy Notice:** 
  The Knot Worldwide (TKWW) processes your personal data to evaluate your application, based on the legal ground of taking steps prior to entering into a potential employment contract. Only the data strictly necessary for this purpose is collected. In some cases, your data may also be processed based on TKWW’s legitimate interests (e.g., to improve recruitment practices or manage candidate pools), to which you can object at any time. You have the right to access, rectify, or delete your data, and to object to certain uses. To learn more about your rights, please consult our The Knot Worldwide (TKWW) processes your personal data to evaluate your application, based on the legal ground of taking steps prior to entering into a potential employment contract. Only the data strictly necessary for this purpose is collected. In some cases, your data may also be processed based on TKWW’s legitimate interests (e.g., to improve recruitment practices or manage candidate pools), to which you can object at any time. You have the right to access, rectify, or delete your data, and to object to certain uses. To learn more about your rights, please consult our Privacy Policy. If you wish to file a complaint, you may contact the competent data protection authority. If you wish to file a complaint, you may contact the competent data protection authority.</t>
        </is>
      </c>
    </row>
    <row r="32">
      <c r="A32" t="inlineStr">
        <is>
          <t>li-4367465615</t>
        </is>
      </c>
      <c r="B32" t="inlineStr">
        <is>
          <t>Agile Product Manager (Telecom)</t>
        </is>
      </c>
      <c r="C32" t="inlineStr">
        <is>
          <t>SRM Digital LLC</t>
        </is>
      </c>
      <c r="D32" t="inlineStr">
        <is>
          <t>linkedin</t>
        </is>
      </c>
      <c r="E32" t="inlineStr"/>
      <c r="F32" t="inlineStr"/>
      <c r="G32" t="inlineStr">
        <is>
          <t>Dallas, TX</t>
        </is>
      </c>
      <c r="H32" t="inlineStr"/>
      <c r="I32" t="inlineStr">
        <is>
          <t>We are seeking a highly experienced
 **Agile Product Manager** 
 with deep
 **telecommunications domain expertise** 
 to lead the strategic vision, roadmap, and execution of complex, large\-scale digital and network\-driven products. This role requires strong leadership across cross\-functional teams, a customer\-centric mindset, and proven success delivering products using
 **Agile methodologies** 
 in fast\-paced telecom environments.
 The ideal candidate will serve as the
 **single point of product ownership** 
 , aligning business strategy, technology, and customer outcomes while driving measurable value across the product lifecycle.
**Required Qualifications** 
* **15\+ years of overall professional experience** 
 , with significant experience in
 **product management within the telecommunications domain**
* Proven experience working as an
 **Agile Product Manager / Product Owner** 
 in large\-scale, enterprise environments
* Strong understanding of
 **telecom ecosystems** 
 , including network services, OSS/BSS, mobility, broadband, 5G, IoT, or cloud\-enabled telecom platforms
* Demonstrated expertise in
 **Agile and Scrum methodologies** 
 , including backlog management, sprint planning, PI planning, and release management
* Ability to translate
 **business strategy and customer needs** 
 into clear product vision, roadmap, and prioritized backlogs
* Experience collaborating with
 **engineering, architecture, UX, operations, and business stakeholders** 
 across global teams
* Strong analytical, problem\-solving, and decision\-making capabilities
* Excellent communication, stakeholder management, and executive presentation skills
**Key Roles and Responsibilities** 
* Define and own the
 **product vision, strategy, and roadmap** 
 aligned with business objectives and telecom market trends
* Lead Agile product delivery by managing and prioritizing the
 **product backlog** 
 , ensuring alignment with customer value and organizational goals
* Act as the primary liaison between
 **business stakeholders, engineering teams, and leadership** 
 , ensuring clarity of requirements and expectations
* Drive
 **requirements definition** 
 , user story creation, acceptance criteria, and backlog refinement with Agile teams
* Partner closely with architecture and engineering teams to ensure
 **scalable, secure, and high\-performing telecom solutions**
* Oversee
 **end\-to\-end product lifecycle management** 
 , from concept through launch and continuous optimization
* Ensure adherence to
 **Agile best practices** 
 , fostering a culture of continuous improvement and data\-driven decision\-making
* Monitor product performance using KPIs, customer feedback, and market insights to guide enhancements and prioritization
* Support
 **release planning, dependency management, and risk mitigation** 
 across multiple Agile teams
* Collaborate with leadership on
 **portfolio planning, investment prioritization, and strategic initiatives**
* Mentor junior product managers and contribute to the
 **maturity of Agile product management practices** 
 across the organization</t>
        </is>
      </c>
    </row>
    <row r="33">
      <c r="A33" t="inlineStr">
        <is>
          <t>li-4367491256</t>
        </is>
      </c>
      <c r="B33" t="inlineStr">
        <is>
          <t>Product Manager</t>
        </is>
      </c>
      <c r="C33" t="inlineStr">
        <is>
          <t>Joie Children's Products, Inc.</t>
        </is>
      </c>
      <c r="D33" t="inlineStr">
        <is>
          <t>linkedin</t>
        </is>
      </c>
      <c r="E33" t="inlineStr"/>
      <c r="F33" t="inlineStr"/>
      <c r="G33" t="inlineStr">
        <is>
          <t>Morgantown, PA</t>
        </is>
      </c>
      <c r="H33" t="inlineStr"/>
      <c r="I33" t="inlineStr">
        <is>
          <t>*We are* 
***Joie***
*, a global baby gear brand established in 2011 and distributed across over 85 countries.* 
*We prioritize designing products with families in mind. Our commitment extends to fostering joy\-filled workplaces, where we celebrate our team members' skills, and nurture their development.* 
*Joie offers superior health and welfare benefits, boasting a $0 Copay / $0 Deductible Medical \&amp; Prescription Plan Design, a 401(k) with a 6% Employer Match, Vision and Mental Health Benefits.* 
*With our continued growth, and expansion into the US Market, we're seeking a* 
***Product Manager***
*to join our* 
***Product Marketing***
*team in our Morgantown, PA offices, located just a mile off PA Turnpike exit 298\.* 
*The* 
***Product Manager***
*will lead and assist in the development of juvenile product plans based on a thorough understanding of the consumer, the market and the competition and lead and assist with the development of production planning and execution in the market.* 
**Essential Duties and Responsibilities** 
 Liaison
* As the voice for Product Development (“PD”), you will facilitate timely, up\-to\-date, accurate and effective flow of communication, information, and mutual understanding between all stakeholders.
* As a voice for the customer and consumer, you will ensure the PD team is kept up to date with customer and consumer insights throughout the product development process, recommending feature changes and/or additions when appropriate.
 Market Analysis
* Creates and maintains competitor product detail information.
* Monitors ongoing market analysis to gain a thorough understanding of the customer, consumer and competition to assist with providing strategic product direction.
* Understands the market landscape and is the in\-house product expert.
* Identify new product opportunities based on consumer perceptions, expectations and competitors.
 Product Development and Planning
* Responsible for being subject matter expert and point of contact for the brand and creative teams.
* Propose development of new and derivative product strategies for growth.
* Define new project vision, strategy and roadmap.
* Collaborate with internal teams on the recommendation of cost and price points for products to maintain healthy margins.
* Communicate key product information and USP to brand teams for launch preparation.
* Ensure the development stages of the product timeline are met.
* Provide support at product presentations, trade shows and research events.
 Product Management
* Guide all products in assigned categories throughout the product lifecycle (Introduction, Growth, Maturity, Decline).
* Coordinate production schedules to ensure on\-time ship windows.
* Align cross\-functional teams on expectations and manage the delivery of information for new products or product changes to ensure business, customer and consumer goals are met.
* Manage samples.
*This position description is intended to provide a summary of the essential duties, tasks, and responsibilities of this position and shall not be considered an exhaustive listing of all work requirements.* 
**Requirements and Qualifications** 
 Experience \&amp; Education
* Three (3\) to Five (5\) years of experience in product or business management preferably in consumer goods, durables, or juvenile products.
* Demonstrated ability to conduct thorough market and competitor analysis and identify new product opportunities.
* Well versed in gathering and interpreting customer and consumer insights to inform product development decisions.
* Experience in coordinating production planning, schedules, and cross\-team alignment to ensure successful product execution.
* Proven track record in managing products through their entire lifecycle, from concept to launch and beyond.
* Bachelor’s degree in marketing or related field.
 Skills \&amp; Competencies
* Possess exceptional cross\-functional communication and stakeholder management skills.
* Strong analytical abilities for conducting market and competitor analysis.
* Expertise in gathering and interpreting customer and consumer insights.
* Strategic thinking and vision\-setting for product development and growth.
* Project management proficiency to coordinate timelines and deliverables.
* Strong cross\-functional communication and stakeholder management skills to facilitate collaboration and information flow.
* Collaboration and teamwork with creative, brand, and production teams.
* Ability to define and articulate unique selling propositions (USPs).
* Financial acumen for recommending cost and price points to sustain margins.
* Adaptability in dynamic markets and openness to product adjustments.
* Presentation and public speaking skills for product launches and events.
* Organizational skills for managing samples and production schedules.
* Results\-oriented mindset focused on meeting business, customer, and consumer objectives.
* Possess a natural curiosity that is grounded by a desire to understand customer/consumer habits.
 Technology
*Advanced in:* 
* Project management tools: Wrike or Asana preferred
*Proficient in:* 
* Microsoft Office Suite, Advanced PowerPoint and Excel are desirable.
* Adobe Reader \&amp; Writer.
* Video conference software:
 **Teams** 
 or
 **Zoom** 
 preferred.
*Familiar with* 
 :
* Corporate credit card expense management software,
 **BILL Spend \&amp; Expense** 
 preferred.
* Payroll systems,
 **Paycom** 
 preferred.
* Project management software,
 **Wrike** 
 preferred.
* Corporate travel systems,
 **Navan** 
 preferred.
* Ability to proficiently learn new software with ease.
 Other
* Ability to work extended hours as business needs warrant; may on occasion include nights and weekends.
* Domestic \&amp; International travel, up to 25% as business needs warrant.
**Applicants must be currently authorized to work in the United States on a full\-time basis.**</t>
        </is>
      </c>
    </row>
    <row r="34">
      <c r="A34" t="inlineStr">
        <is>
          <t>li-4367610240</t>
        </is>
      </c>
      <c r="B34" t="inlineStr">
        <is>
          <t>Product Manager, Heavy-Duty &amp; Industrial Fleets</t>
        </is>
      </c>
      <c r="C34" t="inlineStr">
        <is>
          <t>MANN+HUMMEL</t>
        </is>
      </c>
      <c r="D34" t="inlineStr">
        <is>
          <t>linkedin</t>
        </is>
      </c>
      <c r="E34" t="inlineStr"/>
      <c r="F34" t="inlineStr"/>
      <c r="G34" t="inlineStr">
        <is>
          <t>Gastonia, NC</t>
        </is>
      </c>
      <c r="H34" t="inlineStr"/>
      <c r="I34" t="inlineStr">
        <is>
          <t>**Role Summary** 
**This is an ONSITE position based at our location in Gastonia, NC.**
* **No Visa sponsorship is available for this position.**
 The
 **Product Manager – HDI Fleets** 
 is responsible for developing and managing products that enable success in fleet\-focused business development initiatives. This role requires expertise in aftermarket product management, marketing, and engineering collaboration. The Product Manager will drive product strategy, ensure strong value propositions, and lead initiatives to position the WIX brand as a trusted heavy\-duty brand. The role also involves supporting direct\-to\-fleet markets and aligning product offerings with customer needs in Class 6/7/8 trucks, construction, agriculture, mining, and hydraulics sectors.
**JOB RESPONSIBILITIES** 
 • Lead product strategy and roadmap development for heavy\-duty and industrial fleet applications
 • Develop and maintain compelling product value propositions to meet market needs
 • Drive insourcing initiatives to optimize cost and quality
 • Communicate HD product range effectively to the market and reinforce WIX brand positioning
 • Collaborate with Business Development Managers to identify product gaps and opportunities
 • Conduct market research and competitive analysis to inform product design and positioning
 • Manage product lifecycle from concept to launch, including pricing and profitability analysis
 • Support digital initiatives by integrating product data into CRM and e\-commerce platforms
 • Coordinate with engineering and operations teams to ensure technical feasibility and timely delivery
 • Provide training and technical support to sales teams and key customers
 • Monitor product performance and implement improvements based on customer feedback and KPIs
**REQUIREMENTS** 
**Education:** 
 • Bachelor’s Degree in Engineering, Marketing, or Business
**Experience:** 
 • 5\+ years of experience in product management within a manufacturing environment in automotive aftermarket
 • Previous experience collaborating with cross\-functional teams including sales, engineering, and marketing
**Required Skills:** 
 • Strong understanding of direct\-to\-fleet distribution models and contract structures
 • Knowledge of Class 6/7/8 fleet operations and requirements
 • Expertise in pricing strategy, market analysis, and lifecycle management
 • Proficiency in digital tools, CRM systems, and product lifecycle management platforms
 • Excellent English communication, leadership, and analytical skills
**Preferred Education, Experience, and Skills:** 
 • MBA
 • Filtration industry experience
 • SalesForce CRM experience
 • Experience in agriculture fleet replacement parts business
 • Experience in construction filtration business
 • Experience in mining filtration business
 • Ability to lead digital product initiatives and integrate technology solutions
 • Strategic thinker with strong execution capabilities</t>
        </is>
      </c>
    </row>
    <row r="35">
      <c r="A35" t="inlineStr">
        <is>
          <t>li-4367465147</t>
        </is>
      </c>
      <c r="B35" t="inlineStr">
        <is>
          <t>Associate Product Manager - Interfaces</t>
        </is>
      </c>
      <c r="C35" t="inlineStr">
        <is>
          <t>Censis Technologies, Inc.</t>
        </is>
      </c>
      <c r="D35" t="inlineStr">
        <is>
          <t>linkedin</t>
        </is>
      </c>
      <c r="E35" t="inlineStr"/>
      <c r="F35" t="inlineStr"/>
      <c r="G35" t="inlineStr"/>
      <c r="H35" t="inlineStr"/>
      <c r="I35" t="inlineStr">
        <is>
          <t>**Position Summary**
 We are seeking a strategic and execution\-focused
 **Associate** 
**Product Manager** 
 to lead the development and lifecycle management of our
 **interfaces platform** 
 . This role requires a unique blend of product management skills and in\-depth technical knowledge of interface platforms to lead cross\-functional teams in delivering innovative solutions that empower our organization and customers.
 The successful candidate will be responsible for helping define product strategy, managing complex product lifecycles, and ensuring seamless integration of our core products and our interface platform.
**Key Responsibilities**
**Product Strategy \&amp; Vision**
* Define the interfaces platform strategy in collaboration with the Director of Strategy, to ensure seamless integration capabilities that differentiate Censis software from competitors and deliver superior customer value
* Develop (in collaboration with our Interface Architect) comprehensive interface product roadmaps aligned with business objectives and technical capabilities and present to leadership
* Conduct competitive analysis and market research to identify integration gaps, emerging interface standards, and opportunities where enhanced connectivity can leapfrog competitor offerings
**Product Lifecycle Management**
* Gain deep understanding of customer experience and workflows through customer research and market work
* Lead API and integration roadmap development by identifying critical third\-party systems and partner platforms.
* Clearly define customer workflow requirements and business requirements including cost to develop, cost to manage, and cost \&amp; time to implement.
* Collaborate with engineering teams to design scalable interface architecture that supports current customer needs while building flexible foundations for future integrations and competitive advantages
* Participate in technical design discussions and architectural decision\-making
* Write detailed use cases, user stories, and product requirements documents (PRDs)
* Define acceptance criteria and success metrics for new features and products
* Manage interface launches, including go\-to\-market planning and cross\-functional coordination
* Conduct post\-launch analysis and iterate based on user feedback and performance data
**Product Ownership**
* Own the Sustainment (technical debt, maintenance, and performance improvements) roadmap for our interface platform
* Work closely with the documentation manager to ensure all release documentation (including release notes, technical documentation, knowledge base articles, and troubleshooting guides) is thorough and engaging
* Partner with the Product Trainer to develop training materials for all new interfaces and interface enhancements
* Serve as the primary escalation point for complex product questions from Customer Success and Customer Support teams
**Minimum Qualifications**
* 2\+ years as a technical Associate Product Manager / Product Owner, ideally for an interface or software portfolio
* Understanding of API lifecycle management from design and development through deployment, maintenance, and deprecation strategies
* Strong analytical and problem\-solving abilities with experience using data to drive decisions
* Experience leading cross\-functional teams in an agile development environment; familiarity with Scrum preferred
* Customer\-focused mindset with experience gathering and analyzing user feedback
* Excellent verbal and written communication skills, with the ability to present to leadership and cross\-functional teams
* Experience working with vendors and 3rd party partners
**Preferred Qualifications**
* Experience working with vendors and 3rd party partners
**Education**
* Bachelor’s or Master’s degree in Computer Science, Engineering, Business or related field/experience
**About Censis Technologies**
 Censis Technologies based in Franklin, Tenn., is the industry leader in surgical instruments and asset management software. Censis offers multiple solutions, including CensiTrac, which is a highly advanced, web\-based software system focused on maximizing OR throughput and regulatory compliance. Censis Technologies’ software is deployed in hundreds of hospitals in the United States, Canada, and Australia.
**Fortive Corporation Overview**
 Fortive's essential technology makes the world safer and more productive. We accelerate transformation in high\-impact fields like workplace safety, build environments, and healthcare.
 We are a global industrial technology innovator with a startup spirit. Our forward\-looking companies lead the way in healthcare sterilization, industrial safety, predictive maintenance, and other mission\-critical solutions. We're a force for progress, working alongside our customers and partners to solve challenges on a global scale, from workplace safety in the most demanding conditions to advanced technologies that help providers focus on exceptional patient care.
 We are a diverse team 10,000 strong, united by a dynamic, inclusive culture and energized by limitless learning and growth. We use the proven Fortive Business System (FBS) to accelerate our positive impact.
 At Fortive, we believe in you. We believe in your potential—your ability to learn, grow, and make a difference.
 At Fortive, we believe in us. We believe in the power of people working together to solve problems no one could solve alone.
 At Fortive, we believe in growth. We're honest about what's working and what isn't, and we never stop improving and innovating.
 Fortive: For you, for us, for growth.
**About Censis**
 Censis, the first company to engineer a surgical asset management system that tracks down to the instrument and patient levels, has continually set the standards for the sterile processing industry.From the beginning, Censis has recognized the vital connection between perioperative innovation and efficiency, unparalleled customer care and improved operational performance. By continuing to invest in technology, ease of integration, education and support, Censis provides solutions that empower hospitals and healthcare providers to stay compliant and ahead of healthcare’s rapidly changing environment. With Censis, you’re positioned to start ahead and stay ahead, no matter what the future holds.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
**Bonus or Equity**
 This position is also eligible for bonus as part of the total compensation package.
**Pay Range**
 The salary range for this position (in local currency) is 70,600\.00 \- 117,900\.00
 Censis, the first company to engineer a surgical asset management system that tracks down to the instrument and patient levels, has continually set the standards for the sterile processing industry.From the beginning, Censis has recognized the vital connection between perioperative innovation and efficiency, unparalleled customer care and improved operational performance. By continuing to invest in technology, ease of integration, education and support, Censis provides solutions that empower hospitals and healthcare providers to stay compliant and ahead of healthcare’s rapidly changing environment. With Censis, you’re positioned to start ahead and stay ahead, no matter what the future holds.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
 This position is also eligible for bonus as part of the total compensation package.
 The salary range for this position (in local currency) is 70,600\.00 \- 117,900\.00</t>
        </is>
      </c>
    </row>
    <row r="36">
      <c r="A36" t="inlineStr">
        <is>
          <t>li-4367495329</t>
        </is>
      </c>
      <c r="B36" t="inlineStr">
        <is>
          <t>Senior Product Manager, Financial Products</t>
        </is>
      </c>
      <c r="C36" t="inlineStr">
        <is>
          <t>Uber</t>
        </is>
      </c>
      <c r="D36" t="inlineStr">
        <is>
          <t>linkedin</t>
        </is>
      </c>
      <c r="E36" t="inlineStr"/>
      <c r="F36" t="inlineStr"/>
      <c r="G36" t="inlineStr">
        <is>
          <t>San Francisco, CA</t>
        </is>
      </c>
      <c r="H36" t="inlineStr"/>
      <c r="I36" t="inlineStr">
        <is>
          <t>**About The Role**
 Are you passionate about building innovative financial products that drive engagement, affordability, and economic opportunity for millions of users worldwide? At Uber, we're redefining the future of embedded finance by delivering seamless, impactful financial experiences across our global platform.
 We're looking for an innovative, customer\-obsessed, and data\-driven Product Manager to join our Consumer Lending Product team. In this role, you will own and deliver key initiatives across our lending product portfolio, leading work end\-to\-end\-from discovery through launch and ongoing optimization.
 You will drive customer and market research to uncover needs and opportunities, translate insights into clear product strategy and requirements, and partner closely with Engineering, Design, Data, Risk/Compliance, and Operations to build and implement solutions. After launch, you will define success metrics, monitor performance, and continuously iterate to improve customer outcomes and business results.
* This role requires being located in San Francisco, CA.
**What The Candidate Will Do**
* Lead Innovation : Develop and execute a visionary roadmap for the financial products portfolio products, introducing groundbreaking features that delight users and drive engagement.
* Collaborate Cross\-Functionally : Work closely with engineering, design, marketing, and operations teams to build seamless and personalized gifting experiences across the Uber platform.
* Understand User Needs : Dive deep into user research and data analytics to create products that exceed expectations and foster meaningful connections.
* Forge Strategic Partnerships : Identify and manage relationships with external partners.
* Drive Global Impact : Tailor gifting solutions to resonate with diverse cultures and markets, scaling our products to reach a global audience.
* Measure Success : Monitor key performance metrics and feedback loops to continually enhance user satisfaction and business outcomes.
**Basic Qualifications**
* Experience : Minimum of 5 years as a Product Manager in a tech company with a strong focus on consumer\-facing products.
* Education : Bachelor's degree in Computer Science, Engineering, Business, or a related field.
* Technical Proficiency : Ability to collaborate effectively with engineering teams and understand technical integrations and challenges.
**Preferred Qualifications**
* Entrepreneurial Mindset : Experience launching products from 0 to 1 at scale, demonstrating creativity and a willingness to challenge the status quo.
* Data\-Driven Decision Making : Strong analytical skills with the ability to interpret complex data to inform product strategies.
* Exceptional Communication : Excellent interpersonal skills with the ability to inspire and lead cross\-functional teams toward a common goal.
* Global Perspective : Experience working on products with a global reach, adapting strategies to meet varied market needs.
* Strategic Vision : Ability to align product initiatives with overall company objectives, balancing immediate needs with long\-term goals.
 For San Francisco, CA\-based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37">
      <c r="A37" t="inlineStr">
        <is>
          <t>li-4222383337</t>
        </is>
      </c>
      <c r="B37" t="inlineStr">
        <is>
          <t>Senior Product Manager, Remix</t>
        </is>
      </c>
      <c r="C37" t="inlineStr">
        <is>
          <t>Via</t>
        </is>
      </c>
      <c r="D37" t="inlineStr">
        <is>
          <t>linkedin</t>
        </is>
      </c>
      <c r="E37" t="inlineStr"/>
      <c r="F37" t="inlineStr"/>
      <c r="G37" t="inlineStr">
        <is>
          <t>New York, NY</t>
        </is>
      </c>
      <c r="H37" t="inlineStr"/>
      <c r="I37" t="inlineStr">
        <is>
          <t>Via is using technology to transform transportation around the world. From changing a single person’s daily commute to reducing humanity’s collective environmental footprint — we’ve got huge goals.
 We’re looking for a Senior Product Manager to lead a product that helps public transit planners improve their communities. You’ll join the Remix team to work on our market leading transit planning software, already loved by users in hundreds of cities around the globe. The Remix product team takes pride in our beautiful map\-based product, obsesses over delivering intuitive features, and succeeds when planners and city officials use Remix to have a greater impact for the public good.
**Note: This position is only available in NYC.**
**What You'll Do:**
* You will understand transit and transportation planners’ needs through frequent customer interviews and tracked customer requests
* You will synthesize these needs into a product strategy \&amp; prioritization framework with clear measurable goals and get buy\-in from cross\-functional stakeholders
* You will work closely with the engineering and design teams to scope, design, build, and iterate features that advance this strategy
* You will work with marketing and success teams to communicate and roll out this new product to customers
* You will measure the results, learn, and iterate
* You will stay current with industry trends to drive innovation and prepare the team for emerging challenges.
**Who You Are:**
* You have at least 5\-7 years of experience as a product manager or de facto product manager for a software product
* You are a “simplifier” who breaks down complex logical and technical concepts and readily finds product\-oriented solutions to divergent customer requests
* You can quickly and independently learn about new, highly technical and specialized domains
* You have a natural empathy for users and instincts for what makes a great software product
* You are entrepreneurial, comfortable with ambiguity and have a bias for action
* You take a deeply collaborative approach to your work
**Compensation and Benefits:**
* Final salary will be determined by the candidate’s experience, knowledge, and skills. Salary reflected does not include equity or variable pay, where applicable.
* Salary Range: $150,000 \- $200,000 per year
* We are proud to offer a generous and comprehensive benefits package, including free medical plans and 401K matching.
 We’re Via, and we build technology that changes the way the world moves. We’re driven by a simple mission: to create modern and efficient public transportation systems that provide far greater access to jobs, healthcare, and education. With our best in class suite of products, we make transit thrive.
 Our teams of world\-class engineers, data\-scientists, product managers, operations specialists, marketers, transit experts and more bring cutting\-edge AI\-powered software and innovative technology\-enabled operations to our partners across the globe. Founded in 2012, Via builds solutions to digitize, automate, and enable data\-driven decision making for entire transportation networks; fixed\-route buses, microtransit, paratransit, school buses, autonomous vehicles, and more.
 If you’re excited to be at the forefront of modernizing the future of transportation, are up for solving tough problems, and willing to become/already are a transit nerd, we are the place for you. Even if your past experience doesn’t align perfectly with every qualification in the job description for this role, we encourage you to apply. You may be just the right candidate for this or other opportunities.
 Ready to join the ride?
*Via is an equal opportunity employer.*</t>
        </is>
      </c>
    </row>
    <row r="38">
      <c r="A38" t="inlineStr">
        <is>
          <t>li-4367485312</t>
        </is>
      </c>
      <c r="B38" t="inlineStr">
        <is>
          <t>Associate Product Manager, GP Portfolio Monitoring</t>
        </is>
      </c>
      <c r="C38" t="inlineStr">
        <is>
          <t>Chronograph</t>
        </is>
      </c>
      <c r="D38" t="inlineStr">
        <is>
          <t>linkedin</t>
        </is>
      </c>
      <c r="E38" t="inlineStr"/>
      <c r="F38" t="inlineStr"/>
      <c r="G38" t="inlineStr">
        <is>
          <t>Brooklyn, NY</t>
        </is>
      </c>
      <c r="H38" t="inlineStr"/>
      <c r="I38" t="inlineStr">
        <is>
          <t>**Overview** 
 Chronograph was founded to bring next\-generation technology to private capital markets. Through our suite of cloud\-based analytics and data management solutions, we help many of the world’s largest and most sophisticated venture capital, private equity, and credit funds understand their investment performance in unprecedented detail, with over 258,000 private companies and 15,000 private capital funds monitored via our solution suite.
 At Chronograph, we get to go “behind the scenes” and work directly with investors who are driving some of the most impactful changes across high growth start\-ups, global infrastructure and renewable energy, growth equity, and all other private capital strategies. The firm is backed by The Carlyle Group, Nasdaq Inc., and Summit Partners, and has seen continuous rapid growth since its founding in 2016\.
**The Opportunity** 
 Join a highly collaborative team building market\-leading technology for the private capital markets. The Associate Product Manager role is designed for professionals with 2\-4 years of front or middle office experience at a private equity or private credit firm who are interested in a career in product management. You will work directly with our GP Product Managers to build technology solutions for the challenges you've experienced firsthand, while learning the fundamentals of product development, strategy, and roadmap prioritization.
 This role offers structured growth into a career in product management at a rapidly growing fintech firm. You will gain hands\-on experience across the product lifecycle—from gathering requirements and coordinating delivery to engaging with clients and partnering with engineering teams. As you build expertise, you will take on increasing ownership of features and product decisions.
 The Associate Product Manager, GP Portfolio Monitoring will report to the Product Manager, GP and work closely with Engineering, Design, Client Services, and Business Development. The ideal candidate brings deep expertise in private markets investing from prior buyside experience, and a strong interest in building technology products for the world's leading investors. Fluency with private markets workflows and excellent communication skills are essential.
**As the Product Manager of our GP Product, you will:** 
* Contribute to the formulation and execution of our GP product strategy
* Define, articulate, and manage business and technical requirements of new features
* Work closely with a best\-in\-class Engineering team to deliver high\-quality product features in a timely and efficient manner
* Own operational aspects of product development including UAT coordination, sprint planning support, and product documentation
* Develop a deep understanding of client use cases, and define creative solutions to automate portfolio company data collection, streamline data extraction, and simplify investor reporting
* Engage with clients and internal teams to validate solutions and incorporate feedback into feature delivery
* Build credibility as a subject matter expert on our GP product suite, serving as a trusted resource for Client Services, Sales, and other adjacent teams
* Embrace and make use of cutting edge product philosophies and tools, including LLMs and prototyping platforms
**You will be successful in this role if you have:** 
* Two (2\) to four (4\) years of front or middle office experience at a private equity or private credit GP
* Fluency with private equity operations, terminology, and workflows across the investment lifecycle
* Genuine interest in technology and product management, with enthusiasm for learning a new discipline
* Strong analytical skills and demonstrated ability to synthesize complex information and manage competing priorities
* Excellent written and verbal communication skills, with ability to engage effectively across technical and business audiences
* Detail\-oriented approach with strong organizational capabilities
* Collaborative working style and willingness to work closely with engineering teams on technical specifications
**Nice to haves:** 
* Prior experience using Chronograph or similar GP portfolio monitoring platforms
* Prior experience investing in, implementing, or building tools for enterprise SaaS
* Familiarity with SQL, APIs, or related technical concepts
**Why Join Chronograph?** 
 We value creativity, open communication, cutting edge technology, striving for excellence in all things – and having fun along the way. We want you to be happy here for the long\-term.
 We offer:
* Flexible work arrangements (including remote / in person / hybrid)
* Competitive salary
* Equity Participation
* 401k
* Unlimited and flexible vacation
* Generous health benefits
* Team week events in HQ (Brooklyn, NY) three times annually for all employees
* Fully\-paid parental leave
* ...and more!
 Chronograph is committed to promoting a diverse and inclusive culture, and we welcome applicants from all backgrounds. If you’re a passionate team player who wants to have an outsized impact on a diverse and dynamic team, we’d love to hear from you!</t>
        </is>
      </c>
    </row>
    <row r="39">
      <c r="A39" t="inlineStr">
        <is>
          <t>li-4367249014</t>
        </is>
      </c>
      <c r="B39" t="inlineStr">
        <is>
          <t>Senior Product Manager, Performance Platform &amp; Integrations</t>
        </is>
      </c>
      <c r="C39" t="inlineStr">
        <is>
          <t>RemoteHunter</t>
        </is>
      </c>
      <c r="D39" t="inlineStr">
        <is>
          <t>linkedin</t>
        </is>
      </c>
      <c r="E39" t="inlineStr"/>
      <c r="F39" t="inlineStr"/>
      <c r="G39" t="inlineStr"/>
      <c r="H39" t="inlineStr"/>
      <c r="I39" t="inlineStr">
        <is>
          <t>About the Opportunity:
 This organization provides a data governance layer that makes web analytics tools HIPAA\-compliant for healthcare businesses. It enables healthcare marketers to promote access to care while safeguarding patient privacy by automating HIPAA compliance for websites and apps. The core product helps healthcare providers manage customer data securely and serves as a platform for building marketing applications. The role focuses on building and maintaining integrations connecting diverse revenue events such as appointments, billing, and clinical outcomes into the data platform, supporting bottom\-of\-funnel marketing efforts.
 Responsibilities:
 • Architect and maintain a growing ecosystem of integrations with EHRs (e.g., Epic), booking platforms (e.g., Solv), and billing systems.
 • Identify and explore new potential data source integrations to support advertising and marketing performance.
 • Manage reconciliation and alignment through scalable platform logic as the bottom\-of\-funnel network expands.
 • Collaborate with the Identity Team, Ad Platform Team, and Insights Team to resolve user journeys, align top\-of\-funnel signals, and power ROI\-driving recommendations.
 • Use AI tools daily to increase productivity, accelerate documentation, and automate complex data mapping.
 Requirements:
 • Experience as an integrations architect with a platform\-oriented view managing complex, disparate data sources at scale.
 • Outcome\-driven mindset focused on business and customer results.
 • Early adopter of AI tooling such as large language models, coding assistants, and data agents.
 • Collaborative strategist who understands the importance of fueling peer product teams with well\-integrated data.
 Benefits \&amp; Perks:
 • Competitive pay and generous equity with a 10\-year exercise window.
 • Fully remote within the U.S. with a $150/month coworking stipend.
 • Half\-day Fridays every week.
 • Unlimited paid time off with a required 2\-week minimum.
 • Top\-tier health, dental, and vision insurance (100% covered for employees, 80% for dependents).
 • Two annual “Treat Yourself” days featuring $100 and a day off.
 • Generous parental leave.
 • Twice\-yearly offsite gatherings.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0">
      <c r="A40" t="inlineStr">
        <is>
          <t>li-4345003439</t>
        </is>
      </c>
      <c r="B40" t="inlineStr">
        <is>
          <t>Senior Product Manager</t>
        </is>
      </c>
      <c r="C40" t="inlineStr">
        <is>
          <t>Real</t>
        </is>
      </c>
      <c r="D40" t="inlineStr">
        <is>
          <t>linkedin</t>
        </is>
      </c>
      <c r="E40" t="inlineStr"/>
      <c r="F40" t="inlineStr"/>
      <c r="G40" t="inlineStr"/>
      <c r="H40" t="inlineStr"/>
      <c r="I40" t="inlineStr">
        <is>
          <t>Real (Nasdaq: REAX) is a publicly traded, fast\-growing global real estate brokerage powered by technology and driven by people. Since our founding in 2014, we’ve been reimagining the residential real estate experience. With operations across the U.S., Canada, India, and the District of Columbia, we’re leading the industry with our cutting\-edge platform that empowers agents, simplifies the buying and selling journey, and unlocks greater financial opportunities.
 At Real, we believe in pairing Tech x Humanity to create something truly different.
 Learn more at https://www.onereal.com/
**Work Schedule:** 
 MUST be willing to work Eastern (EST) time zone hours, regardless of location.
**About the Role:**
 Real is looking for an experienced, passionate Senior Product Manager to lead key strategic initiatives that support Real’s Brokerage, Mortgage, and Title businesses. The Senior Product Manager serves as the proxy for our internal and external customers and is responsible for working with key stakeholders in the company as well as our top\-notch Engineering team to bring products from inception to market. In this role, you’ll have the opportunity to develop and deploy solutions for our Real Estate Agents and their clients. You’ll lead the discovery process to understand customer needs, help create the product strategy and roadmap, define product requirements, and manage the product backlog. In addition, you’ll conduct market research, analyze customer feedback, and implement and monitor product metrics.
**What You’ll Do:**
* Interview internal stakeholders / customers to identify workflow improvement opportunities and system needs
* Define product solutions for the problems identified and present them to stakeholders and leadership
* Partner closely with UX team to define user flows and designs
* Create user stories and feature specifications for engineers
* Prioritize feature requests
* Plan and execute product launches, partnering with Marketing Team when necessary
* Demo products to stakeholders
* Train internal staff on new product features
* Define and track product metrics in order to identify optimization opportunities
* Gather customer feedback on product features via interviews, surveys, and other means
* Mentor junior product managers as needed
**What You’ll Bring:**
* Strong leadership presence with ability to lead a cross\-functional team of stakeholders, designers, and engineers
* Ability to lead development of product vision, strategy, and roadmap
* Strong communication and organizational skills operating at a variety of levels and stakeholders
* Comfort working in a fast paced, dynamic environment with distributed teams
**Education \&amp; Experience:**
* Bachelor's degree required. Masters in Computer Science or MBA is preferred.
* Minimum of 5\+ years experience as a Product Manager in tech\-driven companies.
* Technical competence \&amp; strong analytical skills
* Experience working in a fast paced, agile environment
* Understanding of residential real estate transaction details strongly preferred
* Experience working on internal and/or B2B platforms as well as consumer\-facing products (preferred)
* Start\-up experience and passion for residential real estate (preferred)
**How We Work: Our Operating Principles**
 Our Operating Principles are the blueprint of Real’s culture. They guide how we show up, make decisions, and bring our mission to life every day:
* Be Agent Obsessed: We design every decision around creating value for our agents and their clients.
* Move Fast with Purpose: We act with urgency, clarity, and focus—without compromising our standards.
* Own Your Outcome: Effort matters, but results matter more. We adapt, learn, and improve.
* Be Bold; Challenge Often: We challenge assumptions, rethink “the usual,” and push for smarter, simpler solutions.
* Win Together: We set high standards, collaborate deeply, and celebrate shared success.
**Additional Details:**
* Location Requirements: Candidates must be based in U.S. to be considered.
* Physical Requirements: Ability to sit for long periods of time.
**Our Commitment:**
 Real Broker, LLC is proud to be an equal opportunity employer. We celebrate diversity and are committed to building an inclusive environment for all employees. We welcome applicants of all backgrounds and identities, and we do not discriminate on the basis of race, color, ancestry, religion, sex, sexual orientation, gender identity or expression, age, marital or family status, disability, citizenship, veteran status, or any other status protected by applicable law.</t>
        </is>
      </c>
    </row>
    <row r="41">
      <c r="A41" t="inlineStr">
        <is>
          <t>li-4367483588</t>
        </is>
      </c>
      <c r="B41" t="inlineStr">
        <is>
          <t>Sr. Product Manager</t>
        </is>
      </c>
      <c r="C41" t="inlineStr">
        <is>
          <t>insightsoftware</t>
        </is>
      </c>
      <c r="D41" t="inlineStr">
        <is>
          <t>linkedin</t>
        </is>
      </c>
      <c r="E41" t="inlineStr"/>
      <c r="F41" t="inlineStr"/>
      <c r="G41" t="inlineStr"/>
      <c r="H41" t="inlineStr"/>
      <c r="I41" t="inlineStr">
        <is>
          <t>**About Us**
 insightsoftware is a global provider of reporting, analytics, and performance management solutions that unlock the potential of business data and transform the way finance and data teams operate. We empower leaders from over 32,000 organizations to make timely and intelligent decisions. Our comprehensive solutions span Financial Planning and Analysis (FP\&amp;A), Controllership, and Data and Analytics. We deliver finance teams the insights required to navigate any economic climate and drive greater financial intelligence, while increasing productivity, visibility, accuracy, and compliance. Learn more at
 **insightsoftware.com.**
**Job Description**
 insightsoftware is seeking a leader to drive a significant technology change, democratizing sophisticated finance technology for the every day financial planner, analyst, and busienss partner. We're building our next\-generation platform that brings enterprise\-grade financial reporting and analytics to mid\-market and SMB finance teams. This isn't incremental improvement. It's about giving smaller organizations the same powerful capabilities that only the largest companies could afford, delivered as a unified, AI\-powered, cloud\-native SaaS platform.
 The Senior Product Manager is the leader and end\-to\-end owner of this platform initiative \- responsible for driving vision, roadmap, and commercial success. You'll be the architect of a platform that empowers hundreds of thousands of finance professionals in growing companies to punch above their weight. This role demands someone who can coordinate across multiple product backlogs, build AI capabilities that make small teams incredibly efficient, and translate complex technical capabilities into compelling business outcomes.
 You own the full product life cycle \- from gathering market requirements and determining the optimal mix of platform initiatives, to working with distributed engineering teams on delivery, to ensuring successful launches and go\-to\-market execution. This is a true platform play requiring cross\-product orchestration, AI product expertise, and a metrics\-driven approach to everything you do.
**Responsibilities**
* Lead the UFE platform roadmap, coordinating across multiple product backlogs to create a unified user experience that advances the overall maturity of our enterprise finance solutions
* Build and ship AI\-powered features that demonstrably improve customer efficiency. Define the AI product strategy that differentiates UFE in the market and leverage AI for product development velocity
* Use data relentlessly to drive decisions \- you must love data and know how to get it, use it, and execute based on what's available. Translate financial metrics and business KPIs into product strategy with solid business and financial acumen
* Drive strategic alignment with senior leaders using data and insights. Analyze initiatives for ROI and extract maximum commercial value through packaging, pricing, and new feature development
* Provide ongoing market analysis by tracking competitive dynamics in ERP, EPM, and financial reporting segments. Identify customer requirements through win/loss calls and voice\-of\-customer interviews
* Collaborate with Product Owners and engineering teams to drive delivery of requirements, including definition, prioritization, trade\-offs, and execution of release goals across distributed teams
* Execute new product launch plans, partnering with Product Marketing and Sales Enablement to provide product education, demonstrations, and expertise to internal and external customers
* Collaborate with Customer Success teams to drive highly effective customer experience as measured by NPS, understanding and improving the end\-to\-end customer journey
* Champion the UFE vision across the organization \- from front\-line teams to executive stakeholders \- translating technical capabilities into business outcomes
* Ensure UFE delivers as a true cloud\-native, multi\-tenant SaaS platform with enterprise\-grade scalability, maintaining consistency in UX, data models, and APIs
**Achievements/Goals**
* Commercial Product Management Expertise \- Track record of success in B2B SaaS with proven ability to ensure ROI for major product features and platform initiatives
* Cross\-Product Coordination \&amp; Platform Thinking \- Experience managing multiple product backlogs simultaneously, coordinating across teams to create unified user experiences and build systems, not just features
* AI Product Development \- Demonstrated success building and shipping AI\-powered features that measurably improve customer efficiency, plus experience leveraging AI for product development velocity
* Data Obsession \- You love data. Track record of getting, using, and executing based on available business data to drive strategic direction
* Strategic/Tactical Balance \- Balance platform vision with disciplined tactical execution across multiple product lines
* Market \&amp; Customer Focus \- Understand market segmentation, trends, and competitive dynamics in ERP/EPM/financial reporting markets. Translate voice of customer into product requirements that drive customer experience
* Cross\-functional Leadership \- Lead and drive execution across Development, Sales, Marketing, Support, and Customer Success with ability to influence without authority
* Business \&amp; Financial Acumen \- Understand business metrics, financial KPIs, and how product decisions impact commercial outcomes
* Drive \&amp; Grit \- Operate in fast\-paced environment with focus and determination to achieve high\-quality results
* Engaging Presence \- Effectively engage with prospects, customers, executives and engineers about the platform vision
**Qualifications**
* 7\+ years of Product Management experience in Cloud/SaaS Software development with experience creating or deploying complex enterprise\-ready platforms
* Proven experience coordinating across multiple products or backlogs to create unified user experiences
* Demonstrated track record building and shipping AI\-powered product features that improve customer efficiency
* Strong data analysis skills with proven ability to use metrics to drive product decisions and strategic direction
* Excellent executive\-level communication and presentation skills with ability to coordinate cross\-functional groups to accomplish product, solution, and revenue goals
* Strong product understanding and market background in ERP, EPM, financial reporting, or business intelligence markets
* Knowledge of major ERP platforms (Oracle, SAP, Microsoft Dynamics, NetSuite) and their ecosystems strongly preferred
* Experience working with distributed engineering and product teams
* Deep understanding of cloud architectures and multi\-tenant SaaS delivery models
* Experience with ERP software and differences between platforms including Oracle, SAP, Microsoft Business Central, and other commercial ERPs.
* Experience helping customers adopt cloud\-based products and agile technology organizations preferred
* Typically 10\-15% travel
**Additional Information**
 All your information will be kept confidential according to EEO guidelines.
 Learn more about our high\-energy, high\-performance global team: Work With Us
 insightsoftware About Us: Hear From Our Team
 Background checks are required for employment with insightsoftware, where permitted by country, state/province.
 At insightsoftware, we are committed to equal employment opportunity regardless of race, color, ethnicity, ancestry, religion, national origin, gender, sex, gender identity or expression, sexual orientation, age, citizenship, marital or parental status, disability, veteran status, or other class protected by applicable law. We are proud to be an equal opportunity workplace.</t>
        </is>
      </c>
    </row>
    <row r="42">
      <c r="A42" t="inlineStr">
        <is>
          <t>li-4367003284</t>
        </is>
      </c>
      <c r="B42" t="inlineStr">
        <is>
          <t>Technical Product Manager, Specialist</t>
        </is>
      </c>
      <c r="C42" t="inlineStr">
        <is>
          <t>Vanguard</t>
        </is>
      </c>
      <c r="D42" t="inlineStr">
        <is>
          <t>linkedin</t>
        </is>
      </c>
      <c r="E42" t="inlineStr"/>
      <c r="F42" t="inlineStr"/>
      <c r="G42" t="inlineStr">
        <is>
          <t>Wayne, PA</t>
        </is>
      </c>
      <c r="H42" t="inlineStr"/>
      <c r="I42" t="inlineStr">
        <is>
          <t>**Role Summary**
 The
 **Product Manager, Specialist** 
 role is responsible for leading digital product management initiatives, overseeing the development, implementation, and optimization of strategic products. Partner with stakeholders to align product goals with business objectives and market needs. This role requires close collaboration with cross\-functional teams to enhance product capabilities, align with long term strategic technology and business strategy, and define product roadmaps. Focus on forward looking solutions through continuous improvements and transformation. The specialist ensures planned implementation, manages escalations, and employs data\-driven insights to refine product strategies and impact. Have a financial acumen to manage cost and benefit as it relates to product development requirements.
**Core Responsibilities:**
* Lead digital product management activities for multiple digital products, or one strategic product.
* Collaborate with stakeholders, technology and cross\-functional teams to create product vision, strategy and road maps that drive significant changes to the operations functions and client experience.
* Understand and evaluate end to end processes and data integration in the assigned products.
* Leads the planning, prioritization, and implementation of new digital products or enhancements to existing products.
* Research and analyzes markets for product features and requirements and developing implementation plans.
* Leverage data and variety of qualitative and quantitative analysis techniques to measure and manage scalability, efficiency and engagement.
* Translate product strategy into detailed requirements and prototypes, collaborating with engineering teams to ensure timely and resource\-efficient delivery.
* Define effective messaging, implementation plan, and training across product users and management team for product/feature releases. Evaluate post release impact and align to defined business OKR (Objectives and Key Results) and KPI (Key performance indicators).
* Partners with stakeholders to resolve production and implementation issues in a timely manner and supports/drives escalations where required to enable rapid delivery.
* Partners with digital product teams and peers to share best practices and learnings. Ensures delivery of messaging, communication, and customer outreach as necessary.
* Participates in special projects and performs other duties as assigned.\\
**Qualifications**
* Undergraduate degree or equivalent combination of training and experience required. Graduate degree preferred.
* Minimum of five years related work experience. Two years of leading large cross\-functional teams on major organizational projects preferred.
* PMI and Agile Certification or experience in managing Agile Product development practices
* Business and operations experience with Investment Management firms or large Fund Services Organization/Banks with focus on Fund Administration and oversight, middle and Back\-office operations, and/or regulatory \&amp; compliance management.
* Demonstrated ability to learn quickly, operate independently, and thrive in ambiguous environments without extensive guidance.
* Strategic Mindset with proven experience making product decisions that drive long\-term value.
* Strong expertise in digital product management, market analysis, and user experience optimization.
* Proven ability to translate customer insights into product improvements and new features.
* Technical Expertise: Strong understanding of system architecture, APIs, data flows, and integration patterns. Ability to engage deeply with engineering teams.
* Experience working with engineering teams to drive product development from concept to launch.
* Excellent strategic thinking, problem\-solving, and decision\-making skills.
* Strong communication and stakeholder management abilities to align product strategy with business goals.
* Exceptional ability to articulate complex technical concepts to non\-technical stakeholders, including senior leaders and stakeholders, as well as technical teams.
* Ability to lead cross\-functional teams without direct authority and build consensus among diverse stakeholders.
* Understanding of emerging technology and applications of AI, Gen AI, Machine Learning, Intelligent Automation, and Cloud.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43">
      <c r="A43" t="inlineStr">
        <is>
          <t>li-4339300477</t>
        </is>
      </c>
      <c r="B43" t="inlineStr">
        <is>
          <t>Product Manager</t>
        </is>
      </c>
      <c r="C43" t="inlineStr">
        <is>
          <t>InterSystems</t>
        </is>
      </c>
      <c r="D43" t="inlineStr">
        <is>
          <t>linkedin</t>
        </is>
      </c>
      <c r="E43" t="inlineStr"/>
      <c r="F43" t="inlineStr"/>
      <c r="G43" t="inlineStr">
        <is>
          <t>Boston, MA</t>
        </is>
      </c>
      <c r="H43" t="inlineStr"/>
      <c r="I43" t="inlineStr">
        <is>
          <t>InterSystems HealthShare seeks strong product leaders to help create the next generation of solutions to highly important health and healthcare issues.
 InterSystems HealthShare is the premier health interoperability and innovation platform, providing unique solutions for today’s widely distributed healthcare in which a single patient may connect to many providers at many locations using many different information systems. We combine and unify data from thousands of sources including all major electronic health records, social determinants, claims processors, public health, IoT devices, patient self\-care and outcomes measures, and many more onto a flexible and powerful data platform. We transform, summarize, analyze, and communicate that information in many ways to address key clinical, strategic and operational problems. HealthShare provides a wide variety of clinical and operational solutions to a rapidly growing list of customers in the US and internationally, including providers, public health systems, state and national health organizations, health information exchanges, and development partners.
 The HealthShare team is looking for an experienced Product Manager with deep roots in healthcare IT and interoperability. As a member of our team, this position will own the roadmap and strategy for standards\-based interoperability support for the HealthShare product platform as well as governance over the clinical and claims data models within our products. The product manager will also act as the scrum product owner for one development team.
 Responsibilities:
* Participate in and/or lead the strategic direction, feature design, user interaction, requirements, and roadmap of one or more products and solutions
* Participate as product owner on an Agile development team, working with software development, implementation, testing, support, sales, and field engineering team members to bring new features and products to successful release
* Communicate with current and potential customers on a regular basis to understand their processes and needs – to translate those into new product requirements, understand needed changes over time, and help customers get the greatest value from HealthShare solutions
* Represent the “voice of the customer” internally in guiding product design and development
* Collaborate on overall HealthShare product strategy, roadmap, and cohesiveness with colleagues on the Product Management team possessing a range of health and technology expertise
* Serve as an internal subject matter expert in one or more health, technology and/or informatics domain areas
* Understand and advise internal and external audiences on relevant industry trends, including new products, scientific and medical advances, regulatory requirements and changes in practice
* Participate in studies of the impact of HealthShare solutions on quality, safety, and efficiency
* Participate in the professional community, including attendance at national and international conferences
 The ideal candidate will bring the following:
* 5\-10 years of product management experience
* Experience working with application design at an in\-depth level, in industry or with a healthcare organization
* Demonstrated success in helping envision, design and bring products to completion
* Experience working with customers or stakeholders to understand and refine product needs at all stages of product development
* Experience with healthcare operations, information technology applications, data integration and interoperability, and analytics.
* Excellent written and verbal communication skills
* Experience presenting to both technical and business\-oriented audiences.
* Ability to work successfully in both team and individual settings, with limited supervision.
* Experience with one or more of the following healthcare standards/technologies: HL7 V2, CDA, FHIR, X12, IHE XDS, XCA, XDR, etc. OMOP, OpenEHR.
 Education:
* BS in health, technical, or business area or comparable experience required.
* MBA, MPH, MHA, or similar degree preferred.
*We are an equal\-opportunity employer and do not discriminate because of race, color, religion, sex, national origin, ancestry, marital status, veteran status, age, disability, sexual orientation or gender identity or expression or any other legally protected category. InterSystems is an E\-Verify Employer in the United States.*
 InterSystems is providing a current good faith estimate of the anticipated base salary range for this position depending on a variety of factors including experience, education, skills, and performance.
 Other compensation may include a discretionary annual variable target incentive.
 The company also provides generous employee benefits including:
* Medical, vision, and dental insurance
* Short\-term and long\-term disability, and life insurance
* 401(k) Profit Sharing Contribution
* Paid Time Off and Holidays
* Parental Leave
* Tuition reimbursement
 The estimated base compensatation range for this role is:
 $129,000—$183,000 USD
**About InterSystems**
 InterSystems, a creative data technology provider, delivers a unified foundation for next\-generation applications for healthcare, finance, manufacturing, and supply chain customers in more than 80 countries. Our data platforms solve interoperability, speed, and scalability problems for large organizations around the globe to unlock the power of data and allow people to perceive data in imaginative ways. Established in 1978, InterSystems is committed to excellence through its 24×7 support for customers and partners around the world. Privately held and headquartered in Boston, Massachusetts, InterSystems has 38 offices in 28 countries worldwide. For more information, please visit
 **InterSystems.com** 
 .</t>
        </is>
      </c>
    </row>
    <row r="44">
      <c r="A44" t="inlineStr">
        <is>
          <t>li-4358135068</t>
        </is>
      </c>
      <c r="B44" t="inlineStr">
        <is>
          <t>Senior Product Manager - Agentic Commerce</t>
        </is>
      </c>
      <c r="C44" t="inlineStr">
        <is>
          <t>U.S. Bank</t>
        </is>
      </c>
      <c r="D44" t="inlineStr">
        <is>
          <t>linkedin</t>
        </is>
      </c>
      <c r="E44" t="inlineStr"/>
      <c r="F44" t="inlineStr"/>
      <c r="G44" t="inlineStr">
        <is>
          <t>Naperville, IL</t>
        </is>
      </c>
      <c r="H44" t="inlineStr"/>
      <c r="I44" t="inlineStr">
        <is>
          <t>At U.S. Bank, we’re on a journey to do our best. Helping the customers and businesses we serve to make better and smarter financial decisions, enabling the communities we support to grow and succeed in the right ways, all more confidently and more often—that’s what we call the courage to thrive. We believe it takes all of us to bring our shared ambition to life, and each person is unique in their potential. A career with U.S. Bank gives you a wide, ever\-growing range of opportunities to discover what makes you thrive. Try new things, learn new skills and discover what you excel at—all from Day One.
 As a wholly owned subsidiary of U.S. Bank, Elavon is committed to building the platforms and ecosystems that help over 1\.5 million customers around the world to achieve their financial goals—no matter what they need. From transaction processing to customer service, to driving innovation and launching new products, we’re building a range of tailored payment solutions powered by the latest technology. As part of our team, you can explore what motivates and energizes your career goals: partnering with our customers, our communities, and each other.
**Job Description**
 Product Managers at U.S. Bank are customer obsessed in driving product visioning, planning and development to deliver on our human \+ digital product strategy and staying one step ahead of evolving economic, technological, and customer needs. As a Product Manager, you will:
* Identify, analyze and interpret business data using various kinds of techniques to meet business needs and requirements.
* Activate the connective tissue between U.S. Bank, customer experience, digital, technology, and business line strategy to identify and prioritize product / portfolio opportunities, and establish the product vision, charter and roadmap.
* Defines product outcomes and Objectives and Key Results (OKRs) to prioritize Features/Epics and breaks down work into actionable steps to facilitate product discovery, design, development and delivery.
* Manages the end\-to\-end product lifecycle and drives the product roadmap leveraging OKRs (Objectives and Key Results).
* Creates the product in conjunction with agile, experience design, technology and risk partners to achieve business and customer outcomes.
* In the case of technical products, understands and cares for the technical features, debt reduction and modernization of the technical product with expertise in the technology required of the product.
 In addition, Agentic commerce is redefining how purchases are discovered, decided, and transacted—through autonomous AI agents acting on behalf of users. As a Senior Product Manager, you will shape the vision and strategy for this emerging domain and lead the execution that brings agentic checkout and payment experiences to life. This role demands a blend of strategic thinking and hands\-on delivery to turn cutting\-edge concepts into scalable, trusted solutions.
**Key Responsibilities**
* Define the product strategy, vision, and roadmap for agentic purchase orchestration (discovery → selection → payment → fulfillment).
* Define and deliver MVPs/pilots for agent driven checkout and payment methods, then scale to production across multiple channels/partnerships
* Conduct discovery sessions to identify high\-impact use cases and evolve business strategy to achieve desired business goals
* Define product requirements in collaboration with cross functional teams across payments, merchant onboarding, merchant servicing and other teams
* Collaborate with engineering to translate product requirements into executable plans and deliver features in a timely manner.
* Evangelize product internally and externally, working closely with Marketing and Go\-To\-Market to craft compelling narratives and drive product usage.
**Basic Qualifications**
* Product Management experience
**Preferred Skills/Experience**
* Expertise on the critical interdependencies among product model system elements that help and hinder performance; ability to plan and design solutions that synchronize resources to achieve business results using business metrics, key performance indicators, design systems, service blueprints, and reusability
* Ability to anticipate shifting market priorities, internal and external customer needs in a manner that consistently adds value
* Strong customer centricity to implement strategies and techniques used to ensure that customers have a positive experience with the organization's products and services at every touch point
* Knowledge of technical aspects of software products; ability to design, configure and integrate technical aspects of software products
* Knowledge of Agile ways of working, knowledge of processes, tools and techniques for assessing and controlling an organization's exposure to risks of various kinds; ability to apply knowledge of risk management appropriately to diverse situations
 5\+ years product management (with some in AI/ML\-driven or commerce contexts)
 Technical Skills:
* Strong understanding of API architecture, SDKs, and integration frameworks.
* Knowledge of payment gateway technologies, PCI compliance, and security standards.
* Familiarity with multi\-agent orchestration frameworks or microservices architectures for commerce APIs/infrastructure.
* Deep understanding of agentic interaction protocols
 Leadership \&amp; Communication:
* Ability to lead cross\-functional teams, navigate dependencies, and influence senior stakeholders within a matrixed environment
* Skilled in partner advocacy and representing technical solutions in strategic client conversations.
* Excellent negotiation and vendor management skills.
 Domain Expertise:
* Deep knowledge of ISV ecosystems and integration best practices.
* Commerce / payments / marketplace / e\-commerce domain knowledge (checkout flows, payments, fraud/risk, fulfillment, UX).
 product PnL, product strategy, vision and planning, product discovery, product development, channel alignment and management, adoption, customer experience research, insight and execution, agile ways of working, go to market and sales channels, performance measurement and optimization, marketing and analytics, customer centricity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$126,820\.00 \- $149,200\.00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45">
      <c r="A45" t="inlineStr">
        <is>
          <t>li-4367230822</t>
        </is>
      </c>
      <c r="B45" t="inlineStr">
        <is>
          <t>Senior Product Manager</t>
        </is>
      </c>
      <c r="C45" t="inlineStr">
        <is>
          <t>Pitney Bowes</t>
        </is>
      </c>
      <c r="D45" t="inlineStr">
        <is>
          <t>linkedin</t>
        </is>
      </c>
      <c r="E45" t="inlineStr"/>
      <c r="F45" t="inlineStr"/>
      <c r="G45" t="inlineStr">
        <is>
          <t>Florida, United States</t>
        </is>
      </c>
      <c r="H45" t="inlineStr"/>
      <c r="I45" t="inlineStr">
        <is>
          <t>**At Pitney Bowes, we do the right thing, the right way. As a member of our team, you can too.**
 We have amazing people who are the driving force, the inspiration and foundation of our company. Our thriving culture can be broken down into four components:
 **Client. Team. Win. Innovate.**
**We Actively Look For Prospects Who**
* Are passionate about client success.
* Enjoy collaborating with others.
* Strive to exceed expectations.
* Move boldly in the quest for superior and best in market solutions.
**Job Description**
 As Lead Product Manager for ShipAccel, you will drive the strategy, roadmap, and delivery of Pitney Bowes’ next\-generation ecommerce shipping and fulfillment platform. You will lead the evolution of ShipAccel into a scalable, modular operating system for merchants and fulfillment partners, enabling seamless growth from startup through enterprise operations.
 In this role, you will identify market opportunities, close product capability gaps, and deliver differentiated solutions across shipping, automation, fulfillment, and ecosystem integrations. You will work cross\-functionally with engineering, design, sales, partnerships, support, and executive leadership to build and scale products that deliver measurable merchant value and business growth.
 You will own outcomes across the full product lifecycle, from vision through delivery and market adoption.
 This role can be based anywhere in the continental US and requires regular collaboration with global teams, including India and Europe.
**You Are**
 A product leader who balances customer empathy, commercial impact, and technical execution. You thrive in fast\-moving environments, lead through change, and turn ambiguity into clear direction. You focus on delivering real customer outcomes, challenge legacy assumptions, and drive measurable product impact.
**You Will**
**Own Product Strategy \&amp; Execution**
* Define and execute ShipAccel’s product vision and roadmap across shipping, fulfillment, automation, and ecosystem integrations
* Lead requirements, prioritization, and delivery with engineering and design teams
* Translate customer needs and market opportunities into scalable product capabilities
* Drive platform evolution while aligning to broader SendTech product strategy
**Drive Market \&amp; Customer Insight**
* Maintain deep understanding of ecommerce merchant and fulfillment workflows
* Analyze competitive offerings and identify opportunities for differentiation and expansion
* Evaluate build, partner, or acquisition opportunities to accelerate product capabilities
**Deliver Commercial Impact**
* Influence pricing, packaging, and monetization strategies aligned to growth objectives
* Monitor product performance, adoption, and profitability metrics
* Partner with GTM teams to ensure strong product\-market fit and successful launches
**Lead Cross\-Functional Alignment**
* Collaborate across product, engineering, GTM, partnerships, and support organizations
* Drive alignment across business units and shared platform capabilities
* Partner with internal and external technology providers to expand ecosystem value
**Champion Customer Experience**
* Own end\-to\-end customer workflows and product experience outcomes
* Partner with support and operations to improve customer satisfaction and retention
* Ensure product decisions drive merchant productivity and operational efficiency
**Represent the Product**
* Serve as subject matter expert for ShipAccel across internal and external stakeholders
* Develop business cases, roadmap updates, and executive presentations
* Act as a thought leader in ecommerce shipping and fulfillment technology
**Your Background**
* 5\+ years experience in SaaS product management, ideally within ecommerce, shipping, logistics, or fulfillment platforms
* Proven success leading cross\-functional teams to deliver complex software products
* Strong analytical, strategic, and execution skills
* Experience building business cases and managing product tradeoffs
* Ability to influence across distributed teams and stakeholders
* Excellent written and verbal communication skills
* Experience working with global teams
**Preferred Experience**
* Experience with shipping, fulfillment, or commerce enablement platforms
* Familiarity with marketplaces, WMS/3PL integrations, or logistics ecosystems
* Experience with Agile product delivery environments
* Experience with product tools such as Jira, Aha!, or similar platforms
* MBA or equivalent business experience
**Compensation**
 The wage range for this position is $150,000 to $200,000 per year, with the actual pay dependent on your skills and experience as they relate to the job requirements and the location where you will be performing the job. This position is eligible to participate in a bonus incentive plan.
**About The Team**
 ShipAccel is part of Pitney Bowes’ SendTech portfolio, building modern shipping and fulfillment solutions that enable merchants and fulfillment partners to scale efficiently. The team combines shipping, automation, and ecommerce expertise to deliver next\-generation solutions that power merchant growth.
**We Will**
* Provide the opportunity to grow and develop your career
* Offer an inclusive environment that encourages diverse perspectives and ideas
* Deliver challenging and unique opportunities to contribute to the success of a transforming organization
* Offer comprehensive benefits globally (PB Live Well)
 Pitney Bowes is an equal employment opportunity employer. All qualified applicants will receive consideration for employment without regard for race, color, sex, religion, national origin, age, disability (mental or physical), veteran status, sexual orientation, gender identity, or any other consideration made unlawful by applicable federal, state, or local laws.
 All qualified applicants, including Veterans and Individuals with Disabilities, are encouraged to apply.
 All interested individuals must apply online. Individuals with disabilities who cannot apply via our online application should refer to the alternate application options via our Individuals with Disabilities link.</t>
        </is>
      </c>
    </row>
    <row r="46">
      <c r="A46" t="inlineStr">
        <is>
          <t>li-4367454676</t>
        </is>
      </c>
      <c r="B46" t="inlineStr">
        <is>
          <t>Senior Product Manager - Leasing -</t>
        </is>
      </c>
      <c r="C46" t="inlineStr">
        <is>
          <t>CoStar Group</t>
        </is>
      </c>
      <c r="D46" t="inlineStr">
        <is>
          <t>linkedin</t>
        </is>
      </c>
      <c r="E46" t="inlineStr"/>
      <c r="F46" t="inlineStr"/>
      <c r="G46" t="inlineStr">
        <is>
          <t>Richmond, VA</t>
        </is>
      </c>
      <c r="H46" t="inlineStr"/>
      <c r="I46" t="inlineStr">
        <is>
          <t>Job Description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**What We Are Looking For:**
 CoStar is seeking a Senior Product Manager to continue our momentum of rapid growth. In this role, you will spearhead the development of the product roadmap and delivery of new product features and enhancements across our suite of Leasing Products. This includes defining and documenting user stories, writing \&amp; reviewing acceptance criteria, development resource management, and scheduling. You’ll also be responsible for user testing, working with our Marketing team to develop collateral and other materials for product launch, and executing thoughtful roll\-out strategies. This position is an exciting opportunity for the right person to join a great team serving an exciting, evolving industry as part of a leading global organization.
 This position is located in Richmond, VA and is in office Monday through Friday.
**RESPONSIBILITIES:**
* Organize user testing, collect feedback and organize into actionable development priorities.
* Plan \&amp; execute product/feature deployments to our large subscriber base.
* Use customer data \&amp; usage analytics to inform product opportunities and evaluate results.
* Leveraging market and customer insights, build creative products that enhance CoStar customers experience with our products and provide them with tools to make better business decisions.
* Take ownership of the product road map from inception through to release of new features and enhancements.
* Drive product releases in a fast\-paced Agile software development environment. This includes writing user stories (requirements), prioritizing releases, maintaining a product roadmap and backlog, and creating release notes.
* Work closely with senior executives, UI design, engineering, QA, marketing and sales to strategize, plan, and build products and plans that meet aggressive expectations on usage and revenue.
* Understand and analyze customer needs and communicate those needs to other team members to build key use cases.
* Organize user testing, collect feedback and organize into actionable development priorities.
* Plan \&amp; execute product / feature deployments to our large subscriber base.
* Use customer data \&amp; usage analytics to inform product opportunities and evaluate results.
**BASIC REQUIREMENTS:**
* Bachelor’s degree from an accredited, not\-for\-profit University or College.
* 8\+ years of Product Management or Leasing experience with a proven track record delivering industry leading products and solutions.
* Operational experience in the Commercial Real Estate space.
* Familiarity with the needs and demands of those working in commercial real estate.
* Dedication to understanding user needs through research, feedback, and data analysis, with a focus on delivering solutions that provide value and enhance the user experience.
* Proven ability to collaborate effectively with \-functional teams, including engineering, design, marketing, sales, and customer support, to drive product development and adoption.
* Experience managing sprint schedules and resources in an agile\-scrum development environment.
* Excellent interpersonal, communication, and presentation skills.
* Experience shaping \&amp; executing product or data strategy for a SaaS information product, real estate products or similar product presenting business information, reporting and analytics.
* Action\-oriented self\-starter who can set strategy/business plan and drive execution with a “roll up the sleeves” approach.
* Deeply analytical with an ability to process data in order to make decisions; someone with a bias to being in the weeds and digging into every component of the business.
* Creative problem\-solver and conceptual thinker with an ability to understand and leverage detail\-oriented and analytical issues as needed.
* Articulate and clear communicator who can successfully communicate across all levels within the organization, including the executive team, clients, and external stakeholders.
* High\-horsepower individual with a track record of learning new industries quickly, when necessary.
* A track record of commitment to prior employers.
**WHAT’S IN IT FOR YOU:**
 Working at CoStar Group means you'll enjoy a culture of collaboration and innovation that attracts the best and brightest across a broad range of disciplines.
 In addition to generous compensation and performance\-based incentives, you'll be supported in both your professional and academic growth with internal training, tuition reimbursement.
 Our benefits package includes (but is not limited to):
* Comprehensive healthcare coverage: Medical / Vision / Dental / Prescription Drug
* Life, legal, and supplementary insurance
* Commuter and parking benefits
* 401(K) retirement plan with matching contributions
* Employee stock purchase plan
* Paid time off
* Tuition reimbursement
* On\-site fitness center and/or reimbursed fitness center membership costs (location dependent)
* Complimentary gourmet coffee, tea, hot chocolate, prepared foods, fresh fruit, and other healthy snacks
 We welcome all qualified candidates who are currently eligible to work full\-time in the United States to apply. However, please note that CoStar is not able to provide visa sponsorship for this position.
 \#LI\-NH1
 CoStar Group is an Equal Employment Opportunity Employer; we maintain a drug\-free workplace and perform pre\-employment substance abuse testing</t>
        </is>
      </c>
    </row>
    <row r="47">
      <c r="A47" t="inlineStr">
        <is>
          <t>li-4367607321</t>
        </is>
      </c>
      <c r="B47" t="inlineStr">
        <is>
          <t>Principal Product Manager</t>
        </is>
      </c>
      <c r="C47" t="inlineStr">
        <is>
          <t>Microsoft</t>
        </is>
      </c>
      <c r="D47" t="inlineStr">
        <is>
          <t>linkedin</t>
        </is>
      </c>
      <c r="E47" t="inlineStr"/>
      <c r="F47" t="inlineStr"/>
      <c r="G47" t="inlineStr">
        <is>
          <t>Redmond, WA</t>
        </is>
      </c>
      <c r="H47" t="inlineStr"/>
      <c r="I47"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Join the Azure Postgres team and be part of one of the fastest\-growing services in the cloud database space. We're a nimble, high\-impact team driven by innovation and a passion for delivering a best\-in\-class Postgres experience on Azure and we are looking for a Principal Product Manager. As a Principal Product Manager here, you will work at the intersection of open\-source technology and cloud\-native services, shaping the future of managed Postgres for developers and enterprises worldwide. If you're excited about building scalable, distributed, highly available, highly reliable, and intelligent database solutions in an agile environment that values bold ideas and rapid execution, we’d love to hear from you. Let’s redefine what’s possible with Postgres in the cloud—together.
 We do not just value differences or different perspectives. We seek them out and invite them in so we can tap into the collective power of everyone in the company. As a result, our customers are better served.
**Responsibilities**
* Drive features that are envisioned from ideation to exploration/validation with customers to launch, including partnering with marketing and finance.
* Define and evolve the long\-term vision for Azure Postgres, aligning with Microsoft’s broader data platform strategy and customer needs.
* Collaborate with engineering, design, marketing, and support teams to deliver high\-quality, reliable, and scalable Postgres services.
* Ability to technically engage with customers to understand pain points and opportunities, validate their high\-scale database solutions and architecture, translating insights into product features that differentiate Azure Postgres.
* Stay connected with the Postgres community, contributing to and leveraging open\-source innovation to enhance Azure’s managed offering.
* Partner with marketing and field teams to drive adoption, create compelling messaging, and support customer onboarding.
* Use telemetry, customer feedback, and market analysis to inform decisions and measure success.
 Embody our culture and values
**Qualifications**
**Required/Minimum Qualifications**
* Bachelor's Degree AND 6\+ years experience in engineering, product/technical program management, data analysis, or product development OR equivalent experience.
**Job Requirements: Other \&amp; Additional**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**Preferred/Additional Qualifications**
* 4\+ years' experience in relational databases ideally PostgreSQL or distributed systems.
* 3\+ years of experience managing cross\-functional and/or cross\-team projects.
* 2\+ years' experience in reading/writing code (Samples applications/demos)
* Proven experience driving multiple features from ideation to launch.
 \#azdat \#azuredata \#PostgreSQL \#Postgres \#OpenSource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8">
      <c r="A48" t="inlineStr">
        <is>
          <t>li-4362197994</t>
        </is>
      </c>
      <c r="B48" t="inlineStr">
        <is>
          <t>Product Manager</t>
        </is>
      </c>
      <c r="C48" t="inlineStr">
        <is>
          <t>BI WORLDWIDE</t>
        </is>
      </c>
      <c r="D48" t="inlineStr">
        <is>
          <t>linkedin</t>
        </is>
      </c>
      <c r="E48" t="inlineStr"/>
      <c r="F48" t="inlineStr"/>
      <c r="G48" t="inlineStr">
        <is>
          <t>Edina, MN</t>
        </is>
      </c>
      <c r="H48" t="inlineStr"/>
      <c r="I48" t="inlineStr">
        <is>
          <t>At BI WORLDWIDE, we are committed to creating belongingness, where D\&amp;I is a priority. We invite you to join us as we continue to expand our culture of inclusivity, collaboration, and authenticity together.
 Our Experiences \&amp; Emerging Marketplace team is currently on the lookout for someone to fill the position of Product Manager.
 Admittedly, the title "Product Manager" leaves a fair bit of room for interpretation, so let's try and sharpen the focus a little. This role will lead emerging Marketplaces to differentiate BIW in the marketplace. This person will be responsible for educating the field, client service associates and our clients on our Marketplaces.
**Roles \&amp; Responsibilities:** 
* Develop and maintain the product roadmap and priorities for emerging Marketplaces.
* Act as liaison between business, technology, accounting, client services and sales teams.
* Build credibility and differentiate BI WORLDWIDE from the competition.
* Negotiate provider agreements and cultivate ongoing relationships.
* Oversee the UX/UI of the Marketplace and ongoing updates and enhancements.
* Collect and understand existing research supporting our business. Engage subject matter experts as needed to further evolve and market the research.
* Collaborate with other product owners at BIW to align objectives and share insights.
* Some travel to customer, BIW and provider locations, both domestic and international, is required.
**Skills \&amp; Abilities:** 
* Well versed at leading, creating and presenting highly engaging, customer\-focused presentations that take customers on a journey
* Ability to be strategic regarding product development yet work tactically to understand the effects and impact downstream.
* Clear, concise, and confident\-\-whether it's via email, in\-person, or over the phone.
* Organization and attention to detail.
* Quickly grasp technical concepts for solving business problems with software.
* Proactive by nature.
* Be curious and comfortable to ask "why".
* Passion for travel, experiences, and rewards.
* Team player with focus on collaboration.
**Education/Experience Required:** 
* 3\+ years' experience promoting and driving revenue of solutions in the Employee or B2B market
* Bachelor's Degree in Business or related field highly preferred.
 If this sounds like you or what you're looking for, we'd love to talk.
 Base Salary Range: $65,000 to $70,000\. The final salary and offer will be determined by the applicant's background, experience, and skills.
 More details about our company benefits can be found at the following link:
 https://www.biworldwide.com/careers/benefits\-page/</t>
        </is>
      </c>
    </row>
    <row r="49">
      <c r="A49" t="inlineStr">
        <is>
          <t>li-4358284200</t>
        </is>
      </c>
      <c r="B49" t="inlineStr">
        <is>
          <t>Senior Product Manager - Agentic Commerce</t>
        </is>
      </c>
      <c r="C49" t="inlineStr">
        <is>
          <t>U.S. Bank</t>
        </is>
      </c>
      <c r="D49" t="inlineStr">
        <is>
          <t>linkedin</t>
        </is>
      </c>
      <c r="E49" t="inlineStr"/>
      <c r="F49" t="inlineStr"/>
      <c r="G49" t="inlineStr">
        <is>
          <t>Charlotte, NC</t>
        </is>
      </c>
      <c r="H49" t="inlineStr"/>
      <c r="I49" t="inlineStr">
        <is>
          <t>At U.S. Bank, we’re on a journey to do our best. Helping the customers and businesses we serve to make better and smarter financial decisions, enabling the communities we support to grow and succeed in the right ways, all more confidently and more often—that’s what we call the courage to thrive. We believe it takes all of us to bring our shared ambition to life, and each person is unique in their potential. A career with U.S. Bank gives you a wide, ever\-growing range of opportunities to discover what makes you thrive. Try new things, learn new skills and discover what you excel at—all from Day One.
 As a wholly owned subsidiary of U.S. Bank, Elavon is committed to building the platforms and ecosystems that help over 1\.5 million customers around the world to achieve their financial goals—no matter what they need. From transaction processing to customer service, to driving innovation and launching new products, we’re building a range of tailored payment solutions powered by the latest technology. As part of our team, you can explore what motivates and energizes your career goals: partnering with our customers, our communities, and each other.
**Job Description**
 Product Managers at U.S. Bank are customer obsessed in driving product visioning, planning and development to deliver on our human \+ digital product strategy and staying one step ahead of evolving economic, technological, and customer needs. As a Product Manager, you will:
* Identify, analyze and interpret business data using various kinds of techniques to meet business needs and requirements.
* Activate the connective tissue between U.S. Bank, customer experience, digital, technology, and business line strategy to identify and prioritize product / portfolio opportunities, and establish the product vision, charter and roadmap.
* Defines product outcomes and Objectives and Key Results (OKRs) to prioritize Features/Epics and breaks down work into actionable steps to facilitate product discovery, design, development and delivery.
* Manages the end\-to\-end product lifecycle and drives the product roadmap leveraging OKRs (Objectives and Key Results).
* Creates the product in conjunction with agile, experience design, technology and risk partners to achieve business and customer outcomes.
* In the case of technical products, understands and cares for the technical features, debt reduction and modernization of the technical product with expertise in the technology required of the product.
 In addition, Agentic commerce is redefining how purchases are discovered, decided, and transacted—through autonomous AI agents acting on behalf of users. As a Senior Product Manager, you will shape the vision and strategy for this emerging domain and lead the execution that brings agentic checkout and payment experiences to life. This role demands a blend of strategic thinking and hands\-on delivery to turn cutting\-edge concepts into scalable, trusted solutions.
**Key Responsibilities**
* Define the product strategy, vision, and roadmap for agentic purchase orchestration (discovery → selection → payment → fulfillment).
* Define and deliver MVPs/pilots for agent driven checkout and payment methods, then scale to production across multiple channels/partnerships
* Conduct discovery sessions to identify high\-impact use cases and evolve business strategy to achieve desired business goals
* Define product requirements in collaboration with cross functional teams across payments, merchant onboarding, merchant servicing and other teams
* Collaborate with engineering to translate product requirements into executable plans and deliver features in a timely manner.
* Evangelize product internally and externally, working closely with Marketing and Go\-To\-Market to craft compelling narratives and drive product usage.
**Basic Qualifications**
* Product Management experience
**Preferred Skills/Experience**
* Expertise on the critical interdependencies among product model system elements that help and hinder performance; ability to plan and design solutions that synchronize resources to achieve business results using business metrics, key performance indicators, design systems, service blueprints, and reusability
* Ability to anticipate shifting market priorities, internal and external customer needs in a manner that consistently adds value
* Strong customer centricity to implement strategies and techniques used to ensure that customers have a positive experience with the organization's products and services at every touch point
* Knowledge of technical aspects of software products; ability to design, configure and integrate technical aspects of software products
* Knowledge of Agile ways of working, knowledge of processes, tools and techniques for assessing and controlling an organization's exposure to risks of various kinds; ability to apply knowledge of risk management appropriately to diverse situations
 5\+ years product management (with some in AI/ML\-driven or commerce contexts)
 Technical Skills:
* Strong understanding of API architecture, SDKs, and integration frameworks.
* Knowledge of payment gateway technologies, PCI compliance, and security standards.
* Familiarity with multi\-agent orchestration frameworks or microservices architectures for commerce APIs/infrastructure.
* Deep understanding of agentic interaction protocols
 Leadership \&amp; Communication:
* Ability to lead cross\-functional teams, navigate dependencies, and influence senior stakeholders within a matrixed environment
* Skilled in partner advocacy and representing technical solutions in strategic client conversations.
* Excellent negotiation and vendor management skills.
 Domain Expertise:
* Deep knowledge of ISV ecosystems and integration best practices.
* Commerce / payments / marketplace / e\-commerce domain knowledge (checkout flows, payments, fraud/risk, fulfillment, UX).
 product PnL, product strategy, vision and planning, product discovery, product development, channel alignment and management, adoption, customer experience research, insight and execution, agile ways of working, go to market and sales channels, performance measurement and optimization, marketing and analytics, customer centricity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$126,820\.00 \- $149,200\.00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50">
      <c r="A50" t="inlineStr">
        <is>
          <t>li-4358303629</t>
        </is>
      </c>
      <c r="B50" t="inlineStr">
        <is>
          <t>Senior Product Manager - Agentic Commerce</t>
        </is>
      </c>
      <c r="C50" t="inlineStr">
        <is>
          <t>U.S. Bank</t>
        </is>
      </c>
      <c r="D50" t="inlineStr">
        <is>
          <t>linkedin</t>
        </is>
      </c>
      <c r="E50" t="inlineStr"/>
      <c r="F50" t="inlineStr"/>
      <c r="G50" t="inlineStr">
        <is>
          <t>Milwaukee, WI</t>
        </is>
      </c>
      <c r="H50" t="inlineStr"/>
      <c r="I50" t="inlineStr">
        <is>
          <t>At U.S. Bank, we’re on a journey to do our best. Helping the customers and businesses we serve to make better and smarter financial decisions, enabling the communities we support to grow and succeed in the right ways, all more confidently and more often—that’s what we call the courage to thrive. We believe it takes all of us to bring our shared ambition to life, and each person is unique in their potential. A career with U.S. Bank gives you a wide, ever\-growing range of opportunities to discover what makes you thrive. Try new things, learn new skills and discover what you excel at—all from Day One.
 As a wholly owned subsidiary of U.S. Bank, Elavon is committed to building the platforms and ecosystems that help over 1\.5 million customers around the world to achieve their financial goals—no matter what they need. From transaction processing to customer service, to driving innovation and launching new products, we’re building a range of tailored payment solutions powered by the latest technology. As part of our team, you can explore what motivates and energizes your career goals: partnering with our customers, our communities, and each other.
**Job Description**
 Product Managers at U.S. Bank are customer obsessed in driving product visioning, planning and development to deliver on our human \+ digital product strategy and staying one step ahead of evolving economic, technological, and customer needs. As a Product Manager, you will:
* Identify, analyze and interpret business data using various kinds of techniques to meet business needs and requirements.
* Activate the connective tissue between U.S. Bank, customer experience, digital, technology, and business line strategy to identify and prioritize product / portfolio opportunities, and establish the product vision, charter and roadmap.
* Defines product outcomes and Objectives and Key Results (OKRs) to prioritize Features/Epics and breaks down work into actionable steps to facilitate product discovery, design, development and delivery.
* Manages the end\-to\-end product lifecycle and drives the product roadmap leveraging OKRs (Objectives and Key Results).
* Creates the product in conjunction with agile, experience design, technology and risk partners to achieve business and customer outcomes.
* In the case of technical products, understands and cares for the technical features, debt reduction and modernization of the technical product with expertise in the technology required of the product.
 In addition, Agentic commerce is redefining how purchases are discovered, decided, and transacted—through autonomous AI agents acting on behalf of users. As a Senior Product Manager, you will shape the vision and strategy for this emerging domain and lead the execution that brings agentic checkout and payment experiences to life. This role demands a blend of strategic thinking and hands\-on delivery to turn cutting\-edge concepts into scalable, trusted solutions.
**Key Responsibilities**
* Define the product strategy, vision, and roadmap for agentic purchase orchestration (discovery → selection → payment → fulfillment).
* Define and deliver MVPs/pilots for agent driven checkout and payment methods, then scale to production across multiple channels/partnerships
* Conduct discovery sessions to identify high\-impact use cases and evolve business strategy to achieve desired business goals
* Define product requirements in collaboration with cross functional teams across payments, merchant onboarding, merchant servicing and other teams
* Collaborate with engineering to translate product requirements into executable plans and deliver features in a timely manner.
* Evangelize product internally and externally, working closely with Marketing and Go\-To\-Market to craft compelling narratives and drive product usage.
**Basic Qualifications**
* Product Management experience
**Preferred Skills/Experience**
* Expertise on the critical interdependencies among product model system elements that help and hinder performance; ability to plan and design solutions that synchronize resources to achieve business results using business metrics, key performance indicators, design systems, service blueprints, and reusability
* Ability to anticipate shifting market priorities, internal and external customer needs in a manner that consistently adds value
* Strong customer centricity to implement strategies and techniques used to ensure that customers have a positive experience with the organization's products and services at every touch point
* Knowledge of technical aspects of software products; ability to design, configure and integrate technical aspects of software products
* Knowledge of Agile ways of working, knowledge of processes, tools and techniques for assessing and controlling an organization's exposure to risks of various kinds; ability to apply knowledge of risk management appropriately to diverse situations
 5\+ years product management (with some in AI/ML\-driven or commerce contexts)
 Technical Skills:
* Strong understanding of API architecture, SDKs, and integration frameworks.
* Knowledge of payment gateway technologies, PCI compliance, and security standards.
* Familiarity with multi\-agent orchestration frameworks or microservices architectures for commerce APIs/infrastructure.
* Deep understanding of agentic interaction protocols
 Leadership \&amp; Communication:
* Ability to lead cross\-functional teams, navigate dependencies, and influence senior stakeholders within a matrixed environment
* Skilled in partner advocacy and representing technical solutions in strategic client conversations.
* Excellent negotiation and vendor management skills.
 Domain Expertise:
* Deep knowledge of ISV ecosystems and integration best practices.
* Commerce / payments / marketplace / e\-commerce domain knowledge (checkout flows, payments, fraud/risk, fulfillment, UX).
 product PnL, product strategy, vision and planning, product discovery, product development, channel alignment and management, adoption, customer experience research, insight and execution, agile ways of working, go to market and sales channels, performance measurement and optimization, marketing and analytics, customer centricity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$126,820\.00 \- $149,200\.00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51">
      <c r="A51" t="inlineStr">
        <is>
          <t>li-4334452429</t>
        </is>
      </c>
      <c r="B51" t="inlineStr">
        <is>
          <t>Product Owner, Intelligent Video</t>
        </is>
      </c>
      <c r="C51" t="inlineStr">
        <is>
          <t>Crestron Electronics</t>
        </is>
      </c>
      <c r="D51" t="inlineStr">
        <is>
          <t>linkedin</t>
        </is>
      </c>
      <c r="E51" t="inlineStr"/>
      <c r="F51" t="inlineStr"/>
      <c r="G51" t="inlineStr">
        <is>
          <t>Boston, MA</t>
        </is>
      </c>
      <c r="H51" t="inlineStr"/>
      <c r="I51" t="inlineStr">
        <is>
          <t>At Crestron Electronics, Inc we build the technology that integrates technology.
 We are proud to be the largest and most recognized brand in automation and control solutions, and the premier technology partner for fortune 500 businesses globally. Our products’ are integrated into new high\-tech commercial buildings’ to include some of the most exciting real estate throughout the world. Our clients include
 *Google, Microsoft, Amazon* 
 ,
 *Linked* 
*In* 
 and many others. We are the leaders in the most exciting industry in the world!
 Our automation and control solutions for homes and buildings allow our clients to control entire environments with the push of a button, integrating systems such as Audio Visual, Lighting, Shading, Security, Building Management Systems and HVAC to provide greater comfort, convenience and security.
 As a member of the Technology and Product Management Team, you will join a tightly knit and high performing group of industry veterans shepherding complex and highly integrated products to market.
 As a
 **Product Owner, Intelligent Video** 
 at Crestron, you will drive the development of industry leading collaboration and conferencing solutions including speaker tracking and multi\-camera experiences with a specific focus on the platforms and software tools that bring these products together. You will lead the evolution of products and solutions from ideation through launch in a dynamic, creative, and fast\-paced environment. Your responsibilities will include product and feature planning, writing and implementing product requirements, championing the product through the development cycle, collaborating with sales and marketing teams during new product and feature rollouts, and engaging with technical support teams throughout the product lifecycle.
 As our Intelligent Video portfolio grows, we are looking for a Product Owner who will collaborate closely with colleagues on the Product Management and Engineering teams to drive product innovation and lead the evolution of end user and installer experiences. You will be expected to become an expert on multi\-camera experiences, and how Crestron solutions integrate Artificial Intelligence, Machine Learning, and Computer Vision.
**Responsibilities:**
* Define and groom the feature backlog to ensure development is in alignment with strategic goals of the company and work is prioritized in a way that brings the most value to our customers.
* Write detailed user stories and requirements for new features and new products.
* Lead agile teams, including engineering teams and partners, through the development process to realize the product roadmap.
* Work with the quality engineering team to define acceptance criteria and refine test plans.
* Coordinate resolution of technical issues escalated to engineering and monitor customer support trends to maintain a high\-quality product, leading and coordinating debugging and triage efforts.
* Collaborate closely with peers to ensure cohesion across products, brainstorm new approaches, and refine ideas and plans.
* Work with departments including marketing, sales, training, and support to ensure product success. Serve as a product and subject matter expert across the organization.
* Keep abreast of the competitive landscape and technology trends, with an eye for opportunities to leverage emerging technologies. Use industry knowledge in conjunction with competitive research to help the product management team craft and refine the product roadmap. Identify opportunities for Crestron to add value and differentiate in the market.
* Present software, hardware, and integrated solutions virtually or in\-person (as required). Participate in industry tradeshows and other key market events.
* Lead and collaborate with other teams to ensure development / testing labs and demo spaces are up to date, organized, and configured properly.
**Qualifications:**
* Bachelor's Degree in Computer Science or Engineering
* Ability to travel up to 20%
* 3\-5 years in a technical role (product engineering, product management, technical sales, support, etc.) in the AV / UC or relevant technology field.
* 3\+ years working with integrated hardware and software solutions
* Product management, or working in Scrum, or other Agile methodologies preferred
* Self\-starter with proven ability to learn new technologies and an ability to quickly put that into practice in support of highly visible real\-world projects. Be able to research, and become an expert, on new technologies relevant to the product line.
* Proficiency with, and knowledge of, unified communications platforms from providers such as Microsoft Teams, Zoom, Google Meet, and Cisco WebEx, including both software and hardware UC solutions.
* Proficiency with, and knowledge of, networking technologies, streaming video protocols (H.264, AV1, NDI, etc), video processing, switching tools (Wirecast, OBS, etc) and distributed video technologies.
* Proficiency with, and knowledge of, machine learning and computer vision technologies, AI models and integration into live video pipelines.
* Proficiency with, and knowledge of, PTZ and ePTZ camera technologies
* Great organizational skills, and the ability to multitask effectively. Excellent written and verbal communications skills and the ability to lead team meetings, set expectations, and hold people accountable for delivering the expected product.
* Team player with visible company spirit. Demonstrable ability to quickly gain the trust of key stakeholders, end\-users, and co\-workers alike.
 Per applicable state requirements, the annual pay range for this position ($84,500 \- $136,500\) which consists of base salary (subject to performance), reflects the hiring range for candidates. Also note, an individual’s offer may vary from this range as it may be impacted by additional factors, including but not limited to the candidate's hiring location, qualifications, experience, and market factors.
 Crestron Electronics offers a competitive total compensation package including Medical, Dental, Vision, Life Insurance, Short Term Disability, 401K with company match, Paid Time Off, Holidays, On\-site Amenities at NJ Headquarters \&amp; TX Facilities, Crestron Market Cafes, and Fitness Centers.
 At Crestron Electronics, Diversity, Equity, and Inclusion drive innovation. Crestron’s success hinges on continuing to build a workforce of unique individuals whose passion inspires us to create and revolutionize industry\-leading products and services. There will always be more to accomplish, and at Crestron, we believe the best way forward is together.
**EOE/M/F/D/V**
* No Solicitation\* Any agency submittal to any employee of Crestron Electronics, Inc by any method of communication will be deemed the sole property of Crestron Electronics Inc.</t>
        </is>
      </c>
    </row>
    <row r="52">
      <c r="A52" t="inlineStr">
        <is>
          <t>li-4366269385</t>
        </is>
      </c>
      <c r="B52" t="inlineStr">
        <is>
          <t>Product Manager - Small Business Point-of-Sale</t>
        </is>
      </c>
      <c r="C52" t="inlineStr">
        <is>
          <t>U.S. Bank</t>
        </is>
      </c>
      <c r="D52" t="inlineStr">
        <is>
          <t>linkedin</t>
        </is>
      </c>
      <c r="E52" t="inlineStr"/>
      <c r="F52" t="inlineStr"/>
      <c r="G52" t="inlineStr">
        <is>
          <t>San Francisco, CA</t>
        </is>
      </c>
      <c r="H52" t="inlineStr"/>
      <c r="I52"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Product Managers at U.S. Bank are customer obsessed in driving product visioning, planning and development to deliver on our human \+ digital product strategy and staying one step ahead of evolving economic, technological, and customer needs.
**As a Product Manager, you will:**
* Identify, analyze and interpret business data using various kinds of techniques to meet business needs and requirements.
* Activate the connective tissue between U.S. Bank, customer experience, digital, technology, and business line strategy to identify and prioritize product / portfolio opportunities, and establish the product vision, charter and roadmap.
* Defines product outcomes and Objectives and Key Results (OKRs) to prioritize Features/Epics and breaks down work into actionable steps to facilitate product discovery, design, development and delivery.
* Manages the end\-to\-end product lifecycle and drives the product roadmap leveraging OKRs (Objectives and Key Results). Creates the product in conjunction with agile, experience design, technology and risk partners to achieve business and customer outcomes. In the case of technical products, understands and cares for the technical features, debt reduction and modernization of the technical product with expertise in the technology required of the product.
**Minimum Qualifications:**
* Product management experience.
**Preferred qualifications, capabilities, and skills:**
* Expertise on digital acquisition with proven demonstration of driving high conversion rates.
* Deep understanding of best technologies used for new customer applications.
* Knowledgeable on the point\-of\-sale market for small businesses.
* Ability to anticipate shifting market priorities, internal and external customer needs in a manner that consistently adds value.
* Ability to plan and design solutions that synchronize resources to achieve business results using business metrics, key performance indicators, design systems, service blueprints, and reusability.
* Strong customer centricity to implement strategies and techniques used to ensure that customers have a positive experience with the organization's products and services at every touch point.
* Knowledge of technical aspects of software products; ability to design, configure and integrate technical aspects of software products.
* Knowledge of Agile ways of working, knowledge of processes, tools and techniques for assessing and controlling an organization's exposure to risks of various kinds; ability to apply knowledge of risk management appropriately to diverse situations.
* Preferred skills: product PnL, product strategy, vision and planning, product discovery, product development, channel alignment and management, adoption, customer experience research, insight and execution, agile ways of working, go to market and sales channels, performance measurement and optimization, marketing and analytics, customer centricity.
***About the Business Line \- About talech \-***
 https://www.talech.com/about
 **We believe the corner store should have as much insight into their business as Amazon – the small data opportunity.** 
 talech is a wholly\-owned subsidiary of US Bank. Our approach to delivering our vision is to make our solutions simple, essential, and trusted.
**Be Simple** 
 . Make it easy for customers to sign up, install, use and manage our products. B
 **e Essential** 
 . Make talech the core service that powers a business through deeper functionality, and integration.
 **Be Trusted** 
 . Leverage data/AI and provide actionable insights to help customers grow \&amp; optimize their business.
 Help us realize
 **our vision** 
 by being the
 **product manager** 
 for our
 **shop and apply customer journey.** 
 Our customer journey model enables our team to maximize customer empathy, and place the customer at the center of our product solutions. The shop and apply product manager will strive to provide a simple and easy way for customers (with or without assistance) to confidently select the best point\-of\-sale options that meet their unique needs, build and execute strategies to drive 10x growth of the product line.
 A successful candidate will :
* Show demonstrated success building, launching and supporting digital customer acquisition for small\-business point\-of\-sale products.
* Demonstrated success in increasing customer lifetime value, and reducing cost of acquisition.
* Demonstrated success building and executing product strategy.
* Advanced product management or similar experience.
* Effective presentation, verbal and written communication skills.
***The role offers a hybrid/flexible schedule, which means there's an in\-office expectation of 3 or more days per week and the flexibility to work outside the office location for the other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$119,765\.00 \- $140,900\.00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53">
      <c r="A53" t="inlineStr">
        <is>
          <t>li-4344907605</t>
        </is>
      </c>
      <c r="B53" t="inlineStr">
        <is>
          <t>Sr Product Manager</t>
        </is>
      </c>
      <c r="C53" t="inlineStr">
        <is>
          <t>Arrow Electronics</t>
        </is>
      </c>
      <c r="D53" t="inlineStr">
        <is>
          <t>linkedin</t>
        </is>
      </c>
      <c r="E53" t="inlineStr"/>
      <c r="F53" t="inlineStr"/>
      <c r="G53" t="inlineStr">
        <is>
          <t>Marlborough, MA</t>
        </is>
      </c>
      <c r="H53" t="inlineStr"/>
      <c r="I53" t="inlineStr">
        <is>
          <t>**Position**
 Sr Product Manager
**Job Description**
**Join the Team Powering Trusted Intelligence** 
 At SiliconExpert, we’re transforming one of the world’s most complex systems — the global electronics supply chain.
 For decades, engineers and procurement teams have battled overwhelming data, disconnected systems, and constant disruption. Our mission is to bring clarity to that complexity. With
 **Trusted Intelligence** 
 , we’re empowering innovators with the foresight to make confident decisions that keep industries moving forward. And now, we’re growing.
 We’re hiring SaaS, AI, and data
 **product leaders** 
 who are energized by solving big challenges, passionate about technology, and ready to help customers turn intelligence into action. If you want to be part of a team where your work truly impacts how the world designs, builds, and delivers—let’s talk.
**Join us. When intelligence is trusted, innovation never stops.** 
**Senior Product Manager** 
 – AI Platform will lead product, engineering, data, design, sales, marketing, and CX to build the next generation AI\-powered SaaS \&amp; data platform to transform electronics supply chain workflows. This role requires a strategic thinker with exceptional product sense who is passionate about establishing a strong product culture and building state\-of\-the\-art technology to deliver deep customer value.
**What You'll Be Doing**
* Discover and champion customer problems, translating VoC into winning product roadmaps and execution plans
* Own the AI \&amp; data platform product vision, strategy, and roadmap, aligning seamlessly with business objectives and customer outcomes
* Identify and prioritize product opportunities with a passion for growth, balancing customer value, feasibility, and business impact
* Lead market, customer, and competitive research and create business plans with compelling ROI
* Define platform capabilities, APIs, data services, and shared infrastructure that enable multiple products and personas
* Leverage exceptional product sense to make decisions on product functionality and GTM leading to product\-market\-fit and scale
* Collaborate and lead agile teams of world\-class engineering, data, architecture, and design experts to deliver scalable, secure, and extensible platform solutions
* Inspire a level of collaboration with Sales, Marketing, and Customer Success that results in teams looking to you for go\-to\-market strategy, sales enablement, and product adoption
* Execute flawlessly on product launches, build platform monitoring that ensures customer adoption, and champion continuous improvement across the organization
* Build, lead, and mentor a team of Product Managers, including hiring, onboarding, coaching, goal setting, professional growth, and performance management
* Set clear goals, expectations, and success metrics for the product team
* Lead from the front, fostering strong product management best practices, including AI product management, customer discovery, prioritization, roadmap planning, stakeholder communication and success metrics
* Act as a role model for collaboration, accountability, and customer\-centric thinking
* Scale the product organization as the platform and business grow
**What We Are Looking For**
* Bachelors degree in a technical field; MBA a plus
* 12 years of industry experience with a bachelor’s degree or 8 years of experience with an advanced degree
* Deep experience in the software industry, with AI \&amp; data experience in the last 5 years a must\-have; supply chain industry experience a plus
* Demonstrated experience managing and leading high performing teams
* Experience defining shared software platform capabilities and managing portfolios of products across related workflows
* Strong strategic thinking combined with world\-class execution skills
* Ability to lead by influencing in all directions internal and external to an organization
* Comfortable navigating through ambiguity and making data\-drive trade\-off and prioritization decisions
* Exceptional communication skills with the ability to engage executives, partners, customers, teams, and colleagues
* Willingness to travel as required
**Work Arrangement:** 
 3 days in office/2 days work from home
**What’s In It For You**
 At Arrow, we recognize that financial rewards and great benefits are important aspects of an ideal job. That’s why we offer competitive financial compensation, including various compensation plans and a solid benefits package.
* Medical, Dental, Vision Insurance
* 401k, With Matching Contributions
* Short\-Term/Long\-Term Disability Insurance
* Health Savings Account (HSA)/Health Reimbursement Account (HRA) Options
* Paid Time Off (including sick, holiday, vacation, etc.)
* Tuition Reimbursement
* Growth Opportunities
* And more!
 Are you being referred to one of our roles? If so, ask your connection at Arrow about our Employee Referral Process!
**Annual Hiring Range/Hourly Rate**
 $116,700\.00 \- $225,423\.00
 Actual compensation offer to candidate may vary from posted hiring range based upon geographic location, work experience, education, and/or skill level. The pay ratio between base pay and target incentive (if applicable) will be finalized at offer.
**Location:**
 US\-MA\-Massachusetts (Remote Employees)
 Remote work employees may be required to be present at the closest designated Arrow office for work\-related purposes, at the Company’s request and sole discretion.
**Time Type**
 Full time
**Job Category**
 Product \&amp; Supplier Management
**EEO Statement**
 Arrow is an equal opportunity employer. All applicants will be considered for employment without attention to race, color, religion, gender, age, sexual orientation, gender identity, national origin, veteran or disability status. (Arrow EEO/AAP policy)
*We anticipate this requisition will be open for a minimum of five days, though it may be open for a longer period of time. We encourage your prompt application.*
*In any materials you submit, you may redact or remove age\-identifying information such as age, date of birth, or dates of school attendance or graduation. You will not be penalized for redacting or removing this information.*</t>
        </is>
      </c>
    </row>
    <row r="54">
      <c r="A54" t="inlineStr">
        <is>
          <t>li-4344808651</t>
        </is>
      </c>
      <c r="B54" t="inlineStr">
        <is>
          <t>Product Manager, Platform Safety</t>
        </is>
      </c>
      <c r="C54" t="inlineStr">
        <is>
          <t>Suno</t>
        </is>
      </c>
      <c r="D54" t="inlineStr">
        <is>
          <t>linkedin</t>
        </is>
      </c>
      <c r="E54" t="inlineStr"/>
      <c r="F54" t="inlineStr"/>
      <c r="G54" t="inlineStr">
        <is>
          <t>Boston, MA</t>
        </is>
      </c>
      <c r="H54" t="inlineStr"/>
      <c r="I54" t="inlineStr">
        <is>
          <t>**About Suno**
 Suno is a music company built to amplify imagination. Powered by the world's most advanced AI music model, Suno offers an unparalleled creative platform that includes Suno Studio, a breakthrough generative audio workstation. From shower\-singers to aspiring songwriters to seasoned artists, Suno empowers a global community to create, share, and discover music—unlocking the joy of musical expression for all.
**About The Role**
 Suno is building the next generation of music creation and listening experiences. As we grow, ensuring that our products are safe, trustworthy, and delightful for all users is central to our mission.
 We are seeking a Product Manager to help shape how people experience Suno through industry\-leading approaches to safety. In this role, you will develop impactful roadmaps and drive strategic initiatives that ensure our products and model deployments are aligned with both user experience and technical innovation.
 This role suits a technical product manager fluent in the latest approaches to platform safety, adept at adversarial thinking, aware of the risks inherent to a consumer platform, and committed to solving ambiguous problems with policy experts within a changing safety landscape.
 Check out the Suno version of this role here!
**What You’ll Do**
* Lead with a user\-centric perspective, especially around areas like content moderation, intellectual property (e.g., music copyright issues), harassment and abuse prevention, and protection of minors and creators.
* Define strategic priorities and product roadmaps that balance rapid innovation with thoughtful, scalable safeguards.
* Drive safety and trust initiatives across all products, taking into account industry\-leading methods, and ensuring users feel confident engaging with the platform and each other.
* Develop and refine frameworks and tools for identifying, assessing, and mitigating safety risks across our platform.
* Establish metrics and feedback loops that help Suno monitor user experience, detect emerging safety challenges, and measure impact over time.
* Collaborate with cross\-functional teams — including AI researchers, policy experts, software engineering, design, data, legal, and community operations — to embed safety considerations into product planning and execution.
* Partner with external teams and industry peers on best practices and the latest technologies for safety in music and social tech environments.
**Who You Are**
* A proactive, thoughtful product leader with a commitment to safety who has 6\+ years of product management or related roles, with specialty in trust \&amp; safety, content moderation, community integrity, or related domains
* Demonstrates expertise in the field of platform safety from a technical perspective
* Prioritizes work that has broad impact and scales effectively as Suno grows, and understands how to develop safeguards that can apply holistically across a suite of different products
* Balances innovation with responsibility, approaching ambiguous challenges with structure and creativity
* Brings a consumer lens to safety — understanding how features are experienced by real users
* Has strong analytical skills with a bias toward actionable insights
* Communicates proactively with technical and non\-technical partners alike
* Thrives in fast\-moving, cross\-functional, and often ambiguous environments
* Loves music
**Additional Notes:** 
 Applicants must be eligible to work in the US.
**Perks \&amp; Benefits For Full\-Time Employees**
* Company Equity Package
* 401(k) with 3% Employer Match \&amp; Roth 401(k)
* Medical, Dental, \&amp; Vision Insurance (PPO w/ HSA \&amp; FSA options)
* 11 Paid Holidays \+ Unlimited PTO \&amp; Sick Time
* 16 Weeks of Paid Parental Leave
* Creative Education Stipend
* Generous Commuter Allowance
* In\-Office Lunch (5 days per week)
 Suno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Massachusetts Fair Chance in Employment Act, NYC Fair Chance Act, LA City Fair Chance Ordinance, and San Francisco Fair Chance Ordinance.</t>
        </is>
      </c>
    </row>
    <row r="55">
      <c r="A55" t="inlineStr">
        <is>
          <t>li-4333173130</t>
        </is>
      </c>
      <c r="B55" t="inlineStr">
        <is>
          <t>Senior Product Manager, Measurement &amp; Experimentation</t>
        </is>
      </c>
      <c r="C55" t="inlineStr">
        <is>
          <t>Best Buy</t>
        </is>
      </c>
      <c r="D55" t="inlineStr">
        <is>
          <t>linkedin</t>
        </is>
      </c>
      <c r="E55" t="inlineStr"/>
      <c r="F55" t="inlineStr"/>
      <c r="G55" t="inlineStr">
        <is>
          <t>Minneapolis, MN</t>
        </is>
      </c>
      <c r="H55" t="inlineStr"/>
      <c r="I55" t="inlineStr">
        <is>
          <t>The
 **Senior Product Manager, Measurement \&amp; Experimentation** 
 will lead the charge in building smarter measurement and experimentation strategies across our Retail Media Network. If you love digging into data, designing experiments, and collaborating across teams to drive real impact, this role is for you.
 You’ll be at the forefront of shaping how we measure advertising effectiveness—from A/B testing to media mix modeling. You’ll work with brilliant minds in data science, analytics, and product to build tools that help us understand what’s working and what’s not. Your insights will guide product development, campaign strategy, and business decisions.
 This role is remote eligible, which means you would work virtually from home or another non\-Best Buy location
**What You’ll Do**
* Own the roadmap for incrementality measurement and experimentation across our ad products
* Design and support testing strategies like A/B, geo\-holdout, and synthetic control
* Partner with analytics and data science teams to build and validate media mix models
* Collaborate with product and engineering teams to embed experimentation into product launches
* Standardize measurement methodologies across advertising channels
* Evaluate third\-party tools to enhance our internal capabilities
**Required Skills**
* 7\+ years of experience in product management, analytics, or data science roles.
* 3\+ years of experience with media mix modeling and incrementality measurement, causal inference, and experimental design.
* 3\+ years of experience with A/B testing platforms, geo\-experiments, customer\-holdouts and lift studies.
* 2\+ years of experience setting up, running, and analyzing incrementality tests on onsite and offsite media platforms (like Google Ad Manager, Meta, GoogleAds, DV360\)
* Experience in digital advertising, retail media, or marketing analytics
* Bachelor’s Degree in a Quantitative field (e.g., Statistics, Data Science, Economics, Computer Science).
**Preferred Skills**
* Strong proficiency in SQL and familiarity with analytical programming languages (e.g., Python, R).
* Master’s degree in quantitative fields (e.g., Statistics, Data Science, Economics, Computer Science).
* Experience with experimentation platforms (e.g., Optimizely, Google Experiments, Meta Lift).
* Familiarity with cloud data platforms (e.g., Google Cloud Platform, AWS, Snowflake).
* Proven ability to work cross\-functionally with technical and non\-technical teams.
* Excellent communication skills with the ability to translate complex methodologies into business\-relevant insights.
**What’s in it for you**
 We’re committed to helping our people thrive at work and at home. We offer generous benefits that address your total well\-being and provide support as you need it, especially during key moments in your life.
**Our Benefits Include**
* Competitive pay
* Generous employee discount
* Physical and mental well\-being support
**About Us**
 As part of the Best Buy team, you’ll help us fulfill our purpose to enrich lives through technology. We bring that to life every day by humanizing and personalizing tech solutions for every stage of life—in our stores, online, and in customers’ homes.
 Our culture is built on deeply supporting and valuing our amazing employees who make it all possible. We’re committed to being a great place to work, where you can unlock unique career possibilities. Above all, we aim to provide a place where you can bring your full, authentic self to work now and into the future. Tomorrow works here.™
 Best Buy is an equal opportunity employer.
 Position Type: Full timePandoLogic. Keywords: Senior Product Manager, Location: Minneapolis, MN \- 55423</t>
        </is>
      </c>
    </row>
    <row r="56">
      <c r="A56" t="inlineStr">
        <is>
          <t>li-4356801217</t>
        </is>
      </c>
      <c r="B56" t="inlineStr">
        <is>
          <t>Technical Product Owner - Global Specialty Data Science, AI and Analytics</t>
        </is>
      </c>
      <c r="C56" t="inlineStr">
        <is>
          <t>The Hartford</t>
        </is>
      </c>
      <c r="D56" t="inlineStr">
        <is>
          <t>linkedin</t>
        </is>
      </c>
      <c r="E56" t="inlineStr"/>
      <c r="F56" t="inlineStr"/>
      <c r="G56" t="inlineStr">
        <is>
          <t>Hartford, CT</t>
        </is>
      </c>
      <c r="H56" t="inlineStr"/>
      <c r="I56" t="inlineStr">
        <is>
          <t>Sr. Consultant, Asset Owner \- GF07AE
 We’re determined to make a difference and are proud to be an insurance company that goes well beyond coverages and policies. Working here means having every opportunity to achieve your goals – and to help others accomplish theirs, too. Join our team as we help shape the future.
 A
 **Senior Asset Owner \&amp; Technical Product Owner** 
 plays an integral role in the successful design, deployment, and adoption of end\-to\-end analytical solutions to serve our business partners. You will drive adoption of the advanced analytics portfolio through product ownership and execution of a balanced, intentional communication approach that best serves internal (agile team vision, execution work scope) and external (roadmap, asset\-specific documentation) audiences.
**This role is a critical member of the GS DSAIA organization** 
 , serving as connective tissue across a robust strategy and multiple job families. Amidst rapid change and opportunity across GS spanning business and technology teams, this position ensures that advanced analytic solutions are translated into tangible business outcomes. This role will balance strategy, technology, and customer value by evolving processes on growing teams, prioritizing work, shaping the backlog, and driving adoption to deliver measurable impact in a dynamic, growth\-oriented environment. The ability shape and guide technical execution, as well as take data science and engineering output and highlight key findings, results, and recommendations to our business partners is fundamental to success.
 This role will support the Global Specialty organization as part of the Data Science, AI and Analytics team. The Global Specialty Data Science, AI and Analytics (GS DSAIA) team is one of three practices (business\-aligned teams) in the broader Business Insurance Data Science, AI and Analytics organization.
 This role will have a Hybrid work schedule, with the expectation of working in an office (Chicago, IL, Hartford, CT or Charlotte, NC) 3 days a week (Tuesday through Thursday).
**Responsibilities**
* Lead day\-to\-day Agile execution for multiple advanced analytics teams; leverage proficiency in Agile frameworks (SAFe, Scrum, Kanban) to drive iterative delivery, transparency, and continuous improvement across teams and value streams
* Serve as change agent for DSAIA integration and embeddedness into the GS value stream model
* Build strong partnerships with business customers and technology partners and act as key point of contact for Data Science \&amp; Engineering portfolio and assets
* Partner with APMs and business leaders to refine features and roadmap priorities
* Translate vision and strategic roadmap into incremental plans, sprint goals and prioritized execution work (in partnership with technical leaders); ensure backlog items reflect customer needs, business goals, and technical feasibility
* Assist in development of team and product vision, strategic planning, success criteria, CBA and value propositions for Data Science \&amp; Engineering assets
* Assist with the communication plan and marketing strategy of the portfolio and key capstone initiatives; execute well\-designed communication plans tailored to audiences ranging from technical peers to business stakeholders of various levels
**Qualifications**
* 3\-5\+ years of experience in supporting analytic or machine learning product ownership or technical development in insurance or related field
* Proficient knowledge of Agile frameworks (SAFe, Scrum, Kanban, XP) and comfort assessing team needs, establishing routines and driving continuous improvement
* Familiarity with insurance preference, with stronger preference for Commercial Insurance and direct Global Specialty knowledge
* Proficiency in turning a new business problem into an executable technical or analytical solution
* Comfortable with working on novel, ambiguous business problems with no clear\-cut solutions while flexing different roles to achieve project success
* Proficiency in impactful storytelling, communication, and relationship\-building across a broad range of technical and non\-technical audiences
* Proficiency in leveraging Microsoft tools to develop compelling visuals articulating complex analytical topics
* Proficiency in translating complex technical topics into business solutions and strategies as well as turning business requirements into technical solutions
* Experience with leading project execution and driving change to core business processes through the innovative use of quantitative techniques
* Commitment to proactively expand technical knowledge in emerging areas such as generative AI, AI agents, machine learning, cloud\-based data platforms, and modern data engineering practices to stay current and deliver innovative solutions for customers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$111,200 \- $166,800
 Equal Opportunity Employer/Sex/Race/Color/Veterans/Disability/Sexual Orientation/Gender Identity or Expression/Religion/Age</t>
        </is>
      </c>
    </row>
    <row r="57">
      <c r="A57" t="inlineStr">
        <is>
          <t>li-4367247934</t>
        </is>
      </c>
      <c r="B57" t="inlineStr">
        <is>
          <t>Software Product Manager, Automation Portfolio</t>
        </is>
      </c>
      <c r="C57" t="inlineStr">
        <is>
          <t>Beckman Coulter Life Sciences</t>
        </is>
      </c>
      <c r="D57" t="inlineStr">
        <is>
          <t>linkedin</t>
        </is>
      </c>
      <c r="E57" t="inlineStr"/>
      <c r="F57" t="inlineStr"/>
      <c r="G57" t="inlineStr">
        <is>
          <t>Indianapolis, IN</t>
        </is>
      </c>
      <c r="H57" t="inlineStr"/>
      <c r="I57" t="inlineStr">
        <is>
          <t>**Bring more to life.**
 Are you ready to accelerate your potential and make a real difference within life sciences, diagnostics and biotechnology?
 At Beckman Coulter Life Sciences,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At Beckman Coulter Life Sciences, we know time is the most critical facet in the laboratory today: time to get life\-saving therapies to patients faster; reclaiming time by automating tedious manual workflows; and saving time spent addressing erroneous or complex results.
 We are partners in time and accelerate answers to critical questions through the power of automation. We develop innovations for scientists by scientists, with many of our 3,300\+ global colleagues coming from the laboratory.
 It’s all part of our time\-tested approach to bringing meaningful innovations at the speed of life since 1935\. And we’re just beginning. Working together, let’s put our time and talents together to advance human health for tomorrow.
 Learn about the Danaher Business System which makes everything possible.
 The Software Product Manager, Automation Portfolio will be the bridge between customer needs, business objectives, and technical execution, driving the development of innovative products from concept to launch. You will deeply understand our technology stack and market landscape, translating complex technical capabilities into clear product requirements and user stories
 This position reports to the Senior Director, Automation Portfolio and is part of the Liquid Handling Product Management team located in the vicinity of Indianapolis.
**In This Role, You Will Be Required To**
* Define and articulate the product vision, strategy, and roadmap for your product area, aligning it with overall company goals and market opportunities.
* Conduct in\-depth market research, competitive analysis, and customer feedback sessions to identify new product opportunities and enhance existing features.
* Translate product strategy into detailed technical requirements, user stories, and acceptance criteria, collaborating closely with engineering and design teams.
* Monitor product performance, gather data, and use analytics to identify areas for improvement and inform future product iterations.
* Support product launches by collaborating with marketing, sales, and support teams to develop go\-to\-market strategies and training materials.
**The Essential Requirements Of The Job Include**
* Bachelor's degree in Biological Sciences, Bioengineering, Computer Science, or a related scientific or engineering discipline, or equivalent practical experience.
* Strong understanding of scientific workflows, laboratory processes, and the challenges faced by researchers.
* Familiarity with laboratory automation technologies such as robotics, liquid handlers, plate readers, imaging systems, and sample management systems.
* Demonstrated ability to translate scientific and technical concepts into clear product requirements and communicate effectively with both technical and non\-technical audiences.
* Excellent communication, interpersonal, and presentation skills, with the ability to influence and inspire cross\-functional teams.
**Travel, Motor Vehicle Record \&amp; Physical/Environment Requirements**
* Ability to travel – up to 30% globally
* Must have a valid driver’s license with an acceptable driving record
* Ability to lift, move or carry equipment up to 25 lbs, any other physical requirements
**It would be a plus if you also possess previous experience in:**
* Commercial acumen
* Launching new products
* Customer engagement
* Life Sciences market knowledge
 Beckman Coulter Life Sciences, a Danaher operating company, offers a broad array of comprehensive, competitive benefit programs that add value to our lives. Whether it’s a health care program or paid time off, our programs contribute to life beyond the job. Check out our benefits at Danaher Benefits Info.
 The base annual salary for this role is $145,000 to $160,000
 *.* 
 This is the range that we in good faith believe is the range of possible compensation for this role at the time of this posting. This range may be modified in the future.
 This job is eligible for bonus/incentive pay.
 We offer comprehensive package of benefits including paid time off, medical/dental/vision insurance and 401(k) to eligible employees.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
 Danaher Corporation and all Danaher Companies are committed to equal opportunity regardless of race, color, national origin, religion, sex, age, marital status, disability, veteran status, sexual orientation, gender identity, or other characteristics protected by law.
 The U.S. EEO posters are available here.
 We comply with federal and state disability laws and make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contact:1\-202\-419\-7762 or applyassistance@danaher.com.</t>
        </is>
      </c>
    </row>
    <row r="58">
      <c r="A58" t="inlineStr">
        <is>
          <t>li-4337132424</t>
        </is>
      </c>
      <c r="B58" t="inlineStr">
        <is>
          <t>Staff Product Manager</t>
        </is>
      </c>
      <c r="C58" t="inlineStr">
        <is>
          <t>RentSpree</t>
        </is>
      </c>
      <c r="D58" t="inlineStr">
        <is>
          <t>linkedin</t>
        </is>
      </c>
      <c r="E58" t="inlineStr"/>
      <c r="F58" t="inlineStr"/>
      <c r="G58" t="inlineStr">
        <is>
          <t>Seattle, WA</t>
        </is>
      </c>
      <c r="H58" t="inlineStr"/>
      <c r="I58" t="inlineStr">
        <is>
          <t>**About RentSpree** 
 RentSpree is the nation's leading home rental software. Our award\-winning product suite simplifies the entire rental journey—from applications and screening to payments and lease management. Our mission is to bring transparency, efficiency, and trust to agents, landlords, and renters alike.
 With over 3 million users, partnerships with 300\+ leading real estate companies and MLS platforms, and nine years of consistent growth, RentSpree is at the forefront of proptech innovation. Our award\-winning solutions deliver automation and real\-time insights that make renting faster, easier, and more secure for our customers.
 RentSpree is a proud Forbes' Best Startup Employer and we were also ranked one of BuiltIn Seattle’s Best Places to Work. As one of the fastest\-growing property tech startups in the U.S., we’re looking for talented problem\-solvers to contribute meaningful impact as we scale.
**Staff Product Manager \- Hybrid in Seattle, WA \- paid relocation available** 
 We’re looking for a Staff Product Manager to lead one of RentSpree’s core product domains. This role is critical in helping us deliver best\-in\-class experiences that drive value for agents, landlords, and renters across the rental ecosystem.
 This is a high\-impact, high\-visibility role with significant ownership. You will be responsible for defining and executing product strategy within your domain. You’ll work cross\-functionally with design, engineering, legal and compliance, marketing, and customer success to bring high\-quality experiences to market and solve complex, user\-centered problems.
 We’re looking for a product leader who thrives in ambiguity, values fast iteration and discovery, and brings strong systems thinking to scale successful products. This person should be passionate about creating intuitive user experiences and capable of translating user needs and business objectives into simple, scalable solutions.
 You’ll thrive in this role if you enjoy solving complex, ambiguous problems, building simple product experiences, and taking pride in deeply understanding users. The work you do here will have a direct and measurable impact on our users and our business.
 This role is based in Seattle, with in\-office collaboration 2 days per week. This role also requires collaboration with our Thai team a few times per week between 5\-7pm PT.
**What You'll Do** 
* Own the end\-to\-end product strategy, roadmap, and execution for your product domain at RentSpree
* Deeply understand the needs of our users through qualitative and quantitative insights
* Partner closely with cross\-functional teams to deliver high\-quality experiences at speed
* Define clear success metrics and drive measurable impact across business, customer, and operational goals
* Prioritize and communicate tradeoffs clearly to both technical and non\-technical stakeholders
* Champion simplicity, accessibility, and clarity across all aspects of the user journey
*Our job descriptions evolve with our business needs and priorities. In addition to the description above, your role may include additional tasks, projects and team support as needed.* 
**Skills You Bring** 
* 6\+ years of product management experience, including experience in a high\-growth environment
* Strong product sense and product fundamentals
* A bias for action: Move quickly, remove blockers, and find scrappy paths forward without sacrificing quality
* Excellent communication and collaboration skills
* Analytical fluency with the ability to interpret data, size opportunities, and define clear, measurable success metrics
**Qualities You Practice** 
*These encompass our guiding principles and startup culture competencies:* 
* **Take full ownership and accountability:** 
 Drives projects from idea to execution, with pride, urgency, and a “do what it takes” mentality.
* **Collaborate with clarity, candor, and respect:** 
 Communicate openly and courageously, offer and receive feedback well, and build trust through transparency and reliable partnership.
* **Strive for excellence while staying humble:** 
 Driven with a bias for action, hold a high bar, think critically, and continuously look to improve.
* **Bring a versatile, proactive mindset:** 
 Adapt to evolving needs, anticipate challenges, take initiative, be resourceful, and embrace opportunities to achieve high quality results.
* **Innovate and learn fast:** 
 Experiment, learn from failure, and seek opportunities to introduce new methods or diverse ways of achieving results.
* **Engage in healthy debate and commit as a team:** 
 Contribute ideas, challenge constructively, and align quickly for decisive action.
* **AI is a core skill:** 
 Equip yourself to use AI in your daily workflow, boosting productivity, accelerating RentSpree’s growth, and building future\-ready career skills in a world where AI literacy is essential.
**Why Join Us? Our Award\-Winning Benefits \&amp; Culture** 
*As a fast\-growing startup, our culture is built on collaboration, curiosity, and the drive to build something meaningful together. From most comprehensive benefits starting on day one to an environment built on trust, respect, and belonging, we make sure our team feels supported every step of the way. Here’s what we offer:* 
* **Compensation:** 
 $200\-225k base
* **Equity Options:** 
 Share in the value we’re creating—your work makes a real impact.
* **Team\-First Culture:** 
 Join a group of talented, supportive teammates who inspire each other to do their best work and celebrate every win.
* **Learning \&amp; Development:** 
 Ongoing support for your growth through resources, coaching, and career development opportunities.
* **Health Coverage:** 
 Comprehensive employee \+ dependent medical, dental, and vision insurance, as well as HSA/FSA options. Plus, enjoy additional health perks like access to Headspace Care\+, gym membership discounts, and much more — because your well\-being matters, inside and out.
* **Plan for your future:** 
 Life, disability, and Simple IRA retirement plan with company match to support your future.
* **Flexible Vacation Policy:** 
 We trust you to take the time you need to rest and recharge.
* **Holidays:** 
 Enjoy 12 holidays throughout the year, as a part of our commitment to honoring culture, history, and time to recharge.
* **Events:** 
 We make time to connect and celebrate through reimbursable weekly team lunches, game nights, events, and more, both in\-person and remotely.
* **Recognition Programs:** 
 Team members can recognize their peers with Sprees, which are redeemable for gift cards and/or donations to an organization of your choice, or nominate a colleague for a S.P.R.E.E. Award to spotlight above\-and\-beyond contributions, which may be rewarded with a spot bonus. Our Work Anniversary Program also honors employee milestones with personalized tokens of appreciation!
* **Business Expense Allowance \&amp; Internet Reimbursement:** 
 Get the tools and support you need to do your best work.
* **Parental Leave \&amp; Fertility Support:** 
 Inclusive benefits to support you and your family, wherever you are in life.
* **Legal \&amp; tax benefits:** 
 We offer group legal benefits and tax support through RocketLawyer.
* **Seattle HQ:** 
 If you’ll be working from our Seattle office, you’ll receive a company\-sponsored Orca card to cover the cost of public transportation to and from the office!
**Ready to Build Something Big?** 
 We’re a team of talented, kind, and supportive people who take ownership, move with urgency, and strive for excellence. If you’re ready to roll up your sleeves and take on exciting challenges, we’d love to hear from you, even if you don’t meet every requirement!
**EEO Statement** 
 RentSpree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This policy applies to all employment practices within our organization, including hiring, recruiting, promotion, termination, layoff, recall, leave of absence, compensation, benefits, training, and apprenticeship. RentSpree makes hiring decisions based solely on qualifications, merit, and business needs at the time.</t>
        </is>
      </c>
    </row>
    <row r="59">
      <c r="A59" t="inlineStr">
        <is>
          <t>li-4367252915</t>
        </is>
      </c>
      <c r="B59" t="inlineStr">
        <is>
          <t>Senior Director, Product Manager; AI in Product Management</t>
        </is>
      </c>
      <c r="C59" t="inlineStr">
        <is>
          <t>Capital One</t>
        </is>
      </c>
      <c r="D59" t="inlineStr">
        <is>
          <t>linkedin</t>
        </is>
      </c>
      <c r="E59" t="inlineStr"/>
      <c r="F59" t="inlineStr"/>
      <c r="G59" t="inlineStr">
        <is>
          <t>New York, NY</t>
        </is>
      </c>
      <c r="H59" t="inlineStr"/>
      <c r="I59" t="inlineStr">
        <is>
          <t>Product Management at Capital One is a booming, vibrant craft that requires reimagining the status quo, finding value creation opportunities, and driving innovative and sustainable customer experiences through technology. We have been elevating the product management job family at Capital One for the last several years, and now want to ensure that the tools and role evolves to leverage the full power of AI.
****About the Role:****
 The role is a part of our EPX (Enterprise Product and Experience) top of house team working closely with the SVP on the Product Council who is the AE for AI in Product at Capital One.
 The product manager will be responsible for defining the long\-term destination of product development in the age of AI at Capital One. In parallel, they will also ensure that we are equipping product managers across Capital One with the AI tools and training to maximize efficiency and effectiveness. Operating at the intersection of high\-level strategy and hands\-on execution, you will partner directly with Senior Executives across the Enterprise, local product teams experimenting with AI, and a dedicated Strategy team to architect a roadmap that balances bold, big\-picture thinking with immediate, actionable milestones. The mission is twofold: to establish a definitive future vision for AI integration and to act as a catalyst for accelerating AI adoption across the organization. We are looking for a seasoned product veteran who carries the gravitas to influence the C\-suite, possesses the organizational rigor of a program lead, and maintains a deep, personal passion for AI experimentation—someone who isn't just watching the AI shift happen but is actively rewriting the product management playbook.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9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in strategy consulting, defining business strategies and delivering value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$245,100 \- $279,800 for Sr. Dir, Product Management
 McLean, VA: $269,600 \- $307,700 for Sr. Dir, Product Management
 New York, NY: $294,100 \- $335,700 for Sr. Dir, Product Management
 Richmond, VA: $245,100 \- $279,800 for Sr. Dir, Product Management
 San Francisco, CA: $294,100 \- $335,700 for Sr. Dir,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0">
      <c r="A60" t="inlineStr">
        <is>
          <t>li-4334732188</t>
        </is>
      </c>
      <c r="B60" t="inlineStr">
        <is>
          <t>ICG Liquidity Solutions Product Manager</t>
        </is>
      </c>
      <c r="C60" t="inlineStr">
        <is>
          <t>U.S. Bank</t>
        </is>
      </c>
      <c r="D60" t="inlineStr">
        <is>
          <t>linkedin</t>
        </is>
      </c>
      <c r="E60" t="inlineStr"/>
      <c r="F60" t="inlineStr"/>
      <c r="G60" t="inlineStr">
        <is>
          <t>Dallas, TX</t>
        </is>
      </c>
      <c r="H60" t="inlineStr"/>
      <c r="I60"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Product Managers at U.S. Bank are customer obsessed in driving product planning, visioning, development, management, and customer experience to deliver on our human \+ digital product strategy and staying one step ahead of evolving economic, technological, and customer needs. We are seeking a Product Manager to support the Money Center product set on the Liquidity Solutions team. The Money Center provides short\-term on\-and off\-balance sheet investment solutions for our clients, including self\-directed investments through the SinglePoint Investment portal.
**Responsibilities of the role include, but are not limited to:**
**PRODUCT PROFITABILITY**
* Structure short\- and long\-term outcomes and business value of product portfolio including connection to roadmap, Objectives and Key Results, and strategic investments.
**PRODUCT STRATEGY, VISION, AND PLANNING**
* Understands and communicates the Money Center product set, along with opportunities, to internal partners, in collaboration with Liquidity Solutions Product Leader.
* Has technical know\-how, understands the product technical architecture and the economics of technical investments, e.g., buy vs build, total cost of ownership ‘TCO’.
**PRODUCT DEVELOPMENT**
* Drives product development and actively engages cross\-functional stakeholders to enable faster speed to market and maximize return on spend in decision making for the product roadmap (e.g., issue resolution, MVP definition, ongoing prioritization).
* Prioritizes resources across developing new products and reimagining existing products.
**CHANNEL ALIGNMENT AND MANAGEMENT**
* Leverages enterprise platforms and capabilities, to improve speed to market and drive both development and ongoing support cost efficiencies (e.g., provide more functionality for same investment or same amount of functionality for less investment).
**TECHNOLOGY PRODUCT SUPPORT AND OWNERSHIP**
* Own relationships between internal Technology teams and external vendors for product enhancements, roadmap, resource allocation, and development.
* Structure RFPs as needed for new vendors, work with procurement on negotiations.
* Collaborate with internal operations teams to ensure program management, handoff support, and organization with any new implementations.
* Stay current on market trends and opportunities for product enhancement and vendor solutions within the wholesale liquidity solution space.
**ADOPTION**
* Prove out product\-market fit by finding raving fans, co\-creating solutions, driving product demand, activation, and engagement.
**Customer Experience Research, Insight, And Execution**
* Identifies initial and ongoing product\-market fit by communicating and incorporating customer/user needs, competitive landscape, business objectives, the bank’s strategic advantage and economic environment to enhance new and existing products.
* Demonstrates deep understanding of target customer through internal/external research (e.g., creation of personas, story maps, product chartering/mapping experience).
**GO TO MARKET AND SALES CHANNELS**
* Engages with enabling functions (e.g., marketing, sales, training, operations, go to market, etc.) to position and promote supported and planned products to achieve business goals.
* Evaluate and onboard vendors as needed.
**PERFORMANCE MEASURE AND OPTIMIZATION**
* Develops, analyzes, monitors, and reports on performance metrics from internal and external sources to identify key trends and opportunities for continuous improvement. Uses performance metrics to drive towards progress on identified strategies and initiatives.
* Influences and drives alignment across functions, channels, and lines of business to set product strategy, manage performance, and optimize execution.
***Hybrid/flexible schedule***
 The role offers a hybrid/flexible schedule, which means there's an in\-office expectation of 3 or more days per week and the flexibility to work outside the office location for the other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$126,820\.00 \- $149,200\.00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61">
      <c r="A61" t="inlineStr">
        <is>
          <t>li-4344979018</t>
        </is>
      </c>
      <c r="B61" t="inlineStr">
        <is>
          <t>Senior Product Manager Tech, EFS</t>
        </is>
      </c>
      <c r="C61" t="inlineStr">
        <is>
          <t>Amazon Web Services (AWS)</t>
        </is>
      </c>
      <c r="D61" t="inlineStr">
        <is>
          <t>linkedin</t>
        </is>
      </c>
      <c r="E61" t="inlineStr"/>
      <c r="F61" t="inlineStr"/>
      <c r="G61" t="inlineStr">
        <is>
          <t>New York, United States</t>
        </is>
      </c>
      <c r="H61" t="inlineStr"/>
      <c r="I61" t="inlineStr">
        <is>
          <t>**Description**
 Amazon EFS (Elastic File System) is looking for a dynamic and seasoned product leader to help define and build the future of cloud\-based file storage. Customers around the world rely on Amazon EFS to provide scalable, elastic, high\-performance, secure, and cost\-effective shared file storage to support their growing infrastructure needs. Within EFS, you will work with a team that delivers fully managed, cloud\-native file storage services with diverse customers ranging from startups to well\-known enterprises. As a member of the broader Storage Services Product Management team, you'll join other highly respected product and engineering leaders to create the future of cloud file storage.
 Key job responsibilities
 We are looking for a senior product manager who will own and drive product management across the Amazon EFS portfolio, including performance modes, throughput modes, storage classes, lifecycle management, and integration with other AWS services. You will be responsible for end\-to\-end ownership of current and new features targeting a broad spectrum of file storage workloads (ex: content management, web serving, data analytics, machine learning training, home directories, container storage, etc.) across mission critical, enterprise, machine learning, and emerging domains. You will work on defining the roadmap for new products and features at the intersection of file storage and cloud technologies (ex: NFS protocol enhancements, performance optimization, data durability, replication, encryption, intelligent tiering, etc.) to help meet critical customer requirements, incentivize new migrations to AWS, and help drive the overall business. You will have strong ownership over portfolio strategy, product definition, feature prioritization, messaging, pricing, adoption, customer interaction, sales enablement, and team development. You will also identify and drive operational improvements and cost reductions.
 Working closely with and across agile teams, you will be able to see and feel the impact of your work on our customers. This is a high visibility and high impact role that will interact with all levels of AWS leadership.
 The ideal candidate is excited about the incredible opportunity cloud computing represents and is deeply passionate about working with great teams that deliver the highest quality services. You are naturally customer centric and thrive in a fast\-paced environment that requires strong technical and business judgment and solid communication skills.
**About The Team**
 About AWS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5\+ years of technical product management with internet business experience
* 5\+ years of technical (software development, network development, IT, other related) experience
* 5\+ years of working as a Technical Product Manager experience
* 7\+ years of full product life cycle experience
* 5\+ years of P\&amp;L management and pricing experience
* 5\+ years of creating written docs for development of new products experience
* Bachelor's degree in a quantitative/technical field such as computer science, engineering, statistics
* Experience in taking a product from conception \&amp; definition phase through engineering design and taking it to market
* Experience delivering large\-scale SaaS, PaaS or LaaS products where you are responsible for the full product lifecycle, from concept through GTM (go to market)
**Preferred Qualifications**
* Knowledge of engineering practices and patterns for the full software/hardware/networks development life cycle, including coding standards, code reviews, source control management, build processes, testing, certification, and livesite operations
* Experience working within teams delivering software products and features using agile methodologies
* Experience working with customers, technical teams, and management to collect requirements, describe software product features, and technical designs
* product management experience preferably with IT Infrastructure including storage, file systems, networking and/or Internet business experience.
* 
* Knowledge of file storage workloads, file system protocols (NFS, SMB), distributed file systems, and cloud storage architectures
* 
* Knowledge of file storage performance optimization, caching strategies, and storage tiering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A3146067</t>
        </is>
      </c>
    </row>
    <row r="62">
      <c r="A62" t="inlineStr">
        <is>
          <t>li-4334821933</t>
        </is>
      </c>
      <c r="B62" t="inlineStr">
        <is>
          <t>ICG Liquidity Solutions Product Manager</t>
        </is>
      </c>
      <c r="C62" t="inlineStr">
        <is>
          <t>U.S. Bank</t>
        </is>
      </c>
      <c r="D62" t="inlineStr">
        <is>
          <t>linkedin</t>
        </is>
      </c>
      <c r="E62" t="inlineStr"/>
      <c r="F62" t="inlineStr"/>
      <c r="G62" t="inlineStr">
        <is>
          <t>Charlotte, NC</t>
        </is>
      </c>
      <c r="H62" t="inlineStr"/>
      <c r="I62"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Product Managers at U.S. Bank are customer obsessed in driving product planning, visioning, development, management, and customer experience to deliver on our human \+ digital product strategy and staying one step ahead of evolving economic, technological, and customer needs. We are seeking a Product Manager to support the Money Center product set on the Liquidity Solutions team. The Money Center provides short\-term on\-and off\-balance sheet investment solutions for our clients, including self\-directed investments through the SinglePoint Investment portal.
**Responsibilities of the role include, but are not limited to:**
**PRODUCT PROFITABILITY**
* Structure short\- and long\-term outcomes and business value of product portfolio including connection to roadmap, Objectives and Key Results, and strategic investments.
**PRODUCT STRATEGY, VISION, AND PLANNING**
* Understands and communicates the Money Center product set, along with opportunities, to internal partners, in collaboration with Liquidity Solutions Product Leader.
* Has technical know\-how, understands the product technical architecture and the economics of technical investments, e.g., buy vs build, total cost of ownership ‘TCO’.
**PRODUCT DEVELOPMENT**
* Drives product development and actively engages cross\-functional stakeholders to enable faster speed to market and maximize return on spend in decision making for the product roadmap (e.g., issue resolution, MVP definition, ongoing prioritization).
* Prioritizes resources across developing new products and reimagining existing products.
**CHANNEL ALIGNMENT AND MANAGEMENT**
* Leverages enterprise platforms and capabilities, to improve speed to market and drive both development and ongoing support cost efficiencies (e.g., provide more functionality for same investment or same amount of functionality for less investment).
**TECHNOLOGY PRODUCT SUPPORT AND OWNERSHIP**
* Own relationships between internal Technology teams and external vendors for product enhancements, roadmap, resource allocation, and development.
* Structure RFPs as needed for new vendors, work with procurement on negotiations.
* Collaborate with internal operations teams to ensure program management, handoff support, and organization with any new implementations.
* Stay current on market trends and opportunities for product enhancement and vendor solutions within the wholesale liquidity solution space.
**ADOPTION**
* Prove out product\-market fit by finding raving fans, co\-creating solutions, driving product demand, activation, and engagement.
**Customer Experience Research, Insight, And Execution**
* Identifies initial and ongoing product\-market fit by communicating and incorporating customer/user needs, competitive landscape, business objectives, the bank’s strategic advantage and economic environment to enhance new and existing products.
* Demonstrates deep understanding of target customer through internal/external research (e.g., creation of personas, story maps, product chartering/mapping experience).
**GO TO MARKET AND SALES CHANNELS**
* Engages with enabling functions (e.g., marketing, sales, training, operations, go to market, etc.) to position and promote supported and planned products to achieve business goals.
* Evaluate and onboard vendors as needed.
**PERFORMANCE MEASURE AND OPTIMIZATION**
* Develops, analyzes, monitors, and reports on performance metrics from internal and external sources to identify key trends and opportunities for continuous improvement. Uses performance metrics to drive towards progress on identified strategies and initiatives.
* Influences and drives alignment across functions, channels, and lines of business to set product strategy, manage performance, and optimize execution.
***Hybrid/flexible schedule***
 The role offers a hybrid/flexible schedule, which means there's an in\-office expectation of 3 or more days per week and the flexibility to work outside the office location for the other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$126,820\.00 \- $149,200\.00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63">
      <c r="A63" t="inlineStr">
        <is>
          <t>li-4344947145</t>
        </is>
      </c>
      <c r="B63" t="inlineStr">
        <is>
          <t>Product Manager, Transportation &amp; Logistics</t>
        </is>
      </c>
      <c r="C63" t="inlineStr">
        <is>
          <t>Cognizant</t>
        </is>
      </c>
      <c r="D63" t="inlineStr">
        <is>
          <t>linkedin</t>
        </is>
      </c>
      <c r="E63" t="inlineStr"/>
      <c r="F63" t="inlineStr"/>
      <c r="G63" t="inlineStr">
        <is>
          <t>New Jersey, United States</t>
        </is>
      </c>
      <c r="H63" t="inlineStr"/>
      <c r="I63" t="inlineStr">
        <is>
          <t>**About Cognizant Consulting**
 Cognizant Consulting is more than Cognizant’s consulting practice \- we’re a global community of 5,000\+ experts dedicated to helping clients reimagine their business. Blending our deep industry and technology advisory capability, we create innovative business solutions for Fortune 500 clients. And now, we’re looking for our next colleague who’ll join us in shaping the future of business. Could it be you?
**About The Role**
 As a Senior Consulting Manager, Transportation \&amp; Logistics, you will make an impact by blending deep domain expertise and hands\-on product leadership to drive outcomes across complex logistics environments. You will be a valued member of the Manufacturing \&amp; Logistics team and work collaboratively with the primary product team, stakeholders, and clients.
**In this role you will**
* Lead Product Lifecycle Management (PLM) initiatives to improve speed, quality, and reliability across the product development process.
* Own product design strategies to align with business goals and customer needs in transportation \&amp; logistics.
* Analyze market signals and customer feedback, translating insights into requirements, features, and tradeoffs.
* Manage and prioritize the product backlog; translate strategy into actionable user stories and sprintable work; maintain transparent roadmaps.
* Collaborate with engineering, operations, and business to embed transportation \&amp; logistics knowledge into product decisions.
* Define and oversee product availability testing; establish reliability standards and test protocols; partner with QA for execution.
* Facilitate workshops/training on product management and logistics concepts; uplevel team capability.
* Establish compliance practices aligned to industry norms and client standards; partner with QA/UAT on test plans and signoff.
* Drive continuous improvement through metrics, instrumentation, and feedback loops to optimize product performance.
* Communicate progress, risks, and decisions to stakeholders; maintain alignment to business objectives.
**Work Model**
 We believe hybrid work is the way forward as we strive to provide flexibility wherever possible. Based on this role’s business requirements, this position requires 3 to 4 days a week in a client office in
 **Jersey City, NJ** 
 OR
 **Alpharetta, GA** 
 .
 Regardless of your working arrangement, we are here to support a healthy work\-life balance though our various wellbeing programs.
**What You Must Have To Be Considered**
* 10\+ years of extensive experience in product management, including backlog ownership and roadmap stewardship.
* Strong background in transportation \&amp; logistics industry domain (e.g., Transportation Planning, Execution, Warehousing, Distribution, etc.). Experience in Courier, Express and Parcel (CEP) domain is preferred.
* Demonstrated success collaborating across cross\-functional teams and operating in hybrid work models.
* Proven expertise in product availability/reliability testing (test strategy, protocols, pass/fail criteria, defect analytics).
* Fluency with data analytics for product performance (KPIs, dashboards, cohort analysis); decision making grounded in data.
* Track record of continuous improvement and measurable productivity gains.
**These will help you succeed**
* Familiarity with logistics subdomains (Transportation Management, Warehousing \&amp; Distribution, Courier/Express/Parcel (CEP), Freight Forwarding, Supply Chain Planning, Inventory Management, Cold Chain Logistics, Customs \&amp; Compliance, and Technology \&amp; Integration (TMS/WMS, EDI/API, IoT)
* Prior consulting experience in Transportation \&amp; Logistics industry; stakeholder engagement with operational leaders.
 We're excited to meet people who share our mission and can make an impact in a variety of ways. Don't hesitate to apply, even if you only meet the minimum requirements listed. Think about your transferable experiences and unique skills that make you stand out as someone who can bring new and exciting things to this role.
**Compensation**
 $134,500 \- $158,500
 This position is eligible for Cognizant’s discretionary annual incentive program, based on performance and subject to the terms of Cognizant’s applicable plans
**Benefits**
* Medical, dental, vision and life insurance
* 401(k) plan and contributions
* Employee stock purchase plan
* Employee assistance program
* 10 paid holidays plus PTO
* Paid parental leave and fertility assistance
* Learning and development certifications and programs</t>
        </is>
      </c>
    </row>
    <row r="64">
      <c r="A64" t="inlineStr">
        <is>
          <t>li-4344838308</t>
        </is>
      </c>
      <c r="B64" t="inlineStr">
        <is>
          <t>SVP, Data Governance &amp; Standards Product Manager</t>
        </is>
      </c>
      <c r="C64" t="inlineStr">
        <is>
          <t>Citi</t>
        </is>
      </c>
      <c r="D64" t="inlineStr">
        <is>
          <t>linkedin</t>
        </is>
      </c>
      <c r="E64" t="inlineStr"/>
      <c r="F64" t="inlineStr"/>
      <c r="G64" t="inlineStr">
        <is>
          <t>New York, NY</t>
        </is>
      </c>
      <c r="H64" t="inlineStr"/>
      <c r="I64" t="inlineStr">
        <is>
          <t>Citi Services is a leading provider of cash management and trade finance/services to corporate, public sector and financial institutions clients around the world. With a global network spanning 98 countries, and serving clients in 160, Services is uniquely qualified to serve clients with local and cross\-border interests.
 As Citi pivots to sustained growth across all of its business lines (both corporate and consumer), there is a recognition that a key enabler is the ability to better harness data, analytics, and insights, both within individual business units, but also across business lines to create incremental value, both internally and externally.  The Data and Analytics team in Services owns the data and analytics product (all data needed to enable client products, make business decisions, fulfil regulatory/legal needs, key analytics for product decisions and insights, as well as data tools that empower the business users or deliver to client solutions) across all Services products and functions.  The team also manages the data, analytics vision and roadmap together with business stakeholders, and product\-manages the Agile delivery of data, insight, and solution across data scientists and engineering.
 Data is a critical area of focus within the business. It is global in scope which would provide a lot of visibility to the senior management within Services via regular interactions, presentation, and discussion forums.
 Citi is seeking a strong business\-minded analytical leader to both create and execute against a data agenda that will accelerate positive outcomes primarily for critical business initiatives.  This Data Leader will interface with multiple business stakeholders to understand needs/priorities and pave the path for how data \&amp; analytics can used to accelerate outcomes, focus data, analytics, engineering resources to deliver against biggest business value, following Agile Data Product Management best practices.
 Responsibilities:
* Execute Citi’s Data Transformation strategy across all products, ensuring that data standards are defined and implemented globally to enable consistent process for acquiring, persisting, and delivering Data
* Create and maintain a product vision aligned to business priorities, key user needs, and organizational OKRs
* Own and prioritize the long\-term Data Standards roadmap to deliver on business outcomes, working closely with a cross\-functional team to ensure that all the right resources are aligned
* Implement the Services Producer / Consumer data strategy model and support underlying data management processes \- data process mapping, lineage, and data cataloging
* Act as product owner / manager for critical data foundation, lineage, quality, discovery, and data work to satisfy the regulatory requirements.
* Work with product and data consumer stakeholders and other business areas to capture requirements for data and use cases
* Design and deploy datasets that can be leveraged as the single source of truth for all reporting and analytics for regulators, business stakeholders, and client use cases
* Understand various technological solution for building Canonical Data Model (CDM) and big data solution
* Define the change and life cycle management of the Data Standards and identify ways to automate workflow for review and approval
* Partner to define the tooling strategy for Data Standards definition and life cycle management. Also, enable codification of Data Standards to be consumed by other systems
* Understand how Data Standards and data models fits into the larger ecosystem, anticipating impacts from changes in other parts of the business
* Work cross functionally with data producing platforms, and Agile SCRUMs of data scientists and engineers for delivery
* Continually, succinctly, and clearly communicate progress and results against the data/analytics agenda to stakeholders across the organization
* Investigate and leverage \- Continually “bring the outside in” to learn and deploy best practices from other organizations or industry forum
 Qualifications:
* Bachelor's degree in Statistics, Finance, Math, Operations Research, engineering or science or other related fields; Master's is a plus
* 8\+ years of related experience
* Experience working as a product manager or product owner, leading Agile teams for data/analytics outcomes
* Experience working with large volumes of data and strong understanding of data analytics \- traditional business analytics and modern data science techniques
* Experience in leading the designing, developing, or managing Data / analytics solutions
* Cloud experience would be preferrable
* Familiarity with Data management and modelling concepts, canonical Data models
* Familiarity with merchant and transaction banking or at least in financial services
* Able to understand business needs and translate into analytical execution, including the supervision and review of the analysis, with a critical eye
* Able to innovate new use cases and evaluate business impact
* Able interface with technology to create user stories plan and groom Agile sprints
 Personal Skills:
* Self\-motivated \&amp; accountable – Have a ‘Can do’ and ‘Get it done’ attitude – do whatever necessary and take full ownership of delivery
* “Product” mindset focused on users, pain points and value\-creation delivering solutions
* Product Management Skills, ability to lead cross functional teams towards a common vision
* Superior communication skills – able to clearly articulate complex strategies/techniques and ideas, in both oral and written form, to senior management, with associated poise
* Execution oriented – doesn’t remain in the theoretical; is able to make choices/decisions in the name of delivering rapid business impact
* Collaborative – Possess strong collaboration and influencing skills to effectively lead cross\-functional teams to drive deliverables, projects and engagements to completion
* Bias for change – actively seeks out ways to improve processes, people, etc.
* Influencing skills – able to influence outcomes without necessarily direct authority; experienced in navigating large complex organizations to achieve results
 This job description provides a high\-level review of the types of work performed. Other job\-related duties may be assigned as required.
 \-\-\-\-\-\-\-\-\-\-\-\-\-\-\-\-\-\-\-\-\-\-\-\-\-\-\-\-\-\-\-\-\-\-\-\-\-\-\-\-\-\-\-\-\-\-\-\-\-\-\-\-\-\-
**Job Family Group:**
 Product Management and Development
 \-\-\-\-\-\-\-\-\-\-\-\-\-\-\-\-\-\-\-\-\-\-\-\-\-\-\-\-\-\-\-\-\-\-\-\-\-\-\-\-\-\-\-\-\-\-\-\-\-\-\-\-\-\-
**Job Family:**
 Product Development
 \-\-\-\-\-\-\-\-\-\-\-\-\-\-\-\-\-\-\-\-\-\-\-\-\-\-\-\-\-\-\-\-\-\-\-\-\-\-\-\-\-\-\-\-\-\-\-\-\-\-\-\-\-\-
**Time Type:**
 Full time
 \-\-\-\-\-\-\-\-\-\-\-\-\-\-\-\-\-\-\-\-\-\-\-\-\-\-\-\-\-\-\-\-\-\-\-\-\-\-\-\-\-\-\-\-\-\-\-\-\-\-\-\-\-\-
**Primary Location:**
 New York New York United States
 \-\-\-\-\-\-\-\-\-\-\-\-\-\-\-\-\-\-\-\-\-\-\-\-\-\-\-\-\-\-\-\-\-\-\-\-\-\-\-\-\-\-\-\-\-\-\-\-\-\-\-\-\-\-
**Primary Location Full Time Salary Range:**
 $163,600\.00 \- $245,400\.00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Please see the requirements listed above.
 \-\-\-\-\-\-\-\-\-\-\-\-\-\-\-\-\-\-\-\-\-\-\-\-\-\-\-\-\-\-\-\-\-\-\-\-\-\-\-\-\-\-\-\-\-\-\-\-\-\-\-\-\-\-
**Other Relevant Skills**
 For complementary skills, please see above and/or contact the recruiter.
 \-\-\-\-\-\-\-\-\-\-\-\-\-\-\-\-\-\-\-\-\-\-\-\-\-\-\-\-\-\-\-\-\-\-\-\-\-\-\-\-\-\-\-\-\-\-\-\-\-\-\-\-\-\-
**Anticipated Posting Close Date:**
 Dec 25, 2025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row>
    <row r="65">
      <c r="A65" t="inlineStr">
        <is>
          <t>li-4367464928</t>
        </is>
      </c>
      <c r="B65" t="inlineStr">
        <is>
          <t>Informatics Program Manager</t>
        </is>
      </c>
      <c r="C65" t="inlineStr">
        <is>
          <t>Gritter Francona</t>
        </is>
      </c>
      <c r="D65" t="inlineStr">
        <is>
          <t>linkedin</t>
        </is>
      </c>
      <c r="E65" t="inlineStr"/>
      <c r="F65" t="inlineStr"/>
      <c r="G65" t="inlineStr">
        <is>
          <t>Texas, United States</t>
        </is>
      </c>
      <c r="H65" t="inlineStr"/>
      <c r="I65" t="inlineStr">
        <is>
          <t>VHA supports and provides medical care for VA's eligible beneficiaries through the VA health program, which includes VA Medical Centers (VAMCs) and contracted health care networks. The Office of Clinical Informatics within the Office of Health Informatics (OHI), Digital Health Office (DHO) advances the enterprise standard of care and patient experience using improved data, tools, and informatics processes organized around continuously delivering value to its customers. This is achieved through Lean\-Agile delivery of clinical practice solutions that support best practice standards for clinical care. OHI is further responsible for ensuring the success of the modernized VA EHR, Oracle Health Millennium/Cerner through continuous exploration, integration, deployment and release on demand of Integrated Health Technology (IHT) solutions. These efforts aim to increase Veterans' access to care and support their active participation in their healthcare. Gritter Francona is looking for a Principal Program Manager, Informatics to help support a potential project to assist this objective.
**Key Duties And Responsibilities**
* Lead and manage an informatics project, including both large, enterprise‑scale initiatives and smaller, tactical efforts within a clinical informatics environment
* Provide program‑level oversight of scope, schedule, cost, performance, and quality to ensure successful execution and delivery of contract objectives
* Direct and coordinate programmatic resources across multiple functional and technical domains to ensure features are acceptable, of high quality, and compliant with industry standards
* Apply deep expertise in the full systems development life cycle (SDLC), from strategic planning and requirements through design, implementation, testing, deployment, and sustainment
* Leverage knowledge of enterprise‑wide network engineering, strategic information planning, business process reengineering, organizational structure, and management practices to drive effective solutions
* Identify, assess, and mitigate program risks, developing and executing proactive risk management and issue resolution strategies
* Ensure disciplined cost, schedule, and performance management, including forecasting, reporting, and corrective action planning
* Champion and apply SAFe® Lean Agile principles and practices to drive value delivery, sustain organizational change, and promote operational excellence
* Empower and support high‑performing Agile teams, fostering collaboration, accountability, and continuous improvement
* Serve as a senior‑level liaison with stakeholders, customers, and leadership, providing clear communication, status reporting, and strategic guidance
**Requirements**
* Master's degree in a related field
* 15 years of relevant experience
* Hands‑on experience with and demonstrated understanding of SAFe® Lean Agile principles and practices
* PMP HIGHLY PREFERRED
**Benefits**
* Health Care Plan (Medical, Dental \&amp; Vision)
* Retirement Plan (401k, IRA)
* Life Insurance (Basic, Voluntary \&amp; AD\&amp;D)
* Paid Time Off (Vacation, Sick \&amp; Public Holidays)
* Short Term \&amp; Long Term Disability
* Training \&amp; Development</t>
        </is>
      </c>
    </row>
    <row r="66">
      <c r="A66" t="inlineStr">
        <is>
          <t>li-4359470901</t>
        </is>
      </c>
      <c r="B66" t="inlineStr">
        <is>
          <t>Senior Data Science Product Manager | Growth and Transformation</t>
        </is>
      </c>
      <c r="C66" t="inlineStr">
        <is>
          <t>Red Ventures</t>
        </is>
      </c>
      <c r="D66" t="inlineStr">
        <is>
          <t>linkedin</t>
        </is>
      </c>
      <c r="E66" t="inlineStr"/>
      <c r="F66" t="inlineStr"/>
      <c r="G66" t="inlineStr">
        <is>
          <t>Charlotte, NC</t>
        </is>
      </c>
      <c r="H66" t="inlineStr"/>
      <c r="I66" t="inlineStr">
        <is>
          <t>**This role is not open to visa sponsorship or transfer of visa sponsorship including those on H1\-B, F\-1, OPT, STEM\-OPT, or TN visa, nor is it available to work corp\-to\-corp.
 This role requires a hybrid schedule and will be based in our South Charlotte, NC Headquarters (Tuesday through Thursday) and work fully remotely on Mondays and Fridays each week.**
 Our Growth and Transformation team (RVGT) is looking for a
 **Senior Data Science Product Manager** 
 to drive the development of AI/ML\-powered digital products that enhance customer acquisition, engagement, and retention. RVGT partners with Fortune 500 companies to create data\-driven solutions that transform the way they operate—leaving behind cutting\-edge technology, scalable infrastructure, and new ways of working. Our teams leverage machine learning and AI to leverage rich customer data and inform every step of the customer journey. We partner closely with our clients, across a number of different industries, to develop applications that will impact how we produce media, personalize our site experience, converse with our customers, and add intelligence into our digital buy\-flows.
 In this role, you will have the opportunity to directly influence the digital customer experience for one of our partners. You will be responsible for contributing to the product strategy for enhancing the customer experience. You’ll have autonomy to propose feature development, set the KPIs for the product(s) you contribute to, and be accountable for driving growth against your KPIs by utilizing advanced ML concepts to create personalized user journeys. We expect our Senior Data Science Product Managers to be hands\-on technically, both in how they leverage data to identify opportunities and leverage the team’s ML/AI solutions to drive business value and usage. We are looking for individuals who have experience leading product development and in hands\-on involvement developing ML and AI solutions.
**The Impact You’ll Make**
* Drive Strategic Transformation: Act as the day\-to\-day lead on strategic banking initiatives, ensuring AI/ML solutions align with business objectives and client needs.
* Build the Future of Banking: Identify opportunities for AI to create value, from automating complex financial workflows to building agentic systems for real\-time client assistance.
* End\-to\-End Ownership: Own the product lifecycle from initial business case and feasibility assessment to hands\-on execution and long\-term optimization.
* Technical Leadership: Partner closely with engineering and data science teams to translate high\-level banking goals into detailed technical deliverables.
* Mentor \&amp; Influence: Manage and develop junior DSPMs while serving as a high\-visibility point person for senior stakeholders across the organization.
**What We’re Looking For**
* Technical Depth: Hands\-on experience with data\-related programming (SQL, Python) and a proven track record of building with LLMs or automating processes.
* Strategic Rigor: The analytical ability to uncover signals in ambiguous financial data and the critical thinking to determine not just what to build, but why it matters for the client.
* Product Mindset: You possess the "product sense" to prioritize features based on client impact and business value. You are skilled at navigating trade\-offs in fast\-paced environments and can translate ambiguous client needs into a clear, actionable product vision
* Banking \&amp; Customer Acquisition Affinity: An interest in solving problems within high\-compliance financial environments focused on shepherding customers from initial interest to a sticky relationship.
* Execution Mindset: You are a "doer" who can build proof\-of\-concepts or prototypes to demonstrate the value of potential AI investments.
 This position is based in our Charlotte, NC office on a hybrid schedule \- in office Tuesdays through Thursdays and remote on Mondays and Fridays.
**Compensation**
*This range reflects total cash compensation, which may include base salary only or base salary plus target bonus, depending on the role. Where eligible, equity may also be offered separately and not included below. Actual compensation varies based on location, experience, and qualifications.*
* Cash Compensation Range: $155,000\-$220,000\* \+ Potential Equity
*Additionally, the following benefits are provided by Red Ventures, subject to eligibility requirements.*
* Health Insurance Coverage (medical, dental, and vision)
* Life Insurance
* Short and Long\-Term Disability Insurance
* Flexible Spending Accounts
* Paid Time Off
* Holiday Pay
* 401(k) with match
* Employee Assistance Program
* Paid Parental Bonding Benefit Program
**Who We Are**
 Red Ventures is a global portfolio of high\-growth companies — spanning several U.S. businesses, a joint venture in the health services industry, and strategic investments in Europe. Their businesses include The Points Guy, Lonely Planet, Bankrate, the Allconnect Platform, RV Home Client Growth, RV Growth \&amp; Transformation, Sage Home Loans Corporation, and more. Across the portfolio, Red Ventures businesses deliver seamless digital experiences for consumers, help Fortune 100 clients solve large\-scale digital growth challenges, and create world\-class experiences and opportunities for employees. Learn more at redventures.com and follow @RedVentures on LinkedIn and Instagram.
 At Red Ventures, we believe diverse, inclusive teams are better. To help you better understand our core values and beliefs, we encourage you to watch this brief YouTube video: Our Belief Statements. This will give you insight into the principles that guide our work and our commitment to fostering an inclusive environment.
 We offer competitive salaries and a comprehensive benefits program for full\-time employees, including medical, dental and vision coverage, paid time off, life insurance, disability coverage, employee assistance program, 401(k) plan and a paid parental leave program.
 Red Ventures is an equal opportunity employer that does not discriminate against any employee or applicant because of race, creed, color, religion, gender, sexual orientation, gender identity/expression, national origin, disability, age, genetic information, veteran status, marital status, pregnancy or any other basis protected by law. Employment at Red Ventures is based solely on a person's merit and qualifications.
 We are committed to providing equal employment opportunities to qualified individuals with disabilities. This includes providing reasonable accommodation where appropriate. Should you require a reasonable accommodation to apply or participate in the job application or interview process, please contact accommodation@redventures.com.
 If you are based in California, we encourage you to read this important information for California residents linked here.
 Click here for more details regarding the employee privacy policy: https://www.redventures.com/legal/us\-emp\-privacy\-notice
 Questions about this Privacy Notice can be directed to employeerights@redventures.com. Alternatively, you may raise any questions or concerns to your manager, HR Business Partner, or through the Privacy Team.</t>
        </is>
      </c>
    </row>
    <row r="67">
      <c r="A67" t="inlineStr">
        <is>
          <t>li-4344956631</t>
        </is>
      </c>
      <c r="B67" t="inlineStr">
        <is>
          <t>Senior Program Manager, Marketing PMO</t>
        </is>
      </c>
      <c r="C67" t="inlineStr">
        <is>
          <t>Zillow</t>
        </is>
      </c>
      <c r="D67" t="inlineStr">
        <is>
          <t>linkedin</t>
        </is>
      </c>
      <c r="E67" t="inlineStr"/>
      <c r="F67" t="inlineStr"/>
      <c r="G67" t="inlineStr"/>
      <c r="H67" t="inlineStr"/>
      <c r="I67" t="inlineStr">
        <is>
          <t>**About The Team**
 The Marketing Technology and Operations team empowers Zillow’s marketing and product teams with innovative technology, data, and streamlined operations. We simplify complex processes to deliver efficient solutions, enabling marketers to create a seamless customer experience and drive meaningful business impact.
**About The Role**
 As a Senior Program Manager in the Marketing PMO, you will accelerate the impact of our marketing teams by leading high\-priority initiatives and campaigns. You will design and implement scalable processes, influence cross\-functional partners, and drive clarity in complex, fast\-paced environments. Your work will directly contribute to organizational efficiency and the success of Zillow’s marketing strategy.
**You Will Get To**
* Lead high impact go\-to\-market campaigns and key projects, including the integration of generative AI tools into workflows.
* Anticipate and manage cross\-functional dependencies, ensuring clear communication and on\-time delivery of projects.
* Identify and implement process improvements to drive efficiency, agility, and scalability across the Marketing organization.
* Lead change management efforts and communications for new processes, tools, and organizational shifts.
* Establish and track program KPIs, milestones, and success metrics, providing actionable reporting to leadership.
* Drive the Project Management Center of Excellence by developing best practices, playbooks, and knowledge\-sharing resources.
* Design and execute mechanisms to align annual planning with Marketing’s “Always On” operating model.
* Facilitate retrospectives and generate recommendations to continuously improve Marketing team effectiveness.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$109,000\.00 \- $174,000\.00 annually. This base pay range is specific to these locations and may not be applicable to other locations. In Colorado, Hawaii, Illinois, Minnesota, Nevada, Ohio, Rhode Island, and Vermont the standard base pay range for this role is $103,500\.00 \- $165,300\.00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 7\+ years of project and program management experience, delivering results for large, cross\-functional teams; marketing experience is preferred.
* Demonstrated success leading complex initiatives in ambiguous, matrixed environments and balancing stakeholder needs.
* Strong communication, facilitation, and organizational skills, with the ability to distill complex information clearly.
* Analytical mindset with experience using operational data to drive efficiency and process improvements.
* Proven ability to lead organizational change and implement scalable processes and automation.
* Proficient with project management and collaboration tools such as Jira, Confluence, and G Suite.
* Experience implementing AI tools into organizational workflows is a plus.
* Here at Zillow, we value the experience and perspective of candidates with non\-traditional backgrounds. We encourage you to apply if you have transferable skills or related experiences.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68">
      <c r="A68" t="inlineStr">
        <is>
          <t>li-4367453444</t>
        </is>
      </c>
      <c r="B68" t="inlineStr">
        <is>
          <t>Payments-Digital Channels &amp; Connectivity-Product Manager-Vice President</t>
        </is>
      </c>
      <c r="C68" t="inlineStr">
        <is>
          <t>JPMorganChase</t>
        </is>
      </c>
      <c r="D68" t="inlineStr">
        <is>
          <t>linkedin</t>
        </is>
      </c>
      <c r="E68" t="inlineStr"/>
      <c r="F68" t="inlineStr"/>
      <c r="G68" t="inlineStr">
        <is>
          <t>Chicago, IL</t>
        </is>
      </c>
      <c r="H68" t="inlineStr"/>
      <c r="I68"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Digital Market Enablement Product Manager in Payments' Digital \&amp; Design,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Champion the voice of the customer across Digital, observing and analyzing market signals to ensure products address client challenges and deliver measurable value by active engagement with sales, service, research, product and clients
* Manages discovery efforts and market research to uncover customer solutions and integrate them into the product roadmap
* Translates use cases, quantitative findings and problem statements into actionable insights and compelling narratives influencing the design and development of digital solutions
* Develops a product strategy and product vision that delivers value to customers
* Communicate client needs, use cases, and product\-market fit clearly and persuasively through documentation, presentations, and stakeholder engagement with tailored messaging creating alignment
* Partner with client\-facing teams to amplify key initiatives across the digital organization, increasing awareness, engagement and alignment
* Owns, maintains, and develops a product backlog that enables development to support the overall strategic roadmap and value proposition
* Engage in go\-to\-market readiness and launch activities, equipping client teams with the tools and insights they need with compelling content clearly articulating product value
* Builds the framework and tracks the product's key success metrics such as cost, feature and functionality, risk posture, and reliability
* Works directly with clients through pilot programs, feedback sessions, and ongoing relationship management and by doing so creates compelling content for both clients and internal teams, clearly articulating product value, use cases and competitive advantages
* Serves as a digital subject matter expert and support client escalations to feed the Voice of the Customer process and material effectiveness
**Required Qualifications, Capabilities, And Skills**
* 5\+ years of experience or equivalent expertise in product management or a relevant domain area
* Critical thinker and consultative problem solver with a strong bias for action, balancing intellectual curiosity, client empathy and executional rigor
* Advanced knowledge of the product development life cycle, design, and data analytics
* Ability to understand the client experience and translate it from concept to launch with flexibility to shift effectively between strategic vision and tactical execution
* Proven ability to lead product life cycle activities including discovery, ideation, strategic development, requirements definition, and value management
* Relationship builder skilled at aligning stakeholders who fosters collaboration with a "one team" mentality in complex organizations
* Positive, self\-starter with strong management presence and confidence in engaging with multiple groups at various organizational levels
**Preferred Qualifications, Capabilities, And Skills**
* BA/BS in Management Strategy, Finance, Communications, MBA or related graduate degree
* 3\+ years professional experience in a bank or other financial insinuations, consulting firms and/or software companies
* 2\+ years experience working with Payments Sales, Product and Marketing leaders
* Demonstrated prior experience working in a highly matrixed, complex organization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Global Banking business is one of the largest wholesale banking client franchises in the world. We serve clients, including corporations, governments, states, municipalities, healthcare organizations, education institutions, banks and investors.
 Commercial Banking provides credit and financing, treasury and payment services, international banking and real estate services to clients—including corporations, municipalities, institutions, real estate investors and owners, and not\-for\-profit organizations.</t>
        </is>
      </c>
    </row>
    <row r="69">
      <c r="A69" t="inlineStr">
        <is>
          <t>li-4367443615</t>
        </is>
      </c>
      <c r="B69" t="inlineStr">
        <is>
          <t>Principal Technical Program Manager</t>
        </is>
      </c>
      <c r="C69" t="inlineStr">
        <is>
          <t>First Stop Health</t>
        </is>
      </c>
      <c r="D69" t="inlineStr">
        <is>
          <t>linkedin</t>
        </is>
      </c>
      <c r="E69" t="inlineStr"/>
      <c r="F69" t="inlineStr"/>
      <c r="G69" t="inlineStr">
        <is>
          <t>Chicago, IL</t>
        </is>
      </c>
      <c r="H69" t="inlineStr"/>
      <c r="I69" t="inlineStr">
        <is>
          <t>**Description**
**About Us:**
 On a mission to deliver affordable, delightful healthcare for all, First Stop Health provides connected, whole\-person virtual care to employers 24/7 through app, website, or phone in all 50 states. First Stop Health prioritizes an engaging and easy\-to\-use experience, setting people on healthier journeys through care at multiple stages.
 First Stop Health offers a comprehensive benefits package that includes various health and medical coverage options, dental and vision coverage, disability and life coverage, making healthcare easily accessible. For those that choose to waive medical coverage a monthly medical waiver allowance will be provided.
 First Stop Health offers a remote\-first work environment and flexible paid time off, including Summer Fridays. Furthermore, the employer match 401k plan and monthly phone stipend demonstrates the company's commitment to employee financial well\-being. The First Stop Health membership benefit is another added perk for employees and provides our virtual care solutions \-\- Urgent Care, Mental Health, and Primary Care \-\- from their very first day!
**Job Description**
 The
 **Principal Technical Program Manager** 
 plays a critical role in advancing our company’s strategic priorities by leading complex, cross\-functional programs within a dedicated domain. This role is both strategic and execution focused, where the ideal candidate is able to blend strategic portfolio management discipline (a new muscle for the company) with deep program execution expertise to ensure that the right work is prioritized, resourced, and delivered for maximum business impact.
 As a senior individual contributor, you will partner closely with business and functional leaders to shape, drive, and scale program delivery practices within your assigned area. You’ll be hands\-on with our most critical initiatives while building the mechanisms that enable consistent, repeatable success across the organization.
 The Principal Program Manager will partner closely with the C\-level leader of the organization that they enable, as well as with the leadership team in that organization.
**Responsibilities**
* Lead Strategic Programs: Drive execution of high\-visibility, cross\-functional initiatives that advance key business objectives in the Technology and Product org.
* Own the Portfolio: Establish and manage a portfolio view of initiatives in your area, ensuring alignment to company priorities and resource capacity.
* Build Intake \&amp; Prioritization Models: Design and implement intake, prioritization, and governance mechanisms to bring structure and transparency to how work enters and progresses through the system.
* Enable Resource Planning: Partner with business and functional leaders to assess capacity, balance workloads, and allocate resources effectively.
* Standardize Delivery Practices: Embed consistent program management frameworks, tools, and rituals within your domain to drive clarity, accountability, and predictability.
* Collaborate Cross\-Functionally: Act as a connector between the PMO and your assigned department, ensure seamless coordination and communication.
* Coach and Influence: Guide teams and subject matter experts in adopting program management best practices, freeing them to focus on their core business and functional responsibilities.
* Measure and Communicate Impact: Track progress, manage risks, and communicate outcomes to stakeholders and leadership through structured reporting and storytelling.
**Requirements**
* 8–10\+ years of program management experience, including ownership of large, complex, or multi\-year initiatives.
* Proven success establishing or improving portfolio management processes (intake, prioritization, capacity planning, governance).
* Experience working in or alongside Technology functions within a healthcare or similarly complex, regulated environment.
* Ability to influence senior leaders and drive alignment across diverse stakeholder groups.
* Solid change management and communications skills to help drive change.
* Strong analytical, organizational, and communication skills with the ability to distill complexity into clear actions and decisions.
* Comfort operating in a hands\-on role that balances strategic portfolio management with day\-to\-day delivery leadership.
 First Stop Health is committed to diversity, equity, inclusion, and belonging. Research shows that women, people of color and other historically underrepresented groups tend to only apply to jobs in which they meet all the job requirements. Unsure if you check every box? Apply. We would love to consider your unique experiences and how you could make First Stop Health even better.
 To learn more about First Stop Health, visit www.fshealth.com and if you require any assistance during the application process or have questions, please don't hesitate to contact our talent acquisition team via email at careers@fshealth.com</t>
        </is>
      </c>
    </row>
    <row r="70">
      <c r="A70" t="inlineStr">
        <is>
          <t>li-4367255302</t>
        </is>
      </c>
      <c r="B70" t="inlineStr">
        <is>
          <t>Deputy Program Manager</t>
        </is>
      </c>
      <c r="C70" t="inlineStr">
        <is>
          <t>TekSynap</t>
        </is>
      </c>
      <c r="D70" t="inlineStr">
        <is>
          <t>linkedin</t>
        </is>
      </c>
      <c r="E70" t="inlineStr"/>
      <c r="F70" t="inlineStr"/>
      <c r="G70" t="inlineStr">
        <is>
          <t>Honolulu, HI</t>
        </is>
      </c>
      <c r="H70" t="inlineStr"/>
      <c r="I70" t="inlineStr">
        <is>
          <t>**Responsibilities**
* Serves as the primary interface for Government IT leadership, ensuring clear communication and alignment with stakeholder objectives.
* Plans, organizes, controls, and staffs all technical, administrative, financial, contractual, and personnel actions as outlined in the Performance Work Statement (PWS).
* Ensures all work is executed in accordance with PWS requirements, and within the contract’s funding, timing, and staffing constraints.
* Works closely with Technical Contracting Officer’s Representative (TCOR)\-specified personnel to facilitate timely planning and achievement of critical objectives.
* Provides timely and accurate information to TCOR\-specified personnel regarding the status and completion of tasks identified in the PWS.
* Ensures all required contractor personnel are in compliance with DoD 8140 throughout the duration of the contract.
* Attends all formal project reviews and periodic progress meetings as scheduled by the Contracting Officer, COR, and customer.
* Identifies, pursues, and captures new business opportunities within the area of operations. Builds and maintains relationships with key stakeholders, including government and industry partners, to expand the company’s presence and influence.
* Possesses strong technical knowledge of systems and networks to support program management and operational decision\-making
**Required Qualifications**
* Active Top Secret Security Clearance
* IAT Level II certification (e.g., Security\+ CE, CCNA, or equivalent)
* Bachelor’s Degree or higher
* Minimum of three (3\) years’ experience working with Department of Defense (DoD) networking
* Minimum of seven (7\) years of technical project management experience
 We are seeking a Deputy Program Manager to join our team supporting Network Enterprise Technology Command (NETCOM) in Honolulu, HI.
 TekSynap is a fast\-growing high\-tech company that understands both the pace of technology today and the need to have a comprehensive well planned information management environment. “Technology moving at the speed of thought” embodies these principles \- the need to nimbly utilize the best that information technology offers to meet the business needs of our Federal Government customers.
 We offer our full\-time employees a competitive benefits package to include health, dental, vision, 401K, life insurance, short\-term and long\-term disability plans, vacation time and holidays.
 Visit us at www.TekSynap.com.
 Apply now to explore jobs with us!
 The safety and health of our employees is of the utmost importance. Employees are required to comply with any vaccination requirements mandated by contract, applicable law or regulation.
 By applying to a role at TekSynap you are providing consent to receive text messages regarding your interview and employment status. If at any time you would like to opt out of text messaging, respond "STOP". As part of the application process, you agree that TekSynap Corporation may retain and use your name, e\-mail, and contact information for purposes related to employment consideration.
**WORK ENVIRONMENT AND PHYSICAL DEMANDS**
 The work environment characteristics described here are representative of those an employee encounters while performing the essential functions of the job. Reasonable accommodation may be made to enable individuals with disabilities to perform the essential functions.
* Location Fort Shafter, Hawaii
* Type of environment Office
* Please note, access for the office location for the position requires individuals to ascend and descend three flights of stairs. There is no access to an elevator or ramp.
* Noise level Low
* Work schedule OCONUS Schedule is day shift Monday \- Friday. May be requested to work evenings and weekends to meet program and contract needs,
* Amount of Travel Less than 20%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use hands to handle, feel, touch; reach with hands and arms; talk and hear. The employee is regularly required to stand; walk; sit; climb or balance; and stoop, kneel, crouch, or crawl. The employee is regularly required to lift up to 10 pounds. The employee is frequently required to lift up to 25 pounds; and up to 50 pounds. The vision requirements include close vision, distance vision, peripheral vision, depth perception, and ability to adjust focus.
**WORK AUTHORIZATION/SECURITY CLEARANCE**
* United States Citizenship
* Top Secret Clearance requirement
**Other Information**
 Please note this job description is not designed to cover or contain a comprehensive listing of activities, duties or responsibilities that are required of the employee for this job. Duties, responsibilities and activities may change at any time with or without notice.
 TekSynap is a drug\-free workplace. We reserve the right to conduct drug testing in accordance with federal, state, and local laws. All employees and candidates may be subject to drug screening if deemed necessary to ensure a safe and compliant working environment.
**WAGE INFORMATION**
 Target salary range $143,000\.00 \- $175,000\.00 The salary range displayed is an estimate and will be determined on several factors regarding the individual’s particular combination of education, knowledge, skills, competencies and experience, as well as contract parameters and organizational requirements. The displayed salary is one component of the total compensation package for employees.
**EQUAL EMPLOYMENT OPPORTUNITY**
 In order to provide equal employment and advancement opportunities to all individuals, employment decisions will be based on merit, qualifications, and abilities. TekSynap does not discriminate against any person because of race, color, creed, religion, sex, national origin, disability, age, genetic information or any other characteristic protected by law (referred to as “protected status”). This nondiscrimination policy extends to all terms, conditions, and privileges of employment as well as the use of all company facilities, participation in all company\-sponsored activities, and all employment actions such as promotions, compensation, benefits, and termination of employment.</t>
        </is>
      </c>
    </row>
    <row r="71">
      <c r="A71" t="inlineStr">
        <is>
          <t>li-4332252741</t>
        </is>
      </c>
      <c r="B71" t="inlineStr">
        <is>
          <t>Senior Product Manager, Energy Transition – Horizons</t>
        </is>
      </c>
      <c r="C71" t="inlineStr">
        <is>
          <t>S&amp;P Global</t>
        </is>
      </c>
      <c r="D71" t="inlineStr">
        <is>
          <t>linkedin</t>
        </is>
      </c>
      <c r="E71" t="inlineStr"/>
      <c r="F71" t="inlineStr"/>
      <c r="G71" t="inlineStr">
        <is>
          <t>Houston, TX</t>
        </is>
      </c>
      <c r="H71" t="inlineStr"/>
      <c r="I71" t="inlineStr">
        <is>
          <t>**About The Role**
**Grade Level (for internal use):**
 11
**The Team:** 
 The Energy Transition Customer Enablement product team within S\&amp;P Energy Horizons is a highly collaborative group that drives innovation in energy solutions for global clients. Operating at the forefront of the energy expansion, the team values strategic thinking, customer\-centricity, and the ability to translate complex market dynamics into actionable product strategies that help clients make informed business decisions, develop strategies, enhance resilience, seize opportunities, and manage risks.
**The Impact**
 As a Senior Product Manager, you will join a highly visible team that directly influences the execution of our product roadmap and vision. You will drive innovative product development informed by customer insights and a deep understanding of clients' workflows across various sectors and personas. Your efforts will focus on delivering solutions that anticipate and meet clients' needs in rapidly evolving markets.
**What’s In It For You**
 This position offers a strategic role within Horizons, allowing you to shape and execute our product vision to support clients on their energy expansion journey. Working within the product organization provides opportunities for professional growth, exposure to senior leadership, and the chance to make a global impact. You will engage with and collaborate across all areas of the business, liaising daily with cross\-functional and global teams to drive our initiatives forward.
**Responsibilities**
* Drive customer\-centric product strategy by engaging with customers and stakeholders to understand their needs and influence product delivery enhancements across platforms, ensuring clients have seamless access to critical energy transition tools and analytics
* Shape product roadmap development by leveraging insights from evolving market trends, customer feedback, and competitive landscape to align with business vision and drive revenue growth, client expansion, and industry diversification
* Lead cross\-functional collaboration with research teams, technical developers, and digital product management to maintain, enhance, and deliver innovative energy transition offerings
* Coordinate go\-to\-market initiatives with product marketing teams on product enhancements and launches, including sales enablement materials, campaign messaging, and partnering with Customer Experience teams to design client training and commercial programs
* Manage agile project coordination with technical development teams and platform stakeholders to implement product feature changes, additions, and enhancements that directly impact product success
* Maintain product documentation and define success metrics by creating accurate release notes, training materials, supporting commercial teams with feature communications, and analyzing customer feedback and usage data to optimize the product roadmap
**Basic Required Qualifications**
* A bachelor’s or master’s degree.
* 5\-10\+ years of product management, subject matter, and commercial experience
* Evidence of thriving in a challenging, fast\-paced, client\-facing environment while executing complex, business\-critical processes within an established framework.
* Strong organizational skills and the ability to multi\-task projects of varying time ranges (short, medium, and long\-term).
* Ability to build and maintain strong relationships while working effectively across multiple organizational and functional departments.
* Proficiency in Microsoft (Excel, Word, and PowerPoint), Smarsheet, Aha!, Azure DevOps.
**Preferred Qualifications**
* Exposure to energy markets is highly desirable.
* A proven track record of creating product roadmaps and successfully executing against them.
* A strong focus on customer needs and an entrepreneurial mindset.
* Strong customer mindset with demonstrated ability to engage directly and positively with customers.
* Superior written and verbal communication skills.
* Experience or familiarity with both Agile Scrum and Lean methodologies.
**Compensation/Benefits Information:** 
 (
 *This section is only applicable to US candidates)*
 S\&amp;P Global states that the anticipated base salary range for this position is $85,773 to $169,759 Final base salary for this role will be based on the individual’s geographic location, as well as experience level, skill set, training, licenses and certifications.
 In addition to base compensation, this role is eligible for an annual incentive plan.
 This role is eligible to receive additional S\&amp;P Global benefits. For more information on the benefits we provide to our employees, please click here.
**About S\&amp;P Global Energy**
 At S\&amp;P Global Energy, our comprehensive view of global energy and commodities markets enables our customers to make superior decisions and create long\-term, sustainable value. Our four core capabilities are: Platts for news and pricing; CERA for research and advisory; Horizons for energy expansion and sustainability solutions; and Events for industry collaboration.
 S\&amp;P Global Energy is a division of S\&amp;P Global (NYSE: SPGI). S\&amp;P Global enables businesses, governments, and individuals with trusted data, expertise, and technology to make decisions with conviction. We are Advancing Essential Intelligence through world\-leading benchmarks, data, and insights that customers need in order to plan confidently, act decisively, and thrive economically in a rapidly changing global landscape. Learn more at www.spglobal.com/energy.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 Health \&amp; Wellness: Health care coverage designed for the mind and body.
* Flexible Downtime: Generous time off helps keep you energized for your time on.
* Continuous Learning: Access a wealth of resources to grow your career and learn valuable new skills.
* Invest in Your Future: Secure your financial future through competitive pay, retirement planning, a continuing education program with a company\-matched student loan contribution, and financial wellness programs.
* Family Friendly Perks: It’s not just about you. S\&amp;P Global has perks for your partners and little ones, too, with some best\-in class benefits for families.
*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
 20 \- Professional (EEO\-2 Job Categories\-United States of America), PDMGDV202\.2 \- Middle Professional Tier II (EEO Job Group), SWP Priority – Ratings \- (Strategic Workforce Planning)
**Job ID:** 
 323461
**Posted On:** 
 2026\-01\-26
**Location:** 
 Houston, Texas, United States</t>
        </is>
      </c>
    </row>
    <row r="72">
      <c r="A72" t="inlineStr">
        <is>
          <t>li-4367454716</t>
        </is>
      </c>
      <c r="B72" t="inlineStr">
        <is>
          <t>Program Manager -</t>
        </is>
      </c>
      <c r="C72" t="inlineStr">
        <is>
          <t>Henry Ford Health</t>
        </is>
      </c>
      <c r="D72" t="inlineStr">
        <is>
          <t>linkedin</t>
        </is>
      </c>
      <c r="E72" t="inlineStr"/>
      <c r="F72" t="inlineStr"/>
      <c r="G72" t="inlineStr">
        <is>
          <t>Detroit, MI</t>
        </is>
      </c>
      <c r="H72" t="inlineStr"/>
      <c r="I72" t="inlineStr">
        <is>
          <t>**General Summary**
 Reporting to the Director of Operational Excellence for Henry Ford Hospital, the Program Manager will lead various business and system related projects of a highly complex nature for the organization. Programs may include a group of related projects, based on the size and strategic alignment. The program manager will support departments in achievement of their strategic goals by assisting in the timely and cost\-effective delivery of all projects with a professional, motivated, and customer\-focused manner.
**Principle Duties And Responsibilities**
* Uses skills in ideation, facilitation, strategic planning, and relationship management to bring together multiple teams in the organization and create the overall vision, strategy alignment, scope, roadmap, business case, and cohesive plan for executing the assigned program.
* Maintains program metrics, milestone charts, roadmap, schedule, and reporting on project health and progress against goals.
* Manages the program team, supporting technical teams, and vendor teams, as applicable.
* Develops program success KPIs, ensures program\-level value is being realized, and leverages reporting mechanisms to monitor performance.
* Manages timing, quality, and financial results of programs from start to finish, to meet customer needs and ensure winning performance of the product and the services provided.
* Primary point of communication with strong cross\-functional stakeholder management skills for business and IT partners for the assigned program; maintaining strong partnerships and ensuring timely and accurate communication of program updates.
* Leverages program documentation and action\-oriented behavior to navigate ambiguity and seek clarity as priorities change.
* Manages risks, issues within the program, and escalates to senior leadership as required.
* Promotes individual professional growth and development; serves as mentor and resource to less experienced project managers.
* Leverages creative, “out\-of\-the\-box” thinking to develop original solutions to overcome roadblocks and meet or exceed project requirements and expectations.
* Manages post implementation support and provide post implementation project review.
* Support procurement processing of RFPs, Vendor Contracting, Purchase Orders, and other contract\-related artifacts.
* Leads Agile processes and ceremonies, including stand up meetings, backlog grooming, retrospectives, and story mapping.
* Acts as a subject matter expert providing project management methodology consulting to program team members.
* Manages the program budget, including the review of financial reports, invoices, trends, and forecasts.
* Other duties as assigned.
**Education/Experience Required**
* Bachelor’s degree in Business Administration, Project Management, Information Technology, Computer Science, Healthcare Administration, or related field required.
* Five (5\) years of experience in healthcare delivery, project management, and running large projects of a complex nature required.
* Two (2\) years of experience in technology related areas, including application development or new product implementation required.
* Two (2\) years of experience using data to drive business decisions preferred.
* Experience with agile delivery methodologies (i.e., Scrum, Scrum at Scale) preferred.
* Effective oral and written communication and interpersonal skills.
* Strong presentation skills.
* Must be able to work autonomously with strong task management skills.
**Work Schedule**
* Standard day shift: Monday–Friday, 8:00 AM–4:00 PM or 9:00 AM–5:00 PM.
* Primarily on\-site role; candidates should expect to work in\-person 4 days per week, with 1 day per week remote.
**Desired Skills \&amp; Experience**
* Experience in healthcare project or program management, especially in hospital operations or care delivery transformation.
* Ability to engage diverse stakeholders and build consensus across teams.
* Proficiency in basic data analysis (Excel, Tableau, or similar); ability to interpret throughput metrics and operational trends.
* Strong skills in root cause analysis, workflow/process mapping, and solution design.
* Interest in or experience with academic research or publication is highly desirable.
**Preferred Training \&amp; Background**
* Project Management: PMP or other formal PM training.
* Quality \&amp; Process Improvement: IHI courses or Lean Six Sigma training
* Data Analysis: Experience with hospital performance metrics; familiarity with data visualization or reporting tools.
* Academic/Research Background (preferred): Experience supporting or co\-authoring research publications or conference abstracts.
 Additional Information
* Organization: Henry Ford Hospital \- Detroit Main Campus
* Department: Administration \- Hospital
* Shift: Day Job
* Union Code: Not Applicable</t>
        </is>
      </c>
    </row>
    <row r="73">
      <c r="A73" t="inlineStr">
        <is>
          <t>li-4367606273</t>
        </is>
      </c>
      <c r="B73" t="inlineStr">
        <is>
          <t>Senior Program Manager, GTM Programs</t>
        </is>
      </c>
      <c r="C73" t="inlineStr">
        <is>
          <t>Google</t>
        </is>
      </c>
      <c r="D73" t="inlineStr">
        <is>
          <t>linkedin</t>
        </is>
      </c>
      <c r="E73" t="inlineStr"/>
      <c r="F73" t="inlineStr"/>
      <c r="G73" t="inlineStr">
        <is>
          <t>New York, NY</t>
        </is>
      </c>
      <c r="H73" t="inlineStr"/>
      <c r="I73"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**Kirkland, WA, USA; New York, NY, USA; Sunnyvale, CA, USA** 
 .
 **Minimum qualifications:**
* Bachelor's degree or equivalent practical experience.
* 8 years of experience in program or project management.
* 6 years of experience in management consulting.
* Experience in leading cross\-functional programs across their life\-cycle (e.g., opportunity definition, solution design, implementation and operations).
**Preferred qualifications:**
* 8 years of experience managing cross\-functional or cross\-team projects.
* Experience as a executive consulting leader (i.e., Associate Partner or equivalent level).
* Understanding of the cloud services industry and enterprise sales function.
* Ability to build consensus among senior leaders with differing priorities.
* Excellent communication and influencing skills.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Senior Program Manager, you will focus on the critical intersection between Google Cloud Platform’s Engineering and Sales functions. You will be responsible for identifying, designing, and landing cross\-functional solutions that improve alignment, operational excellence, and outcomes between Sales and Engineering.
 We will measure the success of the Program Manager by the effectiveness (e.g., Business and customer satisfaction) and efficiency (e.g., stakeholder toil) of the solutions (mechanisms and programs) that they design and land in partnership with Go\-to\-Market (GTM) and Engineering leaders.
 This highly\-visible role requires a unique blend of strategic problem\-solving, process engineering/operations, and executive\-level influence.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$174,000\-$258,000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Identify the best opportunities for improving alignment and business performance between Engineering and Sales.
* Design, implement, and manage new programs and mechanisms to streamline collaboration, create transparency, and accelerate outcomes.
* Partner with technical and operations teams to define requirements for tooling integrations, creating more seamless workflows for both organizations.
* Develop, track, and improve key performance indicators (KPIs) for process effectiveness and efficiency, reporting on progress to executive leadership and driving a culture of continuous improvement.
* Act as a key strategic partner and trusted advisor to leaders in both Sales and Engineering, navigating complex priorities and driving consensus.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4">
      <c r="A74" t="inlineStr">
        <is>
          <t>li-4344997555</t>
        </is>
      </c>
      <c r="B74" t="inlineStr">
        <is>
          <t>Senior Program Manager</t>
        </is>
      </c>
      <c r="C74" t="inlineStr">
        <is>
          <t>Sage</t>
        </is>
      </c>
      <c r="D74" t="inlineStr">
        <is>
          <t>linkedin</t>
        </is>
      </c>
      <c r="E74" t="inlineStr"/>
      <c r="F74" t="inlineStr"/>
      <c r="G74" t="inlineStr">
        <is>
          <t>Lawrenceville, GA</t>
        </is>
      </c>
      <c r="H74" t="inlineStr"/>
      <c r="I74" t="inlineStr">
        <is>
          <t>**Job Description**
 We are searching for a highly self\-driven Senior Program Manager to play a pivotal role in shaping and delivering strategic initiatives across Sage’s global GTM portfolio. In this role, you will bring clarity and confidence to senior leadership by providing transparent insight into program progress, risks, and outcomes. You will drive meaningful operational efficiencies and elevate program maturity by championing strong end\-to\-end delivery practices.
 Working in close partnership with cross\-functional teams, you will lead complex programs to successful outcomes, embedding effective delivery methods and sound business discipline along the way. You will also build trusted relationships with senior stakeholders, cultivating a growth mindset through coaching, continuous improvement, and the active sharing of best practices across the organization.
 This is a Hybrid position based on\-site 3 days per week in our Atlanta office at Ponce City Market.
* Provide leadership, direction and coaching on project / program delivery
* Ensure that program activities comply with organizational and external policies / regulations
* Collaborates with stakeholders, sponsors and other functions to ensure that program alignment and that quality goals are achieved and maintained
* Drives continuous improvement and efficiency through the partnering with functional leaders. Leading the identification and implementation of business improvements
* Defines and ensures standardization of Reporting and Key Metric Outcomes
* Effective management of risks, issues and escalations, driving accountability to the relevant senior stakeholders to ensure the effective delivery of the strategic business outcomes
* Take ownership and delivery responsibility for key strategic initiatives and special projects
* Prepare for and manage governance meetings and key materials ensuring materials are sent in advance
 Requirements:
* 5\+ years progressive experience in program management, project management, or business operations delivering multiple concurrent, complex initiatives.
* Prior experience leading commercial programs at a SaaS or technology company.
* Proven leadership of cross\-functional, multi\-stakeholder strategic initiatives.
* Strong track record of delivering high\-impact projects, to include experience supporting sales and marketing.
* Skilled in building relationships, influencing, and negotiating at all levels.
* Exceptional organization \&amp; communication skills with experience articulating \&amp; presenting to all levels.
* Collaborative in matrixed settings, working seamlessly with diverse teams.
* Growth mindset and ability to drive change through positive, proactive leadership.
 Perks? We have plenty.
* Competitive salaries that landed us top 5% of similar sized companies (according to Comparably)
* Comprehensive health, dental and vision coverage
* 401(k) retirement match (100% matching up to 4%)
* 32 days paid time off (21 personal days, 10 national holidays, 1 floating holiday)
* 18 weeks paid parental leave for birth, adoption or surrogacy offered 1 year after start date
* 5 days paid yearly to volunteer (through Sage Foundation)
* $5,250 tuition reimbursement per calendar year starting 6 months after hire date
* Sage Wellness Rewards Program ($600 wellness credit and $360 fitness reimbursement annually)
* Library of on demand career development options and ongoing training offerings
 Dig deeper about who we are:
* Who is Sage: https://www.sage.com/en\-us/company/about\-sage/
* Life at Sage: https://www.sage.com/en\-us/company/careers/
* Our Values \&amp; Behaviors: https://www.youtube.com/watch?app\=desktop\&amp;v\=vt5JXf\-Gwno\&amp;feature\=youtu.be
* How we make a difference: https://www.sage.com/en\-us/company/sage\-foundation/
* Sage Business Cloud \- SaaS for Every Business: https://www.sage.com/en\-us/products/</t>
        </is>
      </c>
    </row>
    <row r="75">
      <c r="A75" t="inlineStr">
        <is>
          <t>li-4367461524</t>
        </is>
      </c>
      <c r="B75" t="inlineStr">
        <is>
          <t>Senior Program Manager</t>
        </is>
      </c>
      <c r="C75" t="inlineStr">
        <is>
          <t>UVeye</t>
        </is>
      </c>
      <c r="D75" t="inlineStr">
        <is>
          <t>linkedin</t>
        </is>
      </c>
      <c r="E75" t="inlineStr"/>
      <c r="F75" t="inlineStr"/>
      <c r="G75" t="inlineStr">
        <is>
          <t>Dallas, TX</t>
        </is>
      </c>
      <c r="H75" t="inlineStr"/>
      <c r="I75" t="inlineStr">
        <is>
          <t>At UVeye, we're on a mission to redefine vehicle safety and reliability on a global scale. Founded in 2016, we have pioneered the world's first fully automated suite of vehicle inspection systems. At the heart of this innovation lies our advanced AI\-centric technology, representing the pinnacle of computer vision, machine learning, and generative AI within the automotive sector.
 With over $380M in funding and strategic partnerships with industry giants such as Toyota, Amazon, General Motors, Volvo, and Hertz, our technology is utilized in manufacturing plants, dealerships, wholesale auctions, delivery fleets, security checkpoints, and more. Our growing global team of over 200 employees is committed to creating a workplace that celebrates diversity, encourages teamwork, and strives for excellence.
 We’re looking for a Sr Program Manager to lead the implementation of our new software solution for the rental industry. This is a key position that will directly report to the Head of Rental Operations and play a pivotal role in the successful integration and deployment of our new software solution technology at airports and rental locations across the US.
**A day in the life and how you’ll make an impact:**
* Plan, schedule, and track all software solution deployment projects, working closely with the central Operations team, and internal stakeholders.
* Maintain software project charters, budgets, and risk management logs; escalate any issues early to keep the software Implementation on time and within budget.
* Ensure consistent communication with all teams involved in the project, ensuring alignment with timelines and deliverables.
* Map, document, and optimize Salesforce workflows related to the software solution implementation, ensuring smooth integration with existing systems.
* Work closely with the Rental Operations team to ensure proper integration of software solutions into rental site operations.
* Assist in ensuring data integrity and the smooth flow of information between software platforms and internal systems.
* Certify all rental sites as they go live with the new app, providing continuous support and updates to training materials as processes evolve.
* Drive continuous improvement efforts for the software solution, gathering feedback from rental locations, troubleshooting issues, and making enhancements to optimize performance.
* Track app usage, troubleshoot problems, and monitor feedback to ensure the solution is consistently improving the rental process.
* Regularly report on project status, usage metrics, and revenue\-related data (such as new damage and acknowledgment rates), while also recommending improvements and exploring creative ways to increase revenue.
* Work closely with the Director of Car Rental Operations and other departments to ensure that the software app is aligned with business goals and operational needs.
* Collaborate with the Customer Support team to monitor client satisfaction and address any challenges or concerns that may arise during the implementation phase.
 Requirements:
* Bachelor’s degree in Business Administration, Operations Management,
* Minimum of 4 years of experience in project management, particularly in technology implementation, preferably in a multi\-location environment.
* Proven experience in managing technology rollouts or system integrations, especially in fast\-paced, dynamic environments.
* Strong attention to detail, with an ability to track project progress, manage multiple tasks simultaneously, and meet deadlines.
* Strong project management capabilities with proven experience in risk management, timeline tracking, and budget control. Familiarity with Salesforce, particularly CRM workflows and tools, is essential for effectively managing and integrating customer\-related processes.
* Familiarity with applications and experience in implementing technology solutions at scale.
* Experience with workflow management and process optimization is highly desired.
* Excellent communication and interpersonal skills, with the ability to work effectively with diverse teams and external partners.
* Ability to work independently and take initiative to solve problems and implement solutions (Can\-do approach).
* Experience in the car rental industry or a related field is a plus.
**Benefits we offer:**
* Competitive Medical, Dental, Vision.
* Company 401k Match.
* 20 PTO days, Company paid holidays.
* Career growth as we scale across the US.
**Compensation:**
 UVeye provides salary ranges that comply with the New Jersey State Law on salary transparency in job advertisements. Actual salaries depend on a variety of factors, including experience, qualifications, skills, location, education, and operational needs. The salary range or contractual rate listed does not include bonuses/incentives or other forms of compensation or benefits. The annual base salary range for this position is $95,000 – $120,000\. In addition, this position is also eligible for a Bonus.
**Why UVeye:**
* Pioneer Advanced Solutions: Harness cutting\-edge technologies in AI, machine learning, and computer vision to revolutionize vehicle inspections.
* Drive Global Impact: Your innovations will play a crucial role in enhancing automotive safety and reliability, impacting lives and businesses on an international scale.
* Career Growth Opportunities: Participate in a journey of rapid development, surrounded by groundbreaking advancements and strategic industry partnerships.
 Check out our Life at UVeye page to learn more about the employee experience.
 UVeye is an equal opportunity employer. All applicants will be considered for employment without attention to race, color, religion, sex, sexual orientation, gender identity, national origin, veteran, or disability status.</t>
        </is>
      </c>
    </row>
    <row r="76">
      <c r="A76" t="inlineStr">
        <is>
          <t>li-4367442867</t>
        </is>
      </c>
      <c r="B76" t="inlineStr">
        <is>
          <t>Remote IT Program Manager - Senior</t>
        </is>
      </c>
      <c r="C76" t="inlineStr">
        <is>
          <t>Jobgether</t>
        </is>
      </c>
      <c r="D76" t="inlineStr">
        <is>
          <t>linkedin</t>
        </is>
      </c>
      <c r="E76" t="inlineStr"/>
      <c r="F76" t="inlineStr"/>
      <c r="G76" t="inlineStr">
        <is>
          <t>Washington, United States</t>
        </is>
      </c>
      <c r="H76" t="inlineStr"/>
      <c r="I76" t="inlineStr">
        <is>
          <t>This position is posted by Jobgether on behalf of a partner company. We are currently looking for a IT Project Manager \- REMOTE. In this pivotal role, you will oversee a portfolio of projects that are essential to the distribution transformer industry. Your leadership will ensure that these projects align with the business strategy and enhance operational performance. This position demands strategic planning, effective resource management, and robust engagement with stakeholders across various functions. The ideal candidate will bring extensive experience in program management and a deep understanding of manufacturing environments to this role. Join us in making a significant impact on productivity, quality, and customer satisfaction in a remote capacity.
**Accountabilities**
* Oversee multiple projects to ensure cohesive delivery aligned with organizational goals.
* Manage program governance, reporting, and performance metrics.
* Lead program planning, budgeting, and resource allocation.
* Identify dependencies and manage risks across projects.
* Engage senior stakeholders and facilitate cross\-functional collaboration.
* Drive continuous improvement and implement industry standards.
* Participate in the exchange of ideas and information within the PMO and IT department.
* Ensure 100% adherence to all IT and organizational policies and procedures.
* Demonstrate a commitment to customer service, addressing issues promptly.
**Requirements**
* Bachelor’s degree in IT, Business Administration, or a related field; Master’s degree preferred.
* 5\+ years’ experience in project and program management.
* Project Management certification (PMP, PRINCE2, or equivalent) is required.
* Strong communication skills with diverse audiences.
* Ability to collaborate across functions, building trust among team members.
* Demonstrated customer service mindset with a problem\-solving approach.
* Ownership of project outcomes and commitments.
* Capable of solving complex problems with structured thinking.
* Adaptability to change and management of competing priorities.
**Benefits**
* Work remotely from approved states.
* Opportunity for professional growth and development.
* Collaborative work culture that values ideas.
* Impactful role in driving innovation in manufacturing.
* Supportive environment for career advancement.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7">
      <c r="A77" t="inlineStr">
        <is>
          <t>li-4356771183</t>
        </is>
      </c>
      <c r="B77" t="inlineStr">
        <is>
          <t>Supply Chain Program Manager</t>
        </is>
      </c>
      <c r="C77" t="inlineStr">
        <is>
          <t>Ladders</t>
        </is>
      </c>
      <c r="D77" t="inlineStr">
        <is>
          <t>linkedin</t>
        </is>
      </c>
      <c r="E77" t="inlineStr"/>
      <c r="F77" t="inlineStr"/>
      <c r="G77" t="inlineStr"/>
      <c r="H77" t="inlineStr"/>
      <c r="I77" t="inlineStr">
        <is>
          <t>For our client, we are seeking a Supply Chain Program Manager to join the team of a leader in the Manufacturing \&amp; Automotive space. You’ll play a key role delivering outcomes for customers and stakeholders in the Manufacturing \&amp; Automotive space. You’ll collaborate cross\-functionally and take ownership of priorities. This role offers visibility, growth, and impact.
 Location: Remote \- US based candidates only, no visa sponsorship available
 Compensation: $126,100 – $227,000 annually.
**Responsibilities**
* Communicate customer needs to various supply chain teams
* Recommend customer BOM pricing to enhance competitiveness
* Conduct situational analysis and develop supply chain strategies
* Manage periodic material quotations and assist with RFQs
* Identify and qualify new suppliers for program requirements
* Negotiate pricing and terms with key suppliers
* Lead initiatives to gain control over BOM and AVL
**Qualifications**
* Bachelor s Degree in Supply Chain Management, Business Management, Finance or related field
* At least 12 years of experience in Supply Chain Materials or related fields
* Supervisory experience is a plus
* Willingness to travel up to 30% internationally
* Experience working remotely is preferred
**Benefits**
* Medical, Dental, and Vision Insurance with HRA and HSA options
* 401K match
* Employee Stock Purchase Plan
* Paid Time Off
* Tuition Reimbursement
* Life, AD D, and Disability Insurance
* Commuter Benefits
* Employee Assistance Program
* Pet Insurance
* Adoption Assistance
* Annual Merit Increases
* Community Volunteer Opportunities
 Our client is an equal opportunity employer. We encourage you to apply even if you don’t meet every qualification—your background could be exactly what this team needs.</t>
        </is>
      </c>
    </row>
    <row r="78">
      <c r="A78" t="inlineStr">
        <is>
          <t>li-4367488105</t>
        </is>
      </c>
      <c r="B78" t="inlineStr">
        <is>
          <t>Program Manager (Manufacturing)</t>
        </is>
      </c>
      <c r="C78" t="inlineStr">
        <is>
          <t>Sterling Engineering</t>
        </is>
      </c>
      <c r="D78" t="inlineStr">
        <is>
          <t>linkedin</t>
        </is>
      </c>
      <c r="E78" t="inlineStr"/>
      <c r="F78" t="inlineStr"/>
      <c r="G78" t="inlineStr">
        <is>
          <t>Dallas, TX</t>
        </is>
      </c>
      <c r="H78" t="inlineStr"/>
      <c r="I78" t="inlineStr">
        <is>
          <t>**Program Manager / Projects Group Manager** 
 Location: Dallas, TX (Onsite – no remote)
 Compensation: $170,000\-$200,000/year \+ 15% bonus
**Position Overview** 
 We are seeking a hands\-on, customer\-facing Program Manager to lead complex manufacturing projects from start to finish while building and overseeing a growing Project Management function. This role sits within the Engineering Project Group and is responsible for quarterbacking the entire project lifecycle — from contract handoff through execution, delivery, and closeout.
 This is not a desk\-only role. The ideal candidate is comfortable on a machining/manufacturing floor, thrives in fast\-paced environments, and has the leadership presence and resilience to manage challenges as they arise. The Program Manager will lead by example, interface directly with customers, and establish scalable project management processes while mentoring and developing a team of Project Managers.
**Key Responsibilities** 
 Project \&amp; Customer Leadership
* Own the full lifecycle of manufacturing projects from kickoff through completion, ensuring scope, schedule, budget, and quality objectives are met
* Serve as the primary customer\-facing escalation point for complex and high\-visibility projects
* Build and maintain strong client relationships, managing expectations and resolving issues proactively
* Negotiate change orders, delivery schedules, and project adjustments on complex programs
* Partner with Business Development and Estimating during pre\-award and post\-award project negotiations
 Operational \&amp; Floor Engagement
* Maintain a strong on\-site presence, regularly engaging on the machining/manufacturing floor to support execution and problem\-solving
* Work cross\-functionally with engineering, manufacturing, purchasing, and quality teams to ensure seamless project execution
* Participate in high\-level supplier and vendor discussions and negotiations as needed
 Team Leadership \&amp; PMO Development
* Lead, mentor, and oversee existing Project Managers while helping build and scale the Project Management team
* Provide direct supervision to 2–3 Project Managers initially, with responsibility to grow the function over time
* Partner closely with the PMO to align standards, tools, and reporting across projects
* Hire, train, and develop project management staff, conducting performance reviews and supporting professional growth
* Establish and standardize project management best practices across the organization
 Process, Metrics \&amp; Continuous Improvement
* Develop and implement project management processes that support consistent, high\-quality delivery
* Create systems to track project workloads, resource balancing, and team capacity
* Establish and monitor key project and department metrics, including cost, schedule, and profitability
* Conduct cost analysis and profitability reviews for assigned programs
* Drive continuous improvement initiatives related to project execution and PMO effectiveness
 Travel
* Approximately 25% travel to customer sites and project locations across the United States
**Qualifications** 
 Required
* Bachelor’s degree in Engineering, Project Management, or a related technical field
* 5\+ years of experience in project or program management within a manufacturing environment
* 2\+ years of experience leading or supervising project management teams
* Strong customer\-facing skills with experience managing high\-stakes projects and escalations
* Comfortable working in a machining or manufacturing floor environment
* Proven ability to lead through challenges and maintain composure when issues arise
* Willingness to work fully onsite in Dallas, TX (no remote)
 Preferred
* Experience within the power, industrial, or heavy manufacturing industries
* PMP certification or formal project management training (preferred, not required)
* Experience building or scaling a PMO or project management function</t>
        </is>
      </c>
    </row>
    <row r="79">
      <c r="A79" t="inlineStr">
        <is>
          <t>li-4367495336</t>
        </is>
      </c>
      <c r="B79" t="inlineStr">
        <is>
          <t>Senior Program Manager, GTM Programs</t>
        </is>
      </c>
      <c r="C79" t="inlineStr">
        <is>
          <t>Google</t>
        </is>
      </c>
      <c r="D79" t="inlineStr">
        <is>
          <t>linkedin</t>
        </is>
      </c>
      <c r="E79" t="inlineStr"/>
      <c r="F79" t="inlineStr"/>
      <c r="G79" t="inlineStr">
        <is>
          <t>Kirkland, WA</t>
        </is>
      </c>
      <c r="H79" t="inlineStr"/>
      <c r="I79"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**Kirkland, WA, USA; New York, NY, USA; Sunnyvale, CA, USA** 
 .
 **Minimum qualifications:**
* Bachelor's degree or equivalent practical experience.
* 8 years of experience in program or project management.
* 6 years of experience in management consulting.
* Experience in leading cross\-functional programs across their life\-cycle (e.g., opportunity definition, solution design, implementation and operations).
**Preferred qualifications:**
* 8 years of experience managing cross\-functional or cross\-team projects.
* Experience as a executive consulting leader (i.e., Associate Partner or equivalent level).
* Understanding of the cloud services industry and enterprise sales function.
* Ability to build consensus among senior leaders with differing priorities.
* Excellent communication and influencing skills.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Senior Program Manager, you will focus on the critical intersection between Google Cloud Platform’s Engineering and Sales functions. You will be responsible for identifying, designing, and landing cross\-functional solutions that improve alignment, operational excellence, and outcomes between Sales and Engineering.
 We will measure the success of the Program Manager by the effectiveness (e.g., Business and customer satisfaction) and efficiency (e.g., stakeholder toil) of the solutions (mechanisms and programs) that they design and land in partnership with Go\-to\-Market (GTM) and Engineering leaders.
 This highly\-visible role requires a unique blend of strategic problem\-solving, process engineering/operations, and executive\-level influence.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$174,000\-$258,000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Identify the best opportunities for improving alignment and business performance between Engineering and Sales.
* Design, implement, and manage new programs and mechanisms to streamline collaboration, create transparency, and accelerate outcomes.
* Partner with technical and operations teams to define requirements for tooling integrations, creating more seamless workflows for both organizations.
* Develop, track, and improve key performance indicators (KPIs) for process effectiveness and efficiency, reporting on progress to executive leadership and driving a culture of continuous improvement.
* Act as a key strategic partner and trusted advisor to leaders in both Sales and Engineering, navigating complex priorities and driving consensus.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0">
      <c r="A80" t="inlineStr">
        <is>
          <t>li-4292791438</t>
        </is>
      </c>
      <c r="B80" t="inlineStr">
        <is>
          <t>Program Manager, LRSO</t>
        </is>
      </c>
      <c r="C80" t="inlineStr">
        <is>
          <t>IronMountain Solutions</t>
        </is>
      </c>
      <c r="D80" t="inlineStr">
        <is>
          <t>linkedin</t>
        </is>
      </c>
      <c r="E80" t="inlineStr"/>
      <c r="F80" t="inlineStr"/>
      <c r="G80" t="inlineStr">
        <is>
          <t>Huntsville, AL</t>
        </is>
      </c>
      <c r="H80" t="inlineStr"/>
      <c r="I80" t="inlineStr">
        <is>
          <t>**LRSO Program Manager** 
 Work Location: Huntsville, AL 
 Schedule: Full Time; 40 hours per week 8 hours per day in office (remote work is not authorized)
 Relocation: Negotiable 
 IronMountain Solutions is seeking a results\-driven
 **LRSO Program Manager** 
 to lead complex aviation overhaul and production efforts in Huntsville, AL, with cross\-functional coordination across mechanical, electrical, structural, and quality engineering disciplines. This role requires a balance of technical knowledge, project management expertise, and strong leadership to successfully deliver aircraft maintenance, modification, and build programs on time, within scope, and in compliance with all applicable aerospace regulations.
 As Program Manager, you will oversee planning, execution, risk management, and customer engagement throughout the lifecycle of the program—from contract award through final delivery and closeout.
**This position is contingent upon contract award.** 
**Education and General Experience:** 
* Bachelor’s degree in engineering, program management or related field is required and at least fifteen (15\) years of relevant experience with emphasis on program or project management supporting evaluation, repair, modification, and production support of aviation platforms.
* PMP or equivalent certification preferred.
* Proven experience managing cross\-functional teams that include engineering (mechanical, electrical, structural), quality, and production disciplines.
* Strong working knowledge of aviation regulations and industry standards (e.g., ISO 9001, AS9100, etc).
* Proficiency with project management tools such as MS Project, Primavera, or equivalent.
* Excellent communication, leadership, and stakeholder management skills.
* Experience supporting programs involving aircraft modifications, system retrofits, or component overhauls.
* Familiarity with Earned Value Management (EVM) and government contract reporting (e.g., DCMA, CDRLs).
* Exposure to configuration management, PLM systems, and digital work instructions.
* Team\-oriented mindset with a continuous improvement approach.
**Job Responsibilities:** 
* Lead and manage aircraft overhaul, modification, and production support programs from initiation through completion.
* Develop detailed program plans, schedules, resource allocations, and performance baselines aligned with contractual and operational goals.
* Coordinate the execution of technical efforts across mechanical, electrical, structural, and quality engineering teams.
* Serve as the central point of contact between Engineering, Quality, Production, Supply Chain, and senior leadership.
* Facilitate daily stand\-ups, status meetings, and technical issue resolution to maintain program momentum and alignment.
* Monitor and track program KPIs including schedule adherence, cost control, quality metrics, and engineering deliverables.
* Act as the primary interface for customers, regulatory agencies, and internal stakeholders.
* Ensure customer requirements are clearly understood, documented, and met throughout the program lifecycle.
* Lead program reviews, progress briefings, and risk mitigation updates with internal and external stakeholders.
* Ensure all program activities are conducted in compliance with applicable military and industry regulations (ISO9001, AS9100, etc.).
* Identify and proactively manage risks and opportunities, initiating corrective action plans as needed.
* Support quality audits, root cause investigations, and continuous improvement initiatives in coordination with QA and engineering leads.
* Track program financials, including budget forecasts, earned value analysis, and cost performance metrics.
* Support resource planning and capacity analysis to align staffing with program demands.
* Lead subcontractor and vendor coordination for outsourced work scopes or specialized services.
* While performing the duties of this job, the employee is occasionally required to stand; walk; sit; use tools or controls; normal physical activity (reach with hands and arms; climb stairs); and communicate effectively with all levels of employees and leadership. The employee must occasionally lift or move office products and supplies, up to 25 pounds.
**Clearance Requirements:** 
 The ability to obtain and maintain a Secret security clearance is required. Per federal requirements, only U.S. citizens are eligible for this level of clearance.
 IronMountain Solutions is an Equal Opportunity Employer</t>
        </is>
      </c>
    </row>
    <row r="81">
      <c r="A81" t="inlineStr">
        <is>
          <t>li-4344977817</t>
        </is>
      </c>
      <c r="B81" t="inlineStr">
        <is>
          <t>Platform Technical Program Manager - NPI</t>
        </is>
      </c>
      <c r="C81" t="inlineStr">
        <is>
          <t>Etched</t>
        </is>
      </c>
      <c r="D81" t="inlineStr">
        <is>
          <t>linkedin</t>
        </is>
      </c>
      <c r="E81" t="inlineStr"/>
      <c r="F81" t="inlineStr"/>
      <c r="G81" t="inlineStr">
        <is>
          <t>San Jose, CA</t>
        </is>
      </c>
      <c r="H81" t="inlineStr"/>
      <c r="I81" t="inlineStr">
        <is>
          <t>**About Etched**
 Etched is building the world’s first AI inference system purpose\-built for transformers \- delivering over 10x higher performance and dramatically lower cost and latency than a B200\. With Etched ASICs, you can build products that would be impossible with GPUs, like real\-time video generation models and extremely deep \&amp; parallel chain\-of\-thought reasoning agents. Backed by hundreds of millions from top\-tier investors and staffed by leading engineers, Etched is redefining the infrastructure layer for the fastest growing industry in history.
**Job Summary**
 Etched is seeking a Technical Program Manager to lead board\-level New Product Introduction (NPI), contract manufacturer (CM) execution, and manufacturing coordination for our ASIC\-based accelerator hardware. This role is responsible for driving PCBAs and board assemblies from late design through EVT/DVT/PVT, ramp, and volume production, in close partnership with internal hardware engineering teams and external CMs.
 You will own execution across board\-level programs, including accelerator boards, power delivery boards, and associated subassemblies, ensuring designs are manufacturable, testable, and scalable. This role sits at the intersection of engineering, manufacturing, and supply chain, with a strong focus on CM alignment, build readiness, and disciplined NPI execution.
**Key Responsibilities**
* Lead board\-level NPI programs from design freeze through EVT, DVT, PVT, and volume ramp, with clear ownership of schedules, risks, and deliverables.
* Serve as the primary interface to contract manufacturers for PCBA and board assembly, driving build planning, execution, and issue resolution.
* Drive manufacturing readiness reviews with engineering and CMs, including DFM/DFA, test strategy, and factory bring\-up.
* Coordinate CM activities across PCB fabrication, SMT assembly, test, and final board integration.
* Manage BOM readiness, AVL qualification, and component sourcing in partnership with supply chain and CMs.
* Own change management during NPI, including ECO tracking, revision control, and communication of changes to manufacturing partners.
* Plan and execute prototype, pilot, and production builds, tracking yield, defects, and corrective actions through ramp.
* Identify manufacturing risks related to design, process, or supply chain; develop mitigation plans and drive closure.
* Establish and track KPIs for board\-level manufacturing, including yield, first\-pass success, cycle time, and quality escapes.
* Coordinate closely with system, thermal, and mechanical teams to ensure board\-level requirements are aligned with system integration and deployment.
* Provide clear, regular program updates to engineering leadership and executives, highlighting risks, tradeoffs, and decisions.
* Continuously improve board\-level NPI and CM engagement processes to support faster iteration and scalable production.
**You might be a good fit if you have**
* Bachelor’s degree in Electrical Engineering or a related technical discipline.
* 5\+ years of experience in technical program management, hardware NPI, or manufacturing program leadership for PCBAs or complex electronic assemblies.
* Hands\-on experience working with contract manufacturers for board\-level builds, including EVT/DVT/PVT and volume production.
* Strong understanding of PCB fabrication, SMT assembly, board\-level test, and manufacturing quality systems.
* Experience managing cross\-functional hardware programs involving EE, PD, SI, test, supply chain, and operations.
* Comfort operating in fast\-paced, ambiguous environments with high technical and executional complexity.
* Strong communication and organizational skills, with the ability to align internal teams and external manufacturing partners.
**Benefits**
* Medical, dental, and vision packages with generous premium coverage
+ $500 per month credit for waiving medical benefits
* Housing subsidy of $2k per month for those living within walking distance of the office
* Relocation support for those moving to San Jose (Santana Row)
* Various wellness benefits covering fitness, mental health, and more
* Daily lunch \+ dinner in our office
**How We’re Different**
 Etched believes in the Bitter Lesson. We think most of the progress in the AI field has come from using more FLOPs to train and run models, and the best way to get more FLOPs is to build model\-specific hardware. Larger and larger training runs encourage companies to consolidate around fewer model architectures, which creates a market for single\-model ASICs.
 We are a fully in\-person team in San Jose (Santana Row), and greatly value engineering skills. We do not have boundaries between engineering and research, and we expect all of our technical staff to contribute to both as needed.</t>
        </is>
      </c>
    </row>
    <row r="82">
      <c r="A82" t="inlineStr">
        <is>
          <t>li-4367450577</t>
        </is>
      </c>
      <c r="B82" t="inlineStr">
        <is>
          <t>Member Appreciation Program Manager</t>
        </is>
      </c>
      <c r="C82" t="inlineStr">
        <is>
          <t>e.Dexter S.p.A.</t>
        </is>
      </c>
      <c r="D82" t="inlineStr">
        <is>
          <t>linkedin</t>
        </is>
      </c>
      <c r="E82" t="inlineStr"/>
      <c r="F82" t="inlineStr"/>
      <c r="G82" t="inlineStr">
        <is>
          <t>Anaheim, CA</t>
        </is>
      </c>
      <c r="H82" t="inlineStr"/>
      <c r="I82" t="inlineStr">
        <is>
          <t>**Description**
 We are hiring a
 **Member Appreciation Program Manager** 
 who will drive the WHAM (Whenever, However, Appreciate Members) initiatives, integrating data\-driven automation, cross\-functional collaboration, and community impact. Leads the development and execution of personalized Member and team member experiences that transform everyday moments into unforgettable touchpoints.
**Business Hours:** 
 Monday to Friday, 8:30 a.m. \- 5:30 p.m.\*
* Based upon business needs, our positions may require working flexible hours, including weekends.
 This position is based in
 **Anaheim Hills CA** 
 with the opportunity to work on a
 **hybrid\-remote** 
 schedule which consists of 2 days in\-office and 3 days working remote from home.
**Why Work at CU SoCal?**
 CU SoCal is one of the fastest growing credit unions and is more than just a place to work. It’s a place where people come before profit, a place where you can build a career that’s more than a job, and where the work you do has meaning and purpose. We offer competitive pay, great health benefits and a culture like no other!
**CU SoCal is a Gallup Exceptional Workplace Award Recipient**
 In 2025, Credit Union of Southern California (CU SoCal) was once again honored with the Gallup Exceptional Workplace Award, marking our second consecutive win and ranking us among the top workplaces worldwide for outstanding employee engagement!
 The CU SoCal culture fosters Building Better Lives for our Members, personal development, open communication, and genuine care for each other. We prioritize C.A.R.E. 4: professional competence, positive attitude, relationship building, and eager service to others. If you're passionate about making a difference and want to be part of a dynamic team, explore CU SoCal career opportunities today!
**Requirements**
**Minimum Qualifications**
* High School Diploma or equivalent.
* 5\+ years of experience in program management, customer/Member experience, marketing, or employee engagement.
* Proven track record of designing and implementing experience\-based programs that drive emotional loyalty and measurable impact.
* 2\+ years’ experience working with cross\-functional teams, including IT, Marketing, Retail, and Data Analytics, or equivalent.
**Preferred Qualifications**
* Degree or certification in Project Management or expertise in CRM systems, workflow automation and vendor management.
**Skills And Abilities**
* Proficient in all applicable MS Office programs (i.e., Word, Excel, Outlook, Teams, etc.)
* Strong organizational skills with experience managing cross\-functional initiatives and vendor relationships.
* Proven ability to create emotionally resonant experiences that drive loyalty.
* Ability to extract, read, and utilize Member data to trigger workflows and measure ROI.
* Ability to learn, adopt, and responsibly use new technologies, including AI\-enabled tools.
* Demonstrated digital literacy, including comfort with data dashboards, workflow tools, and collaboration platforms (e.g., M365, Teams, CRM, knowledge systems).
* Use of technology to enhance efficiency, service quality, communication, and decision\-making.
* Excellent interpersonal skills to lead cross\-departmental efforts and inspire team participation.
* High empathy and understanding of Member and team member needs.
* Maintains a service mindset and balances efficiency with human connection.
**Essential Responsibilities**
* Develop scalable, repeatable playbooks for milestone moments (e.g., account openings, anniversaries, referrals) that reflect CU SoCal’s caring culture.
* Build a library of meaningful gifts and gestures that align with brand values and can be automated or personalized.
* Partner with IT and Data Analytics to create workflows triggered by Member data (e.g., loan closings, birthdays), ensuring seamless execution.
* Identify and manage vendors for fulfillment of gifts and experiences, ensuring quality, cost\-effectiveness, and timely delivery.
* Collaborate with Marketing, Retail, Lending, and Member Care Center teams to gather feedback, generate ideas and equip team members to deliver and fulfill the program purpose.
* Measure program impact by tracking KPIs including Net Promoter Score (NPS), Member testimonials, repeat product adoption, etc.
* Developing and launching internal campaigns to build and maintain excitement, empower team members, and celebrate Dream Maker moments across the organization.
* Monitor trends, gather feedback, and evolve the program to maintain relevance, emotional impact, and operational efficiency.
* Complete understanding and active application the C.A.R.E. 4 Guide expectations and the Brand Communications Standards Accountability Philosophy.
* Must be able and available to work a “hybrid” schedule, per business operations requirement, as needed.
* Additional duties and responsibilities, as assigned.
* We support Pay Transparency and are a pay\-for\-performance organization that benchmarks base pay to the 50th percentile of market data.
 Pay Scale: Min. $ 70,891\.70 / $90,740\.52 / $107,747\.64\* per year
* Actual compensation will be based on geographical location, work experience, education, and/or skill level.
 CU SoCal is an equal opportunity employer. All decisions are based only on the individual’s qualifications/ability to perform the work. The above statements are intended to describe the essential functions, nature and level or work to be performed as of the document preparation date; they are not intended to be an exhaustive list of all duties and responsibilities. CU SoCal reserves the right to modify this job description at any time, without notice.
 We foster an environment and culture where ideas and decisions from all people help us grow, innovate, and fulfill our mission of Building Better Lives.</t>
        </is>
      </c>
    </row>
    <row r="83">
      <c r="A83" t="inlineStr">
        <is>
          <t>li-4334431739</t>
        </is>
      </c>
      <c r="B83" t="inlineStr">
        <is>
          <t>Program Manager</t>
        </is>
      </c>
      <c r="C83" t="inlineStr">
        <is>
          <t>Cubic Corporation</t>
        </is>
      </c>
      <c r="D83" t="inlineStr">
        <is>
          <t>linkedin</t>
        </is>
      </c>
      <c r="E83" t="inlineStr"/>
      <c r="F83" t="inlineStr"/>
      <c r="G83" t="inlineStr">
        <is>
          <t>Chicago, IL</t>
        </is>
      </c>
      <c r="H83" t="inlineStr"/>
      <c r="I83" t="inlineStr">
        <is>
          <t>**Business Unit**
 Cubic Transportation Systems
**Company Details**
 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
 We have a top\-tier portfolio of businesses, including Cubic Transportation Systems (CTS) and Cubic Defense (CD). Explore more on Cubic.com.
**Job Details**
**JOB SUMMARY:** 
 The Program Manager is responsible for overseeing the execution of hardware and software development programs, from concept through delivery and close\-out. This role ensures performance within contract scope, budget, and schedule while managing risk, fostering cross\-functional collaboration, and ensuring customer satisfaction. Reporting to the Senior Program Director, the Program Manager supports the delivery of successful outcomes across transportation or infrastructure programs typically valued between $5–$20 million. This position exercises moderate autonomy and decision\-making authority, working under general supervision to guide programs through all phases of the lifecycle.
**Essential Duties And Responsibilities**
* Program Execution: Oversee the execution of assigned programs in accordance with contractual commitments, internal policies, and lifecycle best practices. Monitor performance across technical, schedule, and financial metrics.
* Customer Interface: Serve as a point of contact for customers. Build trust and maintain strong relationships through transparent communication, proactive issue resolution, and continuous engagement.
* Cross\-Functional Leadership: Coordinate multidisciplinary teams spanning engineering, procurement, subcontracting, manufacturing, test, quality, and installation. Drive alignment and execution across all stakeholders.
* Requirements \&amp; Compliance Management: Oversee requirement development, traceability, and validation to ensure contractual compliance. Ensure linkage to CDRLs, test procedures, and verification activities.
* Financial Performance: Monitor program financials including cost\-to\-complete, ETC, EAC, and cash flow. Apply earned value principles and monitor performance metrics such as CPI and SPI to control deviation and mitigate risks.
* Risk \&amp; Opportunity Management: Identify and mitigate risks, escalate critical issues promptly, and implement risk reduction strategies. Drive identification and capture of opportunities for program growth, improvements, and efficiencies.
* Contract \&amp; Change Management: Support the development of change orders and contract modifications in coordination with contracts, legal, and finance teams. Assist the Senior Program Director in identifying potential entitlements under the contract, recognizing deviations that may warrant cost or schedule recovery.
* Proposal \&amp; Business Development: Assist in the creation of proposals, technical approaches, cost estimates, and statements of work for new opportunities and follow\-on business.
* Mentorship \&amp; Collaboration: Mentor junior program staff and contribute to developing a high\-performance program management culture. Collaborate with the Senior Program Director and broader leadership to drive organizational success.
* Compliance: Adhere to company values and all company policies and procedures, including the code of conduct, quality, security, and occupational health, safety, environmental, and human resource policies and procedures.
* Additional Duties: Perform other duties assigned by the manager from time to time, as may be reasonably required.
**Background And Experience**
* Typically requires a minimum of 8 years of related experience with a Bachelor’s degree; or 6 years and a Master’s degree; or a PhD with 5 years experience; or equivalent experience.
* Certifications: PMP certification desirable.
* Skills \&amp; Competencies:
* Proven ability to lead cross\-functional teams and manage complex, high\-stakes programs through full lifecycle.
* Strong financial acumen and command of Earned Value Management (EVM) principles.
* Solid understanding of contract terms, subcontractor oversight, and change order management.
* Excellent communication, negotiation, and presentation skills.
* Familiarity with requirements management tools (e.g., DOORS) and project scheduling tools (e.g., MS Project, Primavera).
* Strong risk management and problem\-solving abilities.
* Other: Familiarity government procurement and contracting standards is expected. Transportation industry experience is desirable but not essential.
 ‎
**Cubic Pay Range**
 $105,000\.00 \- $175,000\.00 \+ benefits.
 ‎
*The Cubic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
 ‎
**Worker Type**
 Employee</t>
        </is>
      </c>
    </row>
    <row r="84">
      <c r="A84" t="inlineStr">
        <is>
          <t>li-4367477604</t>
        </is>
      </c>
      <c r="B84" t="inlineStr">
        <is>
          <t>Program Manager - Standards Development</t>
        </is>
      </c>
      <c r="C84" t="inlineStr">
        <is>
          <t>API - American Petroleum Institute</t>
        </is>
      </c>
      <c r="D84" t="inlineStr">
        <is>
          <t>linkedin</t>
        </is>
      </c>
      <c r="E84" t="inlineStr"/>
      <c r="F84" t="inlineStr"/>
      <c r="G84" t="inlineStr">
        <is>
          <t>Washington, DC</t>
        </is>
      </c>
      <c r="H84" t="inlineStr"/>
      <c r="I84" t="inlineStr">
        <is>
          <t>API develops and maintains over 800 standards used throughout the global natural gas and oil industry to enhance operational safety, environmental protection, and sustainability. API is currently seeking a Program Manager to support standards development in the Upstream or Midstream segment. The candidate will be responsible for the overall standards program for one or more assigned API standards committees and oversight groups. The candidate for this position will need to provide policy and procedural guidance as well as technical and administrative support for assigned API standards.
**Duties/Responsibilities** 
* Manage the standards program for one or more assigned API standards committees and oversight groups. Provide leadership, technical and managerial support to API standards developing committees and oversight groups. Facilitate industry participation in international standards\-making activities such as ISO and IEC as determined by the committee oversight body and API management. Coordinate joint initiatives with other industry or standards developing organizations.
* Advocate the role of technical standards in support of public policy goals and identifying those technical areas where standards development initiatives can support the Institute’s highest priority objectives.
* Demonstrate a thorough knowledge of the API, ANSI and ISO/IEC procedures for standards development and manage the process to ensure compliance. Establish meeting schedules, conduct ballots, develop consensus, process documents in accordance with appropriate procedures while maintaining scheduling obligations. Organize and administer committee activities including agenda planning, preparation of minutes, and the development of draft documents.
* Identify, propose and manage the implementation of new initiatives in broad programmatic areas such as derivative publications, training seminars and certification programs. Serve as project manager for the development of the programs and products working in conjunction with other API staff, contractors and company representatives.
* Serve as contract manager when retaining outside experts for standards development or research initiatives in support of standards. Review proposals for technical merit and completeness, work with API staff to develop contractual language. Manage the project including review of work products, and ensure invoices accurately reflect services rendered.
* Ability to manage complex issues and the ability to apply this knowledge in a practical manner, and/or understand key aspects of standards development process and possess a familiarity with the work and organization of other industry\-related standards developing groups (such as ANSI, ASTM, AGA, ISO, or GPA) and regulatory bodies (such as BSEE, BLM, or PHMSA).
* Collaborate with internal and external stakeholders and with other API departments, industry representatives, standards developing organizations and other groups in order to advance API’s Mission through global adoption of its standards and technology objectives.
* Ability to manage multiple priorities, work in an entrepreneurial environment, operate with latitude for unreviewed actions or decisions, and resolve problems without assistance when appropriate.
**Key Relationships** 
* Maintain close communications with committee and subgroup officers to achieve program objectives.
* Share information and coordinate efforts within API to maintain appropriate coordination.
* Manage contracted technical experts to deliver projects on time and budget.
* Reports to the Senior Manager, Upstream Standards or Senior Manager, Midstream Standards
**Qualifications** 
* Requires 5\-7 years of oil and natural gas industry experience, either with:
* drilling and production operations and equipment; or
* petroleum measurement, midstream operations, oil and gas pipeline operations,
* Or experience in managing voluntary consensus‑based standards development processes, standards management or related technical environment activities.
* Bachelor's degree in relevant area, or other related field equivalent work experience.
* Strong organizational, interpersonal, facilitative and program management skills, and excellent written and verbal communication skills. A demonstrated ability to analyze and synthesize complex issues and their broader implications for less technical audiences is essential.
* Ability to work independently, manage multiple priorities, work in an entrepreneurial environment, operate with latitude for unreviewed actions or decisions, and resolve problems without assistance when appropriate.
* A broad understanding of petroleum and/or petrochemical industry operations, including knowledge of the petroleum refining industry and process safety operations.
* Ability to manage complex issues and the ability to apply this knowledge in a practical manner, and/or understand key aspects of standards development process and possess a familiarity with the work and organization of other industry\-related standards developing groups (such as ANSI, ASTM, ISO, AGA and GPA) and regulatory bodies (such as BSEE, BLM, or PHMSA).
**Physical Requirements** 
* Able to remain in a stationary position working on a computer
* Move about the office to access office machinery, meeting rooms, etc. on occasion
* Operate a computer and other office machinery such as printers and copy machines
* Transport items and equipment up to 10 lbs. on occasion
**Travel Requirements** 
* Up to 25%
*This job outline describes the typical accountabilities and requirements of the position and should not be construed as an all\-encompassing description of every duty performed by or expected of the incumbent.* 
**EEO Statement** 
 API is an equal opportunity employer. We are dedicated to creating and sustaining a diverse and inclusive workplace. All aspects of employment will be based on merit, competence, performance, and business needs. Our success in maintaining a reputation for professional excellence depends on selecting the best qualified candidates. Achieving this objective means that no employee or applicant for employment will be discriminated against because of race, color, religion, age, gender expression or identity, sexual orientation, pregnancy (including childbirth, related medical conditions, breastfeeding, and reproductive health decisions), genetic information, national origin, disability, marital status, personal appearance, family responsibilities, political affiliation, matriculation, credit information, the status as a victim or family member of a victim of domestic violence, stalking or sexual offense, or any prohibited basis under federal, state or local law.
 API is committed to providing access, equal opportunity, and reasonable accommodations for individuals with disabilities in employment, its services, programs, and activities. If you require reasonable accommodation in completing this application, interviewing, completing any pre\-employment testing, or otherwise participating in the employee selection process, please direct your inquiries to the Human Resources Department via email at HumanResources@api.org.
 This salary range is DC based and may be adjusted accordingly due to candidate’s geographic location. Candidates are typically hired at a point in the salary range based on prior experience, education, and market demand for the role; candidates are also compared internally to their peers.
 API offers a comprehensive benefits package for our employees and their families. More information about our benefits may be found at api.org/about/careers/benefits.</t>
        </is>
      </c>
    </row>
    <row r="85">
      <c r="A85" t="inlineStr">
        <is>
          <t>li-4367445671</t>
        </is>
      </c>
      <c r="B85" t="inlineStr">
        <is>
          <t>Rapid Rehousing Program Manager</t>
        </is>
      </c>
      <c r="C85" t="inlineStr">
        <is>
          <t>St. Francis House</t>
        </is>
      </c>
      <c r="D85" t="inlineStr">
        <is>
          <t>linkedin</t>
        </is>
      </c>
      <c r="E85" t="inlineStr"/>
      <c r="F85" t="inlineStr"/>
      <c r="G85" t="inlineStr">
        <is>
          <t>Boston, MA</t>
        </is>
      </c>
      <c r="H85" t="inlineStr"/>
      <c r="I85" t="inlineStr">
        <is>
          <t>**Description**
**FLSA Status:** 
 Exempt
**Salary Range:** 
 Low $66,898 per year High $73,587 per year
**Schedule**
* Full\-time: 8 hours per day, 5 days per week, primarily Monday through Friday between 7:00 AM – 5:00 PM.
* Availability for on\-call guidance, supervision, and emergency response on a rotating schedule with other Housing Team Leaders.
* Occasionally, extended evening or weekend hours may be required; these will be scheduled in advance as needed.
**Job Summary:** 
 Under the supervision of the Associate Director of Housing, the Rapid Rehousing Program Manager is responsible for overseeing the daily operations of the program to ensure that formerly homeless individuals are connected to all services and supports needed in order to obtain and maintain permanent housing and increase overall stabilization. Using a Housing First approach, the Manager guides a team of Housing Navigators and Case Managers assessing that all services provided adhere to program and agency expectations, develops program policies and guidelines; oversees program compliance with pertinent policies, laws, and regulations; measures program outcomes and deliverables; designs and creates various reports and tracking systems. The Manager responds to inquiries from external organizations and agencies and ensures the program is developing and maintaining relationships with landlords. This program offers medium\-term rental assistance combined with linkages to employment and other services in order to end clients’ homelessness as well as create longer term self\-sufficiency.
**Supervisory Responsibilities**
* Day\-to\-day oversight of department and staff.
* Interviews, selects, trains staff.
* Provides constructive and timely performance communication.
* Handles progressive warning and recommends termination of employees in accordance with agency policies/procedures.
**Essential Duties / Responsibilities**
* In conjunction with the Associate Director of Housing design, develops, and implements management practices and protocols of the Rapid Rehousing Program including but not limited to program guidelines, funding requirements and outcomes.
* Oversees the day\-to\-day management of program activities including client enrollments, creation of individualized housing navigation and housing stability plans, housing location, coordination of move\-in assistance and provision of stabilization services, including linkages and referrals to appropriate service providers.
* Serves as first point of contact for housing navigation and case management staff, providing consistent supervision and constructive feedback to direct reports.
* Intervenes in escalated and/or severe crises needing a supervisor, balancing the need for safety for all involved. Seeks appropriate assistance from emergency services as needed.
* Ensures all client files, including electronic and paper, are accurate, up to date, and adhere to any government or agency documentation requirements.
* Establishes and monitors recordkeeping protocols, implementing program quality assurance practices regularly.
* Acts as the primary point of contact during monitoring visits by funders. Ensures all contract requirements are met.
* Completes reconciliation and distribution of checks to appropriate staff for distribution to landlords.
* Provides input on the creation of the annual program budget. Monitors all program costs and expenditures including rental and other financial assistance to ensure spending is on track and within budget. Submits monthly progress reports to AD of Housing.
* Works with AD of Housing to ensure timely reports are complete and available for agency leadership, funders and other stakeholders including but not limited to: Quarterly Performance Reports, Annual Performance Reports, Ad\-hoc Reports, Board Report and Management Reports.
* Serves as liaison between the program, referral agencies, service agencies and other stakeholders and develop a positive relationship with community partners.
* Works collaboratively within the larger management and leadership teams at St. Francis House to provide integrated services that are aligned with agency priorities and values.
* Applies a Recovery Oriented, Person\-Centered, and Trauma\-Informed approach to the programming and supervision adopting key best practices such as Motivational Interviewing and Harm Reduction.
* Adheres to agency code of conduct.
* Performs other duties as assigned.
**Requirements**
**Required Skills \&amp; Abilities:**
* Understanding of and firm commitment to the Housing First Model.
* Proven ability to provide high\-quality supervision and staff support that provides appropriate recognition and constructive feedback, ensures clarity, fosters professional development and ensures accountability.
* Exceptional collaboration, communication, team\-building skills and diplomacy.
* Ability to manage complex situations with patience, pacing, and consistency.
* Strong administrative and management skills, including excellent organizational and verbal/written communication skills.
* Excellent time management skills with a proven ability to meet deadlines.
* Ability to prioritize tasks and to delegate them appropriately.
* Proficient with Microsoft Office Suite or related software.
* Ability to function well in a fast\-paced and stressful environment.
* Basic understanding of and commitment to taking a person\-centered, recovery\-oriented, and trauma\-informed approach.
* Strong analytical and problem\-solving skills.
**Education \&amp; Experiences**
* High School Diploma or Equivalency required.
* Further education in human services related field a plus.
* 5 years’ experience working in a direct care setting serving vulnerable populations required. Experience with individuals experiencing homelessness or working in a housing search, placement, and stabilization case management program preferred.
* At least one year of supervisory experience with demonstrated skills in staff coaching, team\-building, and training required.
* Knowledge of Boston Continuum of Care and Homeless Initiatives preferred.
* Lived experience with homelessness and/or recovery a plus.
* Bilingual in Spanish preferred
**Physical Requirements**
* Prolonged periods of sitting at a desk and working on a computer.
* Must be able to lift and carry 10\-20 pounds independently.
* Frequently moving throughout multi\-level building.
* Constantly operate computer and other office machinery, such as a copy machine, computer printer, projector.</t>
        </is>
      </c>
    </row>
    <row r="86">
      <c r="A86" t="inlineStr">
        <is>
          <t>li-4331580646</t>
        </is>
      </c>
      <c r="B86" t="inlineStr">
        <is>
          <t>Sr. Program Manager, Microsoft GTM</t>
        </is>
      </c>
      <c r="C86" t="inlineStr">
        <is>
          <t>Softchoice</t>
        </is>
      </c>
      <c r="D86" t="inlineStr">
        <is>
          <t>linkedin</t>
        </is>
      </c>
      <c r="E86" t="inlineStr"/>
      <c r="F86" t="inlineStr"/>
      <c r="G86" t="inlineStr">
        <is>
          <t>St Louis, MO</t>
        </is>
      </c>
      <c r="H86" t="inlineStr"/>
      <c r="I86" t="inlineStr">
        <is>
          <t>**Why You’ll Love Softchoice**
 We are a software\-focused IT solutions and services provider that equips organizations to be agile and innovative, and for their people to be engaged, connected, and creative at work. That means moving them to the cloud, helping them build the workplace of tomorrow, and enabling them to make smarter decisions about their technology. By doing these things we help them create success for their customers and their people.
 We stand proudly for our people and support their success through career development and advancement. We are recognized and respected for our culture of inclusion and belonging, continuously striving to do what’s good for our people and communities.
**The Impact You'll Have**
 As the Program Manager you will be responsible for supporting overseeing specific aspects of multiple Microsoft programs and initiatives. This role will be primarily focused on the building the framework and programs required for the execution of Softchoice’s Microsoft go to market strategy specifically for AI Business Solutions \&amp; Security solutions.
**What You'll Do**
* Develop and orchestrate Softchoice’s Microsoft GTM strategy for AI Business Solutions \&amp; Security solutions including Microsoft 365 and Copilot.
* Build the framework for how all Cloud and AI Platform sales campaigns are executed.
* Capture any reporting requirements to support and measure success of all campaigns related to Microsoft AI Business Solutions \&amp; Security solutions.
* Manage and oversee all activities related to Microsoft AI Business Solutions \&amp; Security solutions within the Microsoft MCI and SPF partner programs.
* Build the program for the creation of any assets to support sales and sales activities in support of the execution of the GTM strategy
* Oversee content creation committee for lifecycle services and any other related Softchoice solutions.
* Develop resources and establish a framework to facilitate alignment initiatives associated with Microsoft AI Business Solutions \&amp; Security solutions.
* Manage administration of MAICPP Designation and Specializations related to Microsoft AI Business Solutions \&amp; Security.
**What You'll Bring To The Table**
* Bachelor's degree in business, operations, finance or related field in program management, process management, process improvement; and master's degree in any related field; or 7\+ years of equivalent experience.
* 10\+ years of combined experience of project management; process management and process improvement; program management; change management processes; logistic execution for large scale activities and events; or related work experience.
* Professional certification in project management, such as PgMP or PMP, or equivalent.
* Microsoft Certified Professional with minimum of two active certification in Microsoft 365, Azure, AI, or Security categories.
* demonstrates exceptional problem\-solving skills, with a proven ability to tackle complex and multifaceted challenges.
* processes strong executive communication skills, including written, verbal, and presentation
* proven experience in fostering a collaborative and supportive team environment.
* understand the partner ecosystems and the ability to leverage Microsoft programs to accelerate partner alignment strategy and execution.
**Pay Range**
 The typical base pay range for this role is
 Chicago\- $101,600 \- $127,000
 Seattle\- $111,760 \- $139,700
 St. Louis\- $101,600 \- $127,000
 Toronto\- $91,200 \- $114,000
 Note: the pay range represents the full pay range for this position. Each individual offer will take into consideration a range of factors, including prior experience and geographic location.
 In addition to the base salary, this role is eligible for additional elements of compensation including (cell allowances, annual bonus, or commissions etc.), as well as a comprehensive benefits plan.
**Not sure if you qualify? Think about applying anyway:**
 We understand that not everyone brings 100% of the skills and experience for the role.
 At Softchoice, we offer opportunities to a diverse group including those with a variety of workplace experiences and backgrounds. Whether you are new to corporate tech, returning to work after a gap in employment, or looking to transition and take the next step in your career, we are excited to learn more about you and encourage you to apply.
**Why You’ll Love Working Here**
* The People: You’ll thrive in our collaborative environment, surrounded by incredible colleagues who foster support and innovation, driving our collective success
* High\-Performing Culture: At Softchoice, we are dedicated to achieving our goals and committed to success for our customers and each other
* Flexibility: Plan your workdays in a way that suits you best
* Award\-Winning Workplace: Proudly recognized as a Great Place to Work for 20 consecutive years
* Inclusive Culture: We are committed to an inclusive culture where every team member can be their authentic self
* Competitive Benefits: Benefit from competitive perks that start on day one
**Inclusion \&amp; Equal Opportunity Employment**
 We are an equal opportunity employer committed to diversity, inclusion \&amp; belonging. People seeking employment at Softchoice are considered without regard to any protected category including but not limited to, race, color, religion, national origin, age, sex, marital status, ancestry, disability, veteran status, gender identity, or sexual orientation.
**Require accommodation? We are ready to help:**
 We are proud to provide interview \&amp; employment accommodation during the recruitment and hiring process. If you require any accommodation to apply or interview for a position, please reach out directly to asktalentacquisition@softchoice.com . We are committed to working with you to best meet your needs.
**Our Commitment To Your Experience**
 We are committed to the safety of all applicants and team members. With that in mind, we have implemented digital interviewing for everyone. We understand that you may need to interview with distractions around you (such as children or furry friends) and we will be doing the same.
 Before you start with us, we will conduct a criminal record check, verify your education, and check your references.
 When you join Softchoice, we will onboard you remotely. Don't worry. It's quick, simple and you'll be connected with your new team in no time.
**Job Requisition ID:** 
 7167
 EoE/Vet/Disability</t>
        </is>
      </c>
    </row>
    <row r="87">
      <c r="A87" t="inlineStr">
        <is>
          <t>li-4337893682</t>
        </is>
      </c>
      <c r="B87" t="inlineStr">
        <is>
          <t>Staff Technical Program Manager, Platform Services</t>
        </is>
      </c>
      <c r="C87" t="inlineStr">
        <is>
          <t>SiriusXM</t>
        </is>
      </c>
      <c r="D87" t="inlineStr">
        <is>
          <t>linkedin</t>
        </is>
      </c>
      <c r="E87" t="inlineStr"/>
      <c r="F87" t="inlineStr"/>
      <c r="G87" t="inlineStr">
        <is>
          <t>Washington, DC</t>
        </is>
      </c>
      <c r="H87" t="inlineStr"/>
      <c r="I87" t="inlineStr">
        <is>
          <t>**Who We Are**
 SiriusXM and its brands (Pandora, SiriusXM Media, AdsWizz, Simplecast, and SiriusXM Connect) are leading a new era of audio entertainment and services by delivering the most compelling subscription and ad\-supported audio entertainment experience for listeners \-\- in the car, at home, and anywhere on the go with connected devices. Our vision is to shape the future of audio, where everyone can be effortlessly connected to the voices, stories and music they love wherever they are.
 This is the place where a diverse group of emerging talent and legends alike come to share authentic and purposeful songs, stories, sounds and insights through some of the best programming and technology in the world. Our critically\-acclaimed, industry\-leading audio entertainment encompasses music, sports, comedy, news, talk, live events, and podcasting. No matter their individual role, each of our employees plays a vital role in bringing SiriusXM’s vision to life everyday.
**SiriusXM**
 SiriusXM is the leading audio entertainment company in North America, and the premier programmer and platform for subscription and digital advertising\-supported audio products. SiriusXM’s platforms collectively reach approximately 150 million listeners, the largest digital audio audience across paid and free tiers in North America, and deliver music, sports, talk, news, comedy, entertainment and podcasts. Pandora, a subsidiary of SiriusXM, is the largest ad\-supported audio entertainment streaming service in the U.S. SiriusXM's subsidiaries Simplecast and AdsWizz make it a leader in podcast hosting, production, distribution, analytics and monetization. The Company’s advertising sales organization, which operates as SXM Media, leverages its scale, cross\-platform sales organization and ad tech capabilities to deliver results for audio creators and advertisers. SiriusXM, through Sirius XM Canada Holdings, Inc., also offers satellite radio and audio entertainment in Canada. In addition to its audio entertainment businesses, SiriusXM offers connected vehicle services to automakers.
**How You’ll Make An Impact**
* Create strategic clarity: Co\-own Auto Client Enablement domain strategy, multi\-year sequencing, and roadmap execution with Product and Engineering, translating strategy into delivery commitments.
* Accelerate technical decisions: Apply architectural literacy across the technology stack (OEM/hardware constraints, platform services, APIs, and data flows) to surface dependencies, frame tradeoffs, and reduce delivery risk.
* Deliver measurable outcomes: Drive cross\-functional alignment and launch high\-impact initiatives that improve consumer experiences and deliver meaningful business value.
**What You’ll Do**
* Serve as the domain subject matter expert and go\-to delivery leader, co\-owning domain health and strategy while aligning Product, Engineering, and Operations on outcomes, constraints, and execution plans.
* Drive end\-to\-end delivery of large, cross\-organizational initiatives spanning multiple engineering teams—from planning through launch—ensuring clear scope, milestones, and accountability.
* Maintain an integrated domain delivery plan across concurrent initiatives, including sequencing, capacity, dependencies, and operational readiness.
* Establish and run the domain operating cadence (standups where needed, planning/refinement/release, program reviews, retrospectives), removing blockers and ensuring consistent execution.
* Partner with Product to ensure backlog health (prioritization, story readiness, acceptance criteria) and to drive timely decisions amid priority conflicts.
* Map and maintain domain\-level architectural dependencies and cross\-team integration plans, proactively managing technical interfaces and dependency risk.
* Use data to drive sustainable planning and transparent tradeoffs (capacity, velocity, quality, technical debt), presenting scenario\-based options and recommendations to support prioritization decisions.
* Proactively identify, forecast, and mitigate program risks and issues, communicating mitigation plans and status clearly to stakeholders.
 Continuously improve governance and delivery processes to increase predictability, execution quality, and domain health over time.
**What You’ll Need**
* 7\+ years of experience in a technical role in software development organizations, including 5\+ years leading cross\-functional programs as a Technical Program Manager, Technical Project Manager, and/or Scrum Master.
* Proven track record of managing complex, multi\-team software development programs with a variety of stakeholders, including teams operating across varying levels of Agile maturity and hybrid delivery models.
* Strong ability to distill ambiguous, complex problems into clear plans, actionable milestones, and decision points.
* Deep knowledge of SDLC and release practices, with the judgment to tailor processes to context (Agile, hybrid, or traditional).
* Strong technical credibility and architectural literacy (e.g., participating in design/architecture reviews; understanding CI/CD and testing practices; reasoning about APIs, services, and data flows).
* Excellent written and verbal communication skills, including the ability to facilitate collaborative decision\-making across Product and Engineering leaders.
* Experience with release planning/management and risk identification, reporting, and mitigation.
* Must have legal authorization to work in the U.S.
 At SiriusXM, we carefully consider a wide range of factors when determining compensation, including your background and experience. These considerations can cause your compensation to vary. We expect the base salary for this position to be in the range of $145,000 to $179,250 and will depend on your skills, qualifications, and experience. Additionally, this role might be eligible for discretionary short\-term and long\-term incentives. We encourage all interested candidates to apply.
 Our goal at SiriusXM is to provide and maintain a work environment that fosters mutual respect, professionalism and cooperation. SiriusXM is an equal opportunity employer that does not discriminate on the basis of actual or perceived race, creed, color, religion, national origin, ancestry, alienage or citizenship status, age, disability or handicap, sex, gender identity, marital status, familial status, veteran status, sexual orientation or any other characteristic protected by applicable federal, state or local laws.
 The requirements and duties described above may be modified or waived by the Company in its sole discretion without notice.
 R\-2025\-07\-21</t>
        </is>
      </c>
    </row>
    <row r="88">
      <c r="A88" t="inlineStr">
        <is>
          <t>li-4356632400</t>
        </is>
      </c>
      <c r="B88" t="inlineStr">
        <is>
          <t>Construction Program Manager</t>
        </is>
      </c>
      <c r="C88" t="inlineStr">
        <is>
          <t>Ritchie Bros.</t>
        </is>
      </c>
      <c r="D88" t="inlineStr">
        <is>
          <t>linkedin</t>
        </is>
      </c>
      <c r="E88" t="inlineStr"/>
      <c r="F88" t="inlineStr"/>
      <c r="G88" t="inlineStr">
        <is>
          <t>Westchester, IL</t>
        </is>
      </c>
      <c r="H88" t="inlineStr"/>
      <c r="I88" t="inlineStr">
        <is>
          <t>**About Us**
 IAA Holdings, LLC (IAA)
 IAA Holdings, LLC (IAA), a Ritchie Bros. Auctioneers company (NYSE: RBA) and (TSX: RBA), is a trusted global marketplace for insights, services, and transaction solutions for commercial assets and vehicles. Leveraging leading\-edge technology and focusing on innovation, IAA’s unique platform facilitates the marketing and sale of total\-loss, damaged and low\-value vehicles. IAA serves a global buyer base – located throughout over 170 countries – and a full spectrum of sellers, including insurers, dealerships, fleet lease and rental car companies, and charitable organizations. Buyers have access to multiple digital bidding and buying channels, innovative vehicle merchandising, and efficient evaluation services, enhancing the overall purchasing experience. IAA offers sellers a comprehensive suite of services aimed at maximizing vehicle value, reducing administrative costs, shortening selling cycle time and delivering the highest economic returns.
 RB Global full\-time employees are offered medical, dental, vision, and basic life insurances. Employees are able to enroll in our company’s 401k plan and RB Global will match 100% for the first 4% contributed. Employees will also receive 15 days of PTO each year.
**About The Team**
 As a global company, our corporate teams support billions of dollars in equipment sales every year.
 In joining our corporate services teams, you will be ensuring the business runs smoothly in your respective verticals and supporting the overall business to achieve our core objectives.
 Every day your work will make a difference in the way we run our business and the in the way customers interact with us.
**Job Description**
 The Construction Program Management position will report directly to the Sr. Director, Construction and is responsible for supporting the Real Estate/Construction department on all stages of a construction project and processes. This position will be responsible for day\-to\-day tasks including due diligence support, project transitions \&amp; closeouts, arranging and running team meetings, purchase order generation and project financial support, /monthly/annual reporting and mapping/material creation as required. The successful candidate will have a strong understanding of real estate \&amp; construction projects, excellent analytical skills, and the ability to communicate effectively with all stakeholders. This is a hybrid role based out of or Westchester, IL location.
**Responsibilities**
 Responsibilities:
* Manage due diligence requirements (survey, zoning, titles, environmental studies, etc.)
* Function as the connection between Development \&amp; Construction teams to ensure seamless project transitions and closeouts
* Manages entire global project tracking system and recurring project updates and reports with the Construction team while managing the Construction filing system
* Coordinate and work with financial and payment system(s) to manage purchase orders, invoices, new vendor setup, etc
* Collaborate with Real Estate, Construction, Legal, Finance/Accounting, and Operations to assist with current project status updates, delivery dates and existing site exits
* Responsible for utility set\-up, transfers, and closeouts
* Running and arranging meetings and taking minutes
* Assist in special projects and assignments for the Real Estate/Construction team, as required
**Qualifications**
 Experience:
* 2\-5 years experience in a related role, or a combination of education and experience
* Strong attention to detail
* Ability to work cross functionally with multiple stakeholders
* Diploma/Degree in Construction, Program/Process Management, Financial or any related field</t>
        </is>
      </c>
    </row>
    <row r="89">
      <c r="A89" t="inlineStr">
        <is>
          <t>li-4367443361</t>
        </is>
      </c>
      <c r="B89" t="inlineStr">
        <is>
          <t>Clinical Research Program Manager B (Center for Addiction Medicine and Policy)</t>
        </is>
      </c>
      <c r="C89" t="inlineStr">
        <is>
          <t>Inside Higher Ed</t>
        </is>
      </c>
      <c r="D89" t="inlineStr">
        <is>
          <t>linkedin</t>
        </is>
      </c>
      <c r="E89" t="inlineStr"/>
      <c r="F89" t="inlineStr"/>
      <c r="G89" t="inlineStr">
        <is>
          <t>Philadelphia, PA</t>
        </is>
      </c>
      <c r="H89" t="inlineStr"/>
      <c r="I89" t="inlineStr">
        <is>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Clinical Research Program Manager B (Center for Addiction Medicine and Policy)
**Job Profile Title**
 Clinical Research Program Manager B
**Job Description Summary**
 Cultivating national, statewide, and local relationships to ensure policies align with the mission of the department. Grant writing to ensure the
 program is financially sustainable. Managing the Careconnect team to provide stellar patient care. Work closely with our research director for
 publication opportunities to disseminate the work.
**Job Description**
**Job Responsibilities**
* Lead the design and implementation of new treatment pathways for OUD across the Penn Health System and regional partners
* Supervise and train substance use navigators and other CareConnect team members
* Collaborate with research staff to support study implementation, data collection, and dissemination
* Provide direct patient care support in a clinical setting
* Lead stigma\-reduction initiatives and trainings across departments and clinical sites
* Represent the program in local, state, and national policy discussions and advocacy efforts
* Write and manage grants, including budgeting and reporting
* Other duties as assigned
**Qualifications**
* Bachelor's degree and 5 \-7 years of related experience or equivalent combination of education and experience is required. Master's degree and 3 \- 5 years of experience preferred.
 Position is contingent upon continued funding.
**Job Location \- City, State**
 Philadelphia, Pennsylvania
**Department / School**
 Perelman School of Medicine
**Pay Range**
 $74,500\.00 \- $89,789\.00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 Tuition: Take advantage of Penn's exceptional tuition benefits. You, your spouse, and your dependent children can get tuition assistance here at Penn. Your dependent children are also eligible for tuition assistance at other institutions.
* Retirement: Penn offers generous retirement plans to help you save for your future. Penn's Basic, Matching, and Supplemental retirement plans allow you to save for retirement on a pre\-tax or Roth basis. Choose from a wide variety of investment options through TIAA and Vanguard.
* Time Away from Work: Penn provides you with a substantial amount of time away from work during the course of the year. This allows you to relax, take vacations, attend to personal affairs, recover from illness or injury, spend time with family\-whatever your personal needs may be.
*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 Professional and Personal Development: Penn provides an array of resources to help you advance yourself personally and professionally.
*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 Flexible Work Hours: Flexible work options offer creative approaches for completing work while promoting balance between work and personal commitments. These approaches involve use of non\-traditional work hours, locations, and/or job structures.
* Penn Home Ownership Services: Penn offers a forgivable loan for eligible employees interested in buying a home or currently residing in West Philadelphia, which can be used for closing costs or home improvements.
* Adoption Assistance: Penn will reimburse eligible employees on qualified expenses in connection with the legal adoption of an eligible child, such as travel or court fees, for up to two adoptions in your household.
 To learn more, please visit: https://www.hr.upenn.edu/PennHR/benefits\-pay
*Equal Employment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**To apply, visit https://wd1\.myworkdaysite.com/en\-US/recruiting/upenn/careers\-at\-penn/job/Presbyterian\-Medical\-Center/Clinical\-Research\-Program\-Manager\-C\_JR00110170\-1**
 Copyright ©2025 Jobelephant.com Inc. All rights reserved.
 Posted by the FREE value\-added recruitment advertising agency
 jeid\-2ba7b6e9579d6b44a7a9f2dcc96d2f8a</t>
        </is>
      </c>
    </row>
    <row r="90">
      <c r="A90" t="inlineStr">
        <is>
          <t>li-4315382534</t>
        </is>
      </c>
      <c r="B90" t="inlineStr">
        <is>
          <t>Program Manager – Digital Solutions Deployment</t>
        </is>
      </c>
      <c r="C90" t="inlineStr">
        <is>
          <t>Prysmian</t>
        </is>
      </c>
      <c r="D90" t="inlineStr">
        <is>
          <t>linkedin</t>
        </is>
      </c>
      <c r="E90" t="inlineStr"/>
      <c r="F90" t="inlineStr"/>
      <c r="G90" t="inlineStr">
        <is>
          <t>Highland Heights, KY</t>
        </is>
      </c>
      <c r="H90" t="inlineStr"/>
      <c r="I90" t="inlineStr">
        <is>
          <t>Prysmian is the world leader in the energy and telecom cable systems industry. Each year Prysmian manufacturers
 **thousands of miles of underground and submarine cables** 
 and
 **systems for power transmission and distribution** 
 , as well as
 **medium low voltage cables** 
 for the construction and infrastructure sectors. We also produce a comprehensive range of
 **optical fibers, copper cables and connectivity** 
 for
 **voice, video, and data transmission** 
 for the
 **telecommunication sector** 
 .
 We are 30,000 employees, across 50\+ countries. Everyone at Prysmian has the potential to make their mark; because whatever you do, wherever you are based, you will be part of a company that is helping transform the world around us. Make Your Mark at Prysmian!
**Summary**
 The Program Manager – Digital Solutions Deployment will serve as the corporate subject matter expert responsible for leading the rollout of digital programs across multiple sites. This role will partner directly with site leadership to develop customized rollout strategies, coordinate cross\-functional efforts, and ensure successful program adoption while meeting corporate and site\-specific requirements. The Program Manager will manage project timelines, drive communication between stakeholders at all organizational levels, and identify and mitigate risks proactively. After successful implementation of the initial program, the Program Manager will lead subsequent deployments for future digital initiatives. This position is remote and ideally located near Highland Heights, KY; Marion, IN; Lexington, SC; Lawrenceburg, KY or Williamsport, PA.
**Key Responsibilities**
* Partner with site leadership teams to design comprehensive digital program rollout strategies tailored to site\-specific needs
* Manage project plans, timelines, resources, and deliverables across multiple sites simultaneously
* Act as the corporate subject matter expert (SME) for program implementation, ensuring alignment with corporate objectives and standards
* Coordinate cross\-functional efforts between corporate, site, and vendor stakeholders
* Communicate program status, risks, and opportunities effectively to executive leadership and site teams
* Develop and maintain detailed project documentation, including playbooks, rollout templates, and lessons learned
* Proactively identify risks and obstacles, drive resolution, and escalate critical issues when necessary
* Conduct site visits to facilitate rollout activities, provide onsite support, and build relationships with local teams
* Deliver executive\-level presentations on program status, milestones, and outcomes
* Support the continuous improvement of deployment processes for future digital initiatives
**Required Qualifications**
* Bachelor’s degree in a relevant field (Business, Engineering, Information Systems, or related disciplines)
* Minimum 2\+ years of experience in project management roles
* Demonstrated experience working within manufacturing, industrial, or operational environments
* Strong technical aptitude, with the ability to quickly learn and apply digital platforms, technology tools, and system workflows
* Excellent communication skills with the ability to collaborate across all organizational levels, from executive leadership to shop floor employees
* Highly organized and proactive, capable of managing multiple priorities in fast\-paced environments
* Willingness and ability to travel up to 50% as needed, with heavier travel during rollout periods
* Travel up to 50% is required, with heavier travel periods during active program rollouts.
**Preferred Qualifications**
* PMP certification (or other recognized project management certifications)
* Experience leading or supporting multi\-site technology rollouts
* Familiarity with digital transformation initiatives or deployment of enterprise digital solutions (e.g., MES, ERP upgrades, digital shop floor systems)
**Work Environment And Physical Requirements**
* This role operates in both corporate office and manufacturing site environments.
* Personal Protective Equipment (PPE) will be required while visiting or working at manufacturing sites.
* Must be able to stand and walk for extended periods during site visits, including during plant tours, rollout support, and on\-site troubleshooting.
* Travel up to 50% is required, with heavier travel periods during active program rollouts.
*Prysmian, as an Equal Opportunity Employer, aims to attract and recruit individuals with diverse backgrounds, skills, and abilities. We strongly believe that diversity brings significant value at all levels of the organization, increasing the possibility of capturing market opportunities and maximizing value for our customers and stakeholders. With Diversity, Equity, and Inclusion (DE\&amp;I) as part of our Social Ambition 2030 and a strategic pillar of our Company culture, Prysmian is committed to the development of an organization that prioritizes talent, where people feel respected, included, and free to fully express their potential just as they are.*
*All Managers and HRs in Prysmian are responsible for ensuring DE\&amp;I policies are respected during the recruiting process, as well as recognizing and mitigating unconscious biases that must not influence our selection processes. All persons will be considered for employment without regard to their race, ethnicity, religion, nationality, origin, citizenship status, socio\-economic status, age, sex, gender identity or expression, sexual orientation, marital status, disability, military service or veteran status, pregnancy, parental leave, medical conditions, or any other characteristic protected by applicable federal, state or local laws. Prysmian will endeavor to make a reasonable accommodation for any disclosed physical or neurological condition or disability of a qualified applicant unless the accommodation would impose an undue hardship on the operation of our business.*
*Visit our DE\&amp;I Page* 
*to learn more about Prysmian’s commitments.*
 Your application data will be treated according to our Data Protection Policy. If you believe you require assistance to complete this form or to participate in an interview, please contact us at talent.mobility@prysmiangroup.com.
 https://www.dol.gov/sites/dolgov/files/ofccp/regs/compliance/posters/pdf/eeopost.pdf
 https://www.dol.gov/sites/dolgov/files/OFCCP/regs/compliance/posters/pdf/22\-088\_EEOC\_KnowYourRights.pdf
 https://www.dol.gov/sites/dolgov/files/OFCCP/pdf/pay\-transp\_%20English\_formattedESQA508c.pdf</t>
        </is>
      </c>
    </row>
    <row r="91">
      <c r="A91" t="inlineStr">
        <is>
          <t>li-4331952063</t>
        </is>
      </c>
      <c r="B91" t="inlineStr">
        <is>
          <t>Slalom Flex (Project Based) – Senior Program Manager, ERP</t>
        </is>
      </c>
      <c r="C91" t="inlineStr">
        <is>
          <t>Slalom</t>
        </is>
      </c>
      <c r="D91" t="inlineStr">
        <is>
          <t>linkedin</t>
        </is>
      </c>
      <c r="E91" t="inlineStr"/>
      <c r="F91" t="inlineStr"/>
      <c r="G91" t="inlineStr">
        <is>
          <t>Dallas, TX</t>
        </is>
      </c>
      <c r="H91" t="inlineStr"/>
      <c r="I91" t="inlineStr">
        <is>
          <t>**Role:** 
 Slalom Flex (Project Based) – Senior Program Manager, ERP
**Location:** 
 Remote supporting MST working hours,
 **must be available for occasional international travel**
**Who You’ll Work With**
 Our teams help organizations of all kinds redefine what’s possible, give shape to the future – and get there. We focus on high\-impact projects, meeting our clients where they are to uncover business needs and deliver results. Our teams go beyond the expected to help clients move confidently through ambiguity and risk and drive more transformative outcomes.
 This position will partner with a client team to lead a vendor\-led ERP program. The Senior Program Manager will own cross\-workstream orchestration, executive communication, and practical guidance that helps the client understand timeline, impacts, and resource planning.
**What You’ll Do**
* Program orchestration \&amp; governance
* Timeline \&amp; impact clarity
* Resource planning \&amp; budgeting support
* Vendor\-led implementation management
* Executive communication \&amp; leadership coaching
* Risk, issue, and change management
* Stakeholder liaison
* Liaison with and guide senior leadership
**What You’ll Bring**
* 10\+ years leading complex, cross\-functional programs and turnarounds
* Hands\-on ERP implementation experience
* Must have large\-scale ERP program mgmt experience
* Must have worked with dozens to hundreds of vendors
* Strong executive presence and ability to interface with, guide and support senior leadership
* Exceptional program management experience
* Experience leading complex projects and project turnarounds
* Familiarity with vendor\-led implementations, working across third parties and FTE teams
* Exceptional communication and liaison skills
* Consulting experience
* Ability to travel to Germany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the hourly pay range is $80 to $95/HR depending on experience. Actual compensation will depend upon an individual’s skills, experience, qualifications, location, and other relevant factors. The hourly pay range is subject to change and may be modified at any time.
**EEO and Accommodations**
*Slalom is an equal\-opportunity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applications on an ongoing basis through January 30, 2026*</t>
        </is>
      </c>
    </row>
    <row r="92">
      <c r="A92" t="inlineStr">
        <is>
          <t>li-4305911004</t>
        </is>
      </c>
      <c r="B92" t="inlineStr">
        <is>
          <t>Infrastructure InterAZ Technical Program Manager, Global Connectivity Infrastructure Delivery - Fiber Deployment</t>
        </is>
      </c>
      <c r="C92" t="inlineStr">
        <is>
          <t>Amazon Web Services (AWS)</t>
        </is>
      </c>
      <c r="D92" t="inlineStr">
        <is>
          <t>linkedin</t>
        </is>
      </c>
      <c r="E92" t="inlineStr"/>
      <c r="F92" t="inlineStr"/>
      <c r="G92" t="inlineStr">
        <is>
          <t>Herndon, VA</t>
        </is>
      </c>
      <c r="H92" t="inlineStr"/>
      <c r="I92" t="inlineStr">
        <is>
          <t>**Description**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is looking for a Technical Infrastructure Program Manager to support and deploy one of the world’s largest and most complex telecommunication networks. The role is responsible for the execution of a strategic plan to improve the business processes and deployment of hyperscaled cloud infrastructure, creation of a quality control system for North and South America (NASA), pre/post\-inspections for design validation, and piloting stakeholder communication for delivery schedules. This opportunity is within the Global Connectivity Infrastructure Delivery \- Fiber Deployment organization, which is responsible for project management, quality and delivery of fiber capacity for the physical network solutions that drive Amazon’s internal infrastructure and connect our services to the world.
 Key job responsibilities
* Report to the NASA GCID\-FD Deployment Manager, and updates regularly with the NASA and Global Senior management.
* Serve as a key member of the North and South America GCID\-FD team helping to drive overall Network Infrastructure strategy.
* Vendor management to deploy on time, measure progress, and rate through quality Key performance Indicators.
* Develop a focused quality management program that tracks defects, mitigates risks, standardizes root cause analysis, and implements key performance measures to rate vendor success.
* Create and standardize reporting mechanisms for the MFP\&amp;A group and provide regular progress updates on program deployment to management and stakeholders.
* Periodically report on the overall network development program status across the assigned region.
* Manage and track approved network plans with internal customers and stakeholders such as technical business developers or construction vendors until the infrastructure is in service.
* Manage multiple competing cross\-functional projects/programs simultaneously, some on a global scale.
* Interact with engineers, technicians, vendors and senior management on a daily basis
* Physically audit completed construction work, review fiber test results, and hand\-off completed delivery to internal customers
* Run meetings, create and maintain timelines, and keep large, diverse groups informed of progress and obstacles.
* Anticipate bottlenecks, manage risk and escalations, and balance the business needs versus technical constraints.
* Coordinate access and approvals to security\-regulated sites.
* Develop, maintain, and adjust network maintenance schedules with an emphasis on flexibility and minimal disruption.
* Provide input to cross\-functional teams on fiber delivery, planning, and scheduling from a deployment perspective.
* Assess field conditions and ground realities to determine optimal deployment methods for smooth customer handoff.
 A day in the life
 This role oversees deployment of infrastructure, and iterative procedural changes. This includes travel to the field, generation of weekly reports, and updating standards and specifications for a global deployment team. This position requires onsite visits to physical locations and is not a full\-time remote job. Physical inspections and learning the technical standards for outside and inside fiber plant is required.
**About The Team**
 The Global Infrastructure Fiber Deployment team is the premier cloud infrastructure delivery organization, drawing on a wide variety of skills and backgrounds from telecommunications, civil engineering, fiber characterization and network planning backgrounds. The team constructs and delivers bleeding edge hyperscale networks across the North and South American regions.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3\+ years of technical infrastructure management experience
* Knowledge of best practices and emerging technologies, related to infrastructure (i.e. network, data center, hardware, software)
* Experience with varying scenarios of infrastructure builds
**Preferred Qualifications**
* Horizontal Utility Civil experience
* Fiber Splicing and Testing
* Inline Amplifier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Data Services, Inc.
 Job ID: A3092431</t>
        </is>
      </c>
    </row>
    <row r="93">
      <c r="A93" t="inlineStr">
        <is>
          <t>li-4367246948</t>
        </is>
      </c>
      <c r="B93" t="inlineStr">
        <is>
          <t>Health &amp; Safety Program Manager</t>
        </is>
      </c>
      <c r="C93" t="inlineStr">
        <is>
          <t>Integrated DNA Technologies</t>
        </is>
      </c>
      <c r="D93" t="inlineStr">
        <is>
          <t>linkedin</t>
        </is>
      </c>
      <c r="E93" t="inlineStr"/>
      <c r="F93" t="inlineStr"/>
      <c r="G93" t="inlineStr">
        <is>
          <t>Coralville, IA</t>
        </is>
      </c>
      <c r="H93" t="inlineStr"/>
      <c r="I93" t="inlineStr">
        <is>
          <t>**Bring more to life.**
 Are you ready to accelerate your potential and make a real difference within life sciences, diagnostics and biotechnology?
 At Integrated DNA Technologies (IDT),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Our team at Integrated DNA Technologies (IDT), is united by a commitment to collaboration and scientific excellence, building on a strong foundation of innovation, expertise, and reliability. Guided by our vision to help researchers rapidly move from the lab to life\-changing advances, we work closely with global partners to accelerate progress and genomics breakthroughs across fields like cancer, infectious disease, rare genetic disorders, and more. At IDT, you’ll be part of a culture rooted in continuous learning and improvement—where your growth fuels our mission to accelerate the pace of genomics and helps shape a healthier, brighter future for all.
 Learn about the Danaher Business System which makes everything possible.
 The
 **Health \&amp; Safety Program Manager** 
 is responsible for managing system safety programs and chemical compliance processes to ensure a safe and compliant operational environment. This role drives significant impact by developing standards, automating approvals, and maintaining critical safety programs.
 This position reports to the Director of EHS, is part of a multi\-site and operating company Environment, Health \&amp; Safety Team and will be an on\-site role at one of the IDT or Aldevron locations.
**In This Role, You Will Have The Opportunity To**
* Ensures Occupational Health \&amp; Safety performance through the development, implementation, management and collaboration of health and safety programs across US and international sites.
* Drives critical occupational health \&amp; safety programs such as Injury/Illness Reporting \&amp; Investigation, Hazard Communication, Respiratory Protection, Control of Hazardous Energy, Chemical Handling \&amp; Storage, Biological Safety, Fire Prevention, Ergonomics, etc. to reduce risks and company costs.
* Exhibits a working knowledge of federal, state, and local health and safety regulations.
* Identifies, prioritizes, mitigates, and communicates health \&amp; safety compliance risks to the organization.
* Assess and improve safety performance sites assessments and driving continuous improvement by establishing performance targets, data analysis and reporting.
**The Essential Requirements Of The Job Include**
* Bachelor’s degree in Occupational Health \&amp; Safety, Environmental Science, or related field.
* 3 to 5 years of experience in health and safety program management.
* Knowledge of regulatory requirements and safety frameworks.
* Strong analytical and project management skills.
* Strong leadership and excellent in communication skills.
**Travel, Motor Vehicle Record \&amp; Physical/Environment Requirements:** 
*if applicable for role*
* Ability to travel as required (up to 10%, including overnight stays)
**It would be a plus if you also possess previous experience in:**
* Experience with ergonomics and industrial hygiene programs
* Familiarity with global health and safety audits and compliance tools
 IDT, a Danaher operating company, offers a broad array of comprehensive, competitive benefit programs that add value to our lives. Whether it’s a health care program or paid time off, our programs contribute to life beyond the job. Check out our benefits at Danaher Benefits Info.
 The annual salary range for this role is $91,000\- $100,000\. This is the range that we in good faith believe is the range of possible compensation for this role at the time of this posting. This range may be modified in the future.
 This job is also eligible for bonus/incentive pay.
 We offer comprehensive package of benefits including paid time off, medical/dental/vision insurance and 401(k) to eligible employees.
*Note* 
 :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
 Danaher Corporation and all Danaher Companies are committed to equal opportunity regardless of race, color, national origin, religion, sex, age, marital status, disability, veteran status, sexual orientation, gender identity, or other characteristics protected by law.
 The U.S. EEO posters are available here.
 We comply with federal and state disability laws and make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contact:1\-202\-419\-7762 or applyassistance@danaher.com.</t>
        </is>
      </c>
    </row>
    <row r="94">
      <c r="A94" t="inlineStr">
        <is>
          <t>li-4367240648</t>
        </is>
      </c>
      <c r="B94" t="inlineStr">
        <is>
          <t>Senior Living Program Manager (Nurse / Therapist)</t>
        </is>
      </c>
      <c r="C94" t="inlineStr">
        <is>
          <t>BAYADA Home Health Care</t>
        </is>
      </c>
      <c r="D94" t="inlineStr">
        <is>
          <t>linkedin</t>
        </is>
      </c>
      <c r="E94" t="inlineStr"/>
      <c r="F94" t="inlineStr"/>
      <c r="G94" t="inlineStr">
        <is>
          <t>Charlottesville, VA</t>
        </is>
      </c>
      <c r="H94" t="inlineStr"/>
      <c r="I94" t="inlineStr">
        <is>
          <t>**BAYADA Senior Living Solutions** 
 , a specialty offering of BAYADA Home Health Care, was created to address the unique needs of senior living communities, and their residents, in several significant ways. As the
 **Senior Living Program Manager** 
 , you will be a dynamic influencer managing solutions for communities and their residents throughout our unique continuum of care in Senior Living
 ***.***
 Are you a solutions\-oriented, team\-focused
 **Registered Nurse, Licensed Practical Nurse or Therapist (Physical Therapist, Occupational Therapist, Speech Language Pathologist, Physical Therapy Assistant or Certified Occupational Therapy Assistant)?** 
 Do you have a passion for relationship development and the ability to create alignment to common goals across multiple levels of management? Would you like to be viewed as a trusted advisor and senior living expert with the conviction to deliver an exceptional product to customers and clients? If so, the Senior Living Program Manager position may be the opportunity you have been searching for!
**Territory:** 
 Staunton, Harrisonburg, Charlottesville and Lexington, VA
**Responsibilities:**
 As the
 **Senior Living** 
**Program Manager,** 
 you will be a key team member developing and implementing unique solutions to help the communities and residents we serve meet their goals. Additionally, you will exemplify our commitment to excellence by strategically treating patients and ensuring best practices are carried out by all team members to deliver on our differentiated offerings. Through the utilization of outcome driven data analytics, this role will analyze key metrics and develop plans to create customized programming and offerings for those we serve. Opportunities for advancement are in place with a career ladder to inspire professional growth.
**Qualifications:**
* Current VA licensure as a Registered Nurse, Licensed Practical Nurse, Physical Therapist, Occupational Therapist, Speech Language Pathologist, Physical Therapy Assistant or Certified Occupational Therapy Assistant
* Demonstrated business development experience
* Strong communication skills across multiple levels and multiple platforms
* Home Health and/ or Outpatient experience is desirable
 BAYADA believes that our employees are our greatest asset:
* BAYADA offers a comprehensive benefits plan that includes the following: Paid holidays, vacation and sick leave, vision, dental and medical health plans, employer paid life insurance, 401k with company match, direct deposit and employee assistance program.
**As an accredited, regulated, certified, and licensed home health care provider, BAYADA complies with all state/local mandates.**
 BAYADA is celebrating 50 years of compassion, excellence, and reliability. Learn more about our 50th anniversary celebration and how you can join in here.
 BAYADA Home Health Care, Inc., and its associated entities and joint venture partners, are Equal Opportunity Employers. All employment decisions are made on a non\-discriminatory basis without regard to sex, race, color, age, disability, pregnancy or maternity, sexual orientation, gender identity, citizenship status, military status, or any other similarly protected status in accordance with federal, state and local laws. Hence, we strongly encourage applications from people with these identities or who are members of other marginalized communities.</t>
        </is>
      </c>
    </row>
    <row r="95">
      <c r="A95" t="inlineStr">
        <is>
          <t>li-4367609374</t>
        </is>
      </c>
      <c r="B95" t="inlineStr">
        <is>
          <t>Product Manager</t>
        </is>
      </c>
      <c r="C95" t="inlineStr">
        <is>
          <t>Hirenza</t>
        </is>
      </c>
      <c r="D95" t="inlineStr">
        <is>
          <t>linkedin</t>
        </is>
      </c>
      <c r="E95" t="inlineStr"/>
      <c r="F95" t="inlineStr"/>
      <c r="G95" t="inlineStr"/>
      <c r="H95" t="inlineStr"/>
      <c r="I95" t="inlineStr">
        <is>
          <t>**About The Company**
 Databricks Inc. is a leading provider of unified data analytics solutions, dedicated to helping organizations unlock the full potential of their data. Founded by the original creators of Apache Spark, Databricks offers a cloud\-based platform that simplifies data engineering, data science, and machine learning workflows. With a focus on innovation and scalability, the company empowers enterprises across various industries to accelerate their digital transformation initiatives. Committed to fostering a collaborative and inclusive work environment, Databricks continuously invests in cutting\-edge technology and talent to deliver exceptional value to its clients worldwide.
**About The Role**
 We are seeking a highly skilled and motivated Data Engineer to join our dynamic team at Databricks. In this role, you will be responsible for designing, developing, and maintaining scalable data pipelines and infrastructure that support our data analytics and machine learning initiatives. You will collaborate closely with data scientists, analysts, and product teams to ensure the seamless flow of data across various systems, enabling actionable insights and business decisions. The ideal candidate will have a strong background in data architecture, programming, and cloud technologies, with a passion for solving complex data challenges in a fast\-paced environment.
**Qualifications**
* Bachelor’s or Master’s degree in Computer Science, Data Engineering, or a related field.
* Proven experience in building and maintaining large\-scale data pipelines and ETL processes.
* Strong proficiency in programming languages such as Python, Scala, or Java.
* Hands\-on experience with cloud platforms like AWS, Azure, or Google Cloud.
* Knowledge of data warehousing solutions and big data technologies such as Apache Spark, Hadoop, or Kafka.
* Understanding of database systems, both SQL and NoSQL.
* Excellent problem\-solving skills and the ability to work collaboratively in a team environment.
* Strong communication skills to effectively convey technical concepts to non\-technical stakeholders.
**Responsibilities**
* Design, develop, and optimize scalable data pipelines and workflows to support analytics and machine learning projects.
* Collaborate with data scientists, analysts, and product teams to understand data requirements and deliver solutions accordingly.
* Implement data quality and validation processes to ensure data integrity and accuracy.
* Maintain and enhance existing data infrastructure, troubleshooting issues as they arise.
* Automate data ingestion, transformation, and loading processes to improve efficiency and reliability.
* Participate in code reviews, documentation, and best practice development to ensure high\-quality deliverables.
* Stay updated with emerging data technologies and industry trends to continuously improve data architecture and processes.
**Benefits**
 Databricks offers a comprehensive benefits package designed to support the health, well\-being, and professional growth of our employees. This includes competitive salary packages, health insurance, retirement plans, and paid time off. Employees have access to ongoing training and development programs, fostering continuous learning and career advancement. The company promotes a flexible work environment with options for remote work and flexible hours. Additionally, employees enjoy a collaborative culture that values innovation, diversity, and inclusion, providing a stimulating environment to thrive and make impactful contributions.
 Equal Opportunity
 Databricks Inc. is an equal opportunity employer. We are committed to creating an inclusive environment where all employees and applicants are treated with respect and fairness regardless of race, color, religion, gender, sexual orientation, gender identity or expression, national origin, age, disability, or any other protected characteristic. We believe diversity enriches our workplace and drives innovation, and we actively seek to foster a culture of belonging and mutual respect.</t>
        </is>
      </c>
    </row>
    <row r="96">
      <c r="A96" t="inlineStr">
        <is>
          <t>li-4313023244</t>
        </is>
      </c>
      <c r="B96" t="inlineStr">
        <is>
          <t>Staff Product Manager, ML Auction</t>
        </is>
      </c>
      <c r="C96" t="inlineStr">
        <is>
          <t>Liftoff Mobile</t>
        </is>
      </c>
      <c r="D96" t="inlineStr">
        <is>
          <t>linkedin</t>
        </is>
      </c>
      <c r="E96" t="inlineStr"/>
      <c r="F96" t="inlineStr"/>
      <c r="G96" t="inlineStr">
        <is>
          <t>Redwood City, CA</t>
        </is>
      </c>
      <c r="H96" t="inlineStr"/>
      <c r="I96" t="inlineStr">
        <is>
          <t>Liftoff is a leading AI\-powered performance marketing platform for the mobile app economy. Our end\-to\-end technology stack helps app marketers acquire and retain high\-value users, while enabling publishers to maximize revenue across programmatic and direct demand.
 Liftoff’s solutions, including Accelerate, Direct, Monetize, Intelligence, and Vungle Exchange, support over 6,600 mobile businesses across 74 countries in sectors such as gaming, social, finance, ecommerce, and entertainment. Founded in 2012 and headquartered in Redwood City, CA, Liftoff has a diverse, global presence.
 We are looking for a seasoned Product Manager with a solid foundation in machine learning (ML) to spearhead the development and optimization of our Supply\-Side Platform (SSP). The ideal candidate will leverage deep ML expertise to enhance the supply ecosystem and auction dynamics. This role requires an initiative\-taking individual who can collaborate with various teams. They should be able to make complex machine learning concepts easy to understand for senior managers. Additionally, they will contribute to developing the SSP strategy.
**Key Responsibilities:**
* SSP Strategy \&amp; Development: Define and execute the product roadmap for Liftoff's Yield SSP, ensuring alignment with company objectives and market needs.
* Auction Dynamics Optimization: Analyze and enhance auction mechanisms to maximize yield and efficiency for our partners and clients.
* Machine Learning Integration: Collaborate with Machine Learning Engineers to incorporate sophisticated ML models into the SSP. These models will enhance ad targeting, bidding strategies, and the platform's overall efficiency.
* Cross\-Functional Collaboration: Work alongside engineering, data science, sales, and marketing teams to ensure seamless product development and deployment.
* Stakeholder Communication: Successfully communicate product vision, progress, and technical details to both technical teams and non\-technical senior leadership translating complex ML and technical concepts into clear business insights.
* Market Analysis: Stay abreast of industry trends, competitor offerings, and emerging technologies to inform product strategy and maintain a competitive edge.
* Performance Monitoring: Define key goals (KPIs) and regularly review data to track product performance. Adjust strategies as necessary to meet business objectives.
**Requirements**
* Educational Background: 8 years related experience with a Bachelor's; 6 years with a Master's degree in Computer Science, Engineering, Business, or a related field.
* Industry Experience: Minimum of 5 years in product management roles, with at least 2 years of experience in hands\-on machine learning or data science.
* Machine Learning Proficiency: Solid comprehension of ML concepts and experience collaborating with MLEs to integrate ML solutions into products.
* Analytical Skills: Strong data analysis capabilities with a track record of making data\-driven product decisions.
* Communication Skills: Great at making complex technical concepts understandable to everyone, including top managers and non\-technical individuals.
* Leadership \&amp; Collaboration: Takes charge in teams made up of different roles. Actively works to solve problems and oversees projects.
**Nice to have:**
* Previous Data Scientist.
* One year focused on supply\-side platforms, programmatic advertising, or related fields.
* Auction Dynamics Expertise: Proven experience in designing, analyzing, and optimizing auction\-based systems within digital advertising ecosystems.
**Why Join Liftoff?**
* Innovative Environment: Be part of a company at the forefront of mobile app marketing, utilizing cutting\-edge technologies to drive results.
* Professional Growth: Opportunities for continuous learning and career advancement in a dynamic industry.
* Collaborative Culture: Work with a diverse team of talented professionals who are passionate about delivering excellence.
* Comprehensive Benefits: Competitive salary, health benefits, and other perks to support your well\-being.
*Working at Liftoff is fast\-paced, fun, and challenging, and we thrive on innovation. Come join the rocket ship and help shape the future of the mobile app ecosystem with us!*
**Location:**
 This role is eligible for full\-time remote work in California or near one of our US hubs in Redwood City or Los Angeles. This position is located in the Pacific Time Zone.
**Travel Expectations:**
 We offer several opportunities for in\-person team gatherings, including but not limited to project meetings, regional meetups, and company\-wide events. We expect our employees to attend these gatherings at least once per quarter. These gatherings provide essential opportunities for collaboration, communication, and team building.
 This position will require travel at least once per quarter to Beijing to work with the ML team.
**Compensation:**
 Liftoff offers all employees a full compensation package that includes equity and health/vision/dental benefits associated with your country of residence. Base compensation will vary based on candidate's location and experience.
 The following are our base salary ranges for this role:
* SF Bay Area/Los Angeles/Orange County/Seattle: $225,000 \- $275,000
* San Diego, Santa Barbara and all other cities and towns in our approved states: $210,000 \- $255,000
 We use Covey as part of our hiring and / or promotional process for jobs in NYC and certain features may qualify it as an AEDT. As part of the evaluation process we provide Covey with job requirements and candidate submitted applications. We began using Covey Scout for Inbound on January 22, 2024\.
 Please see the independent bias audit report covering our use of Covey here.
 Liftoff offers a fast\-paced, collaborative, and innovative work environment where employees are empowered to grow and make an impact. We’re shaping the future of the mobile app ecosystem—join us and help accelerate what’s next.
 Liftoff’s compensation strategy includes competitive salaries, equity, and benefits designed to support employee well\-being and performance. We benchmark compensation based on role, level, and location to ensure fairness and market alignment. Benefits may include medical coverage, wellness stipends, and additional perks based on your country of residence.
 Liftoff is an equal opportunity employer. We are committed to creating an inclusive environment for all employees and applicants regardless of race, ethnicity, national origin, age, marital status, disability, sexual orientation, gender identity, religion, veteran status, or any other characteristic protected by applicable law.
**Agency and Third Party Recruiter Notice:**
 Liftoff does not accept unsolicited resumes from individual recruiters or third\-party recruiting agencies in response to job postings. No fee will be paid to third parties who submit unsolicited candidates directly to our hiring managers or Recruiting Team. All candidates must be submitted via our Applicant Tracking System by approved Liftoff vendors who have been expressly requested to make a submission by our Recruiting Team for a specific job opening. No placement fees will be paid to any firm unless such a request has been made by the Liftoff Recruiting Team and such a candidate was submitted to the Liftoff Recruiting Team via our Applicant Tracking System.</t>
        </is>
      </c>
    </row>
    <row r="97">
      <c r="A97" t="inlineStr">
        <is>
          <t>li-4367254498</t>
        </is>
      </c>
      <c r="B97" t="inlineStr">
        <is>
          <t>Product Manager, Measurement</t>
        </is>
      </c>
      <c r="C97" t="inlineStr">
        <is>
          <t>Teachstone</t>
        </is>
      </c>
      <c r="D97" t="inlineStr">
        <is>
          <t>linkedin</t>
        </is>
      </c>
      <c r="E97">
        <f>HYPERLINK("https://www.linkedin.com/jobs/view/4367254498", "https://www.linkedin.com/jobs/view/4367254498")</f>
        <v/>
      </c>
      <c r="F97" t="inlineStr"/>
      <c r="G97" t="inlineStr"/>
      <c r="H97" t="inlineStr"/>
      <c r="I97" t="inlineStr">
        <is>
          <t>**Company Overview:**
 Do You Thrive on Innovation and Technology? At Teachstone, we’re leading the charge in transforming education through innovative, tech\-driven solutions. Founded in 2008, we revolutionized the industry with our Classroom Assessment Scoring System® (CLASS®), a research\-backed tool that measures teacher\-child interactions proven to drive learning and lifelong achievement. We’re not just making a difference—we’re evolving how education is delivered.
 Join a technology\-focused team that’s building cutting\-edge platforms like myTeachstone, which integrates data and resources to streamline classroom observations and teacher development. At Teachstone, you’ll help design and deliver impactful tools that empower educators to improve their interactions with students, driving real change and success in classrooms nationwide. Be part of the future of education with us!
**Role Overview:**
 We’re seeking a strategic, collaborative, and self\-driven Product Manager, focused on extending the value of Teachstone’s measurement product suite to improve efficiency and effectiveness.
 This role plays a key part in supporting our ongoing transition to the product operating model. As we continue this transformation, you’ll help reinforce product best practices, coach cross\-functional partners on outcome\-driven thinking, and influence without authority in an environment where not all teams are fully immersed in this way of working.
 You’ll be expected to prioritize effectively, build strong relationships across departments, and help internal teams connect the dots between customer needs, business value, and strategic focus. While AI is not the central focus of this role, familiarity with AI\-powered technologies (e.g., machine learning, natural language processing) is a strong asset, especially as we integrate more intelligent features into our offerings.
**Role Responsibilities:**
**Product Strategy \&amp; Roadmap:**
* Shape and execute product strategies that drive measurable business outcomes—especially around client retention, satisfaction, and product margin—within a mature, evolving product ecosystem.
* Balance short\-term delivery with long\-term vision, ensuring teams are aligned on outcomes and that priorities reflect both customer value and business viability.
* Help teams understand why decisions are made, building shared accountability and momentum within a value stream model.
**Cross\-functional Leadership \&amp; Product Operating Model Advocacy:**
* Work closely within the product operating model alongside engineering, design, and impact teams to define, deliver, and iterate on high\-impact features.
* Help model and reinforce key principles of the product operating model, including user\-centered design, continuous discovery, and business outcome alignment—even when others are new to this way of working.
* Collaborate across departments, including selling teams, customer success, support, and marketing, to synthesize insights and surface customer pain points and opportunities at scale.
* Influence a wide set of stakeholders to gain alignment and support across competing business priorities.
**Customer Insight \&amp; Market Understanding**
* Lead customer discovery, synthesize qualitative and quantitative feedback, and translate those insights into actionable roadmaps.
* Help others see the connection between user feedback and business outcomes, building buy\-in through clear communication and strategic framing.
* Conduct competitive analysis and share insights that support informed prioritization and long\-term planning.
**AI Integration \&amp; Data\-Driven Decision Making**
* Leverage your knowledge of AI to identify opportunities for intelligent automation, personalization, or enhanced analytics within the product.
* Work alongside our Platform and Innovation teams to ensure any AI\-powered features are meaningful, ethical, and grounded in real user behavior.
**Success Measurement**
* Define and track product success metrics related to retention, satisfaction, and business performance.
* Use both qualitative and quantitative data to drive continuous improvement, ensuring product enhancements are resonant and results\-driven.
* Collaborate with the future\-focused product improvement team to ensure innovation is grounded in data from existing customer behavior and use.
**Role Qualifications:**
* Experience: 5\+ years in product management with experience on AI\-powered products, ideally with experience managing mature, revenue\-generating product suites and improving client engagement metrics.
* Familiarity with working in a product operating model, including experience with empowered teams and value stream alignment.
* Proven ability to navigate and influence in complex stakeholder environments with competing priorities.
* Demonstrated strength in prioritization, product storytelling, and helping others understand the why behind product decisions.
* Strong cross\-functional collaboration skills and an ability to work transparently and constructively across design, engineering, and business teams.
* Customer\-Centricity: Demonstrated ability to synthesize high\-volume customer inputs into actionable product changes. Passionate about delivering continuous value to drive client satisfaction and retention.
* Experience or familiarity with AI\-powered technologies and an ability to identify where they can add value without over\-engineering solutions.
* Clear, concise communication style with the ability to tailor messaging to both technical and non\-technical audiences.
* Passion for improving educator and learner outcomes—and a mindset focused on delivering value, not just features.
**What We Offer:**
**Fair, Competitive Pay:** 
 We ensure equal pay for equal work, using consistent salary bands based on market benchmarks, reviewed annually. Prior salaries, negotiation skills, or fear of conflict don’t influence your pay.
**Salary Range:** 
 $100,000 \- $120,000, determined by your experience, skills and internal equity.
**Comprehensive benefits:** 
 We offer an inclusive benefits package to support your overall well\-being. Eligibility depends on your role and employment status.
**Ready to Make a Difference?**
 At Teachstone, we believe that every interaction shapes a brighter future. If you're passionate about transforming education and want to be part of a team that's committed to meaningful impact, we want to hear from you. Apply today and help us create classrooms where every child thrives!
*At Teachstone, we encourage all individuals to apply and bring their unique perspectives to our team. All qualified applicants will receive consideration for employment without regard to race, color, religion, national origin, sex, gender, gender identity, sexual orientation, protected veteran status, disability, age, or any other characteristic protected by law. We value the different experiences and ideas our team members bring and believe they are essential to solving complex challenges and driving our mission forward.*</t>
        </is>
      </c>
    </row>
    <row r="98">
      <c r="A98" t="inlineStr">
        <is>
          <t>li-4367615522</t>
        </is>
      </c>
      <c r="B98" t="inlineStr">
        <is>
          <t>Product Manager</t>
        </is>
      </c>
      <c r="C98" t="inlineStr">
        <is>
          <t>Squint</t>
        </is>
      </c>
      <c r="D98" t="inlineStr">
        <is>
          <t>linkedin</t>
        </is>
      </c>
      <c r="E98">
        <f>HYPERLINK("https://www.linkedin.com/jobs/view/4367615522", "https://www.linkedin.com/jobs/view/4367615522")</f>
        <v/>
      </c>
      <c r="F98" t="inlineStr"/>
      <c r="G98" t="inlineStr">
        <is>
          <t>San Francisco, CA</t>
        </is>
      </c>
      <c r="H98" t="inlineStr"/>
      <c r="I98" t="inlineStr">
        <is>
          <t>**About Us**
 At Squint, we're building technology that matters. While many tech companies focus on digital\-first industries, we've set our sights on empowering the 80% of the global workforce that keeps our world running: frontline manufacturing operators. From soda cans to tires, toothpaste to chocolate bars, chips to napkin holders, these are the people who build the things you touch and see every single day. Our platform transforms manufacturing operations by putting AI and AR capabilities directly at workers' fingertips, creating what we call "agentic manufacturing" – where every team member has the power to make informed decisions in real\-time using practical, applied artificial intelligence tools.
**Proven Impact with Industry Leaders**
 Our technology serves Fortune 500 leaders across Automotive, Consumer Packaged Goods, and Life Sciences industries. These companies trust Squint to capture and activate their essential operational know\-how, resulting in measurable improvements: reduced downtime, minimized waste, and optimized productivity at scale.
**Backed and Built by the Best**
 We raised a $40m Series B at a $265m valuation and are backed by elite investors including Sequoia Capital, Menlo Ventures, TCV and The Westly Group. Our co\-founders have been recognized on Forbes' 30 Under 30 for Manufacturing and Industry, and Fast Company named us one of the most innovative augmented and virtual reality companies of 2025\.
**About The Job**
 We're looking for a Product Manager to own and drive key product areas in the Squint platform. You'll build tools that help frontline operators do their best work. This role is ideal for someone who thrives in ambiguity, moves fast, and genuinely cares about solving real problems for an underserved workforce.
 You'll have direct access to customers, the partnership of an incredible team, and the opportunity to see your work make an immediate impact on factory floors around the world.
**What You’ll Do**
* Work with engineering and design to envision, scope, and ship features that genuinely delight customers — and iterate fast when they don't
* Bring your ideas to life: prototype your ideas and test them early with customers and teammates
* Stay close to customers by gathering feedback from the floor, joining sales calls, and turning what you learn into product decisions
* Use data to drive decisions, not just validate them. Define the metrics that matter and hold yourself accountable to them
* Work cross\-functionally with sales and customer success to understand what's working, what's blocking deals, and what keeps customers coming back
* Help build a category\-defining product in manufacturing intelligence—this space is wide open and we're writing the playbook!
**About You**
* You’re a customer advocate: You start from principles, ask questions, and deeply understand customer needs to design the best possible solutions.
* You’re a problem solver: You thrive on tackling challenging, ambiguous problems with a proactive attitude, determination, analytical curiosity, and a cross\-functional approach.
* You’re deeply collaborative \&amp; constructive: You are a strong cross\-functional partner, within and beyond EPD.
* You’re GTM\-oriented: You know the best products inflect the business, and you know how to build great products in partnership with GTM and measure their success.
* You’re a great communicator: You understand the importance of storytelling in getting your point across, whether internally to your teammates or externally to customers.
**What You’ll Bring**
* 2\-5 years of professional experience as a Product Manager
* Product fluency. You can identify the right problems to solve, consider multiple solutions, and speak intelligently about tradeoffs across our product suite.
* Systems thinking and clarity. You can break down complex problems and create simple interfaces for accomplishing difficult tasks.
* A deeply customer\-focused approach. You’re constantly empathizing with customers and checking back in to make sure we're delivering intuitive value.
* Data driven. You understand how to leverage quantitative and qualitative data to drive the right fidelity of decision\-making here.
* AI savviness. You’re curious, excited, and experimental about the way product development is changing and are able to drive that kind of thinking in our product development.
 Compensation Range: $150K \- $185K</t>
        </is>
      </c>
    </row>
    <row r="99">
      <c r="A99" t="inlineStr">
        <is>
          <t>li-4356512634</t>
        </is>
      </c>
      <c r="B99" t="inlineStr">
        <is>
          <t>Technical Product Manager</t>
        </is>
      </c>
      <c r="C99" t="inlineStr">
        <is>
          <t>Arva</t>
        </is>
      </c>
      <c r="D99" t="inlineStr">
        <is>
          <t>linkedin</t>
        </is>
      </c>
      <c r="E99">
        <f>HYPERLINK("https://www.linkedin.com/jobs/view/4356512634", "https://www.linkedin.com/jobs/view/4356512634")</f>
        <v/>
      </c>
      <c r="F99" t="inlineStr"/>
      <c r="G99" t="inlineStr">
        <is>
          <t>Houston, TX</t>
        </is>
      </c>
      <c r="H99" t="inlineStr"/>
      <c r="I99" t="inlineStr">
        <is>
          <t>**Job Title:** 
 Technical Product Manager
**Department** 
 : Technology
**Reports to** 
 : CTO
**Location** 
 : Houston, TX (Hybrid schedule)
**General Position Description**
 The Technical Product Manager is responsible for defining, delivering, and successfully launching data\-driven SaaS products that serve the agronomy, sustainability, and carbon markets. This role owns product strategy and execution across the full lifecycle from concept and customer discovery through development, launch, and market adoption.
 Reporting to the CTO, this role works closely with engineering, data science, sustainability solutions, business development, and customer\-facing teams to translate complex agricultural and environmental challenges into scalable, market\-ready technology solutions. A critical component of this role is proven ownership of go\-to\-market strategy for new technology products, ensuring product\-market fit, customer adoption, and commercial success.
**Primary Job Responsibilities**
**Product Strategy \&amp; Vision**
* Define and execute a clear product vision and roadmap aligned with company strategy and market opportunities
* Identify and validate opportunities for new digital products, analytics, and AI\-driven tools that support agronomy, sustainability, and carbon market use cases
*Maintain deep awareness of industry trends, customer needs, regulatory drivers, and competitive landscape*
**Go\-to\-Market Strategy (MUST HAVE)**
* Own and lead go\-to\-market strategy for new SaaS and technology product launches, from early validation through commercialization
* Partner with marketing, sales, and customer success to define positioning, pricing inputs, messaging, and launch plans
* Ensure products are market\-ready with clear value propositions, target customer segments, and adoption strategies
*Measure and optimize post\-launch performance, customer uptake, and product success metrics*
**Product Development \&amp; Lifecycle Management**
* Lead end\-to\-end product lifecycle management, including requirements definition, prioritization, launch, and iteration
* Translate customer, market, and business needs into clear product requirements and technical specifications
* Partner closely with engineering and UX/UI teams to deliver scalable, intuitive, and high\-quality SaaS products
*Balance speed, quality, and technical feasibility while maintaining a strong customer\-centric focus*
**Analytics, AI \&amp; Data\-Driven Solutions**
* Guide the development of analytics, AI, and data\-driven capabilities that support decision\-making across agronomy, soil health, sustainability, and carbon outcomes
* Collaborate with data science teams on predictive models, algorithms, and insights generation
*Ensure data integrity, scalability, and usability across digital products*
**Stakeholder Collaboration \&amp; Product Evangelism**
* Serve as the primary product voice across internal teams and external stakeholders
* Communicate product vision, roadmap, and value clearly to technical and non\-technical audiences, including customers and partners
*Partner cross\-functionally to ensure alignment across product, engineering, commercial, and customer success teams*
**Key Competencies / Requirements**
* 7\+ years of experience in product management, with significant experience delivering SaaS technology products
* MUST HAVE proven experience owning and executing go\-to\-market strategy for new technology or SaaS products
* Strong background in agriculture, agronomy, sustainability, carbon markets, or environmental data\-driven solutions
* Demonstrated success building and launching data\-intensive or analytics\-driven products
* Deep understanding of customer discovery, product\-market fit, and commercial product launch dynamics
* Experience working closely with engineers, data scientists, agronomists, and environmental experts
* Strong technical fluency; comfortable working with analytics platforms, cloud\-based architectures, and data products
* Experience with tools and technologies such as AWS, SQL, Tableau/Power BI, Python, or similar (hands\-on not required, fluency expected)
* Exceptional communication and stakeholder management skills
* Strong business acumen with the ability to balance customer needs, technical constraints, and market opportunity
* Results\-oriented, adaptable, and comfortable operating in a fast\-paced, evolving environment
***Employment Eligibility***
 Only applicants currently, and in the future, eligible to work in the United States will be considered for this position.
**About Arva Intelligence**
 Arva is a machine learning software\-based SaaS company with offices located in Houston, TX and Park City, UT. Arva's platform was built to apply our novel ML technology to the agricultural industry, optimizing and measuring regenerative practices, improving crop yields, and reducing operational costs for producers. Our platform helps our customers and partners capitalize on "natural regenerative practices" by providing recommendations that improve environmental and ecological ecosystems. Platform features include practice verification and registration, as well as the sale of environmental asset credits to our corporate buyers. Thus, Arva is helping to keep the planet green by providing a "green\-tech" platform that informs, measures, validates, predicts, and registers carbon exchange opportunities, allowing growers and ranchers to produce and sell credits that are bought by our corporate partners, who endorse sustainable food supply and carbon neutrality.
 This job description reflects the core duties of the role but is not intended to be all\-inclusive. The role may evolve as the company grows, requiring additional responsibilities or changes in scope.</t>
        </is>
      </c>
    </row>
    <row r="100">
      <c r="A100" t="inlineStr">
        <is>
          <t>li-4367605011</t>
        </is>
      </c>
      <c r="B100" t="inlineStr">
        <is>
          <t>Senior Product Manager - Ad Experiences</t>
        </is>
      </c>
      <c r="C100" t="inlineStr">
        <is>
          <t>Roku</t>
        </is>
      </c>
      <c r="D100" t="inlineStr">
        <is>
          <t>linkedin</t>
        </is>
      </c>
      <c r="E100">
        <f>HYPERLINK("https://www.linkedin.com/jobs/view/4367605011", "https://www.linkedin.com/jobs/view/4367605011")</f>
        <v/>
      </c>
      <c r="F100" t="inlineStr"/>
      <c r="G100" t="inlineStr">
        <is>
          <t>New York, NY</t>
        </is>
      </c>
      <c r="H100" t="inlineStr"/>
      <c r="I100"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role** 
 The Viewer Experience organization owns how people discover, choose, and enjoy content on Roku—from the iconic Home Screen and navigation, to Live TV and Sports, to The Roku Channel and our mobile apps.
 Roku is looking for a product manager to lead the development of next\-generation Ad Experiences and Interactive Advertising solutions that help marketers and advertisers drive visually appealing, high\-impact sponsorships on the platform.
 The ideal candidate will have endless curiosity and can pair a global mindset with locally relevant execution. You should be a gritty problem solver and self\-starter who can drive programs with the product and commercial teams within Roku and across external strategic partner organizations. The successful candidate will display a balance of hard and soft skills, including the ability to respond quickly to changing business needs. 
 For New York Only \- The estimated annual salary for this position is between $176,163 \- $233,750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**What you'll be doing** 
 Product Strategy \&amp; Opportunity Assessment
* Identify \&amp; Quantify Opportunities: Conduct rigorous market analysis and user research to identify high\-growth monetization opportunities. Build robust business cases that balance short\-term revenue goals with long\-term ecosystem health.
* Strategic Roadmap Ownership: Define and execute a multi\-quarter roadmap for ad innovation products, ensuring alignment with Roku’s overarching platform strategy and the evolving needs of the programmatic and direct\-sales markets.
 Product Execution \&amp; Lifecycle Management
* High\-Fidelity Documentation: Author comprehensive Feature Guides / Product Requirement Documents (FGs / PRDs) and technical specifications. Translate complex business needs into actionable engineering tasks to ensure on\-time, high\-quality delivery.
* Agile Innovation: Partner with the UX team for rapid prototyping, A/B testing, and iterative design methodologies to validate ad formats. Minimize "time to insight" by testing hypotheses in live environments.
* Operational Excellence: Drive feature prioritization and process improvements, maintaining a relentless focus on key KPIs such as Ad Fill Rate, CPM, User Engagement, and Churn impact.
 Cross\-Functional Leadership \&amp; Communication
* Engineering Partnership: Serve as the "voice of the customer" for the engineering team. Provide deep business context to technical leads to foster creative problem\-solving and architectural scalability.
* Stakeholder Orchestration: Lead a cross\-functional "squad"—including Sales, Marketing, Data Science, Finance, and Legal—to navigate the complexities of privacy regulations and advertising standards.
* Vendor Ecosystem Management: Manage strategic relationships with 3rd\-party technology vendors/partners. Ensure rigorous SLA compliance and influence their roadmaps to align with Roku’s proprietary tech stack.
 Market Intelligence \&amp; Thought Leadership
* AdTech Subject Matter Expertise: Act as the internal authority on AdTech trends (e.g., CTV measurement, identity solutions, shoppable TV). Translate industry shifts into strategic POVs that influence executive decision\-making.
* Competitive Benchmarking: Monitor the competitive landscape of streaming and hardware (OEMs) to ensure Roku remains the industry leader in native, non\-intrusive, and high\-performing ad experiences.
**We're excited if you have** 
* 5\+ years of experience in product management, building advertising and marketing solutions
* Domain expertise in AdTech, AdUX, OTT, and/or DMPs
* An extraordinarily high level of customer empathy
* Experience working with business intelligence/data analytics tools and data dashboarding tools such as Tableau or Looker
* Practical knowledge of Experimentation, A/B Testing, and Lift Measurement
* Data\-driven and an entrepreneurial self\-starter who deals well with ambiguity
* Experience in working with marketers, marketing operations, data scientists, and data analysts
* Strong, influential cross\-functional team leader with experience working in enterprise and matrixed environments
* Excellent problem\-solving skills and ability to work independently
* Minimum of a bachelor’s degree (preferably in engineering); MBA preferred
* Based in San Jose or Santa Monica, with the ability and willingness to travel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101">
      <c r="A101" t="inlineStr">
        <is>
          <t>li-4367284804</t>
        </is>
      </c>
      <c r="B101" t="inlineStr">
        <is>
          <t>Product Owner</t>
        </is>
      </c>
      <c r="C101" t="inlineStr">
        <is>
          <t>PrePass</t>
        </is>
      </c>
      <c r="D101" t="inlineStr">
        <is>
          <t>linkedin</t>
        </is>
      </c>
      <c r="E101">
        <f>HYPERLINK("https://www.linkedin.com/jobs/view/4367284804", "https://www.linkedin.com/jobs/view/4367284804")</f>
        <v/>
      </c>
      <c r="F101" t="inlineStr"/>
      <c r="G101" t="inlineStr">
        <is>
          <t>Phoenix, AZ</t>
        </is>
      </c>
      <c r="H101" t="inlineStr"/>
      <c r="I101" t="inlineStr">
        <is>
          <t>**About PrePass**
 PrePass® is North America's most trusted weigh station bypass and toll management platform. We're transforming how the transportation industry operates—creating solutions that keep trucks moving safely, efficiently, and compliantly. This means making bold decisions and building systems that support not only fleets but the broader economy. It all starts with enabling commercial vehicles to keep rolling with seamless toll management, weigh station bypass, and safety solutions. It's what we do best, and we do it to meet the demands of the road every day.
 That's why people join us: our solutions are implemented in real\-time, on highways and interstates across the nation, helping fleets go farther, faster. This work challenges and rewards, presenting complex problems that need ambitious answers. We hire bold thinkers with a heart for impact, a passion for progress, and the optimism to shape the future of transportation.
**About The Role**
 We are seeking an experienced Product Owner to lead development for our Web Platform in a fast\-paced, collaborative environment. This role requires strong decision\-making skills, adaptability, and the ability to deliver high\-quality products aligned with business goals and customer needs. You will partner closely with product managers, development teams, and cross\-functional stakeholders to translate product vision into impactful software solutions.
 The ideal candidate brings a deep understanding of web application development, excels in Agile methodologies, and approaches problem\-solving with reliability and initiative. This is a hybrid position based out of our Downtown Phoenix corporate office.
**Essential Responsibilities**
**Product Ownership \&amp; Delivery**
* Create, prioritize, and maintain a product backlog aligned with product vision and business objectives
* Prioritize features and stories within sprints to maximize customer value
* Ensure backlog items are clearly defined, understood, and properly estimated
* Facilitate sprint planning, discovery sessions, and translation of requirements into actionable user stories
**Collaboration \&amp; Stakeholder Engagement**
* Work closely with cross\-functional teams to ensure features meet customer needs and are delivered on schedule
* Serve as a subject matter expert for the product domain and a key point of contact for internal and external stakeholders
* Partner with development, design, and QA teams to maintain product quality and consistency
**Innovation \&amp; Continuous Improvement**
* Stay current with industry trends, web and API technologies, and Agile best practices to drive product innovation
* Identify opportunities for process improvement and enhanced customer experiences
**Requirements**
****Qualifications****
* Bachelor's degree or equivalent experience
* 5\+ years of proven experience as a Product Owner or in a similar role
* Hands\-on experience with business process and requirements analysis
* Strong understanding of API and web application development
* Proficiency in Agile methodologies (Scrum) and backlog management tools (e.g., Jira, Azure DevOps)
* Excellent decision\-making, communication, and organizational skills
* Familiarity with user\-centered design principles and web usability best practices
* Ability to influence cross\-functional teams and drive outcomes without formal authority
* Some travel may be required
****Desired Characteristics****
* Strategic thinker with a proactive, problem\-solving mindset
* Comfortable navigating ambiguity and adapting to evolving priorities
* Strong collaboration and influencing skills across diverse teams
* High degree of initiative, ownership, and accountability
* Commitment to continuous improvement and delivering customer value
**Benefits**
****How We Will Take Care of You****
* Robust benefit package that includes medical, dental, and vision that start on date of hire
* Paid Time Off, to include vacation, sick, holidays, and floating holidays
* 401(k) plan with employer match
* Company\-funded "lifestyle account" upon date of hire for you to apply toward your physical and mental well\-being (i.e., ski passes, retreats, gym memberships)
* Tuition Reimbursement Program
* Voluntary benefits, to include but not limited to Legal and Pet Discounts
* Employee Assistance Program (available at no cost to you)
* Company\-sponsored and funded "Culture Team" that focuses on the Physical, Mental, and Professional well\-being of employees
* Community Give\-Back initiatives
* Culture that focuses on employee development initiatives
**Join Us**
**At PrePass, our mission drives us.**
 We invest in relationships. We challenge ourselves to innovate and improve. We win together. Simply put, we live our Core Values.
**Ready to help move the transportation industry forward? Join us and let's drive progress—together.**</t>
        </is>
      </c>
    </row>
    <row r="102">
      <c r="A102" t="inlineStr">
        <is>
          <t>li-4367479907</t>
        </is>
      </c>
      <c r="B102" t="inlineStr">
        <is>
          <t>Senior Product Manager - Ad Experiences</t>
        </is>
      </c>
      <c r="C102" t="inlineStr">
        <is>
          <t>Roku</t>
        </is>
      </c>
      <c r="D102" t="inlineStr">
        <is>
          <t>linkedin</t>
        </is>
      </c>
      <c r="E102">
        <f>HYPERLINK("https://www.linkedin.com/jobs/view/4367479907", "https://www.linkedin.com/jobs/view/4367479907")</f>
        <v/>
      </c>
      <c r="F102" t="inlineStr"/>
      <c r="G102" t="inlineStr">
        <is>
          <t>Santa Monica, CA</t>
        </is>
      </c>
      <c r="H102" t="inlineStr"/>
      <c r="I102"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role** 
 The Viewer Experience organization owns how people discover, choose, and enjoy content on Roku—from the iconic Home Screen and navigation, to Live TV and Sports, to The Roku Channel and our mobile apps.
 Roku is looking for a product manager to lead the development of next\-generation Ad Experiences and Interactive Advertising solutions that help marketers and advertisers drive visually appealing, high\-impact sponsorships on the platform.
 The ideal candidate will have endless curiosity and can pair a global mindset with locally relevant execution. You should be a gritty problem solver and self\-starter who can drive programs with the product and commercial teams within Roku and across external strategic partner organizations. The successful candidate will display a balance of hard and soft skills, including the ability to respond quickly to changing business needs. 
 For California Only \- The estimated annual salary for this position is between $176,163 \- $233,750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**What you'll be doing** 
 Product Strategy \&amp; Opportunity Assessment
* Identify \&amp; Quantify Opportunities: Conduct rigorous market analysis and user research to identify high\-growth monetization opportunities. Build robust business cases that balance short\-term revenue goals with long\-term ecosystem health.
* Strategic Roadmap Ownership: Define and execute a multi\-quarter roadmap for ad innovation products, ensuring alignment with Roku’s overarching platform strategy and the evolving needs of the programmatic and direct\-sales markets.
 Product Execution \&amp; Lifecycle Management
* High\-Fidelity Documentation: Author comprehensive Feature Guides / Product Requirement Documents (FGs / PRDs) and technical specifications. Translate complex business needs into actionable engineering tasks to ensure on\-time, high\-quality delivery.
* Agile Innovation: Partner with the UX team for rapid prototyping, A/B testing, and iterative design methodologies to validate ad formats. Minimize "time to insight" by testing hypotheses in live environments.
* Operational Excellence: Drive feature prioritization and process improvements, maintaining a relentless focus on key KPIs such as Ad Fill Rate, CPM, User Engagement, and Churn impact.
 Cross\-Functional Leadership \&amp; Communication
* Engineering Partnership: Serve as the "voice of the customer" for the engineering team. Provide deep business context to technical leads to foster creative problem\-solving and architectural scalability.
* Stakeholder Orchestration: Lead a cross\-functional "squad"—including Sales, Marketing, Data Science, Finance, and Legal—to navigate the complexities of privacy regulations and advertising standards.
* Vendor Ecosystem Management: Manage strategic relationships with 3rd\-party technology vendors/partners. Ensure rigorous SLA compliance and influence their roadmaps to align with Roku’s proprietary tech stack.
 Market Intelligence \&amp; Thought Leadership
* AdTech Subject Matter Expertise: Act as the internal authority on AdTech trends (e.g., CTV measurement, identity solutions, shoppable TV). Translate industry shifts into strategic POVs that influence executive decision\-making.
* Competitive Benchmarking: Monitor the competitive landscape of streaming and hardware (OEMs) to ensure Roku remains the industry leader in native, non\-intrusive, and high\-performing ad experiences.
**We're excited if you have** 
* 5\+ years of experience in product management, building advertising and marketing solutions
* Domain expertise in AdTech, AdUX, OTT, and/or DMPs
* An extraordinarily high level of customer empathy
* Experience working with business intelligence/data analytics tools and data dashboarding tools such as Tableau or Looker
* Practical knowledge of Experimentation, A/B Testing, and Lift Measurement
* Data\-driven and an entrepreneurial self\-starter who deals well with ambiguity
* Experience in working with marketers, marketing operations, data scientists, and data analysts
* Strong, influential cross\-functional team leader with experience working in enterprise and matrixed environments
* Excellent problem\-solving skills and ability to work independently
* Minimum of a bachelor’s degree (preferably in engineering); MBA preferred
* Based in San Jose or Santa Monica, with the ability and willingness to travel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103">
      <c r="A103" t="inlineStr">
        <is>
          <t>li-4367491095</t>
        </is>
      </c>
      <c r="B103" t="inlineStr">
        <is>
          <t>Senior Product Manager - Ad Experiences</t>
        </is>
      </c>
      <c r="C103" t="inlineStr">
        <is>
          <t>Roku</t>
        </is>
      </c>
      <c r="D103" t="inlineStr">
        <is>
          <t>linkedin</t>
        </is>
      </c>
      <c r="E103">
        <f>HYPERLINK("https://www.linkedin.com/jobs/view/4367491095", "https://www.linkedin.com/jobs/view/4367491095")</f>
        <v/>
      </c>
      <c r="F103" t="inlineStr"/>
      <c r="G103" t="inlineStr">
        <is>
          <t>San Jose, CA</t>
        </is>
      </c>
      <c r="H103" t="inlineStr"/>
      <c r="I103"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role** 
 The Viewer Experience organization owns how people discover, choose, and enjoy content on Roku—from the iconic Home Screen and navigation, to Live TV and Sports, to The Roku Channel and our mobile apps.
 Roku is looking for a product manager to lead the development of next\-generation Ad Experiences and Interactive Advertising solutions that help marketers and advertisers drive visually appealing, high\-impact sponsorships on the platform.
 The ideal candidate will have endless curiosity and can pair a global mindset with locally relevant execution. You should be a gritty problem solver and self\-starter who can drive programs with the product and commercial teams within Roku and across external strategic partner organizations. The successful candidate will display a balance of hard and soft skills, including the ability to respond quickly to changing business needs. 
 For California Only \- The estimated annual salary for this position is between $176,163 \- $233,750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**What you'll be doing** 
 Product Strategy \&amp; Opportunity Assessment
* Identify \&amp; Quantify Opportunities: Conduct rigorous market analysis and user research to identify high\-growth monetization opportunities. Build robust business cases that balance short\-term revenue goals with long\-term ecosystem health.
* Strategic Roadmap Ownership: Define and execute a multi\-quarter roadmap for ad innovation products, ensuring alignment with Roku’s overarching platform strategy and the evolving needs of the programmatic and direct\-sales markets.
 Product Execution \&amp; Lifecycle Management
* High\-Fidelity Documentation: Author comprehensive Feature Guides / Product Requirement Documents (FGs / PRDs) and technical specifications. Translate complex business needs into actionable engineering tasks to ensure on\-time, high\-quality delivery.
* Agile Innovation: Partner with the UX team for rapid prototyping, A/B testing, and iterative design methodologies to validate ad formats. Minimize "time to insight" by testing hypotheses in live environments.
* Operational Excellence: Drive feature prioritization and process improvements, maintaining a relentless focus on key KPIs such as Ad Fill Rate, CPM, User Engagement, and Churn impact.
 Cross\-Functional Leadership \&amp; Communication
* Engineering Partnership: Serve as the "voice of the customer" for the engineering team. Provide deep business context to technical leads to foster creative problem\-solving and architectural scalability.
* Stakeholder Orchestration: Lead a cross\-functional "squad"—including Sales, Marketing, Data Science, Finance, and Legal—to navigate the complexities of privacy regulations and advertising standards.
* Vendor Ecosystem Management: Manage strategic relationships with 3rd\-party technology vendors/partners. Ensure rigorous SLA compliance and influence their roadmaps to align with Roku’s proprietary tech stack.
 Market Intelligence \&amp; Thought Leadership
* AdTech Subject Matter Expertise: Act as the internal authority on AdTech trends (e.g., CTV measurement, identity solutions, shoppable TV). Translate industry shifts into strategic POVs that influence executive decision\-making.
* Competitive Benchmarking: Monitor the competitive landscape of streaming and hardware (OEMs) to ensure Roku remains the industry leader in native, non\-intrusive, and high\-performing ad experiences.
**We're excited if you have** 
* 5\+ years of experience in product management, building advertising and marketing solutions
* Domain expertise in AdTech, AdUX, OTT, and/or DMPs
* An extraordinarily high level of customer empathy
* Experience working with business intelligence/data analytics tools and data dashboarding tools such as Tableau or Looker
* Practical knowledge of Experimentation, A/B Testing, and Lift Measurement
* Data\-driven and an entrepreneurial self\-starter who deals well with ambiguity
* Experience in working with marketers, marketing operations, data scientists, and data analysts
* Strong, influential cross\-functional team leader with experience working in enterprise and matrixed environments
* Excellent problem\-solving skills and ability to work independently
* Minimum of a bachelor’s degree (preferably in engineering); MBA preferred
* Based in San Jose or Santa Monica, with the ability and willingness to travel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104">
      <c r="A104" t="inlineStr">
        <is>
          <t>li-4367493255</t>
        </is>
      </c>
      <c r="B104" t="inlineStr">
        <is>
          <t>Product Manager, API &amp; Platform</t>
        </is>
      </c>
      <c r="C104" t="inlineStr">
        <is>
          <t>Descript</t>
        </is>
      </c>
      <c r="D104" t="inlineStr">
        <is>
          <t>linkedin</t>
        </is>
      </c>
      <c r="E104">
        <f>HYPERLINK("https://www.linkedin.com/jobs/view/4367493255", "https://www.linkedin.com/jobs/view/4367493255")</f>
        <v/>
      </c>
      <c r="F104" t="inlineStr"/>
      <c r="G104" t="inlineStr"/>
      <c r="H104" t="inlineStr"/>
      <c r="I104" t="inlineStr">
        <is>
          <t>**About The Role**
 Automated video editing is an emerging category, and we're positioned to define it. Media companies want to turn thousands of podcast episodes into social clips. Marketing teams want to automatically create product demos for every release. Agencies want to process client content in bulk with consistent branding. And they want to do all of that at scale.
 As the Product Manager for this 0 to 1 area, you'll build and own the platform that makes this all possible. You'll create APIs that let developers programmatically import media, run AI\-powered edits, and export content. In essence, turning Descript's already powerful editing capabilities into infrastructure that media businesses can depend on.
 What you’ll do
* Own the API and developer experience that lets teams create content workflows at scale
* Launch integrations that unlock new use cases: MCP wrappers, no\-code workflow platforms, and strategic partner integrations
* Work closely with our Agentic AI team to influence what editing capabilities we build and how they're exposed through the API
* Define and grow this business line by shaping positioning, pricing, and go\-to\-market strategy with Sales and Marketing teams
 Who you are
* You’ve shipped technical products before: You have 5 or more years of product management experience shipping internal APIs, developer platforms, and foundational systems that enable other teams
* You build things from scratch: Building a brand new product means venturing into the unknown, and you find that energizing rather than scary. You've taken products from 0 to 1, figured out ambiguous problem spaces, and created the playbook to make it successful.
* You start with the customer: Plenty of “AI products” start with the technology and they all suck. You care deeply about understanding customers, and have experience in doing customer discovery and defining features that solve real problems.
* You are funny, creative, maybe kind of weird: Ok, this isn’t a hard requirement but Descript is kind of a quirky place and the people who love it tend to like that about working here. So, just want to drop a hint early on. Also, the sense of humor is important because even though we take our work seriously it’s still just, like, video creation and editing. We aren’t flying rockets into space so let’s all have a good time.
 The base salary range for this role is $171,000 \- $235,000/year. Final offer amounts will carefully consider multiple factors, including prior experience, expertise, and location, and may vary from the amount above.
**About Descript**
 Descript is building a simple, intuitive, fully\-powered editing tool for video and audio — an editing tool built for the age of AI. We are a team of 150 and the backing of some of the world's greatest investors (OpenAI, Andreessen Horowitz, Redpoint Ventures, Spark Capital).
 Descript is the special company that's in possession of both product market fit and the raw materials (passionate user community, great product, large market) for growth, but is still early enough that each new employee has a measurable influence on the direction of the company.
 Benefits include a generous healthcare package, 401k matching program, catered lunches, and flexible vacation time. Our headquarters are located in the Mission District of San Francisco, CA. We're hiring for a mix of remote roles and hybrid roles. For those who are remote, we have a handful of opportunities throughout the year for in person collaboration. For our hybrid roles, we're flexible, and you're an adult—we don't expect or mandate that you're in the office every day. We do believe there are valuable and serendipitous moments of discovery and collaboration that come from working together in person.
 Descript is an equal opportunity workplace—we are dedicated to equal employment opportunities regardless of race, color, ancestry, religion, sex, national origin, sexual orientation, age, citizenship, marital status, disability, gender identity, or Veteran status. We believe in actively building a team rich in diverse backgrounds, experiences, and opinions to better allow our employees, products, and community to thrive.</t>
        </is>
      </c>
    </row>
    <row r="105">
      <c r="A105" t="inlineStr">
        <is>
          <t>li-4367292387</t>
        </is>
      </c>
      <c r="B105" t="inlineStr">
        <is>
          <t>Product Manager - Creator</t>
        </is>
      </c>
      <c r="C105" t="inlineStr">
        <is>
          <t>TikTok</t>
        </is>
      </c>
      <c r="D105" t="inlineStr">
        <is>
          <t>linkedin</t>
        </is>
      </c>
      <c r="E105">
        <f>HYPERLINK("https://www.linkedin.com/jobs/view/4367292387", "https://www.linkedin.com/jobs/view/4367292387")</f>
        <v/>
      </c>
      <c r="F105" t="inlineStr"/>
      <c r="G105" t="inlineStr">
        <is>
          <t>New York, United States</t>
        </is>
      </c>
      <c r="H105" t="inlineStr"/>
      <c r="I105" t="inlineStr">
        <is>
          <t>**Responsibilities**
 The TikTok Creator \&amp; Ecosystem team develops world\-leading tech solutions for ads creative production, creator marketing, interpretation, and optimization to empower and inspire advertisers, creators, and other third parties in the ecosystem to create and deliver the best engaging creative experiences to end users.
 We are user\-oriented and dedicated to technical excellence. We aim to drive and lead technology renovation in the ad tech and creative industries, powering products and driving values for our clients, creators, and the whole ecosystem. We are looking for experienced product managers to continually push the innovation bar and make TikTok the best place to get inspired and express creativity.
 Responsibilities:
 \- Develop and execute the product strategy for TikTok Creator \&amp; Ecosystem, including identifying key market opportunities, setting product roadmaps, and delivering against ambitious revenue targets
 \- Work as the product manager for TikTok Creator Marketing and Creator Monetization related products, own product strategy and roadmap, prioritize, align and deliver clear product goals and success metrics
 \- Develop in\-depth understanding of demand (advertiser) and supply (creator), identify and execute the product improvement to drive adoption and retention from both sides
 \- Drive execution through working directly with engineering, design, QA, data science, operations, marketing, sales and other cross\-functional teams
 \- Educate and influence both internal leadership and external stakeholders on TikTok's ads creative and creator ecosystem strategy
**Qualifications**
 Minimum Qualifications:
 \- Minimum 3\+ years of product management experience, preferably building products/tools related to advertising
 \- Bachelor's degree in Computer Science, Engineering, Business, or a related field
 \- Deep understanding of the advertising landscape and the needs of advertisers, including experience with creative development, media buying, and ad optimization.
 \- Excellent analytical skills, with the ability to use data to inform product decisions and drive continuous improvement.
 \- Strong cross\-functional collaboration skills, with the ability to work effectively with engineering, design, data science, and business development teams.
 \- Experience with multi\-project management and execution in a cross\-functional environment
 \- Strong documentation, presentation, and communication skills, particularly implemented in a cross\-functional and global role
 Preferred Qualifications:
 \- Excellent communication skills, with the ability to clearly articulate complex product concepts to both technical and non\-technical stakeholders.
 \- Self\-starter who can manage large cross\-functional stakeholders in a fast\-paced, dynamic environment
 \- Proficient in English and Mandrian listening, speaking, reading and writing. Both English and Mandrian skill sets are required to support clients in APAC and to communicate with stakeholders.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$149040 \- $311600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06">
      <c r="A106" t="inlineStr">
        <is>
          <t>li-4367282542</t>
        </is>
      </c>
      <c r="B106" t="inlineStr">
        <is>
          <t>Product Manager (SaaS &amp; Cloud)</t>
        </is>
      </c>
      <c r="C106" t="inlineStr">
        <is>
          <t>Cisco</t>
        </is>
      </c>
      <c r="D106" t="inlineStr">
        <is>
          <t>linkedin</t>
        </is>
      </c>
      <c r="E106">
        <f>HYPERLINK("https://www.linkedin.com/jobs/view/4367282542", "https://www.linkedin.com/jobs/view/4367282542")</f>
        <v/>
      </c>
      <c r="F106" t="inlineStr"/>
      <c r="G106" t="inlineStr"/>
      <c r="H106" t="inlineStr"/>
      <c r="I106" t="inlineStr">
        <is>
          <t>This position is a remote role for candidates located in the United States.
**Your Impact** 
 You’ll lead a talented team of business analysts while working closely with Cisco counterparts in Cisco IT, Cisco BE’s like collaboration, and security to drive growth and innovation across the broader Cisco ecosystem.
 As Product Owner you’ll take ownership of the Product Owner team for security business unit. You will interface with cross\-functional teams to solve existing challenges in new, innovative ways, and contribute to building the product teams responsible for driving our next phase of growth!
**Responsibilities** 
* Manage the team of Business Analyst for Product CRM GTM Team
* Defining end to end product vision
* Build \&amp; design high\-quality user documentation, case studies, and presentations that optimally communicate the benefits and differentiators to stakeholders
* Translate business needs into clear product requirements and actionable user stories.
* Define functional requirements, user experience (UX), and data presentation standards.
* Own product roadmaps \&amp; manage trade\-offs, considering customer impact, business value, platform readiness and technical feasibility
* Make explicit prioritization decisions, balancing short\-term deliverables with long term scalability
* Work closely with cross\-functional teams within Cisco to deliver projects on time and within scope.
* Collaborate with business and technical teams to help prioritize features for alignment with release schedules.
* Prioritize product features, improvements, and bug fixes using data\-driven methodologies.
* Define key metrics to measure implementation performance, security efficacy, and customer satisfaction.
* Serve as a domain expert for internal and external stakeholders on product capabilities and strategies.
* Act as the primary liaison between business units and technical teams to capture requirements and prioritize features
* Track and analyze performance metrics ensuring scalability, reliability, and user satisfaction.
* Partner closely with engineering, architecture and platform teams to design scalable solutions
* Involve in creating technical designs, Apis, schemas and system flows for the product alignment
**Minimum Qualifications** 
* Bachelor’s degree or higher in Computer Science or a related field
* 10\+ years of product management experience, with a proven track record of leading enterprise/SaaS software products
* 5\+ years of experience in leading product owners and Business analyst
* Experience as a Software engineer or architect
* Experience working with agile development teams and product lifecycle management tools (e.g., Jira, Aha!)
**Preferred Qualifications** 
* Strong understanding of Cisco products, technologies and concepts
* Strong understanding of data technologies and concepts
* Ability to manage multiple stakeholders and priorities in a fast\-paced environment
* Experience managing cross\-functional teams, delivering products in high\-growth environment
* Demonstrated success in partnering with large enterprise teams and navigating matrix organizations.
* Hands on experience with APIs(REST/GraphQL), microservices or distributed systems
* Databases (SQL/NoSQL), data modelling and Cloud Platforms(AWS, GCP, Azure)
* Familiarity with system design, scalability and performance optimization
* Ability to read code, review designs and speak engineering fluently
* Familiarity with Cisco products and solutions and scaling products in high\-growth environment
* Experience in change management for new licensing experiences
* Knowledge in licensing concepts (entitlements, consumption, term, compliance, etc.)
* Experience in Persona definition and customer journey mapping
* Preferred Knowledge on Cisco Product Licensing and telemetry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t>
        </is>
      </c>
    </row>
    <row r="107">
      <c r="A107" t="inlineStr">
        <is>
          <t>li-4367492636</t>
        </is>
      </c>
      <c r="B107" t="inlineStr">
        <is>
          <t>AI Product Owner</t>
        </is>
      </c>
      <c r="C107" t="inlineStr">
        <is>
          <t>Intellibee Inc</t>
        </is>
      </c>
      <c r="D107" t="inlineStr">
        <is>
          <t>linkedin</t>
        </is>
      </c>
      <c r="E107">
        <f>HYPERLINK("https://www.linkedin.com/jobs/view/4367492636", "https://www.linkedin.com/jobs/view/4367492636")</f>
        <v/>
      </c>
      <c r="F107" t="inlineStr"/>
      <c r="G107" t="inlineStr">
        <is>
          <t>Charlotte, AR</t>
        </is>
      </c>
      <c r="H107" t="inlineStr"/>
      <c r="I107" t="inlineStr">
        <is>
          <t>AI Product Owner, Charlotte, NC, US
**AI Product Owner**
**Top Three Skills**
 Understanding of AI concepts including machine learning, generative AI. data science, model lifecycle.
 Project Management – extremely organized and able to juggle multiple moving pieces \-Stakeholder communication
 Ability to communicate with data scientists, engineer, and business leadership;
**Required Skills**
* Understanding of AI technologies, specifically within Azure and Bedrock
* Project or product management skills.
* Strong analytical and problem
* Solving skills to address technical challenges and optimize AI models;
**Desired Skills**
* Understanding of data scientist practices, ability to understand different methodologies to measure AI use cases
* Data and ethics awareness.
* Ability to identify, assess, and mitigate risks associated with AI project
* Familiarity with software development practices, version control, and deployment strategies;
**Ideal Candidate Profile**
* An ideal candidate for the AI Product Analyst should have a strong understanding in AI, project/product management, and proficiency in Agile methodologies.
* They must excel in communication and leadership, effectively managing cross\-functional teams and engaging with business and risk stakeholders to ensure alignment and successful project delivery from experimentation to production.
* Additionally, the candidate should be adept at defining AI use cases, setting clear objectives, and establishing measurable success criteria to evaluate the impact and performance of AI solutions. Their ability to translate complex technical concepts into actionable business insights will be crucial in driving innovation and achieving strategic goals;
**Industry Experience:** 
 Financial or related industry;
**Tools or Technologies:** 
 Cloud platforms such as Azure and Bedrock, Other AI solutions;
**Detailed Job Description**
* Guide specific lines of business on how to experiment, integrate and measure AI use cases.
* Collaborate closely with other product teams, lines of businesses, engineering, data governance, and data science teams to experiment and implement Generative AI and AI / Machine Learning solutions in production.
* Gather, document, and provide business requirements, system requirement specification reviews, analytics requirements, and user acceptance testing for projects and releases that impact the digital channel.
* Continuously assess market needs, adapting the product strategy to capitalize new opportunities and address evolving challenges in the AI space.
* Support the overall product lifecycle launch and ongoing improvements. Monitor Key Performance Indicators user feedback.
* Identify potential risks and mitigations throughout the product development.
* Ability to break a large, complex and ambiguous problem into small well defined use cases and roadmap them. Define appropriate and measurable KPIs for a use case for estimating and measuring business impact.
* Experience supporting business units to develop AI Strategies for products.
* Flexible attitude, ability to perform under pressure, ability to achieve balance between the right technical and business solution, ability to translate complex technical information into simple terms, commitment to quality, thorough approach, and pride in what we deliver.
* Passion for creating leading edge solutions to complex business problems, appetite for career advancement through expanded responsibility, desire to learn new things and work on different teams, interest in solving the puzzle (intellectual curiosity), objective thinking and perspective (courage of our convictions)
* Consulting experience preferred within project or product management.</t>
        </is>
      </c>
    </row>
    <row r="108">
      <c r="A108" t="inlineStr">
        <is>
          <t>li-4367616417</t>
        </is>
      </c>
      <c r="B108" t="inlineStr">
        <is>
          <t>Product Manager</t>
        </is>
      </c>
      <c r="C108" t="inlineStr">
        <is>
          <t>Eleos Technologies</t>
        </is>
      </c>
      <c r="D108" t="inlineStr">
        <is>
          <t>linkedin</t>
        </is>
      </c>
      <c r="E108">
        <f>HYPERLINK("https://www.linkedin.com/jobs/view/4367616417", "https://www.linkedin.com/jobs/view/4367616417")</f>
        <v/>
      </c>
      <c r="F108" t="inlineStr"/>
      <c r="G108" t="inlineStr">
        <is>
          <t>Phoenix, AZ</t>
        </is>
      </c>
      <c r="H108" t="inlineStr"/>
      <c r="I108" t="inlineStr">
        <is>
          <t>**About Eleos**
 Eleos creates SaaS/mobile products that make truck drivers happier and transportation companies more efficient.
 Founded in 2011, and headquartered in Greenville, SC, we began life as a bootstrapped startup. Today, we're an independent subsidiary of the Knight\-Swift family of companies. Together with Knight\-Swift, we share a solid commitment to building world\-class software products for the transportation industry.
 Eleos is a growing, profitable company with a diverse mix of customers \- from small mom and pop shops to many of North America’s largest trucking fleets.
**About The Eleos Team**
 We’re geographically distributed and while we enjoy some flexibility in work time, we understand that our ability to collaborate and successfully execute is enhanced when we’re all working the same hours.
 The product team is small, but mighty! The rhythm of our work week is one of relaxed intensity. We’re proud of our products and aspire to be known for our ability to make a difference in the lives of our customers and their drivers.
**About This Role**
 In this role, you will lead the design, development, launch, and evolution of driver\- and fleet\-facing products for the transportation industry. You must possess strong business judgment, high ethical standards, and a collaborative mindset, along with the ability to work effectively with a wide range of stakeholders. You will work closely with a dedicated full\-stack development team, guiding priorities and execution.
 This position reports to the Vice President of Product.
**As a product manager, you will...**
* Engage with customers, integrators and end users to understand their challenges and needs
* Conduct market and competitive research to inform product decisions
* Participate in the development and maintenance of user and buyer personas
* Define business cases and product requirements
* Perform pricing analysis and provide recommendations, when applicable
* Participate in the creation and management of product roadmaps and release plans
* Partner closely with UX/UI, your fellow Product Managers, Engineering, QA and Support to successfully execute the roadmap
* Define launch plans and release milestones
* Collaborate with Sales and Marketing to promote and position the platform
* Evangelize the platform with resellers and market partners
* Define and analyze product metrics
* Become a subject\-matter expert on the product, underlying technology, market and competitive landscape
**About You**
* You have 2\+ years’ experience in SaaS or mobile product management
* You have a proven track record of bringing successful products to market
* You have excellent interpersonal skills and a desire to collaborate with team members to build trust, confidence and influence
* You feel genuine empathy for the customer and a commitment to understanding their evolving challenges
* You have a curious mind and love to learn
* You’re able to make tough calls and trade\-offs, balancing strategic and tactical considerations
* You have excellent written and verbal communication skills
* You’re organized and thorough in your attention to detail
* You’re able to travel up to 10% within the United States
* Bonus points if you have experience in trucking or freight brokerage
**Perks**
* A company that wins with unique, compelling products
* An organization that consistently delivers new product features
* A productive 40\-hour work week and the ability to truly disconnect from work outside of work hours
* No large\-company politics
* Competitive salary and benefits</t>
        </is>
      </c>
    </row>
    <row r="109">
      <c r="A109" t="inlineStr">
        <is>
          <t>li-4367619358</t>
        </is>
      </c>
      <c r="B109" t="inlineStr">
        <is>
          <t>Lead Product Manager</t>
        </is>
      </c>
      <c r="C109" t="inlineStr">
        <is>
          <t>SearchWorks</t>
        </is>
      </c>
      <c r="D109" t="inlineStr">
        <is>
          <t>linkedin</t>
        </is>
      </c>
      <c r="E109">
        <f>HYPERLINK("https://www.linkedin.com/jobs/view/4367619358", "https://www.linkedin.com/jobs/view/4367619358")</f>
        <v/>
      </c>
      <c r="F109" t="inlineStr"/>
      <c r="G109" t="inlineStr"/>
      <c r="H109" t="inlineStr"/>
      <c r="I109" t="inlineStr">
        <is>
          <t>**About the Role** 
 Our client is a high\-growth B2B fintech SaaS company modernizing accounts payable through embedded payment solutions. We’re looking for a
 **Lead / Senior Product Manager** 
 to own end\-to\-end delivery of key product initiatives and drive measurable business and customer impact.
 You’ll lead roadmap execution, partner closely with engineering and business stakeholders, and work alongside a tenured product manager to deliver scalable, high\-quality SaaS capabilities.
**Responsibilities** 
* Own and maintain internal and external product roadmaps
* Translate business and customer needs into clear requirements, user stories, and acceptance criteria
* Lead product development from concept through launch
* Partner with engineering, sales, operations, and leadership to ensure on\-time delivery
* Drive prioritization, release planning, UAT, and post\-launch performance tracking
* Serve as the primary product liaison across cross\-functional teams
* Embed customer feedback into roadmap planning and execution
**Requirements** 
* 6\+ years of product management experience in B2B SaaS
* Proven success launching and scaling cross\-functional product initiatives
* Strong technical fluency (APIs, SaaS platforms, Agile/Scrum, SDLC)
* Experience in fintech, payments, AP/AR automation, or ERP\-integrated platforms preferred
* Excellent written and verbal communication skills
* Data\-driven, execution\-focused mindset</t>
        </is>
      </c>
    </row>
    <row r="110">
      <c r="A110" t="inlineStr">
        <is>
          <t>li-4367482280</t>
        </is>
      </c>
      <c r="B110" t="inlineStr">
        <is>
          <t>Principal Product Manager</t>
        </is>
      </c>
      <c r="C110" t="inlineStr">
        <is>
          <t>People Inc.</t>
        </is>
      </c>
      <c r="D110" t="inlineStr">
        <is>
          <t>linkedin</t>
        </is>
      </c>
      <c r="E110">
        <f>HYPERLINK("https://www.linkedin.com/jobs/view/4367482280", "https://www.linkedin.com/jobs/view/4367482280")</f>
        <v/>
      </c>
      <c r="F110" t="inlineStr"/>
      <c r="G110" t="inlineStr">
        <is>
          <t>New York, NY</t>
        </is>
      </c>
      <c r="H110" t="inlineStr"/>
      <c r="I110" t="inlineStr">
        <is>
          <t>**About The Position \|
 *Major goals and objectives and location requirements***
 We are seeking an experienced and strategic Principal Product Manager to own and evolve the core services, platforms, and content management systems (CMS) that power the PEOPLE app. This role focuses on building scalable, reliable, and flexible platforms that enable editorial, product, and engineering teams to efficiently deliver high\-quality consumer experiences at scale.
 This is a senior individual contributor role requiring strong systems thinking, deep collaboration across functions, and the ability to balance immediate delivery needs with long\-term platform health and leverage. The Principal Product Manager will partner closely with engineering, design, editorial, and other product teams to define platform strategy, execute against complex roadmaps, and unlock velocity across the organization for one of the most iconic brands in media.
**Hybrid 3x a week\- (New York, NY)**
**In\-office Expectations: This position is hybrid in\-office, with the ability to work remotely for up to 2 days per week.** 
**About The Positions Contributions:**
**Accountabilities, Actions and Expected Measurable Results:** 
* Own the vision, strategy, and roadmap for core app services and CMS platforms that support multiple product surfaces and internal teams across the PEOPLE app ecosystem.
* Lead the execution of platform initiatives, balancing short\-term business and editorial needs with long\-term scalability, reliability, and maintainability.
* Serve as the primary product partner for internal customers (including editorial, business, content operations, engineering, and other product teams), deeply understanding their workflows, pain points, and success metrics.
* Be accountable for platform success through measurable outcomes such as internal adoption, content velocity, publish latency, system reliability, and downstream impact on consumer\-facing experiences.
* Collaborate closely with engineering to shape technical strategy, including service architectures, APIs, data models, integrations, and platform capabilities.
* Manage platform dependencies across teams, align stakeholders on priorities, and reduce duplication of effort through shared services and clear product direction.
* Use qualitative and quantitative insights to inform prioritization and decision\-making, validating solutions through internal user testing, phased rollouts, and experimentation where appropriate.
* Lead platform migrations, system improvements, and deprecations while minimizing disruption to internal teams and maintaining operational stability.
* Act as a hands\-on platform product expert and mentor, sharing best practices and contributing to the overall maturity of product management within the organization.
* 
**The Role’s Minimum Qualifications and Job Requirements:**
**Education:** 
 Bachelor’s degree in Computer Science, Business, or related field (MBA or equivalent advanced degree preferred).
**Experience:** 
* 7\+ years of product management experience, including ownership of platforms, services, CMS, or internal tools that support multiple stakeholders and product surfaces.
* Proven experience defining and managing complex roadmaps for foundational systems in collaboration with engineering and cross\-functional partners.
* Demonstrated ability to lead cross\-functional teams through ambiguity, technical constraints, and competing priorities to deliver durable platform solutions.
* Experience supporting content\-heavy, media, or editorial\-driven products is a strong plus.
**Specific Knowledge, Skills, Certifications and Abilities:** 
* Strong systems thinking with the ability to design and evolve platforms that balance flexibility, consistency, and speed.
* Understanding of how platform services and CMS systems support and scale high\-quality mobile app experiences across iOS and Android.
* Experience partnering with engineering on service\-oriented architectures, APIs, and data\-driven systems.
* Comfort working with legacy systems, platform migrations, and long\-term technical investments.
* Familiarity with Agile methodologies and modern product development practices.
* Excellent communication and stakeholder management skills, with the ability to align diverse teams around shared platform goals.</t>
        </is>
      </c>
    </row>
    <row r="111">
      <c r="A111" t="inlineStr">
        <is>
          <t>li-4367265307</t>
        </is>
      </c>
      <c r="B111" t="inlineStr">
        <is>
          <t>Product Manager, Web Experience</t>
        </is>
      </c>
      <c r="C111" t="inlineStr">
        <is>
          <t>The Jed Foundation (JED)</t>
        </is>
      </c>
      <c r="D111" t="inlineStr">
        <is>
          <t>linkedin</t>
        </is>
      </c>
      <c r="E111">
        <f>HYPERLINK("https://www.linkedin.com/jobs/view/4367265307", "https://www.linkedin.com/jobs/view/4367265307")</f>
        <v/>
      </c>
      <c r="F111" t="inlineStr"/>
      <c r="G111" t="inlineStr"/>
      <c r="H111" t="inlineStr"/>
      <c r="I111" t="inlineStr">
        <is>
          <t>**Application Deadline:** 
 28 February 2026
**Department:** 
 02\. OPS\-Digital Products
**Location:** 
 Remote
**Compensation:** 
 $90,000 \- $125,000 / year
**Description**
 The Jed Foundation (JED) is a nonprofit organization that protects emotional health and prevents suicide for our nation’s teens and young adults. JED seeks a highly motivated and experienced Product Manager to join our team. Reporting to the Vice President of Digital Products, the Product Manager will guide the strategy, execution, and performance of one of its most critical digital assets: JedFoundation.org. This position requires a highly skilled and experienced individual who is passionate about helping organizations grow and deliver impact through digital products and experiences. Initially, you will lead a team through the comprehensive redesign of JedFoundation.org to better serve each of its diverse audiences and organizational objectives. Following the launch, you will guide the product’s ongoing strategy and implementation to ensure it effectively supports JED's growth goals. You will be responsible for balancing three key priorities: delivering free, evidence\-based resources through our Mental Health Resource Center; driving revenue through data\-driven online fundraising; and growing the reach of JED's programs by generating qualified leads for our school, community, and policy/advocacy initiatives
**Key Responsibilities**
**Website Redesign \&amp; Launch (Year 1\)**
* **Discovery \&amp; Strategy:** 
 Guide the discovery, research, and strategic planning for the full\-scale redesign of JedFoundation.org, aligning all stakeholders on project goals, KPI’s, scope, and audience needs.
* **Project Leadership:** 
 Act as the central owner for the redesign project, managing the timeline, budget, and relationships with internal teams (Marketing, Programs, Development) and external vendors (design and development agencies).
* **Collaborate on Product Design and Prototyping:** 
 Championing a user\-centric and data\-informed approach, you’ll partner with product designers in the co\-creation, prototyping and testing of new site designs. You’ll support the design team in creating intuitive, engaging, and highly accessible (WCAG compliant) user journeys, along with a scalable UI design system for implementation. This includes working with youth and other key stakeholders to co\-design solutions that deliver critical value for both JED and its users.
* **Requirements \&amp; Execution:** 
 Translate stakeholder needs and user research into clear product requirements, user stories, and acceptance criteria for the engineering team.
* **QA Testing and Launch Preparation** 
 : Oversee the content migration, QA testing, and go\-live procedure to mitigate risk of SEO loss and avoid introducing usability or performance issues.
* **Launch and Change Management:** 
 Work with internal staff and external partners to facilitate the deployment . Coordinate training and documentation support to ensure seamless change management. Establish baseline KPIs and measurement plans to evaluate the new site's success.
**Ongoing Product Management \&amp; Strategy (Post\-Launch)**
* **Agile Leadership:** 
 Guide a cross\-department team through continuous optimization and scaling of this product by championing a data\-informed, iterative process where user feedback and analytics drive a shared roadmap of feature enhancements, growth experiments, fixes and ongoing maintenance. Develop and maintain product documentation, including product manuals, release notes, user guides, and FAQs.
* **Data\-Driven Decisions:** 
 Continuously analyze site performance using BI and data analytics tools to identify optimization opportunities and guide the ongoing implementation of data\-informed product improvements. Collaborate with data and evaluation teams to ensure JED stakeholders and constituents have access to key data for reporting and growth. Maintain up\-to\-date knowledge of digital product trends and emerging technologies, and incorporate these into product management strategies.
* **Vendor Managemen** 
 t: Collaborate with external partners and ensure our digital products are developed and maintained according to best practices and industry standards.
* **Product Roadmap:** 
 Develop, own, and communicate the long\-term product roadmap for JedFoundation.org, prioritizing features and enhancements that align with JED's strategic objectives.
* **Oversee The Quality Assurance Lifecycle** 
 : Refine and lead JED’s quality assurance testing protocols throughout the product lifecycle. Work with internal and external engineers, JED program staff, and external QA partners to ensure the site is performant and usable across audiences and devices.
* **Stakeholder Alignment:** 
 Act as the primary digital product expert, regularly reporting on performance, gathering feedback, and aligning cross\-functional teams around a unified product vision.
**Functional Optimization \&amp; Growth (Core Priorities)**
* **Mental Health Resource Center:** 
 Partner with JED's clinical and content teams to enhance the discoverability, accessibility, and impact of our free, evidence\-based mental health resources.
* **Data\-Driven Fundraising:** 
 Collaborate with the Development and Marketing teams to design, test, and optimize online donation funnels, appeal pages, and user flows to grow revenue.
**Program \&amp; Advocacy Lead Generation:** 
 Design and refine conversion pathways to capture and nurture new leads for JED's school and community programs, as well as its policy and advocacy work, integrating seamlessly with our CRM (e.g., Salesforce).
**Skills, Knowledge \&amp; Expertise**
* **5\+ years of experience** 
 in digital product management, with a proven track record of managing high\-traffic, content\-rich websites.
* **Demonstrated experience leading a large\-scale product redesign** 
 from discovery through launch and iteration.
* **Strong technical literacy,** 
 including deep experience with CMS platforms (e.g., Contentful, Wordpress), BI/analytics and data infrastructure (eg: GA4, Looker, Snowflake), collaboration/design and testing tools (eg: Figjam, Maze) experimentation and user behavior tools (VWO, Hotjar, Qualtrics).
* **Expertise in data\-driven decision\-making,** 
 with a strong ability to conduct A/B tests, analyze user data, and translate insights into product requirements.
* **Experience working in an agile/scrum** 
 development environment, with a strong understanding of product owner responsibilities.
* **Proven success in optimizing digital funnels** 
 for specific conversion goals, such as online fundraising, e\-commerce, or lead generation.
* **Exceptional communication and stakeholder management skills,** 
 with the ability to unite diverse, non\-technical teams around a common goal.
* **Deep understanding of UX/UI principles** 
 and a passionate commitment to web accessibility (WCAG) and creating inclusive digital experiences.
* **Experience with SEO/SEM best practices** 
 and marketing automation/CRM integrations (Salesforce preferred).
**Experience with social impact, behavioral health, or education** 
**field** 
 is a plus.
**Pay Ranges:**
 The range listed on this job posting is based on JED's compensation posting ranges. The range(s) are informed by market research conducted across various U.S. regions and are designed to account for geographic differences in compensation.
 **Actual salary will depend on factors such as experience, qualifications, and work location and may not exceed the posted pay ranges.**
**Location/Travel Information:**
 Roles at JED are primarily
 **hybrid** 
 and based out of the
 **New York City Tri‑State Area** 
 , which supports all of JED’s core services and functions. For positions supporting
 **JED’s Policy \&amp; Advocacy team, the location is based in the Washington, D.C. area** 
 .
**Certain positions may have additional or specific location requirements as determined by organizational needs.** 
**Location requirements for each role are specified on the top right of this job opening page — please pay particular attention when applying.** 
 Also note that JED does not cover permanent relocation costs at this time.
 In‑person attendance is required for periodic retreats or business meetings at JED’s central office in NYC or other locations as designated by JED leadership. Additional travel may be required based on role responsibilities, team priorities, or organizational projects.
**Work Authorization**
 All applicants must be legally authorized to work in the United States. JED does not provide employment visa sponsorship at this time.
**Physical Requirements:** 
* Prolonged periods of sitting and working on a computer, including typing, viewing screens, and engaging in virtual meetings.
* Frequent phone, email, and video conferencing communication require clear speech, active listening, and visual acuity.
* Occasional standing, walking, and lifting up to 25 pounds for conference booth setup, promotional materials, or event\-related tasks.
* Flexibility to adjust to different work environments, including home offices, shared workspaces, and on\-site event locations.
**General Benefits:**
 At JED, you’ll join a team of compassionate professionals committed to protecting youth mental health. Our mission\-driven culture encourages collaboration, innovation, and a shared sense of purpose. Join us to make a meaningful impact in the lives of young people across the country.
 Employees who are eligible for benefits may participate in JED’s equity program and have access to a comprehensive benefits package that includes medical, dental, vision, retirement, mental health support, and more.
 For our benefits\-eligible employees (such as full\-time staff), we also offer a generous paid time off policy, an Employee Assistance Program (EAP), and a 401(k) plan with employer matching. Temporary staff and interns may be eligible for limited benefits.
***These benefits apply to all benefits\-eligible permanent staff. Eligibility may vary based on role, employment status, and location. Temporary employees and interns are eligible for limited benefits, which will be communicated during the hiring or onboarding process.***
**🌟 Benefits That Support You — Professionally and Personally** 
 At JED, we’re committed to creating an environment where our team can thrive. From generous time off to comprehensive health and financial benefits, we’ve got you covered.
**🏖️ Paid Time Off** 
* **Vacation** 
 – \~15 days per year to rest, recharge, and reset (increases to 20 days after 4 years)
* **Holidays** 
 – 10 paid holidays throughout the year
* **Floating Holiday** 
 – 1 personal day to use however you'd like
* **Birthday Day Off** 
 – Take your birthday off to celebrate YOU! 🎉
* **Winter Break (No FOMO Week)** 
 – 5\-day, all\-team holiday closure at the end of each calendar year
* **Personal Leave (Life Leave)** 
 – 3 days annually to take care of life—errands, appointments, or personal time
* **Sick Leave** 
 – 6 days annually for your health or to care for a sick loved one
**🛑 Leaves of Absence** 
 We follow all applicable
 **state and federal leave guidelines** 
 , including the
 **Family and Medical Leave Act (FMLA)** 
 and
 **state\-specific family and medical leave programs** 
 (e.g., NYS Paid Family Leave). Where no state plan exists, we use NYS PFML as a baseline. Please note:
 **Eligibility or waiting periods may apply** 
 depending on the type of leave and your location. We will help you navigate your options should a leave need arise.
**⏱️ Other Time Off** 
* **Bereavement Leave** 
 – 5 days of paid leave for the loss of an immediate family member
* **Jury Duty** 
 – Paid time off to fulfill your civic responsibility
**💸 Health \&amp; Financial Wellbeing** 
* **Transit Benefits** 
 – Use pre\-tax dollars for eligible commuting costs
* **Flexible Spending Account (FSA)** 
 – Pay for qualifying out\-of\-pocket healthcare or dependent care expenses with pre\-tax dollars
* **Healthcare Reimbursement Arrangements (HRA):** 
	+ **Mental Health HRA** 
	 – $1,500/year for all benefits\-eligible staff, with additional funds for those covering dependents
	+ **Health HRA** 
	 – Available for employees enrolled in JED’s medical plan
	+ **Dental HRA** 
	 – Available for employees enrolled in JED’s dental plan
**🩺 24/7 Health Support** 
* **Employee Assistance Program (EAP)**
* **Teladoc Virtual Health** 
 – 24/7 access to doctors and mental health professionals, at no cost to you
**🪙 Retirement Planning** 
* **401(k) Safe Harbor Plan** 
	+ Start contributing on
	 **Day 1**
	+ **Employer Match** 
	 (after 6 months):
		- 100% match on the first 3% of compensation
		- 50% match on the next 2%
 We’re building a mission\-driven team—and that starts by investing in the people behind the mission.
**Reasonable Accommodations Statement**
 We are committed to providing an inclusive and accessible hiring process for all candidates. If you require a reasonable accommodation to participate in the application or interview process, please let us know by responding to the confirmation emails you receive from us when you apply or schedule an interview. We will work with you to meet your needs in accordance with applicable laws.
**Equal Employment Opportunity ("EEO") Statement**
 JED is committed to fostering a diverse and inclusive workplace that values collaboration and creativity. We are proud to be an Equal Opportunity Employer, and we do not discriminate on the basis of race, color, religion, gender, sexual orientation, age, disability, or any other protected characteristic in accordance with applicable state, federal, and local laws. We welcome and encourage individuals from all backgrounds to apply and contribute to our mission of protecting emotional health and preventing suicide.</t>
        </is>
      </c>
    </row>
    <row r="112">
      <c r="A112" t="inlineStr">
        <is>
          <t>li-4367472806</t>
        </is>
      </c>
      <c r="B112" t="inlineStr">
        <is>
          <t>Product Manager</t>
        </is>
      </c>
      <c r="C112" t="inlineStr">
        <is>
          <t>RedCircle</t>
        </is>
      </c>
      <c r="D112" t="inlineStr">
        <is>
          <t>linkedin</t>
        </is>
      </c>
      <c r="E112">
        <f>HYPERLINK("https://www.linkedin.com/jobs/view/4367472806", "https://www.linkedin.com/jobs/view/4367472806")</f>
        <v/>
      </c>
      <c r="F112">
        <f>HYPERLINK("https://job-boards.greenhouse.io/redcircle/jobs/4954857008&amp;urlHash=7ytn", "https://job-boards.greenhouse.io/redcircle/jobs/4954857008&amp;urlHash=7ytn")</f>
        <v/>
      </c>
      <c r="G112" t="inlineStr">
        <is>
          <t>Boston, MA</t>
        </is>
      </c>
      <c r="H112" t="inlineStr"/>
      <c r="I112" t="inlineStr">
        <is>
          <t>RedCircle helps creators turn their art into income. As a Product Manager, you’ll be responsible for advancing our platform to help podcasters get paid.
 Our platform, RAP, is a fully\-automated advertising solution for both marketing teams and podcast creators. RAP enables a marketer to buy ads on hundreds of podcasts in a few clicks, while still buying host\-read endorsement\-style campaigns. It’s audio influence at scale. For podcasters, RedCircle’s distribution, analytics, and monetization technologies are a no\-brainer for maximizing revenue for their audience. For advertisers, RAP provides unprecedented scale by replacing the emails, PDFs, and spreadsheets that are typically used in these campaigns.  
 As RedCircle continues to scale, we’re bringing on a Product Manager to collaborate with the founders on the product roadmap. As PM on the tech team, you’ll work closely every day with the engineering team, designers, and company founders to push the platform forward. You’ll be RedCircle’s first dedicated Product Manager — gathering requirements, designing solutions, and collaborating closely with engineers to ensure smooth execution and delivery.
 The podcast advertising industry is set to double from $2B to $4B over the next couple of years, and RedCircle is providing some of the most sophisticated advertising software and the most interesting content in the game. If you want to be part of a fast\-moving environment and help scale a growing business at the heart of podcast advertising, this is the job for you.
**Core responsibilities:** 
* **Own the product roadmap.** 
  Partner with leadership to define and prioritize the next wave of features across our creator and advertiser experiences.
* **Drive execution.** 
  Translate strategy into clear, actionable product requirements and work closely with engineering on planning, delivery, and QA.
* **Create amazing design.** 
  Collaborate closely with designers to deliver exceptional UX — from intuitive creator dashboards to enterprise\-grade advertising tools.
* **Lead cross\-functional collaboration.** 
  Communicate priorities and updates across the company. Gather feedback and user needs from the team.
* **Champion the user.** 
  Deeply understand the workflows, motivations, and pain points of both podcasters and advertisers to deliver impactful products.
* **Measure and iterate.** 
  Define success metrics, analyze product performance, and continuously improve based on data and feedback.
**Reporting to the CEO. The company’s founder and CEO will be your supervisor, so you’ll have great access to the company’s history, strategy, and decision making.**
**A great candidate…** 
* Has 2\+ years of experience in product management, ideally within SaaS, adtech, martech, or media tech environments.
* Has an eye for design and usability and is passionate about building delightful, accessible interfaces.
* Is comfortable in high\-tech environments and capable of discussing architecture and tradeoffs with engineers while maintaining business focus.
* Thrives in a fast\-paced, startup environment, working closely with leadership and teammates across disciplines.
* Takes ownership of outcomes, manages multiple priorities effectively, and follows through with precision.
* Is located in Boston and is excited about in\-person collaboration.
**About RedCircle** 
 RedCircle is everything a podcaster needs to run their podcast as a business. With tools for analytics, growth, payments, and advertising revenue, podcast creators use RedCircle as their command center for their podcast. RedCircle also provides a first\-of\-its\-kind podcast advertising platform, which helps brands scale ad campaigns across its thousands of podcasts in just a few clicks. As consumers, creators, and brands all flock to the podcasting medium, RedCircle is providing the picks and shovels to help all 3 groups transact.
 The company is growing extremely fast, is backed by some of Silicon Valley's top VCs, and is growing its engineering and sales teams. If you want to help podcasters turn their art into income, this is the place for you.
 RedCircle is an equal opportunity employer. The salary range for this role is $90,000 to $180,000 per year depending on experience.</t>
        </is>
      </c>
    </row>
    <row r="113">
      <c r="A113" t="inlineStr">
        <is>
          <t>li-4367492098</t>
        </is>
      </c>
      <c r="B113" t="inlineStr">
        <is>
          <t>Senior Product Owner</t>
        </is>
      </c>
      <c r="C113" t="inlineStr">
        <is>
          <t>Stelvio Inc.</t>
        </is>
      </c>
      <c r="D113" t="inlineStr">
        <is>
          <t>linkedin</t>
        </is>
      </c>
      <c r="E113">
        <f>HYPERLINK("https://www.linkedin.com/jobs/view/4367492098", "https://www.linkedin.com/jobs/view/4367492098")</f>
        <v/>
      </c>
      <c r="F113" t="inlineStr"/>
      <c r="G113" t="inlineStr">
        <is>
          <t>Phoenix, AZ</t>
        </is>
      </c>
      <c r="H113" t="inlineStr"/>
      <c r="I113" t="inlineStr">
        <is>
          <t>**Senior Product Owner** 
**Hybrid (Phoenix, AZ)** 
 We’re hiring a Senior Product Owner to lead vision, strategy, and execution across one or more complex product lines. In this role, you’ll partner with senior stakeholders, guide agile teams, and translate customer and business needs into clear, high\-value product outcomes.
**What You’ll Do:** 
* Shape product vision and influence roadmap direction.
* Own backlog creation, prioritization, and refinement.
* Write clear user stories with strong acceptance criteria.
* Lead discovery, requirement gathering, and cross\-team collaboration.
* Serve as the main point of contact for developers, customers, and stakeholders.
* Facilitate Agile/Scrum ceremonies and break down complex initiatives.
* Use data to guide decisions and monitor product performance.
* Translate customer feedback into actionable requirements.
* Partner with technical leadership to evaluate solution options.
**What You Bring:** 
* Bachelor’s degree
* 7\+ years relevant experience.
* Strong product ownership, agile delivery, and communication skills.
* Proven ability to drive clarity, prioritize effectively, and deliver customer\-centric value.
* Transportation industry is highly advantageous</t>
        </is>
      </c>
    </row>
    <row r="114">
      <c r="A114" t="inlineStr">
        <is>
          <t>li-4367246861</t>
        </is>
      </c>
      <c r="B114" t="inlineStr">
        <is>
          <t>Senior Product Manager, Subscription &amp; Lifecycle</t>
        </is>
      </c>
      <c r="C114" t="inlineStr">
        <is>
          <t>Muck Rack</t>
        </is>
      </c>
      <c r="D114" t="inlineStr">
        <is>
          <t>linkedin</t>
        </is>
      </c>
      <c r="E114">
        <f>HYPERLINK("https://www.linkedin.com/jobs/view/4367246861", "https://www.linkedin.com/jobs/view/4367246861")</f>
        <v/>
      </c>
      <c r="F114" t="inlineStr"/>
      <c r="G114" t="inlineStr"/>
      <c r="H114" t="inlineStr"/>
      <c r="I114" t="inlineStr">
        <is>
          <t>Muck Rack is the leading SaaS platform for public relations and communications professionals. Our mission is to enable organizations to build trust, tell their stories, and demonstrate the unique value of earned media. Muck Rack’s AI\-powered, comprehensive, and integrated platform streamlines the PR workflow to help businesses generate positive media coverage, monitor mentions to manage brand reputation, and analyze PR’s impact on business outcomes. By combining media database, monitoring, and reporting into one dynamic platform, we empower teams to collaborate seamlessly, pitch effectively, and analyze results faster and more efficiently.
 Founder\-controlled, fully distributed, and growing sustainably, Muck Rack has received several awards for its unparalleled culture and product from organizations like Inc., Quartz, G2, and BuiltIn. We value resilience, transparency, ownership, and customer devotion, and infuse these values into everything we do. 
 We’re looking for a technically curious, customer\-obsessed
 **Senior Product Manager, Subscription \&amp; Lifecycle** 
 to own the foundational experiences that define how customers activate, manage, and grow their relationship with Muck Rack. This role focuses on subscription lifecycle workflows including activation, onboarding, provisioning, entitlements, access changes, and ongoing maintenance that enable product\-led growth while supporting sales\-assisted expansion.
 This is an end\-user product role with deep platform adjacency. You will work closely with Engineering, Product, UX, Operations, and Go\-To\-Market partners to design and ship scalable systems that determine how customers get more Muck Rack — from first activation through expansion, change, and long\-term use.
 What you’ll do:
 * Own the subscription and lifecycle product surface end to end, including activation, onboarding, provisioning, entitlements, access changes, and maintenance workflows
* Partner closely with Engineering to design scalable, API\-driven solutions that support customer growth, internal tooling, and future platform evolution
* Translate customer and internal needs into clear product requirements that balance usability, security, scalability, and system constraints
* Drive product\-led growth (PLG) experiences that make it easy for customers to discover, adopt, and expand their use of Muck Rack over time
* Collaborate with Sales, Customer Success, and Enablement to ensure lifecycle workflows support real GTM motion without creating friction or manual workarounds
* Maintain and prioritize a backlog of work in close partnership with Engineering, ensuring clarity on scope, dependencies, and tradeoffs
* Use qualitative and quantitative data to identify opportunities, validate decisions, and measure impact across activation, usage, retention, and expansion
* Communicate clearly with stakeholders across Product, Engineering, and GTM to align on priorities, timelines, and outcomes
 How success will be measured in this role:
 * Customers can easily activate, manage, and expand their subscriptions with minimal friction
* Subscription and lifecycle workflows support both self\-serve PLG and sales\-assisted growth
* Engineering teams have clear, well\-scoped requirements that enable scalable, maintainable systems
* APIs and internal systems are designed with long\-term extensibility and reliability in mind
* Product decisions are grounded in data, customer insight, and thoughtful tradeoffs
 If the details below describe you, you could be a great fit for this role:
 * 4\+ years of product management experience in a SaaS environment, or equivalent experience in platform\-adjacent product roles.
* Experience owning end\-user product solutions tied to subscriptions, accounts, users, provisioning, entitlements, or lifecycle workflows.
* Strong understanding of how APIs and large systems work, and how product decisions impact engineering complexity.
* Demonstrated experience with product\-led growth, from activation through ongoing customer maintenance and expansion.
* Comfort working closely with Engineering to understand technical requirements, ask the right questions, and scope feasible solutions.
* Experience collaborating cross\-functionally across Product, UX, Sales, Customer Success, Onboarding, Support, and Enablement.
* Experience using product development and analytics tools (e.g., Jira, Linear, Heap, Pendo, SQL\-based analysis).
* Salesforce API experience is a plus, but not required.
 Interview Overview
 Here’s what you can expect from our process. We’ll keep you informed at every step and let you know if anything changes along the way.
* Intro call with a member of our Talent Team
* A video interview with the Hiring Manager
* Peer interviews with future teammates
* Final conversation(s) with member(s) of our executive team
 Salary
 For roles based in Europe, we offer a competitive salary range aligned with local market value.
* The base salary for this role in the UK is between £96,000 \- 114,000 GBP.
* The base salary for this role in Ireland is between 91,000 \- 107,000 EUR.
 Total compensation for this role consists of base salary, a quarterly bonus plan, and equity. For all other countries, we have competitive pay bands based on market standards.
 Individual compensation decisions are based on a number of factors, including experience level, skillset, and balancing internal equity relative to peers at the company. We expect the majority of the candidates who are offered roles at our company to fall healthily throughout the range based on these factors. We recognize that the person we hire may be less experienced (or more senior) than this job description as posted. If that ends up being the case, the updated salary range will be communicated with you as a candidate.
**Why Muck Rack?** 
**Remote Work, Forever** 
* Fully distributed team with a permanent remote setup
* Home office stipend, phone and internet reimbursement, coworking membership
* Virtual and in\-person team bonding (lunches, events, competitions)
**Transparent \&amp; Fair Compensation** 
* Competitive geo\-neutral pay in the U.S.
* Annual reviews to ensure equity and market alignment
* Standardized bonus or commission structure
* 401(k) with employer contributions
* Equity opportunities
**Health \&amp; Wellness** 
* Comprehensive medical, dental, vision, disability, and life insurance for employees and dependents
* 100% premium coverage for individuals on high\-deductible plans
* 24/7 Virtual Care and Employee Assistance Program
* Employer\-funded HSA contributions and other pre\-tax benefits
* Quarterly wellness stipend and free Headspace subscription
**Time Off \&amp; Family Benefits** 
* 4\+ weeks of PTO, plus paid sick and mental health days
* 13 paid holidays with the option to swap for personal days
* Up to 16 weeks of fully paid parental leave
**Learning and Development** 
* Transparent pathways for internal mobility and promotion
* Bi\-annual performance reviews, team workshops, and leadership training
* Unlimited access to Coursera and O’Reilly
* 2 additional PTO days annually for learning and development
**Inclusive, Customer\-First Culture** 
* Commitment to equity and valuing diverse perspectives
* Agile, founder\-led company focused on collaboration and innovation
* Trusted by 3,000\+ companies worldwide
*Note: Benefits and compensation reflect offerings for U.S.\-based employees. Support is provided for employees in other locations, in compliance with local laws and regulations.* 
 While we are a fully distributed team, we do have limitations on where we can hire and maintain a list of acceptable working locations based on job function. If we are unable to hire in your current location for the role for which you applied, you will be notified via email. While we enjoy many benefits as a permanently distributed and remote company, we cannot always support relocation or extended travel and have guidelines in place to ensure compliant work away from your designated permanent residence.
  Please note: For detailed information regarding our GDPR and/or CCPA compliance policies, including how we handle personal data and privacy rights, kindly refer to the email correspondence accompanying this application.Muck Rack does not accept unsolicited resumes from search firms or any other third parties. Any unsolicited resume sent to Muck Rack will be considered Muck Rack property, and Muck Rack will not pay a fee should it hire the subject of any unsolicited resume.Muck Rack considers applicants for all positions on the basis of merit, qualifications, and business needs, and without regard to race, color, national origin, religion, sex, age, disability, sexual orientation, gender identity, alienage or citizenship status, ancestry, marital status, genetic predisposition or carrier status, veteran status, familial status, status as a victim of domestic violence, or any other status or characteristic protected by applicable federal, state, or local law.Note to applicants/job seekers: We have recently been made aware of scams impersonating Muck Rack’s HR team. Please be cautious of these attempts to elicit banking or other financial or sensitive information. Muck Rack will never request financial information during the interview process, and follow ups for interviews or next steps will always come from an ‘@muckrack.com’ email address. If you are contacted by anyone from a different domain who claims to be from Muck Rack, please forward the communication to legal@muckrack.com.</t>
        </is>
      </c>
    </row>
    <row r="115">
      <c r="A115" t="inlineStr">
        <is>
          <t>li-4367474576</t>
        </is>
      </c>
      <c r="B115" t="inlineStr">
        <is>
          <t>Product Owner</t>
        </is>
      </c>
      <c r="C115" t="inlineStr">
        <is>
          <t>Pentangle Tech Services | P5 Group</t>
        </is>
      </c>
      <c r="D115" t="inlineStr">
        <is>
          <t>linkedin</t>
        </is>
      </c>
      <c r="E115">
        <f>HYPERLINK("https://www.linkedin.com/jobs/view/4367474576", "https://www.linkedin.com/jobs/view/4367474576")</f>
        <v/>
      </c>
      <c r="F115" t="inlineStr"/>
      <c r="G115" t="inlineStr">
        <is>
          <t>Portland, Oregon Metropolitan Area</t>
        </is>
      </c>
      <c r="H115" t="inlineStr"/>
      <c r="I115" t="inlineStr">
        <is>
          <t>**Job Title:** 
 Product Owner \- Automation Framework
**Location:** 
 Portland, Oregon
**Duration:** 
 Long Term
* **Keywords:
 Automation Framework, Virtualized Android, Linux/QNX, Qualcomm SOM, IFE Systems** 
**(all these are must to have)**
* 
* **Job Description:**
* 
* **7 to 10 years relevant** 
 mandatory experience.
* Automation Framework
 **(Virtualized Android Environment, Linux/QNX, Qualcomm SOM)**
* Team: Automation Scrum Team –
 **In\-Flight Entertainment (IFE)**
* Work closely with
 **Android platform engineers, QNX/Linux teams, Qualcomm chipset specialists, and virtualization architects.**
* Understand the automation framework architecture (hardware abstraction, virtualized interfaces, DUT orchestration, reporting pipelines).
* Write clear, well\-structured epics, features, and user stories for automation tooling, framework improvements, APIs, and test execution workflows.
* Refine backlog items with engineering teams to ensure clarity, feasibility, and alignment with the automation strategy.
* Collaborate with Scrum Master and Engineering Lead to drive predictable, sprint\-based delivery.
* 
* **Key Responsibilities**
* Product Leadership \&amp; Strategy
* Own the vision, roadmap, and backlog for the Automation Framework for virtualized Android\- and Linux\-based IFE systems.
* Prioritize automation features and capabilities based on business value, technical feasibility, team capacity, and program timelines.
* Define KPIs for automation coverage, stability, efficiency, and adoption across multiple platform teams.
* Guide the team on automation needs for:
* Virtualized Android environments
* Linux and QNX subsystems
* Qualcomm SOM\-based hardware
* IFE system integration and certification workflows
* 
* Stakeholder Management
* Serve as the primary liaison between automation engineering and product/program stakeholders across PAC.
* Gather requirements from system verification, platform SW teams, airline program teams, and integration labs.
* Communicate roadmap, progress, risks, and dependencies with clarity and frequency.</t>
        </is>
      </c>
    </row>
    <row r="116">
      <c r="A116" t="inlineStr">
        <is>
          <t>li-4356811607</t>
        </is>
      </c>
      <c r="B116" t="inlineStr">
        <is>
          <t>Product Manager – Data &amp; Platform</t>
        </is>
      </c>
      <c r="C116" t="inlineStr">
        <is>
          <t>VMC Soft Technologies, Inc</t>
        </is>
      </c>
      <c r="D116" t="inlineStr">
        <is>
          <t>linkedin</t>
        </is>
      </c>
      <c r="E116">
        <f>HYPERLINK("https://www.linkedin.com/jobs/view/4356811607", "https://www.linkedin.com/jobs/view/4356811607")</f>
        <v/>
      </c>
      <c r="F116" t="inlineStr"/>
      <c r="G116" t="inlineStr">
        <is>
          <t>Phoenix, AZ</t>
        </is>
      </c>
      <c r="H116" t="inlineStr"/>
      <c r="I116" t="inlineStr">
        <is>
          <t>**\*\*\*\*\*w2 CONTRACT ROLE\*\*\*\*\*** 
**\*\*\*\*\*w2 CONTRACT ROLE\*\*\*\*\*** 
**\*\*\*\*\*w2 CONTRACT ROLE\*\*\*\*\*** 
 🚀 We’re Hiring: Product Manager – Data \&amp; Platform
**Location:** 
 \[Phoenix, AZ]
 **Experience:** 
 8\+ years (Product Management / Digital Product Development)
**Role Overview** 
 We are seeking a
 **Product Manager with a strong data background** 
 to lead the delivery of data\-driven platforms and products. This role will partner closely with engineering, analytics, and business stakeholders to translate complex data needs into scalable, high\-quality product features while ensuring governance, performance, and operational excellence.
**Key Responsibilities** 
* Own and translate product roadmap into clear requirements, user stories, and acceptance criteria.
* Collaborate with engineering \&amp; scrum teams to plan, prioritize, and deliver features end\-to\-end.
* Leverage data \&amp; analytics to drive product strategy, experimentation, and measurable outcomes.
* Define, track, and report on product/platform health metrics (KPIs, SLIs, SLAs).
* Support data governance, compliance, and standardization across platforms.
* Identify opportunities for automation, simplification, and continuous improvement.
* Lead UAT, sprint tracking, and delivery execution.
* Partner with global stakeholders to manage dependencies and migrations.
* Stay updated with industry trends and best practices.
**Required Skills \&amp; Qualifications** 
* 8\+ years in Product Management / Digital Product Development (2\+ yrs for junior PM/Analyst).
* Strong background in
 **data, analytics, or data platforms** 
 .
* Hands\-on experience with
 **SQL, Python, Hive** 
 or similar tools.
* Experience with
 **big data platforms, data warehousing, BI, Hadoop ecosystems** 
 .
* Proven ability to analyze complex data \&amp; processes to deliver impactful solutions.
* Strong Agile/SAFe experience with tools like
 **Rally, Jira, Atlassian Suite, Slack** 
 .
* Excellent communication \&amp; stakeholder management skills across time zones.
* Bachelor’s degree in computer science
 **, Engineering, IT, Data, or Analytics** 
 .
**if you are interested, please share your resumes with me at Sureshp@vmcsofttech.com, or else reach me at 4804076916**</t>
        </is>
      </c>
    </row>
    <row r="117">
      <c r="A117" t="inlineStr">
        <is>
          <t>li-4367281565</t>
        </is>
      </c>
      <c r="B117" t="inlineStr">
        <is>
          <t>Product Manager - Creator</t>
        </is>
      </c>
      <c r="C117" t="inlineStr">
        <is>
          <t>TikTok</t>
        </is>
      </c>
      <c r="D117" t="inlineStr">
        <is>
          <t>linkedin</t>
        </is>
      </c>
      <c r="E117">
        <f>HYPERLINK("https://www.linkedin.com/jobs/view/4367281565", "https://www.linkedin.com/jobs/view/4367281565")</f>
        <v/>
      </c>
      <c r="F117" t="inlineStr"/>
      <c r="G117" t="inlineStr">
        <is>
          <t>New York, United States</t>
        </is>
      </c>
      <c r="H117" t="inlineStr"/>
      <c r="I117" t="inlineStr">
        <is>
          <t>**Responsibilities**
 The TikTok Creator \&amp; Ecosystem team develops world\-leading tech solutions for ads creative production, creator marketing, interpretation, and optimization to empower and inspire advertisers, creators, and other third parties in the ecosystem to create and deliver the best engaging creative experiences to end users.
 We are user\-oriented and dedicated to technical excellence. We aim to drive and lead technology renovation in the ad tech and creative industries, powering products and driving values for our clients, creators, and the whole ecosystem. We are looking for experienced product managers to continually push the innovation bar and make TikTok the best place to get inspired and express creativity.
 Responsibilities:
 \- Develop and execute the product strategy for TikTok Creator \&amp; Ecosystem, including identifying key market opportunities, setting product roadmaps, and delivering against ambitious revenue targets
 \- Work as the product manager for TikTok Creator Marketing and Creator Monetization related products, own product strategy and roadmap, prioritize, align and deliver clear product goals and success metrics
 \- Develop in\-depth understanding of demand (advertiser) and supply (creator), identify and execute the product improvement to drive adoption and retention from both sides
 \- Drive execution through working directly with engineering, design, QA, data science, operations, marketing, sales and other cross\-functional teams
 \- Educate and influence both internal leadership and external stakeholders on TikTok's ads creative and creator ecosystem strategy
**Qualifications**
 Minimum Qualifications:
 \- Minimum 3\+ years of product management experience, preferably building products/tools related to advertising
 \- Bachelor's degree in Computer Science, Engineering, Business, or a related field
 \- Deep understanding of the advertising landscape and the needs of advertisers, including experience with creative development, media buying, and ad optimization.
 \- Excellent analytical skills, with the ability to use data to inform product decisions and drive continuous improvement.
 \- Strong cross\-functional collaboration skills, with the ability to work effectively with engineering, design, data science, and business development teams.
 \- Experience with multi\-project management and execution in a cross\-functional environment
 \- Strong documentation, presentation, and communication skills, particularly implemented in a cross\-functional and global role
 Preferred Qualifications:
 \- Excellent communication skills, with the ability to clearly articulate complex product concepts to both technical and non\-technical stakeholders.
 \- Self\-starter who can manage large cross\-functional stakeholders in a fast\-paced, dynamic environment
 \- Proficient in English and Mandrian listening, speaking, reading and writing. Both English and Mandrian skill sets are required to support clients in APAC and to communicate with stakeholders.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$149040 \- $311600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18">
      <c r="A118" t="inlineStr">
        <is>
          <t>li-4367619929</t>
        </is>
      </c>
      <c r="B118" t="inlineStr">
        <is>
          <t>AI Product Manager - remote opportunity</t>
        </is>
      </c>
      <c r="C118" t="inlineStr">
        <is>
          <t>Tivity Health</t>
        </is>
      </c>
      <c r="D118" t="inlineStr">
        <is>
          <t>linkedin</t>
        </is>
      </c>
      <c r="E118">
        <f>HYPERLINK("https://www.linkedin.com/jobs/view/4367619929", "https://www.linkedin.com/jobs/view/4367619929")</f>
        <v/>
      </c>
      <c r="F118" t="inlineStr"/>
      <c r="G118" t="inlineStr"/>
      <c r="H118" t="inlineStr"/>
      <c r="I118" t="inlineStr">
        <is>
          <t>**Description/Responsibilities**
 We're building an AI Center of Excellence from the ground up, and we need a strategic, hands\-on AI Product Manager to lead this initiative. This isn't about managing a team—it's about building the foundation, establishing best practices, and proving the transformative value of AI across Tivity Health.
 You'll be the first dedicated AI PM, working directly with executive leadership, data science, engineering, and business stakeholders to identify high\-impact AI use cases, ship production AI products, and create the playbook for how we leverage AI to enhance member experiences and drive business outcomes.
 This role is perfect for someone who thinks like a strategist, builds like a founder, and executes like an operator \- someone who can move fast, navigate ambiguity, and turn AI potential into tangible results.
**What You’ll Do**
 Stand Up the AI Center of Excellence (0\-6 Months)
* Define the vision and strategy for AI at Tivity Health—what problems we solve, how we prioritize, how we measure success
* Establish governance frameworks for responsible AI development (ethics, privacy, bias mitigation, compliance with healthcare regulations)
* Create the AI product playbook —templated processes for ideation, experimentation, evaluation, and deployment
* Build cross\-functional relationships with data science, engineering, legal, compliance, and business leaders to align on AI priorities
* Identify and prioritize initial AI use cases across member engagement, care coordination, operational efficiency, and business intelligence
* Establish measurement frameworks —define KPIs, OKRs, and success metrics for AI initiatives; build dashboards and reporting cadences
 Ship AI Products (Ongoing)
* Own the end\-to\-end product lifecycle for AI initiatives—from discovery and requirements through design, build, launch, and iteration
* Partner with data science and engineering to translate business problems into technical solutions (predictive models, generative AI, automation, personalization)
* Define success metrics and KPIs for each AI product—track adoption, impact, ROI, and member/business outcomes
* Run experiments and pilots —test hypotheses, learn fast, kill what doesn't work, scale what does
* Ship production\-ready AI features that directly improve member experiences (e.g., personalized recommendations, intelligent search, proactive outreach, chatbots)
 Track, Measure, and Report Progress (Ongoing)
* Own progress reporting for all AI initiatives—communicate status, blockers, wins, and risks to executive leadership and stakeholders
* Monitor and analyze performance against OKRs, KPIs, and success metrics—identify trends, surface insights, recommend course corrections
* Create compelling data stories —translate metrics into business impact narratives that demonstrate the value of AI investments
* Maintain visibility dashboards —build and maintain executive\-level views of AI portfolio health, ROI, and strategic alignment
* Drive accountability —ensure teams are tracking the right metrics and making data\-informed decisions throughout the product lifecycle
 Drive AI Adoption and Evangelism (Ongoing)
* Educate and inspire stakeholders across the organization—show what's possible, demystify AI, build excitement and trust
* Create compelling storytelling around AI wins—showcase ROI, member impact, operational improvements
* Build internal AI literacy —run workshops, create documentation, empower teams to think about AI opportunities
* Stay on the cutting edge —monitor AI trends, tools, and best practices; bring fresh ideas to the table
 Growth and Career Trajectory
**Role**
 This role offers significant growth potential as the AI Center of Excellence matures. As you demonstrate impact and expand the scope of AI initiatives, opportunities will emerge to:
* Scale your influence —take ownership of larger, more strategic AI programs that span multiple business units
* Shape organizational direction —become a key voice in enterprise\-wide AI strategy and investment decisions
* Build and lead —as the CoE grows, there may be opportunities to build and mentor a team of AI product managers
* Advance your career —proven success in this role naturally positions you for Senior PM, Principal PM, or AI Product Leadership positions
 We're looking for the right fit regardless of title—whether you're a strong mid\-level PM ready to level up or an experienced senior PM excited to build something from scratch, we want to talk.
**Qualifications**
* 3\-5\+ years of product management experience, ideally with exposure to AI/ML, data products, or emerging technologies
* Proven track record of shipping 0→1 products—you've built something new from scratch and driven it to adoption
* Technical fluency—you understand how AI/ML works (models, training data, APIs, LLMs, etc.) and can have credible conversations with data scientists and engineers
* Strong strategic thinking—you can identify high\-impact opportunities, prioritize ruthlessly, and build compelling business cases
* Experience with metrics and reporting—you're comfortable defining KPIs, building dashboards, analyzing performance data, and presenting insights to executives
* Healthcare or member\-focused experience (preferred but not required)—bonus if you understand HIPAA, compliance, or regulated industries
 Core Competencies
* Bias for action: You move fast, iterate, and don't wait for perfect information
* Comfort with ambiguity: You thrive in unstructured environments and create clarity from chaos
* Cross\-functional leadership: You influence without authority and build strong partnerships
* Data\-driven decision making: You use metrics and insights to guide your choices
* User\-centric mindset: You start with member/user needs and work backward
* Communication skills: You can explain complex AI concepts to non\-technical audiences, tell compelling data stories, and rally people around a vision
* Executive presence: You're comfortable presenting to senior leadership, reporting on progress, and advocating for resources
 AI/ML Knowledge (You should be able to...)
* Explain the difference between supervised learning, unsupervised learning, and reinforcement learning
* Understand when to use predictive models vs. generative AI vs. rule\-based systems
* Evaluate model performance (accuracy, precision, recall, F1 scores, etc.)
* Identify data quality issues and their impact on AI outcomes
* Articulate responsible AI principles (fairness, transparency, privacy, accountability)
* Navigate conversations about LLMs, prompt engineering, RAG, fine\-tuning, and embeddings
 Success Metrics (First 12 months)
* Ship 2\-3 AI Products: Launch AI products/features to production with measurable member or business impact
* Establish Governance: Create AI governance framework adopted by product and engineering teams
* Build the Playbook: Develop AI product playbook used across the organization
* Demonstrate ROI: Show tangible ROI from AI initiatives (cost savings, revenue growth, member engagement, operational efficiency)
* Establish Reporting Cadence: Build executive dashboards and regular reporting rhythms for AI portfolio performance and strategic alignment
* Grow Your Influence: Become recognized internally as the AI product leader and trusted advisor to executive stakeholders
 Why This Role is Special
* Ground\-floor opportunity: You're not joining an established CoE—you're building it. Your decisions will shape how Tivity leverages AI for years to come.
* Executive visibility: You'll work directly with senior leaders who are invested in AI's success and report regularly on progress and impact.
* Impact at scale: Your work will touch millions of members and improve health outcomes.
* Career acceleration: This role is designed for growth—demonstrate impact and advance into senior product leadership positions.
* Cutting\-edge work: You'll work with the latest AI technologies and apply them to real\-world problems.
 The salary range for this opportunity is $130,000 to $160,000\. Compensation depends on several factors: qualifications, skills, competencies, and experience.
 Tivity Health offers a robust benefits package, which includes a competitive salary, company bonus potential, medical, dental, vision, 401k with match, generous paid time off, free gym membership to over 13,000 fitness locations in the US, and other great benefits.
 7548
**About Tivity Health® Inc.**
 Tivity Health, Inc. is a leading provider of healthy life\-changing solutions, including SilverSneakers®, ForeverFit®, and WholeHealth Living®. We help adults improve their health and support them on life's journey by providing access to in\-person and virtual physical activity, social and mental enrichment programs, as well as a full suite of physical medicine and integrative health services. Our suite of services support health plans, employers, health systems and providers nationwide as they seek to reduce costs and improve health outcomes. Learn more at TivityHealth .
 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t>
        </is>
      </c>
    </row>
    <row r="119">
      <c r="A119" t="inlineStr">
        <is>
          <t>li-4367628093</t>
        </is>
      </c>
      <c r="B119" t="inlineStr">
        <is>
          <t>Technical Product Manager - AI Platform, Remote</t>
        </is>
      </c>
      <c r="C119" t="inlineStr">
        <is>
          <t>Aledade, Inc.</t>
        </is>
      </c>
      <c r="D119" t="inlineStr">
        <is>
          <t>linkedin</t>
        </is>
      </c>
      <c r="E119">
        <f>HYPERLINK("https://www.linkedin.com/jobs/view/4367628093", "https://www.linkedin.com/jobs/view/4367628093")</f>
        <v/>
      </c>
      <c r="F119">
        <f>HYPERLINK("https://jobs.lever.co/aledade/76677033-2329-4b4d-94c6-0486ea6b010c/apply?source=LinkedIn&amp;urlHash=h26w", "https://jobs.lever.co/aledade/76677033-2329-4b4d-94c6-0486ea6b010c/apply?source=LinkedIn&amp;urlHash=h26w")</f>
        <v/>
      </c>
      <c r="G119" t="inlineStr"/>
      <c r="H119" t="inlineStr"/>
      <c r="I119" t="inlineStr">
        <is>
          <t>Aledade is dedicated to transforming value\-based care through innovative technology. Our AI Platform team is at the forefront of this mission, building foundational tools, services, and infrastructure that empower internal product teams to seamlessly integrate cutting\-edge AI capabilities into Aledade’s products and develop powerful internal AI solutions.
**As a Technical Product Manager on the AI Platform team, you will:**
 Define and deliver the roadmap to drive execution and scale of the AI Platform that supports internal stakeholders and external AI products.
 Operate at the intersection of machine learning systems, data engineering, and applied healthcare AI.
 Partner closely with AI engineers, data scientists, and clinical leadership to deliver production\-grade systems that support reliable inference pipelines across millions of patient records.
 Contribute to the improvement of quality and cost of care for over 2 million patients served by Aledade providers.
**Primary Duties:**
* Partner with business owners to cultivate a shared vision for the problem space, constraints, priorities, and ideal end state, and be able to articulate and advocate for this perspective.
* Lead the full lifecycle of ML and LLM platform workstreams—from data ingestion, training, and deployment to ongoing optimization of live user workflows based on performance metrics and feedback.
* Work with internal teams and end users to develop a deep understanding of requirements, perform thoughtful solution design, use data to test hypotheses, and support teams throughout execution.
* Write detailed user stories for new features, capturing descriptions of business rationale, requirements, and success criteria defined by measurable outcomes.
* Develop short\- and long\-term roadmaps that deliver maximum value with minimum risk and assume ongoing iteration.
* Partner with AI Researchers to mature proofs\-of\-concept into production\-ready capabilities; perform exploration of user feedback, healthcare records, and validation data to validate model performance.
**Minimum Qualifications:**
* 6\+ years of product management experience in technology, technology\-enabled services, or SaaS.
* Strong understanding of artificial intelligence and/or machine learning technologies.
* Experience using data and primary research to inform solution design and build business understanding.
* Familiarity with Agile teams, Jira, and the software development lifecycle.
* Knowledge of APIs, DevOps, enterprise software development, and cloud infrastructure (e.g., Databricks, AWS, GCP, Azure).
* Understanding of data engineering principles.
* Ability to communicate technical trade\-offs to non\-technical stakeholders.
* Skilled at translating ambiguous product requirements into a technical roadmap.
**Preferred Knowledge, Skills and/or Abilities:**
* Experience leading AI/ML platform products and scaling platforms vertically and horizontally.
* Track record of building and launching AI/ML platforms, tools, or internal services.
* Deep knowledge of AI/ML product lifecycle, MLOps, and scalable AI infrastructure (training, deployment, monitoring, observability, reliability).
* Experience with large language models (LLMs) and generative AI technologies, including prompt engineering strategies and VLMs.
* Background as a data scientist or backend engineer.
* Fluency in translating technical concepts into value propositions and storytelling for diverse stakeholders.
* Clinical Data Literacy: Familiarity with EHR data, Claims, or population health datasets.
* Experience in healthcare technology environments, particularly physician\-facing products or work with clinical datasets (EHR, Claims, Population Health datasets).
**Physical Requirements:**
* Sitting for prolonged periods of time. Extensive use of computers and keyboards. Occasional walking and lifting may be required.
**Who We Are:**
 Aledade, a public benefit corporation, exists to empower the most transformational part of our health care landscape \- independent primary care. We were founded in 2014, and since then, we've become the largest network of independent primary care in the country \- helping practices, health centers and clinics deliver better care to their patients and thrive in value\-based care. Additionally, by creating value\-based contracts across a wide variety of health plans, we aim to flip the script on the traditional fee\-for\-service model. Our work strengthens continuity of care, aligns incentives and ensures primary care physicians are paid for what they do best \- keeping patients healthy. If you want to help create a health care system that is good for patients, good for practices and good for society \- and if you're eager to join a collaborative, inclusive and remote\-first culture \- you've come to the right place.
**What Does This Mean for You?**
 At Aledade, you will be part of a creative culture that is driven by a passion for tackling complex issues with respect, open\-mindedness and a desire to learn. You will collaborate with team members who bring a wide range of experiences, interests, backgrounds, beliefs and achievements to their work \- and who are all united by a shared passion for public health and a commitment to the Aledade mission.
 In addition to time off to support work\-life balance and enjoyment, we offer the following comprehensive benefits package designed for the overall well\-being of our team members:
 Flexible work schedules and the ability to work remotely are available for many roles
 Health, dental and vision insurance paid up to 80% for employees, dependents and domestic partners
 Robust time\-off plan (21 days of PTO in your first year)
 Two paid volunteer days and 11 paid holidays
 12 weeks paid parental leave for all new parents
 Six weeks paid sabbatical after six years of service
 Educational Assistant Program and Clinical Employee Reimbursement Program
 401(k) with up to 4% match
 Stock options
 And much more!
*At Aledade, we don’t just accept differences, we celebrate them! We strive to attract, develop and retain highly qualified individuals representing the diverse communities where we live and work. Aledade is committed to creating a diverse environment and is proud to be an equal opportunity employer. Employment policies and decisions at Aledade are based on merit, qualifications, performance and business needs. All qualified candidates will receive consideration for employment without regard to age, race, color, national origin, gender (including pregnancy, childbirth or medical conditions related to pregnancy or childbirth), gender identity or expression, religion, physical or mental disability, medical condition, legally protected genetic information, marital status, veteran status, or sexual orientation.*
 Privacy Policy: By applying for this job, you agree to Aledade's Applicant Privacy Policy available at https://www.aledade.com/privacy\-policy\-applicants
 We may use automated tools, including artificial intelligence (AI), to help organize and evaluate application materials. These tools support our recruiters and hiring managers by helping manage large applicant pools. Human judgment plays an essential role in our hiring process, including in the oversight and use of any automated tools. If you would like more information about our screening and hiring process, please contact us.</t>
        </is>
      </c>
    </row>
    <row r="120">
      <c r="A120" t="inlineStr">
        <is>
          <t>li-4367632810</t>
        </is>
      </c>
      <c r="B120" t="inlineStr">
        <is>
          <t>Product Owner</t>
        </is>
      </c>
      <c r="C120" t="inlineStr">
        <is>
          <t>Incedo Inc.</t>
        </is>
      </c>
      <c r="D120" t="inlineStr">
        <is>
          <t>linkedin</t>
        </is>
      </c>
      <c r="E120">
        <f>HYPERLINK("https://www.linkedin.com/jobs/view/4367632810", "https://www.linkedin.com/jobs/view/4367632810")</f>
        <v/>
      </c>
      <c r="F120" t="inlineStr"/>
      <c r="G120" t="inlineStr">
        <is>
          <t>Fort Mill, SC</t>
        </is>
      </c>
      <c r="H120" t="inlineStr"/>
      <c r="I120" t="inlineStr">
        <is>
          <t>Job Title: Product Owner – Wealth Management (IBOR Mandatory)
**Location:** 
 Fort Mill, SC
**Work Model:** 
 Hybrid
**Duration** 
 \- Full\-Time
 Job Summary
 We are seeking an experienced
 **Product Owner** 
 with strong
 **Wealth Management domain expertise** 
 and
 **mandatory IBOR (Investment Book of Record) experience** 
 to lead product development initiatives supporting front\-office and investment operations. This role partners closely with business stakeholders, technology teams, and vendors to deliver scalable, high\-quality solutions aligned with strategic objectives.
 Key Responsibilities
* Own and manage the
 **product backlog** 
 , ensuring alignment with business priorities and regulatory requirements
* Act as the primary liaison between
 **wealth management business stakeholders** 
 and technology teams
* Translate business needs into
 **clear user stories, acceptance criteria, and functional requirements**
* Lead backlog grooming, sprint planning, and prioritization activities
* Ensure accurate representation and integration of
 **IBOR data** 
 across systems (positions, transactions, cash, cost basis, performance, etc.)
* Collaborate with architects, developers, QA, and downstream consumers to deliver end\-to\-end solutions
* Support UAT, release planning, and post\-implementation reviews
* Identify dependencies, risks, and mitigation strategies throughout the delivery lifecycle
* Drive continuous improvement of product processes and data quality
 Required Qualifications
* **10\+ years of experience** 
 as a Product Owner, Business Analyst, or similar role
* **Strong Wealth Management experience** 
 (portfolio management, trading, operations, or advisory platforms)
* **Mandatory hands\-on experience with IBOR platforms** 
 (e.g., Charles River, Aladdin, SimCorp, Eagle, etc.)
* Deep understanding of investment data: positions, trades, corporate actions, pricing, and performance
* Experience working in
 **Agile/Scrum** 
 environments
* Strong communication skills with the ability to engage both technical and non\-technical stakeholders
 Preferred Qualifications
* Experience with
 **front\-office or middle\-office systems**
* Familiarity with
 **ABOR, PBOR** 
 , or data integration architectures
* Financial services certifications (CFA, CSPO, SAFe PO/PM)
* Experience supporting regulatory or reporting initiatives
 Why Join Us
* Work on mission\-critical platforms supporting wealth management clients
* Hybrid work model with a collaborative team environment
* Opportunity to influence product strategy and delivery</t>
        </is>
      </c>
    </row>
    <row r="121">
      <c r="A121" t="inlineStr">
        <is>
          <t>li-4367638121</t>
        </is>
      </c>
      <c r="B121" t="inlineStr">
        <is>
          <t>Product Manager (Bilingual-Mandarin)</t>
        </is>
      </c>
      <c r="C121" t="inlineStr">
        <is>
          <t>SYNEAR FOODS USA</t>
        </is>
      </c>
      <c r="D121" t="inlineStr">
        <is>
          <t>linkedin</t>
        </is>
      </c>
      <c r="E121">
        <f>HYPERLINK("https://www.linkedin.com/jobs/view/4367638121", "https://www.linkedin.com/jobs/view/4367638121")</f>
        <v/>
      </c>
      <c r="F121" t="inlineStr"/>
      <c r="G121" t="inlineStr">
        <is>
          <t>Los Angeles, CA</t>
        </is>
      </c>
      <c r="H121" t="inlineStr"/>
      <c r="I121" t="inlineStr">
        <is>
          <t>**Company Description**
 Synear Foods USA is a subsidiary of Synear Food Holdings, one of the largest and most established frozen food manufacturers in China. With a strong heritage of quality and innovation, Synear has been serving consumers worldwide for more than two decades.
 Synear Foods USA focuses on delivering authentic, convenient, and high\-quality frozen food products to meet the diverse tastes of North American consumers. Our product portfolio includes a wide range of dumplings, buns, dim sum, and other ready\-to\-eat favorites, crafted with carefully selected ingredients and strict quality standards.
 At Synear Foods USA, we are committed to sharing the rich tradition of Asian cuisine while continuously innovating to create products that fit modern lifestyles. Our mission is to bring families and communities together through food that is delicious, convenient, and trustworthy.
 Synear is an "at\-will", equal opportunity employer. We consider applicants for all positions without regard to race, color, creed, religion, national origin or ancestry, sex, age (40 or over), disability, genetic information, veteran status, or any other legally protected status under local, state, or federal law.
**Job Description**
* Drive the execution of all processes in the product lifecycle, including product and market research, competitor analysis, planning, positioning, requirements and roadmap development, and product launch
* Create product strategy documents that describe business cases, high\-level use cases, technical requirements, revenue, and ROI
* Analyze market data to develop sales strategies, and define product objectives for effective marketing communications
* Collaborate closely with engineering, production, marketing, and sales teams in the development, QA, and release of products, and balance resources to ensure success for the entire organization
* Develop product positioning and messaging that differentiates Synear Foods across primary market segments
 Qualifications
* Bachelor’s degree (or equivalent) in food science or marketing
* Minimum 5\-8 years of experience in product management or development within the food or Fast\-Moving Consumer Goods (FMCG) industry is essential
* A solid understanding of food production processes, food safety standards (e.g., HACCP, GMP), costing, and quality systems is required
* Proven success in overseeing all elements of the product development lifecycle
* High effectiveness in managing cross\-functional teams
* Experience in delivering finely tuned product marketing strategies
* Exceptional writing and editing skills, combined with strong presentation and public speaking skills
* Pay is between $100,000\-$110,000/year plus performance bonus.
 Additional Information
 All your information will be kept confidential according to EEO guidelines.</t>
        </is>
      </c>
    </row>
    <row r="122">
      <c r="A122" t="inlineStr">
        <is>
          <t>li-4356659383</t>
        </is>
      </c>
      <c r="B122" t="inlineStr">
        <is>
          <t>Product Manager</t>
        </is>
      </c>
      <c r="C122" t="inlineStr">
        <is>
          <t>NetApp</t>
        </is>
      </c>
      <c r="D122" t="inlineStr">
        <is>
          <t>linkedin</t>
        </is>
      </c>
      <c r="E122">
        <f>HYPERLINK("https://www.linkedin.com/jobs/view/4356659383", "https://www.linkedin.com/jobs/view/4356659383")</f>
        <v/>
      </c>
      <c r="F122">
        <f>HYPERLINK("https://dsp.prng.co/Vi4X96b?target=linkedin&amp;utm_source=linkedin&amp;jobPipeline=LinkedInJobPostings&amp;urlHash=kg8p", "https://dsp.prng.co/Vi4X96b?target=linkedin&amp;utm_source=linkedin&amp;jobPipeline=LinkedInJobPostings&amp;urlHash=kg8p")</f>
        <v/>
      </c>
      <c r="G122" t="inlineStr">
        <is>
          <t>San Jose, CA</t>
        </is>
      </c>
      <c r="H122" t="inlineStr"/>
      <c r="I122" t="inlineStr">
        <is>
          <t>**Own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NetApp is seeking an experienced and results\-driven Senior Product Manager, Monetization to join our dynamic Cloud Storage \&amp; Services Business Unit.
 In this role, you’ll have the unique opportunity to shape impactful monetization strategies that drive business success while maintaining alignment with long\-term strategic objectives. By collaborating effectively with cross\-functional teams, you’ll lead initiatives from inception to execution with a focus on delivering measurable results.
**Responsibilities**
* To be successful in this highly visible role, you should be able to work in a dynamic environment, think big, and be comfortable navigating complexity and ambiguity. You should have strong business and communication skills, be comfortable analyzing data to provide data\-driven recommendations, and be able to partner with stakeholders to help define key business questions and build solutions that answer them.
* Drive the end\-to\-end execution of product initiatives by partnering with cross\-functional teams (engineering, operations, marketing, sales and customer success) to ensure seamless rollout of new models, feature bundles, and market offers
* Develop product enhancements and packaging options that elevate the customer value proposition and resonate with target enterprise segment
**Qualifications**
* 5\+ years leading integrated Hardware \&amp; Software products strategy, including release management, field\-reliability feedback, and compliance/readiness for enterprise customers aligning organizational priorities and the needs of customers.
* 3\+ years driving multi\-year product transformations for technical products (platform modernization, cloud/hyperscaler migrations, or pricing model shifts etc.) with operating\-model design, OKRs \&amp; KPI governance, and executive stakeholder alignment.
* Experience working directly with hyperscalers to leverage co\-marketing strategies and deploy advanced AI/ML solutions.
* Experience applying AI based solutions to conduct user interviews, run experiments, simplify customer experience and define innovative monetization/growth strategy
* 2 years of post\-MBA experience owning the creation and implementation of long\-term product strategies with an engineering background
* Expertise in owning and driving roadmap strategy, definition, and execution.
* Demonstrated ability to lead end\-to\-end product delivery processes effectively
* Experience in the cloud storage and services industry is preferred
* Advanced analytical skills with the ability to dive into product usage data and experiment results. Familiarity with data analysis tools (e.g., Python, Excel) and experience with statistical analysis and A/B testing frameworks is a must
**Education**
 Bachelor's degree in Engineering with a STEM focused MBA preferred.
 Compensation:
 The target salary range for this position is 154,700 \- 231,000 USD.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(PTO),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t>
        </is>
      </c>
    </row>
    <row r="123">
      <c r="A123" t="inlineStr">
        <is>
          <t>li-4367619654</t>
        </is>
      </c>
      <c r="B123" t="inlineStr">
        <is>
          <t>Lead Product Manager</t>
        </is>
      </c>
      <c r="C123" t="inlineStr">
        <is>
          <t>Cleo</t>
        </is>
      </c>
      <c r="D123" t="inlineStr">
        <is>
          <t>linkedin</t>
        </is>
      </c>
      <c r="E123">
        <f>HYPERLINK("https://www.linkedin.com/jobs/view/4367619654", "https://www.linkedin.com/jobs/view/4367619654")</f>
        <v/>
      </c>
      <c r="F123" t="inlineStr"/>
      <c r="G123" t="inlineStr">
        <is>
          <t>San Francisco, CA</t>
        </is>
      </c>
      <c r="H123" t="inlineStr"/>
      <c r="I123" t="inlineStr">
        <is>
          <t>**About The Company**
**About Cleo**
 At Cleo, we're not just building another fintech app. We're embarking on a mission to fundamentally change humanity's relationship with money. Imagine a world where everyone, regardless of background or income, has access to a hyper\-intelligent financial advisor in their pocket. That's the future we're creating.
 Cleo is a rare success story: a profitable, fast\-growing unicorn with over $200 million in ARR and growing over 2x year\-over\-year. This isn't just a job; it's a chance to join a team of brilliant, driven individuals who are passionate about making a real difference. We have an exceptionally high bar for talent, seeking individuals who are not only at the top of their field but also embody our culture of collaboration and positive impact.
 If you’re driven by complex challenges that push your expertise, the chance to shape something truly transformative, and the potential to share in Cleo’s success as we scale, while growing alongside a company that’s scaling fast, this might be your perfect fit.
 Follow us on LinkedIn to keep up to date with new product features and insights from the team.
**About The Role**
 We are hiring for multiple Product roles across a few of our key pillars, you will be very familiar with systems thinking and how technical decisions can impact the users directly.
 As a Lead Product Manager, you'll work closely with a cross\-functional squad of engineers, designers, data scientists, analysts and writers on an area focused around building our understanding of user data.
 Key Responsibilities
* Leading the product strategy for Cleo’s product experiences
* Collaborating closely with ML engineers, data scientists and analysts to launch key new products with a global focus
* Defining and track success metrics related to customer engagement, retention, and financial well\-being
* Prioritising high\-impact opportunities and ruthlessly focus your squad on what matters most
* Translating complex data capabilities (e.g. LLMs and ML models) into intuitive user experiences
* Ensuring your squad is aligned and involved in product direction and key decisions
* Continuously iterating on the product based on user insights, data, and testing outcomes
 What We’re Looking For
* Extensive product management experience, building highly technical products
* Experience working with machine learning modelling, Credit Risk or data science\-driven features
* Proficiency in systems thinking \- you will be able to work directly with developers and tech leads on a daily basis
* Strong prioritisation skills with the ability to focus your team on impactful work
* Collaborative and inclusive leadership style with a track record of empowering cross\-functional teams
* Ability to clearly communicate product decisions and trade\-offs to stakeholders
* Creativity in approaching product challenges and rethinking how people manage their finances
* High energy and ownership mindset with a focus on driving measurable outcomes
* Passion for building tools that improve users’ financial lives through engaging, meaningful conversations
 What do you get for all your hard work ?
* A competitive compensation package (base \+ equity) with bi\-annual reviews, aligned to our quarterly OKR planning cycles.
* Work at one of the fastest\-growing tech startups, backed by top VC firms, Balderton \&amp; EQT Ventures
* A clear progression plan. We want you to keep growing. That means trying new things, leading others, challenging the status quo and owning your impact. Always with our complete support.
* Flexibility. We can’t fight for the world’s financial health if we’re not healthy ourselves. We work with everyone to make sure they have the balance they need to do their best work
* Work where you work best. We’re a globally distributed team. Our US team works fully remotely, but we host virtual socials and an annual company offsite in Europe with all expenses paid.
**Other Benefits**
* Company\-wide performance reviews every 6 months
* Generous pay increases for high\-performing team members
* Equity top\-ups for team members getting promoted
* 15 days annual leave a year \+ public holidays (\+ an additional day for every year you spend at Cleo)
* 401k matching
* Medical Insurance, Dental and Vision care
* Generous Parental Leave
* 1 month paid sabbatical after 4 years at Cleo
* Regular socials and activities, online and in\-person
* We'll pay for your OpenAI subscription
* Online mental health support via Spill
* And many more!
 Welcoming Everyone
 We strongly encourage applications from people of colour, the LGBTQ\+ community, people with disabilities, neurodivergent people, parents, carers, and people from lower socio\-economic backgrounds.
 If there’s anything we can do to accommodate your specific situation, please let us know.
 Download the Test Flight
 App access for people in the UK \&amp; Europe: If you are an iOS user, please use this link to sign up to our TestFlight version of the app, so you can have a play around with the functionality and features: https://testflight.apple.com/join/fDG9hWng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Cleo AI. I accept that if any of the information given by me in this application is in any way false or incorrect, my application may be rejected, any offer of employment may be withdrawn or my employment with Cleo AI may be terminated summarily or I may be dismissed. By submitting this application, I agree that my personal data will be processed in accordance with Cleo AI's Candidate Privacy Notice</t>
        </is>
      </c>
    </row>
    <row r="124">
      <c r="A124" t="inlineStr">
        <is>
          <t>li-4367252139</t>
        </is>
      </c>
      <c r="B124" t="inlineStr">
        <is>
          <t>Product Manager, Integrations</t>
        </is>
      </c>
      <c r="C124" t="inlineStr">
        <is>
          <t>Vibe.co</t>
        </is>
      </c>
      <c r="D124" t="inlineStr">
        <is>
          <t>linkedin</t>
        </is>
      </c>
      <c r="E124">
        <f>HYPERLINK("https://www.linkedin.com/jobs/view/4367252139", "https://www.linkedin.com/jobs/view/4367252139")</f>
        <v/>
      </c>
      <c r="F124" t="inlineStr"/>
      <c r="G124" t="inlineStr">
        <is>
          <t>New York, United States</t>
        </is>
      </c>
      <c r="H124" t="inlineStr"/>
      <c r="I124" t="inlineStr">
        <is>
          <t>At Vibe.co, we’re shaping the future of advertising by helping brands connect with audiences in more human, data\-driven, and measurable ways. Our platform brings together creativity, technology, and automation to make ad experiences more relevant, efficient, and impactful — across every screen, including CTV.
 We’re growing fast\- our goal is to 2\.5x revenue in 2026, and content will be at the core of how we get there. The stories we tell, the experiences we design, and the value we communicate will define how brands, agencies, and partners see Vibe as a category leader in CTV innovation.
 We’re a small, high\-performing team that values clarity, speed, and execution. We move quickly, experiment relentlessly, and take pride in content that doesn’t just inform — it converts.
 What You’ll Do
 You will own the full lifecycle of external partner integrations — from business scoping to execution, rollout, and continuous improvement — using integration insights to drive enhancements to Vibe’s core product and maximize business impact.
* Business prioritization: Build a strong business understanding to prioritize integrations based on ROI and customer impact, working closely with Sales, CS, and Product teams.
* End\-to\-end delivery: Own the full lifecycle of integrations — from scoping, spec writing, and project management to coordinating internal and external stakeholders and ensuring successful rollouts.
* Run \&amp; support – Ensure integrations remain reliable and effective over time. Monitor their health, coordinate fixes when needed, and support internal teams when issues arise.
* Core product improvement: Leverage insights from integrations and data flows to proactively suggest and spec new product features that improve customer experience, audience activation, and overall business performance.
* API excellence: Own and continuously improve Vibe’s public API to make future integrations easier, faster, and more reliable, with a focus on scalability, quality, and security.
**We’d Love To Work With You If**
* You have at least 5 years of experience in roles closely aligned with the scope and challenges of this position.
* Strong technical foundation, able to navigate complex system architectures and technical integrations.
* Experience in API integrations — Comfortable designing, scoping, and validating API\-based workflows with external partners.
* Strong product management and project management skills — Able to build roadmaps, write clear specs, manage timelines, and drive projects to completion.
* Data fluency — Comfortable working with data ingestion, synchronization, and export flows; able to dig into data to validate assumptions.
* Marketing \&amp; Martech awareness — Strong grasp of marketing workflows to quickly understand use cases, prioritize smartly, and maximize business impact.
* Excellent communication skills — Clear, structured, and able to align business, technical, and external stakeholders effectively.
**Perks \&amp; Benefits**
* Comprehensive medical, dental, and vision insurance
* 401(k) plan with company matching
* Unlimited PTO to recharge and reset
* Paid parental leave for maternity and paternity
* Flexible hybrid work model\- we’re based in NYC’s Flatiron District and looking for someone excited to spend time in our new office
* Compensation for this role varies based on experience, skill set, and leveling. The estimated base salary range is $180,000–$250,000, plus bonus. Candidates with varying levels of experience are encouraged to apply.</t>
        </is>
      </c>
    </row>
    <row r="125">
      <c r="A125" t="inlineStr">
        <is>
          <t>li-4367477101</t>
        </is>
      </c>
      <c r="B125" t="inlineStr">
        <is>
          <t>Principal Product Manager</t>
        </is>
      </c>
      <c r="C125" t="inlineStr">
        <is>
          <t>Guidewire Software</t>
        </is>
      </c>
      <c r="D125" t="inlineStr">
        <is>
          <t>linkedin</t>
        </is>
      </c>
      <c r="E125">
        <f>HYPERLINK("https://www.linkedin.com/jobs/view/4367477101", "https://www.linkedin.com/jobs/view/4367477101")</f>
        <v/>
      </c>
      <c r="F125" t="inlineStr"/>
      <c r="G125" t="inlineStr"/>
      <c r="H125" t="inlineStr"/>
      <c r="I125" t="inlineStr">
        <is>
          <t>**Summary**
 Guidewire Software is the platform P\&amp;C insurers trust to engage, innovate, and grow efficiently. We empower our customers with cloud\-based, data\-driven, and AI\-enabled solutions that define the next generation of insurance operations.
 The Role
 Guidewire is seeking an experienced and strategic Principal Product Manager to lead key aspects of our product operations and strategy. This role combines traditional product management responsibilities—driving lifecycle management, roadmap execution, and stakeholder alignment—with operational leadership spanning vendor management, agile delivery, and regulatory compliance.
 You will collaborate cross\-functionally with engineering, legal, finance, and product teams to ensure Guidewire products meet the highest standards of quality, efficiency, and compliance while aligning to long\-term business objectives.
**Responsibilities**
**Job Description**
* Act as a bridge between strategy and execution—translating business priorities into actionable plans.
* Drive operational excellence through continuous improvements in product and release processes.
* Oversee product lifecycle management: vision, roadmap, launch, and iteration.
* Lead vendor management efforts, including selection, contract reviews, and performance tracking.
* Oversee agile ceremonies and ensure high delivery cadence as a project manager or scrum master.
* Conduct ongoing market and competitive research to inform product strategy and positioning.
* Partner with regulatory and legal teams to ensure compliance with evolving industry standards.
* Collaborate with finance and operations teams on budgeting, resourcing, and performance metrics.
* Mentor junior PMs and contribute to the broader product management community at Guidewire.
**Qualifications**
* 5\+ years of product management experience in SaaS or enterprise software, ideally in insurance or fintech.
* Proven track record of managing complex products across the full lifecycle.
* Experience driving operational projects and managing external vendors or partners.
* Familiarity with agile project management frameworks (Scrum, Kanban)
* Strong analytical, organizational, and communication skills.
* MBA or advanced technical degree preferred but not required.
 Why Guidewire
 Work on industry\-leading products trusted by the largest insurers worldwide.
 Join a company committed to diversity, integrity, and long\-term customer success.
 Be part of a collaborative, forward\-thinking culture that values strategic impact and operational excellence.
 The US base salary range for this full\-time position is $142,000 \- $214,000 . Your base pay will depend on your experience, skills, education, training, and location among other factors. All full\-time positions or part\-time roles working 30 hours or more a week at Guidewire are eligible for benefits that support their health and well\-being including health, dental, and vision insurance, paid time off, and a company sponsored retirement plan. In addition, some roles may be eligible for the annual company bonus plan, commissions, and/or long term incentive awards which are contingent on a variety of factors including, but not limited to, company and employee performance.
 Disability Accommodations and Guidewire’s Appeals Process. Guidewire provides accommodations to the hiring process to create a fair opportunity for candidates with disabilities to contend for open positions. Accommodation requests should be directed to Accommodations@guidewire.com. If things do not go as hoped, we invite you to use our appeals process. Guidewire promises to independently review any denied accommodation and any decision not to offer you the position. The appeals process is the same in either case. Within five business days of receiving a notice of denial of an accommodation, or receiving a notice of your non\-selection for a vacancy, e\-mail Accommodations@guidewire.com to make an appeal. Guidewire will assign a new decision\-maker to review the request and/or hiring decision, who will then notify you in writing of a decision within 10 business days.
**About Guidewire**
 Guidewire is the platform P\&amp;C insurers trust to engage, innovate, and grow efficiently. We combine digital, core, analytics, and AI to deliver our platform as a cloud service. More than 540\+ insurers in 40 countries, from new ventures to the largest and most complex in the world, run on Guidewire.
 As a partner to our customers, we continually evolve to enable their success. We are proud of our unparalleled implementation track record with 1600\+ successful projects, supported by the largest R\&amp;D team and partner ecosystem in the industry. Our Marketplace provides hundreds of applications that accelerate integration, localization, and innovation.
 For more information, please visit www.guidewire.com and follow us on Twitter: @Guidewire\_PandC.
 Guidewire Software, Inc. is proud to be an equal opportunity and affirmative action employer. We are committed to an inclusive workplace, and believe that a diversity of perspectives, abilities, and cultures is a key to our success. Qualified applicants will receive consideration without regard to race, color, ancestry, religion, sex, national origin, citizenship, marital status, age, sexual orientation, gender identity, gender expression, veteran status, or disability. All offers are contingent upon passing a criminal history and other background checks where it's applicable to the position.</t>
        </is>
      </c>
    </row>
    <row r="126">
      <c r="A126" t="inlineStr">
        <is>
          <t>li-4367619732</t>
        </is>
      </c>
      <c r="B126" t="inlineStr">
        <is>
          <t>Senior Product Manager, Home Loans Consumer Experience</t>
        </is>
      </c>
      <c r="C126" t="inlineStr">
        <is>
          <t>SoFi</t>
        </is>
      </c>
      <c r="D126" t="inlineStr">
        <is>
          <t>linkedin</t>
        </is>
      </c>
      <c r="E126">
        <f>HYPERLINK("https://www.linkedin.com/jobs/view/4367619732", "https://www.linkedin.com/jobs/view/4367619732")</f>
        <v/>
      </c>
      <c r="F126" t="inlineStr"/>
      <c r="G126" t="inlineStr">
        <is>
          <t>Seattle, WA</t>
        </is>
      </c>
      <c r="H126" t="inlineStr"/>
      <c r="I126"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 is looking for a data\-driven and user\-centric Senior Product Manager to own and optimize our end\-to\-end home loan origination funnel across digital experiences. This role will be pivotal in enhancing member experiences and driving revenue growth through rigorous A/B and multivariate testing.
 You will be responsible for driving home loan originations by reducing friction, increasing application completions, and accelerating funding rates. You will drive innovative functionality that disrupts competitors and further differentiates SoFi’s home loan offering. The ideal candidate will be a growth\-focused operator who thrives at the intersection of conversion rate optimization and user experience.
 This role is inherently cross\-functional—you will work closely with engineering, design, data science, user research, marketing, operations, finance, risk, legal, compliance and executive teams to set a product strategy, define, and prioritize features. You’ll play the critical role of bridging the technical and business worlds to deliver product enhancements that delight our members and drive our business forward. You will be expected to set ambitious goals, sweat the details and deliver with urgency.
**What You’ll Do**
* Build disruptive innovative solutions in a customer\-centric environment
* Own and prioritize the product backlog for your engineering squad, writing detailed requirements and partnering closely with developers
* Own instrumentation and data for your products to drive deep understanding, innovation and product plans
* Collaborate cross\-functionally to align on requirements and timelines
* Experiment constantly to drive customer learnings and customer impact
* Operate in a fast\-paced agile environment, making trade\-offs and decisions to deliver iteratively while driving toward long\-term goals
* Work cross\-functionally with stakeholders across marketing, sales, operations, legal, compliance, capital markets, and executive management to translate customer needs into a product
* Be a champion of SoFi’s values
**What You’ll Need**
* Bachelor’s degree or higher, ideally in a technical, finance, or quantitative field
* 5\+ years of product management experience
* Experience developing and launching features across both 1st and 3rd party platforms, consistently prioritizing a superior user experience
* Superior communication skills, written and verbal. Experience presenting to executive leadership
* Experience delivering quality software that solves business and user needs
* Strong analytical and data\-driven mindset; able to dive into financial and operational metrics
* Experience owning end\-to\-end product delivery, from discovery through launch and iteration
* High bias for action and ownership—comfortable operating in ambiguous, cross\-functional environments
* Passion for your users! You do right by them, always
* Ability to work with remote teams
**Nice to have**
* Experience with hypothesis\-based product experimentation
* Experience speaking to actual users, empathizing with them and gathering insights, and translating those insights into meaningful product enhancements
* Experience in the Fintech space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127">
      <c r="A127" t="inlineStr">
        <is>
          <t>li-4367295063</t>
        </is>
      </c>
      <c r="B127" t="inlineStr">
        <is>
          <t>Senior Product Manager - Client Growth</t>
        </is>
      </c>
      <c r="C127" t="inlineStr">
        <is>
          <t>BetterHelp</t>
        </is>
      </c>
      <c r="D127" t="inlineStr">
        <is>
          <t>linkedin</t>
        </is>
      </c>
      <c r="E127">
        <f>HYPERLINK("https://www.linkedin.com/jobs/view/4367295063", "https://www.linkedin.com/jobs/view/4367295063")</f>
        <v/>
      </c>
      <c r="F127">
        <f>HYPERLINK("https://job-boards.greenhouse.io/betterhelpcom/jobs/5102949008?gh_src=ef3d79078us&amp;urlHash=wgQV", "https://job-boards.greenhouse.io/betterhelpcom/jobs/5102949008?gh_src=ef3d79078us&amp;urlHash=wgQV")</f>
        <v/>
      </c>
      <c r="G127" t="inlineStr">
        <is>
          <t>Mountain View, CA</t>
        </is>
      </c>
      <c r="H127" t="inlineStr"/>
      <c r="I127" t="inlineStr">
        <is>
          <t>**Who are we and why should you join us?**
 BetterHelp is on a mission to remove the traditional barriers to therapy and make mental health care more accessible to everyone. Founded in 2013, we are now the world’s largest online therapy service, providing affordable and convenient therapy in across the globe. Our network of over 30,000 licensed therapists has helped millions of people take ownership of their mental health and change their lives forever. And we’re not stopping there – as the unmet need for mental health services continues to grow, BetterHelp is committed to being part of the solution.
 As the Senior Product Manager \- Client Growth at BetterHelp, you’ll join a diverse team of licensed clinicians, engineers, product pros, creatives, marketers, and business leaders who share a passion for expanding access to therapy. And as a mental health company, we take employee mental health just as seriously as we do our mission. We deeply invest in our team’s well\-being and professional development, because we know that business and individual growth go hand\-in\-hand. At BetterHelp, you’ll carve your own path, make an immediate impact, and be challenged every day – with a supportive community behind you the whole way.
**What are we looking for?**
 BetterHelp is looking for a Senior Product Manager, Client Growth with deep experience driving growth in consumer (B2C) products. This role will focus on some of our most critical growth levers, including free\-to\-paid conversion, monetization and packaging, upgrades, churn reduction, and winback. This is a highly visible role for someone who thrives in ambiguity, moves quickly from insight to execution, and is obsessed with using data to drive impact and prioritization. You’ll own initiatives end\-to\-end and be expected to model impact, evaluate tradeoffs, and deliver measurable business results — all while helping more people access mental health support.
**What will you do?**
* Own and lead high\-impact client growth initiatives that materially impact revenue, conversion, and long\-term customer value.
* Drive strategy and execution across key growth areas including conversion optimization, upgrades, pricing and packaging, monetization experiments, churn reduction, and winback programs.
* Identify, evaluate, and prioritize growth opportunities using a combination of data analysis, impact modeling, and experimentation.
* Develop clear product requirements, success metrics, and experiment designs to maximize learning and business impact.
* Build and maintain forecasting and impact models to inform prioritization, roadmap decisions, and executive communication.
* Partner closely with Engineering and Design to deliver high\-quality experiences efficiently in an agile environment.
* Collaborate with Design to create user experiences that are both intuitive and effective at driving growth outcomes.
* Perform UAT and functional QA to ensure launches meet quality and performance standards.
* Internally: Work cross\-functional with all parts of the company (development, support, marketing, business development, operations) in order to (a) convert their insights into product improvements; and (b) to convey the performed changes to them and to make sure they are being integrated and used effectively.
* Externally: Connect with all external stakeholders (members, providers, marketing channels, business partners, regulators) both inbound and outbound to make sure our product is meeting their needs and requirements.
* Participate in defining growth strategy and long\-term product direction for the client experience.
* Own and obsess over core growth KPIs, continuously seeking opportunities to optimize and improve performance.
* In a nutshell: \[Ideate, execute, test, measure, analyze, learn, iterate] x ∞
**What will you NOT do?**
* You will NOT worry about "runway", "cash left", or "how much time we have until the next round". We have the startup DNA but we're fully backed and funded, all the way to success.
* You will NOT be confined to your "job". You will get involved in product, marketing, business strategy, and almost everything we do.
* You will NOT be bogged down by office politics, ego, or bad attitude. Only positive, pleasure\-to\-work\-with people are allowed here!
* You will NOT get yourself burned out. We work hard but we believe in maintaining a sustainable work/life balance. Really.
**Can I work remotely?**
 Yes. We operate on PST and candidates in any time zone are welcome to apply. We ask employees to travel to our San Jose, CA office up to three times per year plus one company\-wide offsite to collaborate in person and strengthen working relationships. Travel expenses are covered and reasonable accommodations are made for those under unique circumstances who cannot travel.
**Requirements**
* 5\-7 years\+ of experience in a product role at a B2C company and proven success through measurable impact and increasing responsibilities.
* Direct experience working on growth\-focused product initiatives, such as conversion funnels, monetization, pricing/packaging, retention, churn reduction, or winback
* Growth and experiments driven mindset with a proven ability to execute and deliver results.
* Deep understanding of unit/business economics and proven ability to balance business and technical considerations for product decisions.
* Super analytical: proven experience in using data and relevant tools for driving critical business outcomes
* Technical: Strong understanding of how web applications are built, ability to participate in technical decisions, ability to read basic code and write SQL queries
* Experience in quickly launching products on a regular basis in an agile environment with a track record of delivering products on time and with high quality
* Great eye for UX and understanding of its related metrics
* Excellent organizational and leadership skills, strong attention to detail, able to work independently
**Preferred**
* Experience with marketplace\-based business models.
* Growth experience.
* Online marketing and advertising experience.
* Experience in both desktop and mobile environments.
* Had their own business (or at least tried to start one).
**Benefits**
* Remote work with regular in\-person bonding experiences sponsored by the company
* Competitive compensation
* Holistic perks program (including free therapy, employee wellness, and more)
* Excellent health, dental, and vision coverage
* 401k benefits with employer matching contribution
* The chance to build something that changes lives – and that people love
* Any piece of hardware or software that will make you happy and productive
* An awesome community of co\-workers
 The base salary range for this position is $150,000 \- $195,000\. In addition to the base salary, this position is eligible for a performance bonus and the extensive benefits listed here (subject to eligibility requirements): Teladoc Health Benefits 2026\. Total compensation is based on several factors – including, but not limited to, type of position, location, education level, work experience, and certifications. This information is applicable to all full\-time positions.
*At BetterHelp we thrive on difference and individuality, and as part of the Teladoc Health family, we are proud to be an Equal Opportunity Employer. We never have and never will discriminate against any job candidate or employee due to age, race, ethnicity, religion, sex, color, national origin, gender, gender identity, sexual orientation, medical condition, marital status, parental status, disability, or Veteran status.*</t>
        </is>
      </c>
    </row>
    <row r="128">
      <c r="A128" t="inlineStr">
        <is>
          <t>li-4367636116</t>
        </is>
      </c>
      <c r="B128" t="inlineStr">
        <is>
          <t>Senior Product Manager, Home Loans Consumer Experience</t>
        </is>
      </c>
      <c r="C128" t="inlineStr">
        <is>
          <t>SoFi</t>
        </is>
      </c>
      <c r="D128" t="inlineStr">
        <is>
          <t>linkedin</t>
        </is>
      </c>
      <c r="E128">
        <f>HYPERLINK("https://www.linkedin.com/jobs/view/4367636116", "https://www.linkedin.com/jobs/view/4367636116")</f>
        <v/>
      </c>
      <c r="F128" t="inlineStr"/>
      <c r="G128" t="inlineStr">
        <is>
          <t>San Francisco, CA</t>
        </is>
      </c>
      <c r="H128" t="inlineStr"/>
      <c r="I128"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 is looking for a data\-driven and user\-centric Senior Product Manager to own and optimize our end\-to\-end home loan origination funnel across digital experiences. This role will be pivotal in enhancing member experiences and driving revenue growth through rigorous A/B and multivariate testing.
 You will be responsible for driving home loan originations by reducing friction, increasing application completions, and accelerating funding rates. You will drive innovative functionality that disrupts competitors and further differentiates SoFi’s home loan offering. The ideal candidate will be a growth\-focused operator who thrives at the intersection of conversion rate optimization and user experience.
 This role is inherently cross\-functional—you will work closely with engineering, design, data science, user research, marketing, operations, finance, risk, legal, compliance and executive teams to set a product strategy, define, and prioritize features. You’ll play the critical role of bridging the technical and business worlds to deliver product enhancements that delight our members and drive our business forward. You will be expected to set ambitious goals, sweat the details and deliver with urgency.
**What You’ll Do**
* Build disruptive innovative solutions in a customer\-centric environment
* Own and prioritize the product backlog for your engineering squad, writing detailed requirements and partnering closely with developers
* Own instrumentation and data for your products to drive deep understanding, innovation and product plans
* Collaborate cross\-functionally to align on requirements and timelines
* Experiment constantly to drive customer learnings and customer impact
* Operate in a fast\-paced agile environment, making trade\-offs and decisions to deliver iteratively while driving toward long\-term goals
* Work cross\-functionally with stakeholders across marketing, sales, operations, legal, compliance, capital markets, and executive management to translate customer needs into a product
* Be a champion of SoFi’s values
**What You’ll Need**
* Bachelor’s degree or higher, ideally in a technical, finance, or quantitative field
* 5\+ years of product management experience
* Experience developing and launching features across both 1st and 3rd party platforms, consistently prioritizing a superior user experience
* Superior communication skills, written and verbal. Experience presenting to executive leadership
* Experience delivering quality software that solves business and user needs
* Strong analytical and data\-driven mindset; able to dive into financial and operational metrics
* Experience owning end\-to\-end product delivery, from discovery through launch and iteration
* High bias for action and ownership—comfortable operating in ambiguous, cross\-functional environments
* Passion for your users! You do right by them, always
* Ability to work with remote teams
**Nice to have**
* Experience with hypothesis\-based product experimentation
* Experience speaking to actual users, empathizing with them and gathering insights, and translating those insights into meaningful product enhancements
* Experience in the Fintech space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129">
      <c r="A129" t="inlineStr">
        <is>
          <t>li-4367491256</t>
        </is>
      </c>
      <c r="B129" t="inlineStr">
        <is>
          <t>Product Manager</t>
        </is>
      </c>
      <c r="C129" t="inlineStr">
        <is>
          <t>Joie Children's Products, Inc.</t>
        </is>
      </c>
      <c r="D129" t="inlineStr">
        <is>
          <t>linkedin</t>
        </is>
      </c>
      <c r="E129">
        <f>HYPERLINK("https://www.linkedin.com/jobs/view/4367491256", "https://www.linkedin.com/jobs/view/4367491256")</f>
        <v/>
      </c>
      <c r="F129" t="inlineStr"/>
      <c r="G129" t="inlineStr">
        <is>
          <t>Morgantown, PA</t>
        </is>
      </c>
      <c r="H129" t="inlineStr"/>
      <c r="I129" t="inlineStr">
        <is>
          <t>*We are* 
***Joie***
*, a global baby gear brand established in 2011 and distributed across over 85 countries.* 
*We prioritize designing products with families in mind. Our commitment extends to fostering joy\-filled workplaces, where we celebrate our team members' skills, and nurture their development.* 
*Joie offers superior health and welfare benefits, boasting a $0 Copay / $0 Deductible Medical \&amp; Prescription Plan Design, a 401(k) with a 6% Employer Match, Vision and Mental Health Benefits.* 
*With our continued growth, and expansion into the US Market, we're seeking a* 
***Product Manager***
*to join our* 
***Product Marketing***
*team in our Morgantown, PA offices, located just a mile off PA Turnpike exit 298\.* 
*The* 
***Product Manager***
*will lead and assist in the development of juvenile product plans based on a thorough understanding of the consumer, the market and the competition and lead and assist with the development of production planning and execution in the market.* 
**Essential Duties and Responsibilities** 
 Liaison
* As the voice for Product Development (“PD”), you will facilitate timely, up\-to\-date, accurate and effective flow of communication, information, and mutual understanding between all stakeholders.
* As a voice for the customer and consumer, you will ensure the PD team is kept up to date with customer and consumer insights throughout the product development process, recommending feature changes and/or additions when appropriate.
 Market Analysis
* Creates and maintains competitor product detail information.
* Monitors ongoing market analysis to gain a thorough understanding of the customer, consumer and competition to assist with providing strategic product direction.
* Understands the market landscape and is the in\-house product expert.
* Identify new product opportunities based on consumer perceptions, expectations and competitors.
 Product Development and Planning
* Responsible for being subject matter expert and point of contact for the brand and creative teams.
* Propose development of new and derivative product strategies for growth.
* Define new project vision, strategy and roadmap.
* Collaborate with internal teams on the recommendation of cost and price points for products to maintain healthy margins.
* Communicate key product information and USP to brand teams for launch preparation.
* Ensure the development stages of the product timeline are met.
* Provide support at product presentations, trade shows and research events.
 Product Management
* Guide all products in assigned categories throughout the product lifecycle (Introduction, Growth, Maturity, Decline).
* Coordinate production schedules to ensure on\-time ship windows.
* Align cross\-functional teams on expectations and manage the delivery of information for new products or product changes to ensure business, customer and consumer goals are met.
* Manage samples.
*This position description is intended to provide a summary of the essential duties, tasks, and responsibilities of this position and shall not be considered an exhaustive listing of all work requirements.* 
**Requirements and Qualifications** 
 Experience \&amp; Education
* Three (3\) to Five (5\) years of experience in product or business management preferably in consumer goods, durables, or juvenile products.
* Demonstrated ability to conduct thorough market and competitor analysis and identify new product opportunities.
* Well versed in gathering and interpreting customer and consumer insights to inform product development decisions.
* Experience in coordinating production planning, schedules, and cross\-team alignment to ensure successful product execution.
* Proven track record in managing products through their entire lifecycle, from concept to launch and beyond.
* Bachelor’s degree in marketing or related field.
 Skills \&amp; Competencies
* Possess exceptional cross\-functional communication and stakeholder management skills.
* Strong analytical abilities for conducting market and competitor analysis.
* Expertise in gathering and interpreting customer and consumer insights.
* Strategic thinking and vision\-setting for product development and growth.
* Project management proficiency to coordinate timelines and deliverables.
* Strong cross\-functional communication and stakeholder management skills to facilitate collaboration and information flow.
* Collaboration and teamwork with creative, brand, and production teams.
* Ability to define and articulate unique selling propositions (USPs).
* Financial acumen for recommending cost and price points to sustain margins.
* Adaptability in dynamic markets and openness to product adjustments.
* Presentation and public speaking skills for product launches and events.
* Organizational skills for managing samples and production schedules.
* Results\-oriented mindset focused on meeting business, customer, and consumer objectives.
* Possess a natural curiosity that is grounded by a desire to understand customer/consumer habits.
 Technology
*Advanced in:* 
* Project management tools: Wrike or Asana preferred
*Proficient in:* 
* Microsoft Office Suite, Advanced PowerPoint and Excel are desirable.
* Adobe Reader \&amp; Writer.
* Video conference software:
 **Teams** 
 or
 **Zoom** 
 preferred.
*Familiar with* 
 :
* Corporate credit card expense management software,
 **BILL Spend \&amp; Expense** 
 preferred.
* Payroll systems,
 **Paycom** 
 preferred.
* Project management software,
 **Wrike** 
 preferred.
* Corporate travel systems,
 **Navan** 
 preferred.
* Ability to proficiently learn new software with ease.
 Other
* Ability to work extended hours as business needs warrant; may on occasion include nights and weekends.
* Domestic \&amp; International travel, up to 25% as business needs warrant.
**Applicants must be currently authorized to work in the United States on a full\-time basis.**</t>
        </is>
      </c>
    </row>
    <row r="130">
      <c r="A130" t="inlineStr">
        <is>
          <t>li-4367610240</t>
        </is>
      </c>
      <c r="B130" t="inlineStr">
        <is>
          <t>Product Manager, Heavy-Duty &amp; Industrial Fleets</t>
        </is>
      </c>
      <c r="C130" t="inlineStr">
        <is>
          <t>MANN+HUMMEL</t>
        </is>
      </c>
      <c r="D130" t="inlineStr">
        <is>
          <t>linkedin</t>
        </is>
      </c>
      <c r="E130">
        <f>HYPERLINK("https://www.linkedin.com/jobs/view/4367610240", "https://www.linkedin.com/jobs/view/4367610240")</f>
        <v/>
      </c>
      <c r="F130" t="inlineStr"/>
      <c r="G130" t="inlineStr">
        <is>
          <t>Gastonia, NC</t>
        </is>
      </c>
      <c r="H130" t="inlineStr"/>
      <c r="I130" t="inlineStr">
        <is>
          <t>**Role Summary** 
**This is an ONSITE position based at our location in Gastonia, NC.**
* **No Visa sponsorship is available for this position.**
 The
 **Product Manager – HDI Fleets** 
 is responsible for developing and managing products that enable success in fleet\-focused business development initiatives. This role requires expertise in aftermarket product management, marketing, and engineering collaboration. The Product Manager will drive product strategy, ensure strong value propositions, and lead initiatives to position the WIX brand as a trusted heavy\-duty brand. The role also involves supporting direct\-to\-fleet markets and aligning product offerings with customer needs in Class 6/7/8 trucks, construction, agriculture, mining, and hydraulics sectors.
**JOB RESPONSIBILITIES** 
 • Lead product strategy and roadmap development for heavy\-duty and industrial fleet applications
 • Develop and maintain compelling product value propositions to meet market needs
 • Drive insourcing initiatives to optimize cost and quality
 • Communicate HD product range effectively to the market and reinforce WIX brand positioning
 • Collaborate with Business Development Managers to identify product gaps and opportunities
 • Conduct market research and competitive analysis to inform product design and positioning
 • Manage product lifecycle from concept to launch, including pricing and profitability analysis
 • Support digital initiatives by integrating product data into CRM and e\-commerce platforms
 • Coordinate with engineering and operations teams to ensure technical feasibility and timely delivery
 • Provide training and technical support to sales teams and key customers
 • Monitor product performance and implement improvements based on customer feedback and KPIs
**REQUIREMENTS** 
**Education:** 
 • Bachelor’s Degree in Engineering, Marketing, or Business
**Experience:** 
 • 5\+ years of experience in product management within a manufacturing environment in automotive aftermarket
 • Previous experience collaborating with cross\-functional teams including sales, engineering, and marketing
**Required Skills:** 
 • Strong understanding of direct\-to\-fleet distribution models and contract structures
 • Knowledge of Class 6/7/8 fleet operations and requirements
 • Expertise in pricing strategy, market analysis, and lifecycle management
 • Proficiency in digital tools, CRM systems, and product lifecycle management platforms
 • Excellent English communication, leadership, and analytical skills
**Preferred Education, Experience, and Skills:** 
 • MBA
 • Filtration industry experience
 • SalesForce CRM experience
 • Experience in agriculture fleet replacement parts business
 • Experience in construction filtration business
 • Experience in mining filtration business
 • Ability to lead digital product initiatives and integrate technology solutions
 • Strategic thinker with strong execution capabilities</t>
        </is>
      </c>
    </row>
    <row r="131">
      <c r="A131" t="inlineStr">
        <is>
          <t>li-4367612737</t>
        </is>
      </c>
      <c r="B131" t="inlineStr">
        <is>
          <t>Product Manager</t>
        </is>
      </c>
      <c r="C131" t="inlineStr">
        <is>
          <t>BirchBarn Designs</t>
        </is>
      </c>
      <c r="D131" t="inlineStr">
        <is>
          <t>linkedin</t>
        </is>
      </c>
      <c r="E131">
        <f>HYPERLINK("https://www.linkedin.com/jobs/view/4367612737", "https://www.linkedin.com/jobs/view/4367612737")</f>
        <v/>
      </c>
      <c r="F131" t="inlineStr"/>
      <c r="G131" t="inlineStr">
        <is>
          <t>Scituate, MA</t>
        </is>
      </c>
      <c r="H131" t="inlineStr"/>
      <c r="I131" t="inlineStr">
        <is>
          <t>**Company Description** 
 BirchBarn Designs is a custom woodworking shop specializing in both handmade wood products for the home and bespoke creations such as countertops, butcher block islands, dining tables, and other wood elements. Devoted to showcasing the natural beauty of wood, BirchBarn operates with a "no stain" policy, celebrating wood in its pure form. Located in a 3,000\-square\-foot space within a growing artisan guild in the Greenbush neighborhood of Scituate, MA, BirchBarn serves a loyal client base across Greater Boston, including esteemed clients such as The Boston Red Sox and Rockland Trust. The company continues to grow its collaborations with architects, designers, builders, and homeowners.
**Role Description** 
 We're looking to build on our hard\-earned momentum with the addition of a Product Manager. Our ideal candidate is a skillful, creative, and knowledgeable carpenter who has a stellar understanding of natural hardwoods, including their characteristics and properties. We also expect this candidate to have skilled experience using workshop equipment and a willingness to learn and refine production processes.
 We have created detailed Product Build Sheets for our entire retail line, and you will receive training on our step\-by\-step manufacturing processes and techniques. The goal for this role is to train and work alongside the founder and head carpenter, with an end\-goal being independence and responsibility thereafter. The product manager will eventually manage a team to oversee production in the workshop, while the founder directs his energies away from the retail line and towards custom projects.
 We’ve developed a culture at BirchBarn that we hope translates to a creative, hard\-working and rewarding work environment. The music is always cranking and, during the warmer months, we love to work with the shop doors open to feel like we are working outside. With a few core events held here throughout the year, the Product Manager will have an opportunity to network with clients and fans of the brand, as we highly value being an active member of the community that has embraced us.
**Role \&amp; Responsibilities** 
* Accurately measure and efficiently utilize material needed for production;
* Design and create prototypes for potential products that include profit and loss analysis;
* Conduct and maintain raw material and product inventory;
* Maintain a clean/organized shop;
* Assist in the production of larger projects, including countertops, tables, and bulk orders;
* Communicate with the team on a regular basis.
**Qualifications** 
* A proven history of hands\-on experience in the carpentry industry;
* Strong understanding of carpentry techniques and methods of construction;
* Possess critical and creative thinking and problem\-solving skills;
* Proficient use of shop equipment such as table saws, drum sanders, routers, drills, and other power tools;
* Willingness to learn new techniques and a willingness to receive constructive critiques when necessary;
* Knowledge of CNC and CO2 lasers for engraving is a plus;
* Adherence to OSHA safety guidelines at all times;
* Ability to lift up to 100 pounds throughout the workday.
**SALARY** 
 Pay is negotiable, dependent upon experience
**HOW TO APPLY** 
 Email your resume with a brief note on your interest for consideration to hello@birchbarndesigns.com
*This job description is intended to be general and may evolve over time. It is subject to periodic updating and is subject, at the employer’s discretion, to the assignment of different or additional duties. BirchBarn Designs is proud to be an equal opportunity organization.*</t>
        </is>
      </c>
    </row>
    <row r="132">
      <c r="A132" t="inlineStr">
        <is>
          <t>li-4367621703</t>
        </is>
      </c>
      <c r="B132" t="inlineStr">
        <is>
          <t>Senior Product Manager- Service Customer Experience Platforms</t>
        </is>
      </c>
      <c r="C132" t="inlineStr">
        <is>
          <t>General Motors</t>
        </is>
      </c>
      <c r="D132" t="inlineStr">
        <is>
          <t>linkedin</t>
        </is>
      </c>
      <c r="E132">
        <f>HYPERLINK("https://www.linkedin.com/jobs/view/4367621703", "https://www.linkedin.com/jobs/view/4367621703")</f>
        <v/>
      </c>
      <c r="F132" t="inlineStr"/>
      <c r="G132" t="inlineStr">
        <is>
          <t>Austin, TX</t>
        </is>
      </c>
      <c r="H132" t="inlineStr"/>
      <c r="I132" t="inlineStr">
        <is>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**The Role**
 As a Senior Product Manager for Service Customer Experience Platforms, you will own the vision and roadmap for a set of scalable capabilities that power how customers discover, understand, schedule, and manage vehicle service across mobile, web, and in\-vehicle channels. You will lead product strategy, discovery, prioritization, and delivery in close partnership with engineering, design, data, and business teams. This role shifts the service ecosystem beyond operational throughput toward experience\-driven outcomes by delivering platform capabilities that provide transparent, real\-time views of service needs, pricing, status, and history—empowering informed decisions and strengthening customer trust and loyalty.
**What You'll Do**
* Contribute to the definition of the product vision, strategy, and roadmap based on customer needs and market trends.
* Collaborate with cross\-functional teams, including engineering, design, marketing, and sales, to ensure product goals and priorities alignment.
* Conduct market research and competitive analysis to identify market opportunities and potential threats.
* Develop and manage product requirements, including user stories, use cases, and functional specifications.
* Create and maintain product backlogs and prioritize features and enhancements based on business value, customer needs, and technical feasibility.
* Work closely with UX/UI designers to develop intuitive and compelling user interfaces.
* Define and track key metrics using OKRs and KPIs to measure product success and inform future decisions.
* Communicate product updates, progress, and plans to stakeholders across the organization, including executives, customers, and partners.
* Manage product launches, including developing go\-to\-market strategies and coordinating cross\-functional teams to ensure successful product launches.
* Conduct post\-launch analysis to evaluate product performance and identify areas for improvement.
* Continuously iterate and improve the product based on user feedback, market trends, and business goals.
**Your Skills \&amp; Abilities (Required Qualifications)**
* 7\+ years of digital/software product management experience with technical focus.
* 3\+ years of experience managing products focused on core user experiences and strategy of digital products across a variety of platforms (vehicle, mobile, and web).
* Proven ability to balance tradeoffs between consumer needs, business objectives, and technical constraints.
* Experience developing solutions to complex problems with many constraints, using sound judgment and data\-informed decision\-making.
* Demonstrated expertise in writing, with the ability to effectively balance and integrate vision, strategy, and technical details in a cohesive narrative.
* Ability to identify key data and metrics required to make decisions and understand their implications.
* Strong communication and storytelling skills, with the ability to articulate complex concepts to all stakeholders.
**What Will Give You a Competitive Edge (Preferred Qualifications)**
* 8\+ years of digital/software product management experience.
* Experience driving go\-to\-market strategies for vehicle first user experiences and collaborating with sales and marketing teams.
**Hybrid:** 
 This role is categorized as hybrid. This means the successful candidate is expected to report to the office three times per week, at minimum.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33">
      <c r="A133" t="inlineStr">
        <is>
          <t>li-4323383882</t>
        </is>
      </c>
      <c r="B133" t="inlineStr">
        <is>
          <t>Lead Product Manager</t>
        </is>
      </c>
      <c r="C133" t="inlineStr">
        <is>
          <t>Code for America</t>
        </is>
      </c>
      <c r="D133" t="inlineStr">
        <is>
          <t>linkedin</t>
        </is>
      </c>
      <c r="E133">
        <f>HYPERLINK("https://www.linkedin.com/jobs/view/4323383882", "https://www.linkedin.com/jobs/view/4323383882")</f>
        <v/>
      </c>
      <c r="F133">
        <f>HYPERLINK("https://www.codeforamerica.org/jobs/posting/7407338?gh_jid=7407338&amp;grnh.se=369a4df81us&amp;gh_src=7691645b1us&amp;urlHash=aI-x", "https://www.codeforamerica.org/jobs/posting/7407338?gh_jid=7407338&amp;grnh.se=369a4df81us&amp;gh_src=7691645b1us&amp;urlHash=aI-x")</f>
        <v/>
      </c>
      <c r="G133" t="inlineStr"/>
      <c r="H133" t="inlineStr"/>
      <c r="I133" t="inlineStr">
        <is>
          <t>Code for America believes government can work for the people, by the people, in the new digital age, and that government at all levels can and should work well for all people. For more than a decade, we’ve worked to show that with the mindful use of technology, we can break down barriers, meet community needs, and find real solutions.
 Our employees build and transform government and community tools and services, making them so good they inspire change. We merge the best parts of technology, nonprofit, and government to help support the people who need it most.
 With a focus on transparency and fairness, and deep empathy for partners in government and community organizations and the people that our partners serve, we’re building a movement of motivated change agents driven by meaningful results and lasting impact.
 At Code for America, you contribute to exciting work while learning and developing in a supportive and flexible environment. Our compensation and benefits are holistic and thoughtfully curated to represent our employees and our mission. Help us drive real generational change that lasts.
 Code for America is looking for a talented
 **Lead Product Manager** 
 , who will drive meaningful outcomes for clients by supporting and advancing our Safety Net, Tax Benefits, and/or Criminal Justice products, and collaborate with government partners to enhance their ability and capacity to deliver critical services and benefits.
**About the role:**
 The Lead Product Manager will own and set direction and strategy for a product or program area. You’ll lead cross\-functional teams to solve large, complex problems and deliver user\-centered products and services using your expert skills in product management, stakeholder management, agile methodologies, and modern software development practices. In doing so, you’ll help our partner government agencies deliver better digital services to the public, creating lasting impact.
 This role will report to the
 **Director of Product** 
 and is expected to travel no more than
 **15%** 
 of the time.
 We plan to hire both full\-time permanent and full\-time term limited positions from this posting, for specific projects. Employment type will be determined by project needs at the time of offer.
 Code for America is based in California and can employ those who reside full\-time within the United States. This is a remote position.
**In this position you will:**
* Setting product strategy for the product or program area
+ Partner with the Program manager and other cross\-disciplinary team members to define the overall strategy for your project or program
+ Develop and own the product strategy and execution of a project or program area
* Driving stakeholder alignment
+ Communicate product vision and strategy to your team with clarity and enthusiasm
+ Drive external stakeholder alignment with the product vision and strategy, partnering with internal cross\-functional team members when appropriate
* Executing on the product or service
+ Work closely with the PM team and others to deliver products and services that execute your program area’s strategy and promotes systems change
+ Help lead a talented multi\-disciplinary team (which may include design, research, and engineering) to test and develop new solutions that work for underserved communities and increase our impact
+ Collaborate with other leaders to effectively escalate risks and determine ways to mitigate them
+ Collaborate with engineering and other team leads to develop and evolve team processes that enable us to focus on the right things and execute efficiently
+ Collaborate with designers on the creation of prototypes and models
* Other duties as assigned
**About you:**
 The position is a perfect fit for a mission\-driven product manager who leads with empathy, thrives in complexity, and builds user\-centered solutions. You excel at aligning stakeholders and delivering impactful digital services for historically underserved communities.
* 7\+ years of product management experience.
* Medicaid/healthcare/insurance experience (Medicaid strongly preferred).
* Proven ability to lead high quality product development using an agile methodology \- iteratively improving products through delivery cycles.
* Proven ability to interpret and leverage user research, usability testing, and data analytics to make and validate product decisions.
* Strong product judgment \- knowing when to prototype and when to code, when to experiment, and when to change direction.
* Review and write effective product strategy docs and product/feature specs and give thoughtful feedback to the team.
* Strong communication skills and experience and comfort with managing project stakeholders internally and externally. Ability to incorporate feedback when it's best for the product, program, and the people.
* Make tough trade\-off decisions and facilitate effective conversations on the team at those inflection points.
* Have a handle on the day to day and an ability to forecast, plan, connect incremental short\-term progress with a long\-term vision.
* Ability to identify product issues and advocate effectively to address these issues, whether by adding or changing resources or adjusting scope or requirements.
* Ability to engage effectively on future possible opportunities for projects, including helping to shape the potential work.
* Understand how to tie your team's efforts to Code for America strategy, and make recommendations based on those factors in order to maximize team outcomes.
* Drive alignment for the entire product/program portfolio team and with key members of leadership.
* A passion for our mission of making government services better for people who need them.
**It’s a bonus if you have:**
* Product advisory/consulting work with government, civic tech, or highly regulated industry.
* Medicaid experience
**What You’ll Get \-**
**Salary:**
 Code for America’s salary bands are transparent as a part of our commitment to transparency and fairness. As part of our hiring practices, we aim to target the midpoint of the 2nd quartile of the range for all new hires.
 Offer targets vary based on market / geographic location. The offer targets for this role range from
 **$128,945 to $157,850** 
 , annually.
**Benefits and Perks:** 
* Values:
+ Leadership and teammates who share a strong work ethic and values, and who respect and care for one another
+ A collaborative, cross\-functional, hardworking, and joyful environment
* Employee Enablement Support:
+ Laptop provided
+ A one\-time $700 payment for remote environment setup; $200 stipend (in first paycheck) and up to $500 reimbursement, in accordance with our equipment policy
+ Cell phone and/or internet reimbursement of $50 per month
* Professional Development:
+ $500 annual (per calendar year) stipend towards professional development; prorated at time of hire
+ Up to $500 of professional development funds can be rolled over each year, up to a maximum of $1000
+ Training / guidance for staff required to utilize AI as part of their role, plus opportunities for employees to gain AI\-related skills to support job and career growth
* Retirement \&amp; 401k Plans:
+ Employees receive a 100% employer match on the first 3% of contributions.
+ Employees with 3\+ years of service receive an additional 50% match on contributions between 3% and 5%, for a maximum employer contribution of 5%
* Medical:
+ At least one no cost health insurance option for full\-time employees for employee\-only coverage
+ A minimum of 80% of the cost of dependent coverage
* Remote Work:
+ Code for America employees may work remotely across the US
+ Code for America employees main residence must be within the US
+ Full\-time employees work 40 hours per week, Monday \- Friday
+ Collaborative working hours: we aim to hold all internal meetings between 10 AM \- 3 PM PT. We expect all Code for America staff to be available during these set working hours
* Time Off:
+ Open personal time off (subject to manager approval), a minimum of 14 paid holidays, and an org\-wide closure from Christmas Day through New Year's Day
+ Paid sick time; up to 96 hours annually
+ 17 weeks of paid parental and family leave
+ 3 weeks of paid sabbatical after 5 years of service
**Equal Employment Opportunity:**
 Code for America is an equal opportunity employer. Applicants will not be discriminated against because of race, color, creed, sex, sexual orientation, gender identity or expression, age, religion, national origin, citizenship status, disability, ancestry, marital status, veteran status, medical condition or any protected category prohibited by local, state or federal laws.
**Code for America Workers United:**
 This position is not covered by a Collective Bargaining Agreement between Code for America and Code for America Workers United, affiliated with OPEIU, Local 1010\. The agreement was ratified on January 13, 2026, and is currently in effect.</t>
        </is>
      </c>
    </row>
    <row r="134">
      <c r="A134" t="inlineStr">
        <is>
          <t>li-4353535297</t>
        </is>
      </c>
      <c r="B134" t="inlineStr">
        <is>
          <t>Product Manager</t>
        </is>
      </c>
      <c r="C134" t="inlineStr">
        <is>
          <t>Synectics Inc.</t>
        </is>
      </c>
      <c r="D134" t="inlineStr">
        <is>
          <t>linkedin</t>
        </is>
      </c>
      <c r="E134">
        <f>HYPERLINK("https://www.linkedin.com/jobs/view/4353535297", "https://www.linkedin.com/jobs/view/4353535297")</f>
        <v/>
      </c>
      <c r="F134">
        <f>HYPERLINK("https://www.synectics.com/candidate-apply.php/PRODUCT+MANAGER-ROGERS-MN-US?id=SYNECEXT-16736&amp;source=LinkedIn&amp;urlHash=bfJv", "https://www.synectics.com/candidate-apply.php/PRODUCT+MANAGER-ROGERS-MN-US?id=SYNECEXT-16736&amp;source=LinkedIn&amp;urlHash=bfJv")</f>
        <v/>
      </c>
      <c r="G134" t="inlineStr">
        <is>
          <t>Rogers, MN</t>
        </is>
      </c>
      <c r="H134" t="inlineStr"/>
      <c r="I134" t="inlineStr">
        <is>
          <t>Job Title: Product Manager
**Location:** 
 Rogers, MN (On\-site)
**Job Type:** 
 Full\-Time
 Role Overview
 We are seeking a Product Manager to take ownership of a physical consumer product line. This role will focus on improving existing products, developing new offerings, and ensuring consistent product quality across overseas manufacturing partners. The position works cross\-functionally with Operations, Marketing, and Supply Chain teams and is well\-suited for someone who thrives in a fast\-paced, growth\-oriented environment.
 Key Responsibilities
* Own and manage the product roadmap in alignment with company priorities
* Maintain detailed product documentation and tech packs with strict revision control
* Lead product quality standards and QA processes across contract manufacturers
* Drive continuous improvement of existing products based on customer feedback
* Manage new product development from concept through launch
* Ensure product consistency across all manufacturing partners
* Support packaging design and product presentation initiatives
* Conduct competitive analysis to support pricing and positioning decisions
* Collaborate cross\-functionally on product\-related initiatives
* Travel domestically and internationally as required
**Qualifications**
**Required:**
* 3\+ years of product management experience
* Experience working with physical products
* Experience coordinating with overseas manufacturers
* Strong organizational, communication, and problem\-solving skills
**Preferred**
* Experience with textiles or cut\-and\-sew manufacturing
* Automotive or consumer products background
* D2C / e\-commerce brand experience
* Experience managing high\-SKU product lines
 Ideal Candidate
* Action\-oriented and comfortable working in ambiguity
* Detail\-focused with high standards for quality
* Strong cross\-functional communicator
* Curious, coachable, and growth\-minded
* Willing to work on\-site and travel as needed</t>
        </is>
      </c>
    </row>
    <row r="135">
      <c r="A135" t="inlineStr">
        <is>
          <t>li-4367606775</t>
        </is>
      </c>
      <c r="B135" t="inlineStr">
        <is>
          <t>Lead Product Manager - Omni-Channel Communications - Braze</t>
        </is>
      </c>
      <c r="C135" t="inlineStr">
        <is>
          <t>Scalepex</t>
        </is>
      </c>
      <c r="D135" t="inlineStr">
        <is>
          <t>linkedin</t>
        </is>
      </c>
      <c r="E135">
        <f>HYPERLINK("https://www.linkedin.com/jobs/view/4367606775", "https://www.linkedin.com/jobs/view/4367606775")</f>
        <v/>
      </c>
      <c r="F135">
        <f>HYPERLINK("https://www.adzuna.com/details/5524598117?v=77C521F957634AD691D401816CB6559F79A988B7&amp;r=21167620&amp;frd=ea2361a651e1d212e7d8a4f8840b7bc9&amp;ccd=a159104baedc3bb7831e1e571d09e5a4&amp;utm_source=linkedin7&amp;utm_medium=organic&amp;chnlid=1931&amp;title=Lead%20Product%20Manager%20-%20Omni-Channel%20Communications%20-%20Braze&amp;a=e&amp;urlHash=Iixw", "https://www.adzuna.com/details/5524598117?v=77C521F957634AD691D401816CB6559F79A988B7&amp;r=21167620&amp;frd=ea2361a651e1d212e7d8a4f8840b7bc9&amp;ccd=a159104baedc3bb7831e1e571d09e5a4&amp;utm_source=linkedin7&amp;utm_medium=organic&amp;chnlid=1931&amp;title=Lead%20Product%20Manager%20-%20Omni-Channel%20Communications%20-%20Braze&amp;a=e&amp;urlHash=Iixw")</f>
        <v/>
      </c>
      <c r="G135" t="inlineStr">
        <is>
          <t>Dallas, TX</t>
        </is>
      </c>
      <c r="H135" t="inlineStr"/>
      <c r="I135" t="inlineStr">
        <is>
          <t>**Lead Product Manager – Omni\-Channel Communications**
**Scalepex** 
 is a rapidly growing consulting and digital services firm helping companies scale product, engineering, CRM, and operations teams through high\-quality talent.
 We are expanding our Product \&amp; Digital Experience practice and seeking a
 **Lead Product Manager** 
 to drive omni\-channel communication strategy across large\-scale wellbeing, health, and customer engagement programs for our enterprise clients.
 This role blends
 **product ownership, lifecycle/CRM strategy, data\-driven engagement, and hands\-on execution** 
 —making it ideal for someone who thrives at the intersection of product and growth.
**Why Scalepex?**
 At Scalepex, you’ll work with top U.S. brands while collaborating alongside our highly skilled
 **engineering, data, and CRM specialists** 
 . You’ll lead initiatives that reach millions of users, shape client communication strategies, and influence meaningful behavioral outcomes.
 If you enjoy building omni\-channel journeys, optimizing lifecycle funnels, and using communication to drive action at scale, this role is for you.
**What You’ll Do**
* Own the end\-to\-end omni\-channel communication strategy across email, push, SMS, in\-app, and emerging channels.
* Define roadmaps for onboarding, lifecycle, and engagement journeys for enterprise clients.
* Establish KPIs and measure the impact of communication on user behavior and program outcomes.
* Work hands\-on in Braze (or similar platforms) to build campaigns, templates, data mappings, and triggers.
* Partner with Engineering, Data, and CRM teams to deliver personalized, data\-driven journeys.
* Collaborate with client stakeholders across wellbeing, health, and digital experience.
* Implement governance, best practices, and platform standards for communications.
* Run experiments, launch A/B tests, analyze performance, and optimize continuously.
* Ensure all communications are compliant, aligned to client brand, and user\-centric.
**About Scalepex**
 Scalepex is a consulting firm specializing in:
* Product \&amp; UX
* Engineering \&amp; AI
* CRM, Lifecycle \&amp; Braze Support
* BPO \&amp; CX Operations
* Data \&amp; Analytics
* Staff Augmentation \&amp; Dedicated Teams
 We help organizations scale quickly, reduce cost, and operate with high\-quality teams across US and LATAM.
**Requirements**
**What You Bring**
* 5–7\+ years in lifecycle marketing, CRM product ownership, product growth, or omni\-channel communications.
* Deep experience with Braze, Iterable, SFMC, or similar lifecycle platforms.
* Strong understanding of segmentation, triggers, behavioral design, and personalization at scale.
* Experience partnering with engineering and data teams to define requirements and technical needs.
* Analytical mindset — comfortable evaluating funnels, performance metrics, and behavior insights.
* Ability to lead projects, influence stakeholders, and align cross\-functional teams.
* Experience in healthcare, wellbeing, or behavioral change is a strong plus (not required).
**Benefits**
**What We Offer**
* Competitive compensation
* Opportunity to lead communication strategy for enterprise programs
* Exposure to multiple industries and large\-scale product ecosystems
* Fast growth environment with leadership autonomy</t>
        </is>
      </c>
    </row>
    <row r="136">
      <c r="A136" t="inlineStr">
        <is>
          <t>li-4367483588</t>
        </is>
      </c>
      <c r="B136" t="inlineStr">
        <is>
          <t>Sr. Product Manager</t>
        </is>
      </c>
      <c r="C136" t="inlineStr">
        <is>
          <t>insightsoftware</t>
        </is>
      </c>
      <c r="D136" t="inlineStr">
        <is>
          <t>linkedin</t>
        </is>
      </c>
      <c r="E136">
        <f>HYPERLINK("https://www.linkedin.com/jobs/view/4367483588", "https://www.linkedin.com/jobs/view/4367483588")</f>
        <v/>
      </c>
      <c r="F136" t="inlineStr"/>
      <c r="G136" t="inlineStr"/>
      <c r="H136" t="inlineStr"/>
      <c r="I136" t="inlineStr">
        <is>
          <t>**About Us**
 insightsoftware is a global provider of reporting, analytics, and performance management solutions that unlock the potential of business data and transform the way finance and data teams operate. We empower leaders from over 32,000 organizations to make timely and intelligent decisions. Our comprehensive solutions span Financial Planning and Analysis (FP\&amp;A), Controllership, and Data and Analytics. We deliver finance teams the insights required to navigate any economic climate and drive greater financial intelligence, while increasing productivity, visibility, accuracy, and compliance. Learn more at
 **insightsoftware.com.**
**Job Description**
 insightsoftware is seeking a leader to drive a significant technology change, democratizing sophisticated finance technology for the every day financial planner, analyst, and busienss partner. We're building our next\-generation platform that brings enterprise\-grade financial reporting and analytics to mid\-market and SMB finance teams. This isn't incremental improvement. It's about giving smaller organizations the same powerful capabilities that only the largest companies could afford, delivered as a unified, AI\-powered, cloud\-native SaaS platform.
 The Senior Product Manager is the leader and end\-to\-end owner of this platform initiative \- responsible for driving vision, roadmap, and commercial success. You'll be the architect of a platform that empowers hundreds of thousands of finance professionals in growing companies to punch above their weight. This role demands someone who can coordinate across multiple product backlogs, build AI capabilities that make small teams incredibly efficient, and translate complex technical capabilities into compelling business outcomes.
 You own the full product life cycle \- from gathering market requirements and determining the optimal mix of platform initiatives, to working with distributed engineering teams on delivery, to ensuring successful launches and go\-to\-market execution. This is a true platform play requiring cross\-product orchestration, AI product expertise, and a metrics\-driven approach to everything you do.
**Responsibilities**
* Lead the UFE platform roadmap, coordinating across multiple product backlogs to create a unified user experience that advances the overall maturity of our enterprise finance solutions
* Build and ship AI\-powered features that demonstrably improve customer efficiency. Define the AI product strategy that differentiates UFE in the market and leverage AI for product development velocity
* Use data relentlessly to drive decisions \- you must love data and know how to get it, use it, and execute based on what's available. Translate financial metrics and business KPIs into product strategy with solid business and financial acumen
* Drive strategic alignment with senior leaders using data and insights. Analyze initiatives for ROI and extract maximum commercial value through packaging, pricing, and new feature development
* Provide ongoing market analysis by tracking competitive dynamics in ERP, EPM, and financial reporting segments. Identify customer requirements through win/loss calls and voice\-of\-customer interviews
* Collaborate with Product Owners and engineering teams to drive delivery of requirements, including definition, prioritization, trade\-offs, and execution of release goals across distributed teams
* Execute new product launch plans, partnering with Product Marketing and Sales Enablement to provide product education, demonstrations, and expertise to internal and external customers
* Collaborate with Customer Success teams to drive highly effective customer experience as measured by NPS, understanding and improving the end\-to\-end customer journey
* Champion the UFE vision across the organization \- from front\-line teams to executive stakeholders \- translating technical capabilities into business outcomes
* Ensure UFE delivers as a true cloud\-native, multi\-tenant SaaS platform with enterprise\-grade scalability, maintaining consistency in UX, data models, and APIs
**Achievements/Goals**
* Commercial Product Management Expertise \- Track record of success in B2B SaaS with proven ability to ensure ROI for major product features and platform initiatives
* Cross\-Product Coordination \&amp; Platform Thinking \- Experience managing multiple product backlogs simultaneously, coordinating across teams to create unified user experiences and build systems, not just features
* AI Product Development \- Demonstrated success building and shipping AI\-powered features that measurably improve customer efficiency, plus experience leveraging AI for product development velocity
* Data Obsession \- You love data. Track record of getting, using, and executing based on available business data to drive strategic direction
* Strategic/Tactical Balance \- Balance platform vision with disciplined tactical execution across multiple product lines
* Market \&amp; Customer Focus \- Understand market segmentation, trends, and competitive dynamics in ERP/EPM/financial reporting markets. Translate voice of customer into product requirements that drive customer experience
* Cross\-functional Leadership \- Lead and drive execution across Development, Sales, Marketing, Support, and Customer Success with ability to influence without authority
* Business \&amp; Financial Acumen \- Understand business metrics, financial KPIs, and how product decisions impact commercial outcomes
* Drive \&amp; Grit \- Operate in fast\-paced environment with focus and determination to achieve high\-quality results
* Engaging Presence \- Effectively engage with prospects, customers, executives and engineers about the platform vision
**Qualifications**
* 7\+ years of Product Management experience in Cloud/SaaS Software development with experience creating or deploying complex enterprise\-ready platforms
* Proven experience coordinating across multiple products or backlogs to create unified user experiences
* Demonstrated track record building and shipping AI\-powered product features that improve customer efficiency
* Strong data analysis skills with proven ability to use metrics to drive product decisions and strategic direction
* Excellent executive\-level communication and presentation skills with ability to coordinate cross\-functional groups to accomplish product, solution, and revenue goals
* Strong product understanding and market background in ERP, EPM, financial reporting, or business intelligence markets
* Knowledge of major ERP platforms (Oracle, SAP, Microsoft Dynamics, NetSuite) and their ecosystems strongly preferred
* Experience working with distributed engineering and product teams
* Deep understanding of cloud architectures and multi\-tenant SaaS delivery models
* Experience with ERP software and differences between platforms including Oracle, SAP, Microsoft Business Central, and other commercial ERPs.
* Experience helping customers adopt cloud\-based products and agile technology organizations preferred
* Typically 10\-15% travel
**Additional Information**
 All your information will be kept confidential according to EEO guidelines.
 Learn more about our high\-energy, high\-performance global team: Work With Us
 insightsoftware About Us: Hear From Our Team
 Background checks are required for employment with insightsoftware, where permitted by country, state/province.
 At insightsoftware, we are committed to equal employment opportunity regardless of race, color, ethnicity, ancestry, religion, national origin, gender, sex, gender identity or expression, sexual orientation, age, citizenship, marital or parental status, disability, veteran status, or other class protected by applicable law. We are proud to be an equal opportunity workplace.</t>
        </is>
      </c>
    </row>
    <row r="137">
      <c r="A137" t="inlineStr">
        <is>
          <t>li-4356659499</t>
        </is>
      </c>
      <c r="B137" t="inlineStr">
        <is>
          <t>Sr Product Manager - PayPal.com</t>
        </is>
      </c>
      <c r="C137" t="inlineStr">
        <is>
          <t>PayPal</t>
        </is>
      </c>
      <c r="D137" t="inlineStr">
        <is>
          <t>linkedin</t>
        </is>
      </c>
      <c r="E137">
        <f>HYPERLINK("https://www.linkedin.com/jobs/view/4356659499", "https://www.linkedin.com/jobs/view/4356659499")</f>
        <v/>
      </c>
      <c r="F137" t="inlineStr"/>
      <c r="G137" t="inlineStr">
        <is>
          <t>Chicago, IL</t>
        </is>
      </c>
      <c r="H137" t="inlineStr"/>
      <c r="I137"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PayPal is seeking a dynamic Senior Product Manager to lead the strategy, design, and optimization of our merchant web experience on PayPal.com. In this role, you will be responsible for driving growth and engagement by building high\-quality customer experiences that help businesses of all sizes discover, understand, and adopt PayPal's payment solutions. You will own the end\-to\-end merchant journey on our website—from first discovery through conversion—ensuring we effectively communicate value, remove friction, and accelerate merchant acquisition. This role sits at the intersection of product management, content strategy, and growth marketing. You'll work cross\-functionally with design, engineering, content, marketing, SEO, and data science teams to create experiences that resonate with diverse merchant segments. This is an individual contributor role.
**Job Description:**
**Essential Responsibilities:**
* Uses data to build insights on product or platform requirements consistent with the shared vision for the product.
* Gathers insights from the customer experience and customer needs to input to product requirements
* Analyzes research, market analysis and usability studies, research and market analysis to support data\-driven decision making
* Monitors product profitability measures, including budget.
* Lead sprint planning, daily standups and retrospectives to drive execution. Interfaces with product and technology leadership as needed.
* Partners with content developers, data scientists, product designers and user experience researchers to identify new opportunities.
**Expected Qualifications:**
* 3\+ years relevant experience and a Bachelor’s degree OR Any equivalent combination of education and experience.
**Additional Responsibilities And Preferred Qualifications**
* Own the merchant web roadmap \- Define strategy and prioritize initiatives that drive discovery and conversion on PayPal.com
* Optimize the end\-to\-end merchant experience \- Use data and user research to continuously improve landing pages, product pages, and customer journey flows
* Drive content and SEO strategy \- Partner with content and SEO teams to create compelling, optimized content that increases organic traffic and resonates with diverse merchant segments
* Leverage analytics to drive growth \- Partner with analytics teams to identify opportunities to improve growth KPIs, inform product decisions, and measure impact
* Lead cross\-functional execution \- Run agile sprints with engineering, design, content, and platform teams; communicate progress and align stakeholders across marketing, product, and business teams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$123,500 to $212,850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R0134353</t>
        </is>
      </c>
    </row>
    <row r="138">
      <c r="A138" t="inlineStr">
        <is>
          <t>li-4367285182</t>
        </is>
      </c>
      <c r="B138" t="inlineStr">
        <is>
          <t>Technical Product Manager, Specialist</t>
        </is>
      </c>
      <c r="C138" t="inlineStr">
        <is>
          <t>Vanguard</t>
        </is>
      </c>
      <c r="D138" t="inlineStr">
        <is>
          <t>linkedin</t>
        </is>
      </c>
      <c r="E138">
        <f>HYPERLINK("https://www.linkedin.com/jobs/view/4367285182", "https://www.linkedin.com/jobs/view/4367285182")</f>
        <v/>
      </c>
      <c r="F138">
        <f>HYPERLINK("https://vanguard.wd5.myworkdayjobs.com/en-US/vanguard_external/job/Malvern-PA/Technical-Product-Manager\u002d\u002dSpecialist_173846-1?source=LinkedIn&amp;urlHash=qyIx", "https://vanguard.wd5.myworkdayjobs.com/en-US/vanguard_external/job/Malvern-PA/Technical-Product-Manager\u002d\u002dSpecialist_173846-1?source=LinkedIn&amp;urlHash=qyIx")</f>
        <v/>
      </c>
      <c r="G138" t="inlineStr">
        <is>
          <t>Scottsdale, AZ</t>
        </is>
      </c>
      <c r="H138" t="inlineStr"/>
      <c r="I138" t="inlineStr">
        <is>
          <t>**Core Responsibilities**
* Drives technical product management activities for multiple technical products, or one strategic technical product. Participates in the design and continuous improvement of the technical solution.
* Collaborates with cross\-functional teams to create best practices that drive significant change to the client experience.
* Coaches technical product teams towards best practices and learnings. Ensures delivery of messaging, communication, and customer outreach as necessary.
* Partners with stakeholders to resolve production and implementation issues in a timely manner, and supports/drives escalations where required to enable rapid delivery.
* Leads the planning, development and implementation of new technical products. Defines and analyzes technical markets, developing detailed product features and requirements, and developing implementation plans.
* Employs a variety of qualitative and quantitative analysis techniques to continually improve the user experience.
* Participates in and provides recommendations for ongoing business planning and departmental prioritization activities.
* Participates in the team’s engineering practices in development, continuous integration, and automated deployment.
* Participates in special projects and performs other duties as assigned.
**Qualifications**
* Undergraduate degree or equivalent combination of training and experience required. Graduate degree preferred. Minimum of five years related work experience.
* Two years of leading large cross\-functional teams on major organizational projects preferred.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139">
      <c r="A139" t="inlineStr">
        <is>
          <t>li-4367618768</t>
        </is>
      </c>
      <c r="B139" t="inlineStr">
        <is>
          <t>Principal Product Manager, Home Loans Sales Intelligence Platform</t>
        </is>
      </c>
      <c r="C139" t="inlineStr">
        <is>
          <t>SoFi</t>
        </is>
      </c>
      <c r="D139" t="inlineStr">
        <is>
          <t>linkedin</t>
        </is>
      </c>
      <c r="E139">
        <f>HYPERLINK("https://www.linkedin.com/jobs/view/4367618768", "https://www.linkedin.com/jobs/view/4367618768")</f>
        <v/>
      </c>
      <c r="F139">
        <f>HYPERLINK("https://boards.greenhouse.io/sofi/jobs/7612275003?gh_src=7ed8869b3us&amp;urlHash=ma9B", "https://boards.greenhouse.io/sofi/jobs/7612275003?gh_src=7ed8869b3us&amp;urlHash=ma9B")</f>
        <v/>
      </c>
      <c r="G139" t="inlineStr">
        <is>
          <t>San Francisco, CA</t>
        </is>
      </c>
      <c r="H139" t="inlineStr"/>
      <c r="I139"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 is looking for a Principal Product Manager to lead the strategy, roadmap, and delivery of our home loans sales enablement team. This role is pivotal in transforming how our sales professionals, including Loan Officers, connect with SoFi members and manage relationships.
 Join us on the front lines of the Home Lending Product \&amp; Platform transformation, where you will prioritize innovation, collaboration, and member\-centricity to evolve our product delivery. You will be responsible for our CRM, dialer and routing platforms, focusing on solutions that optimize sales processes, improve client interactions, and drive efficiency in lead management, opportunity tracking, and loan origination.
 This role is inherently cross\-functional—you will work closely with engineering, design, data science, user research, marketing, operations, finance, risk, legal, compliance and executive teams to set a product strategy, define, and prioritize features. You’ll play the critical role of bridging the technical and business worlds to deliver product enhancements that delight our members and drive our business forward. You will be expected to set ambitious goals, sweat the details and deliver with urgency.
**What You’ll Do**
* Define and execute a groundbreaking product vision for truly disruptive innovation that sets the industry standard, utilizing our Sales Engagement ecosystem.
* Lead the evaluation, testing, and rapid rollout of cutting\-edge technologies, including AI and intelligent automation, to dramatically boost sales team capabilities, maximize throughput, and unlock sales capacity.
* Drive efficiency and effectiveness for our sales organization by architecting scalable, auditable, and hyper\-reliable solutions that eliminate friction and simplify complex, high\-stakes workflows.
* Own, define and prioritize the product backlog for your engineering squad, writing detailed requirements and partnering closely with developers.
* Deeply immerse yourself in the day\-to\-day realities of our Business and Sales teams to master their processes, translating complex operational needs into intuitive, high\-performance tooling
* Engineer sales and relationship management processes to be fully automated, transparent, and resilient enough to scale exponentially alongside SoFi’s growth.
* Collaborate cross\-functionally to align on requirements and timelines.
* Thrive in a high\-velocity agile environment, making decisive trade\-offs and delivering iteratively while maintaining laser focus on game\-changing, long\-term strategic objectives.
* Be a champion of SoFi’s values
**What You’ll Need**
* Bachelor’s degree or higher, ideally in a technical, finance, or quantitative field.
* 7\+ years of product management experience
* Demonstrated ability to translate complex sales workflows into simple, usable tools.
* Passion for delivering solutions that empower the sales force and enhance client relationships.
* Strong understanding of mortgage processes and CRM technology to create a seamless pre\-purchase and purchase experience.
* Familiarity with mortgage and HELOC regulatory frameworks and comfort partnering closely with Legal and Compliance
* Excellent communication skills
* Strong analytical and data\-driven mindset; able to dive into financial and operational metrics.
* Experience owning end\-to\-end product delivery, from discovery through launch and iteration.
* High bias for action and ownership—comfortable operating in ambiguous, cross\-functional environments.
**Nice to have**
* Direct experience at a mortgage or HELOC broker, correspondent lender, or fintech home lending platform
* Experience working closely with licensed sales or operations teams
* Experience working with sales and operations leaders, compliance teams, and executive stakeholders.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140">
      <c r="A140" t="inlineStr">
        <is>
          <t>li-4358135068</t>
        </is>
      </c>
      <c r="B140" t="inlineStr">
        <is>
          <t>Senior Product Manager - Agentic Commerce</t>
        </is>
      </c>
      <c r="C140" t="inlineStr">
        <is>
          <t>U.S. Bank</t>
        </is>
      </c>
      <c r="D140" t="inlineStr">
        <is>
          <t>linkedin</t>
        </is>
      </c>
      <c r="E140">
        <f>HYPERLINK("https://www.linkedin.com/jobs/view/4358135068", "https://www.linkedin.com/jobs/view/4358135068")</f>
        <v/>
      </c>
      <c r="F140">
        <f>HYPERLINK("https://careers.usbank.com/global/en/job/UBNAGLOBAL20250030639EXTERNALENGLOBAL/Senior-Product-Manager-Agentic-Commerce?utm_source=linkedin&amp;utm_medium=phenom-feeds&amp;urlHash=pz2H", "https://careers.usbank.com/global/en/job/UBNAGLOBAL20250030639EXTERNALENGLOBAL/Senior-Product-Manager-Agentic-Commerce?utm_source=linkedin&amp;utm_medium=phenom-feeds&amp;urlHash=pz2H")</f>
        <v/>
      </c>
      <c r="G140" t="inlineStr">
        <is>
          <t>Naperville, IL</t>
        </is>
      </c>
      <c r="H140" t="inlineStr"/>
      <c r="I140" t="inlineStr">
        <is>
          <t>At U.S. Bank, we’re on a journey to do our best. Helping the customers and businesses we serve to make better and smarter financial decisions, enabling the communities we support to grow and succeed in the right ways, all more confidently and more often—that’s what we call the courage to thrive. We believe it takes all of us to bring our shared ambition to life, and each person is unique in their potential. A career with U.S. Bank gives you a wide, ever\-growing range of opportunities to discover what makes you thrive. Try new things, learn new skills and discover what you excel at—all from Day One.
 As a wholly owned subsidiary of U.S. Bank, Elavon is committed to building the platforms and ecosystems that help over 1\.5 million customers around the world to achieve their financial goals—no matter what they need. From transaction processing to customer service, to driving innovation and launching new products, we’re building a range of tailored payment solutions powered by the latest technology. As part of our team, you can explore what motivates and energizes your career goals: partnering with our customers, our communities, and each other.
**Job Description**
 Product Managers at U.S. Bank are customer obsessed in driving product visioning, planning and development to deliver on our human \+ digital product strategy and staying one step ahead of evolving economic, technological, and customer needs. As a Product Manager, you will:
* Identify, analyze and interpret business data using various kinds of techniques to meet business needs and requirements.
* Activate the connective tissue between U.S. Bank, customer experience, digital, technology, and business line strategy to identify and prioritize product / portfolio opportunities, and establish the product vision, charter and roadmap.
* Defines product outcomes and Objectives and Key Results (OKRs) to prioritize Features/Epics and breaks down work into actionable steps to facilitate product discovery, design, development and delivery.
* Manages the end\-to\-end product lifecycle and drives the product roadmap leveraging OKRs (Objectives and Key Results).
* Creates the product in conjunction with agile, experience design, technology and risk partners to achieve business and customer outcomes.
* In the case of technical products, understands and cares for the technical features, debt reduction and modernization of the technical product with expertise in the technology required of the product.
 In addition, Agentic commerce is redefining how purchases are discovered, decided, and transacted—through autonomous AI agents acting on behalf of users. As a Senior Product Manager, you will shape the vision and strategy for this emerging domain and lead the execution that brings agentic checkout and payment experiences to life. This role demands a blend of strategic thinking and hands\-on delivery to turn cutting\-edge concepts into scalable, trusted solutions.
**Key Responsibilities**
* Define the product strategy, vision, and roadmap for agentic purchase orchestration (discovery → selection → payment → fulfillment).
* Define and deliver MVPs/pilots for agent driven checkout and payment methods, then scale to production across multiple channels/partnerships
* Conduct discovery sessions to identify high\-impact use cases and evolve business strategy to achieve desired business goals
* Define product requirements in collaboration with cross functional teams across payments, merchant onboarding, merchant servicing and other teams
* Collaborate with engineering to translate product requirements into executable plans and deliver features in a timely manner.
* Evangelize product internally and externally, working closely with Marketing and Go\-To\-Market to craft compelling narratives and drive product usage.
**Basic Qualifications**
* Product Management experience
**Preferred Skills/Experience**
* Expertise on the critical interdependencies among product model system elements that help and hinder performance; ability to plan and design solutions that synchronize resources to achieve business results using business metrics, key performance indicators, design systems, service blueprints, and reusability
* Ability to anticipate shifting market priorities, internal and external customer needs in a manner that consistently adds value
* Strong customer centricity to implement strategies and techniques used to ensure that customers have a positive experience with the organization's products and services at every touch point
* Knowledge of technical aspects of software products; ability to design, configure and integrate technical aspects of software products
* Knowledge of Agile ways of working, knowledge of processes, tools and techniques for assessing and controlling an organization's exposure to risks of various kinds; ability to apply knowledge of risk management appropriately to diverse situations
 5\+ years product management (with some in AI/ML\-driven or commerce contexts)
 Technical Skills:
* Strong understanding of API architecture, SDKs, and integration frameworks.
* Knowledge of payment gateway technologies, PCI compliance, and security standards.
* Familiarity with multi\-agent orchestration frameworks or microservices architectures for commerce APIs/infrastructure.
* Deep understanding of agentic interaction protocols
 Leadership \&amp; Communication:
* Ability to lead cross\-functional teams, navigate dependencies, and influence senior stakeholders within a matrixed environment
* Skilled in partner advocacy and representing technical solutions in strategic client conversations.
* Excellent negotiation and vendor management skills.
 Domain Expertise:
* Deep knowledge of ISV ecosystems and integration best practices.
* Commerce / payments / marketplace / e\-commerce domain knowledge (checkout flows, payments, fraud/risk, fulfillment, UX).
 product PnL, product strategy, vision and planning, product discovery, product development, channel alignment and management, adoption, customer experience research, insight and execution, agile ways of working, go to market and sales channels, performance measurement and optimization, marketing and analytics, customer centricity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$126,820\.00 \- $149,200\.00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141">
      <c r="A141" t="inlineStr">
        <is>
          <t>li-4367496909</t>
        </is>
      </c>
      <c r="B141" t="inlineStr">
        <is>
          <t>Salesforce Product Manager- on site in Newport News, VA</t>
        </is>
      </c>
      <c r="C141" t="inlineStr">
        <is>
          <t>Langley Federal Credit Union</t>
        </is>
      </c>
      <c r="D141" t="inlineStr">
        <is>
          <t>linkedin</t>
        </is>
      </c>
      <c r="E141">
        <f>HYPERLINK("https://www.linkedin.com/jobs/view/4367496909", "https://www.linkedin.com/jobs/view/4367496909")</f>
        <v/>
      </c>
      <c r="F141">
        <f>HYPERLINK("https://www.adzuna.com/details/5526349772?v=DDD400975A0CB54B0AB80439239DFC97B9654895&amp;r=21167620&amp;ccd=bedc0d6ac4eae6bfb1314ce2f8a12224&amp;frd=ec1f90f4a7ac8e97f2a0ed7fc216fd04&amp;utm_source=linkedin7&amp;utm_medium=organic&amp;chnlid=1931&amp;title=Salesforce%20Product%20Manager-%20on%20site%20in%20Newport%20News%2C%20VA&amp;a=e&amp;urlHash=d_ck", "https://www.adzuna.com/details/5526349772?v=DDD400975A0CB54B0AB80439239DFC97B9654895&amp;r=21167620&amp;ccd=bedc0d6ac4eae6bfb1314ce2f8a12224&amp;frd=ec1f90f4a7ac8e97f2a0ed7fc216fd04&amp;utm_source=linkedin7&amp;utm_medium=organic&amp;chnlid=1931&amp;title=Salesforce%20Product%20Manager-%20on%20site%20in%20Newport%20News%2C%20VA&amp;a=e&amp;urlHash=d_ck")</f>
        <v/>
      </c>
      <c r="G141" t="inlineStr">
        <is>
          <t>Newport News, VA</t>
        </is>
      </c>
      <c r="H141" t="inlineStr"/>
      <c r="I141" t="inlineStr">
        <is>
          <t>**Imagine being part of a company where your growth is valued and your journey is supported. Imagine yourself at Langley Federal Credit Union, where we're dedicated to shaping a meaningful path together. You belong at Langley.**
*Langley Federal Credit Union is one of the 100 largest credit unions in the United States with over $5B in assets and over
 **400,000** 
 members. We are constantly growing and have recently expanded to neighboring states and other parts of Virginia.*
**Investing In You**
 Langley is committed to being the best place you will ever work, and it all begins with our comprehensive employee benefits package, which includes affordable medical, dental, and vision plans in addition to:
* Educational Assistance, encompassing books, lab fees, registration costs, and more.
* Support for Student Loan Repayment.
* Abundant Career Growth Opportunities.
**Time Off That Matters**
* Generous Paid Vacation that starts accumulating from day one, progressively increasing with every five years of service, up to a maximum cap.
* Celebrate 13 Paid Holidays, including your birthday and the day following Thanksgiving; enjoy Floating Holidays too!
* Paid Sick Time for all team members.
**Financial Security**
* Highly competitive 401K plan featuring a 6% company match, with immediate vesting with a ROTH IRA option.
* Company\-covered short\- and long\-term disability insurance.
* Complimentary Life Insurance and the choice of additional Voluntary Life Insurance.
* Flexible Health Care and Dependent Care benefits.
 Langley Federal Credit Union is currently hiring for a
 **Full Time Salesforce Product Manager** 
 to work on\-site from our Newport News corporate office, located in Newport News, VA. THIS IS NOT A REMOTE POSITION.
**Essential Functions, Duties, And Responsibilities**
* Independently leverages research, business and market intelligence, and data\-driven insights to identify opportunities, propose solutions, create and maintain roadmaps, and improve performance.
* Translates technology products and experience opportunities (improvement ‘needs’ and ‘wants’ as well as all other input) into initiatives and drives the execution strategy development.
* Champions and drives technology \&amp; experience opportunities from idea to validation and implementation. Collaboration with all relevant stakeholders or SMEs (Business, UX, Technology, Ops, Marketing, etc.).
* Leads the development of business case artifacts and hypothesis for scoping and prioritization of efforts.
* Drives strategies and initiatives that maximize Langley’s investment in Salesforce, ensuring the platform delivers measurable value, efficiency, and business alignment.
* Serves as a financial services and Salesforce subject matter expert throughout the development lifecycle from idea through launch and optimization.
* Prepares compelling presentations and other forms of communication to present and communicate complex concepts to a diverse audience.
* Guides small, matrixed teams in identifying new opportunities, balancing priorities, and making trade\-offs to ensure value delivery.
* Maintains and prioritizes the Salesforce project backlog, ensuring the highest priority initiatives are prioritized while ensuring alignment with business goals and platform ROI.
* Leads weekly scrum and daily standups as needed to ensure effective alignment, communication and collaboration.
* Leads stakeholder meetings to communicate product updates and solicit feedback.
* Makes autonomous decisions, quickly and thoughtfully, to move delivery forward in alignment with overall product vision and strategy.
* Analyzes user feedback and other data to identify practical solutions that enhance platform impact.
* Collaborates across business units to champion platform adoption and value creation, regardless of organizational structures while advocating for the benefit of the member.
* Ensures all platform changes and enhancements align with Langley’s risk and regulatory requirements; proactively escalates concerns as needed.
**Qualifications**
* Bachelor’s degree or equivalent education and related experience required.
* Salesforce certification is required including one or more of the following: Financial Services Cloud, Service Cloud Consultant, Sales Cloud Consultant, Platform Strategy Designer, Platform User Experience Designer, Salesforce Admin, Salesforce Certified Business Analyst, Experience Cloud Consultant, or Omnistudio Consultant.
* Three years of experience using Salesforce required. Involvement in the implementation process is strongly preferred.
* Use of Salesforce in a financial institution experience strongly preferred.
* One\-year experience working in an agile product development environment preferred.
* One\-year experience working in banking preferred.
**Our Keys To Success**
* Service Champion – Adopts a service orientation, building trusting relationships and delivering value for associates, members, and communities.
* Langley Ambassadors – Demonstrates a passion for Langley’s vision, encouraging diversity, equity, and inclusion while considering Langley’s values when making decisions and taking accountability for delivering results.
* Agile in Action – Adapts to changes in the business, demonstrating innovation to improve Langley and advance the business into the future.
* Team Driven – Collaborates across Langley, communicating with transparency and prioritizing a team\-based approach that delivers optimal outcomes for associates, members, and communities.
* Continuous Learners – Maintains an understanding of Langley’s business and how value is delivered to members and actively pursues opportunities to grow oneself and strengthen the organization.
**Physical Requirements**
 The physical demands described here must be met by an employee to successfully perform this position's essential functions, duties, and responsibilities. Reasonable accommodations may be made to enable individuals with disabilities to perform essential functions. While performing the duties of this job, the employee is frequently required to sit, use hands, including fingers, operate standard office equipment such as a mouse, keyboard, and adding machine, as well as speak and hear. The employee is occasionally required to stand and walk. Specific vision requirements for the job include close vision (at 20 inches or less).
**Working Conditions**
 The work environment characteristics described here represent those an employee encounters while performing the essential functions of this job. Reasonable accommodations may be made to enable individuals with disabilities to perform essential functions. Work is performed in a climate\-controlled office environment where the noise level is typically quiet to moderate.
 This job description is not designed to cover or contain a comprehensive listing of functions, duties, or responsibilities required of the employee. Functions, duties, and responsibilities may change, or new ones may be assigned at any time, with or without notice.</t>
        </is>
      </c>
    </row>
    <row r="142">
      <c r="A142" t="inlineStr">
        <is>
          <t>li-4367636034</t>
        </is>
      </c>
      <c r="B142" t="inlineStr">
        <is>
          <t>AVP Product Manager</t>
        </is>
      </c>
      <c r="C142" t="inlineStr">
        <is>
          <t>Bank OZK</t>
        </is>
      </c>
      <c r="D142" t="inlineStr">
        <is>
          <t>linkedin</t>
        </is>
      </c>
      <c r="E142">
        <f>HYPERLINK("https://www.linkedin.com/jobs/view/4367636034", "https://www.linkedin.com/jobs/view/4367636034")</f>
        <v/>
      </c>
      <c r="F142" t="inlineStr"/>
      <c r="G142" t="inlineStr">
        <is>
          <t>St. Petersburg, FL</t>
        </is>
      </c>
      <c r="H142" t="inlineStr"/>
      <c r="I142" t="inlineStr">
        <is>
          <t>**Why Bank OZK**
 Founded on a legacy of more than 120 years in banking, Bank OZK is much more than just a company. We’re nationally recognized as an industry leader in financial services. That means we combine exceptional service with innovative technologies to deliver smart solutions to our clients across the country. We’re investing in small businesses, fueling economies in local communities and changing skylines in the largest cities across America. Here, we're not simply filling roles. We're fostering even greater careers.
 The foundation for a great career starts with an exceptional team and a comprehensive benefits package. We believe in providing our dedicated team members with the best resources to support their physical, mental and financial wellbeing, including generous PTO, 401(k) matching, health, dental, vision (and pet!) insurance as well as special perks and discounts. Learn more about Bank OZK benefits .
**Job Purpose \&amp; Scope**
 Key contributor operating in a cross\-functional product development team building software solutions for Bank OZK.
**Essential Job Functions**
* Manages prioritization of development work and drives day\-to\-day execution of the product development team following agile methodologies.
* Serves as a communication hub within product development team, driving alignment and clarity between different functions.
* Develops business requirements with input from product stakeholders and translates them into functional user stories and acceptance criteria.
* Gathers user feedback and evaluates enhancement requests to continuously improve the products.
* Manages the product roadmap and backlog for assigned products.
* Collaborates with DevOps, Quality Assurance, and Release Management teams to ensure smooth and well\-documented releases.
* Provides post\-development support by monitoring product performance and user adoption trends, converting issues and pain points into actionable enhancement opportunities.
**Knowledge, Skills \&amp; Abilities**
* Knowledge of agile project methodologies, stakeholder management, feature writing and requirements definition.
* Ability to communicate effectively both verbally and in writing.
* Ability to effectively incorporate user feedback to manage product roadmap and adapt or develop products to meet client needs.
* Ability to handle multiple projects in a fast\-paced environment with exacting deadlines, and deliver quality work on time.
* Ability to work without close supervision.
* Ability to demonstrate outstanding collaboration and partnership skills, including customer service skills.
* Ability to demonstrate professionalism, initiative, self\-motivation, and a team\-player approach.
* Skill in using computer and Microsoft Office, including Word, Excel, PowerPoint, Teams, and Outlook.
**Basic Qualifications**
* Bachelor's degree in business, computer science, or job\-related field, or equivalent work experience, required.
* 4\+ years relevant product management or banking work experience, required.
* 2\+ years of experience working in an agile product development environment, preferred.
**Job Expectations**
 Operate customary equipment and technology used in a business environment, with or without accommodation.
**Note:** 
 This description is not an exhaustive list of all job functions, duties, skills, and job standards required. Other job functions, duties, skills, and standards may be added. Management reserves the right to add or change the job requirements at any time.
 Position can also be also located in these locations: Saint Petersburg, Florida
**EEO Statement**
 Bank OZK is an equal opportunity employer and gives consideration for employment to qualified applicants without regard to race, color, religion, sex, national origin, age, sexual orientation, gender identity, disability status, protected veteran status, or any other characteristic protected by federal, state, and local law. Member FDIC.</t>
        </is>
      </c>
    </row>
    <row r="143">
      <c r="A143" t="inlineStr">
        <is>
          <t>li-4367286842</t>
        </is>
      </c>
      <c r="B143" t="inlineStr">
        <is>
          <t>Senior Product Manager, AI Powered Messaging</t>
        </is>
      </c>
      <c r="C143" t="inlineStr">
        <is>
          <t>RemoteHunter</t>
        </is>
      </c>
      <c r="D143" t="inlineStr">
        <is>
          <t>linkedin</t>
        </is>
      </c>
      <c r="E143">
        <f>HYPERLINK("https://www.linkedin.com/jobs/view/4367286842", "https://www.linkedin.com/jobs/view/4367286842")</f>
        <v/>
      </c>
      <c r="F143" t="inlineStr"/>
      <c r="G143" t="inlineStr"/>
      <c r="H143" t="inlineStr"/>
      <c r="I143" t="inlineStr">
        <is>
          <t>About the Organization:
 This organization is developing America’s first AI\-powered super app to simplify car ownership. It redefines how people manage owning a car, one of their most expensive and time\-consuming assets. Rated \#1 and most downloaded in its category with a 4\.7 star rating in the App Store, it serves over 5 million users and has helped millions find better auto insurance.
 About the Opportunity:
 • Own the AI\-driven communications product within the organization.
 • Increase AI\-handled customer requests from 70% to over 90% while improving satisfaction and conversion.
 • Scale messaging infrastructure across SMS, in\-app chat, email, and voice.
 • Collaborate with Product, Engineering, and Data Science teams to create engaging AI interactions.
 • Analyze data to prioritize improvements in core messaging systems.
 • Identify bottlenecks to improve prompt engineering and guide the technical roadmap.
 • Stay updated on AI trends and technologies to inform strategic decisions.
 Requirements:
 • 5\+ years experience in management consulting, technical product management, data analytics, or operations in a fast\-paced startup.
 • Strong technical understanding and systems thinking with ability to simplify complex ideas.
 • Data\-driven with ability to independently analyze and interpret data.
 • Metric ownership mindset with continuous improvement focus.
 • Passionate about AI, experienced in using it for automation, and eager to leverage it for personalized customer communications at scale.
 Benefits \&amp; Perks:
 • Comprehensive health, dental, and vision coverage.
 • Paid time off and paid parental leave.
 • 401(k) plan with employer matching.
 • Wellness benefits.
 • Equity opportunities may be included.
 Compensation:
 • Starting pay will fall within the listed range based on skills, experience, qualifications, work location, and market conditions.
 • Compensation may include equity grants.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44">
      <c r="A144" t="inlineStr">
        <is>
          <t>li-4367298121</t>
        </is>
      </c>
      <c r="B144" t="inlineStr">
        <is>
          <t>Senior Product Manager, Marketplace Growth</t>
        </is>
      </c>
      <c r="C144" t="inlineStr">
        <is>
          <t>RemoteHunter</t>
        </is>
      </c>
      <c r="D144" t="inlineStr">
        <is>
          <t>linkedin</t>
        </is>
      </c>
      <c r="E144">
        <f>HYPERLINK("https://www.linkedin.com/jobs/view/4367298121", "https://www.linkedin.com/jobs/view/4367298121")</f>
        <v/>
      </c>
      <c r="F144" t="inlineStr"/>
      <c r="G144" t="inlineStr"/>
      <c r="H144" t="inlineStr"/>
      <c r="I144" t="inlineStr">
        <is>
          <t>About the Organization:
 The organization is developing America’s first AI\-powered super app to simplify car ownership. It redefines how people manage one of their most expensive and time\-consuming assets. It is the top\-rated and most downloaded app in its category with a 4\.7 star rating in the App Store and over 5 million users. The organization has helped millions find better auto insurance and continues to grow.
 About the Opportunity:
 • Own marketplace growth and automation products critical to delivering accurate, low\-cost quotes quickly.
 • Scale systems, integrate with top carriers, improve data quality and accuracy.
 • Explore new methods to provide faster, smarter, and easier quoting experiences.
 Responsibilities:
 • Lead end\-to\-end product development for quoting or automation systems, including new carrier integrations and maintenance.
 • Manage high\-profile integrations with major partners to drive marketplace growth.
 • Collaborate with engineering, operations, and insurance experts to improve back\-end performance and customer experience.
 • Identify opportunities to leverage AI and automation to reduce costs and enhance system resilience.
 Requirements:
 • 4\+ years of experience in management consulting, technical product management, data analytics, or operations at a fast\-paced startup.
 • Technologist and systems thinker comfortable with technical discussions and simplifying complex ideas.
 • Data\-driven with the ability to independently analyze data.
 • Metric owner with a continuous improvement mindset.
 • Passionate about AI, experienced in automating daily tasks, early adopter of new technologies, and eager to leverage AI at scale for personalized customer communications.
 Benefits \&amp; Perks:
 • Comprehensive health, dental, and vision coverage.
 • Paid time off and paid parental leave.
 • 401(K) plan with employer matching.
 • Wellness benefits.
 • Equity opportunities as part of total rewards package.
 • Note: Part\-time, contract, or freelance roles may not be eligible for certain benefits.
 Compensation:
 • Starting pay within the listed range based on skills, experience, qualifications, work location, and market conditions.
 • Compensation may include equity grants.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45">
      <c r="A145" t="inlineStr">
        <is>
          <t>li-4367289164</t>
        </is>
      </c>
      <c r="B145" t="inlineStr">
        <is>
          <t>Product Manager</t>
        </is>
      </c>
      <c r="C145" t="inlineStr">
        <is>
          <t>Jobs via Dice</t>
        </is>
      </c>
      <c r="D145" t="inlineStr">
        <is>
          <t>linkedin</t>
        </is>
      </c>
      <c r="E145">
        <f>HYPERLINK("https://www.linkedin.com/jobs/view/4367289164", "https://www.linkedin.com/jobs/view/4367289164")</f>
        <v/>
      </c>
      <c r="F145">
        <f>HYPERLINK("https://click.appcast.io/t/jwd1Hlr6gVNH_VwxMkTTyiQ7YgBWUGAuNYOrGHzB4a0=&amp;urlHash=MT47", "https://click.appcast.io/t/jwd1Hlr6gVNH_VwxMkTTyiQ7YgBWUGAuNYOrGHzB4a0=&amp;urlHash=MT47")</f>
        <v/>
      </c>
      <c r="G145" t="inlineStr"/>
      <c r="H145" t="inlineStr"/>
      <c r="I145" t="inlineStr">
        <is>
          <t>Dice is the leading career destination for tech experts at every stage of their careers. Our client, CompNova, is seeking the following. Apply via Dice today!
**Hi,**
**Position Name : Product Manager**
**Location : Remote**
**Position Type : Contract**
**Duration : 24 months**
**Job Description**
 Client is seeking a dynamic and experienced Partnerships Entertainment Manager to lead all entertainment\-related partnerships and drive key KPIs. The ideal candidate will have a proven track record in managing large and small\-scale partnerships, strategic planning, cross functional team management and partnership execution. This role requires a results\-oriented manager who thrives in a fast\-paced environment and excels at balancing creativity with strategic execution.
**Key Responsibilities:**
* Lead the development, pitching, negotiation, execution and reporting of innovative entertainment partnerships that align with business objectives, ensuring best\-in\-class delivery across experiential activations, social and digital content campaigns, ad placements, talent booking, influencer marketing, and more.
* Develop and oversee go\-to\-market (GTM) strategies and 360\-degree marketing plans for partnerships, from briefing and KPI setting to execution and final recap, while providing clear, strategic direction to internal and external partners.
* Scale partnership activations nationally, managing risks, tracking progress, and making trade\-offs to meet business objectives, while establishing and presenting KPIs and performance metrics to leadership.
* Manage and reconcile partnership budgets (exceeding $1M), ensuring efficient resource allocation, ROI optimization, and alignment with the annual financial plan.
* Drive cross\-functional alignment by collaborating with stakeholders and external agencies to develop and implement strategic initiatives, ensuring objectives, deliverables, and operational considerations are met while securing leadership buy\-in.
* Oversee day\-to\-day operations, budgeting, and performance reporting for external agencies, using data\-driven insights to optimize results and inform decision\-making.
* Confidently manage blockers in the campaign process, solving problems and translating complex strategies into impactful marketing that aligns with company messaging.
* Deliver comprehensive pre\- and post\-program reports to leadership, highlighting partnership performance, impact, and key insights to inform future strategies and strategic planning.
**Qualifications \&amp; Experience:**
* 6\+ years of experience in partnerships, strategic, or go\-to\-market roles, preferably within high\-growth technology, media, or entertainment companies.
* Proven ability to manage large\-scale partnerships from initial planning through execution, ensuring alignment with business objectives.
* Strong interpersonal and negotiation skills for building effective relationships with internal stakeholders and external partners.
* Experience managing large budgets and evaluating financial performance.
* Ability to thrive under pressure, meet deadlines, and manage multiple projects simultaneously while maintaining a high level of organization.
* Experience in contract negotiations and understanding legal aspects of partnerships.
**Preferred Skills:**
* Background in entertainment, media, or technology industries is highly desirable.
* Exceptional communication skills to effectively present ideas to both technical and non\-technical audiences.
* Data\-driven mindset with the capability to translate insights into actionable strategies for partnership success.
* Creative problem\-solving abilities to navigate challenges and identify strategic solutions that drive engagement.
**If you are interested in this opportunity, please submit your updated resume in MS Word format along with your expected hourly rate to \[Insert contact email or Phone \#].**
**Rick P**</t>
        </is>
      </c>
    </row>
    <row r="146">
      <c r="A146" t="inlineStr">
        <is>
          <t>li-4367489768</t>
        </is>
      </c>
      <c r="B146" t="inlineStr">
        <is>
          <t>Product Manager, Software</t>
        </is>
      </c>
      <c r="C146" t="inlineStr">
        <is>
          <t>Heron Power</t>
        </is>
      </c>
      <c r="D146" t="inlineStr">
        <is>
          <t>linkedin</t>
        </is>
      </c>
      <c r="E146">
        <f>HYPERLINK("https://www.linkedin.com/jobs/view/4367489768", "https://www.linkedin.com/jobs/view/4367489768")</f>
        <v/>
      </c>
      <c r="F146">
        <f>HYPERLINK("https://heronpower.com/careers?ashby_jid=f283e382-82b4-4cd5-9ea9-5e6048a15634&amp;urlHash=QJUV", "https://heronpower.com/careers?ashby_jid=f283e382-82b4-4cd5-9ea9-5e6048a15634&amp;urlHash=QJUV")</f>
        <v/>
      </c>
      <c r="G146" t="inlineStr">
        <is>
          <t>Scotts Valley, CA</t>
        </is>
      </c>
      <c r="H146" t="inlineStr"/>
      <c r="I146" t="inlineStr">
        <is>
          <t>**What to Expect** 
 Heron Power is a startup building cutting\-edge power electronics for the 21st\-century grid. We aim to debottleneck the growth of electricity generation and consumption with scalable, innovative, and lower\-cost hardware solutions—accelerating the electrification of everything.
 Our first focus is building better converters (inverters \&amp; rectifiers) to connect large\-scale renewables, storage, and loads to the grid. Heron Power’s leadership team has designed and shipped gigawatts of power conversion products over the past decade. We’re a first\-principles engineering culture that values momentum, rigor, and learning fast together.
**Job Overview** 
 Heron is building the software experience that makes advanced power hardware
 **fast to deploy, simple to operate, and easy to service** 
 —at scale. The
 **Software Product Manager** 
 lead will own customer discovery and the end\-to\-end software roadmap that delivers on Heron’s customer commitments across
 **three core applications: Solar, BESS, and Hyperscale AI Data Centers** 
 , spanning the full Heron Link lifecycle:
 **commissioning → operations → service** 
 .
 You’ll be the connective tissue between
 **Commercial, Forward Deployed Engineering, and Field Service** 
 and our
 **firmware/software engineering** 
 teams—creating a tight learning loop from real deployments to product decisions. You will lead requirements from first principles: identify the highest\-leverage customer problems, translate them into clear PRDs and measurable outcomes, make sharp tradeoffs, and drive launches that work reliably in the field. You’ll take early pilots in solar, storage, and data centers and turn them into a scalable, repeatable product platform; one that can graduate through compliance and hardened deployments (UL/IEEE/IEC, cybersecurity, SCADA) to
 **gigawatt level impact** 
 . You’ll also lead the service tooling strategy for
 **Heron Care** 
 , defining the software features needed to deliver scalable long\-term service outcomes.
**How You Will Contribute** 
* ***Own customer discovery \+ PRDs:***
*turn field/customer input into crisp PRDs with clear why, success metrics, and rollout plan.*
* ***Drive the roadmap across Solar, BESS, and Hyperscale Data Centers:***
*prioritize, sequence, and communicate software requirements across commissioning → operations → service.*
* ***Be the bridge between Commercial/FDE/Field Service and Engineering:***
*translate commercial commitments into buildable specs; ensure pilots transition cleanly into scalable deployments.*
* ***Define Heron Care software tooling:***
*roadmap service features for monitoring, diagnostics, triage, and reporting to enable long\-term service delivery at scale.*
* ***Ship with high velocity and low process tax:***
*run lightweight planning/launch rituals that increase clarity and execution without slowing the team.*
**What You Will Bring** 
 We value clear thinkers who thrive in ambiguity, have a deep understanding of infrastructure markets, and are energized by building from zero.
**Must Have Requirements** 
* ***6\+ years***
*in product management (or closely related software/systems/technical support role) with ownership of shipped products experiences.*
* *Strong ability to* 
***turn ambiguity into clarity***
*: sharp prioritization, excellent PRDs, and clear tradeoffs.*
* *Proven cross\-functional leadership bridging* 
***customer\-facing teams and engineering***
*to deliver on commitments.*
* *Comfort in technical, infrastructure\-adjacent domains (commissioning, reliability, telemetry/observability, integrations).*
* *Working fluency with industrial integration concepts and common protocols (e.g., IEC 61850, Modbus, DNP3, OPC UA, MQTT).*
* *Startup mindset: high ownership, fast iteration, and strong written communication.*
**Nice to Haves** 
* *Experience building software for power electronics, renewables, energy storage, EVs or data\-center power infrastructure.*
* *Experience with commissioning tooling, configuration management, fleet management, telemetry/observability, and remote diagnostics.*
* *Familiarity with OT cybersecurity expectations and best practices for critical infrastructure environments.*
 If you are passionate about technology and enjoy working in a fast\-paced environment, we would love to hear from you. Join us in accelerating the electrification of everything at Heron Power.
 Heron Power provides competitive compensation (salary and equity) and benefits. The salary for this role ranges from $150,000 to $220,000 per year.</t>
        </is>
      </c>
    </row>
    <row r="147">
      <c r="A147" t="inlineStr">
        <is>
          <t>li-4358522277</t>
        </is>
      </c>
      <c r="B147" t="inlineStr">
        <is>
          <t>Product Manager, Performance Activation</t>
        </is>
      </c>
      <c r="C147" t="inlineStr">
        <is>
          <t>NBCUniversal</t>
        </is>
      </c>
      <c r="D147" t="inlineStr">
        <is>
          <t>linkedin</t>
        </is>
      </c>
      <c r="E147">
        <f>HYPERLINK("https://www.linkedin.com/jobs/view/4358522277", "https://www.linkedin.com/jobs/view/4358522277")</f>
        <v/>
      </c>
      <c r="F147">
        <f>HYPERLINK("https://jobs.smartrecruiters.com/NBCUniversal3/744000102165455-product-manager-performance-activation&amp;urlHash=p4No", "https://jobs.smartrecruiters.com/NBCUniversal3/744000102165455-product-manager-performance-activation&amp;urlHash=p4No")</f>
        <v/>
      </c>
      <c r="G147" t="inlineStr">
        <is>
          <t>New York, NY</t>
        </is>
      </c>
      <c r="H147" t="inlineStr"/>
      <c r="I147" t="inlineStr">
        <is>
          <t>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NBCUniversal Advertising Products \&amp; Solutions (AP\&amp;S) is responsible for the product development and project management of NBCUniversal’s full advertising technology suite. From sales support to campaign execution, delivery, and billing, our division services both internal and external customers in support of NBCUniversal’s $7B\+ annual advertising business. Together, we’re building the platform that powers the future of advertising at NBCU.
 As a Product Manager for Performance Optimization Activations, you will lead initiatives to improve campaign efficiency through automation, optimization algorithms, and streamlined workflows for buyers.
**Key Responsibilities:**
* Own the roadmap for Performance based campaigns, focusing on workflow automation and optimization features.
* Collaborate with Sales, Operations, Data Science, and Engineering to implement bidding strategies and pacing controls.
* Develop advanced optimization tools, including KPI\-based bidding models and real\-time performance reporting.
* Drive integration with NBCU Ad Sales systems to support real\-time targeting and campaign activation.
* Drive enhancements to reduce manual campaign setup and improve targeting precision.
* Partner with DSPs and internal systems to integrate optimization algorithms and reporting capabilities.
* Analyze campaign performance data to identify trends and build solutions to recommend improvements.
* Lead test\-and\-learn programs for new optimization strategies and automation features.
* Ensure alignment with NBCU’s broader advertising technology strategy and client needs.
**Qualifications**
**Qualifications:**
* Minimum of 3 years in product management, preferably in programmatic advertising or ad\-tech platforms.
* Strong knowledge of optimization techniques, bidding algorithms, and campaign performance metrics.
* Experience with DSPs, Beeswax, or similar platforms is a plus.
* Ability to manage complex projects and communicate effectively with stakeholders.
* Data\-driven approach with proficiency in analytics and reporting tools.
* Ability to own customer\-facing product solutions in cross\-functional environments
* Strong communication skills; can present key updates to stakeholders and lead calls
* Experience collaborating with Marketing, Sales, Strategy, and Engineering teams to develop and bring to market successful and innovative products
* Strong attention to detail and organizational skills, with the demonstrated ability to take the seed of an idea through launch while prioritizing effectively to get things done
* Knowledge of technical and operational product and project requirements
* Proven ability to understand and communicate using technical language (e.g., APIs, requirements documents, agile systems, etc.)
**Additional Requirements:**
**Hybrid:** 
 This position has been designated as hybrid, generally contributing from the office a minimum of three days per week.
 ***Beginning January 2026, this role will contribute a minimum of four days per week from the office.***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$120,000 \- $160,000 (bonus eligible)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t>
        </is>
      </c>
    </row>
    <row r="148">
      <c r="A148" t="inlineStr">
        <is>
          <t>li-4367492963</t>
        </is>
      </c>
      <c r="B148" t="inlineStr">
        <is>
          <t>Senior Product Manager, Marketing Experiences, Growth</t>
        </is>
      </c>
      <c r="C148" t="inlineStr">
        <is>
          <t>Instacart</t>
        </is>
      </c>
      <c r="D148" t="inlineStr">
        <is>
          <t>linkedin</t>
        </is>
      </c>
      <c r="E148">
        <f>HYPERLINK("https://www.linkedin.com/jobs/view/4367492963", "https://www.linkedin.com/jobs/view/4367492963")</f>
        <v/>
      </c>
      <c r="F148">
        <f>HYPERLINK("https://instacart.careers/job/?gh_jid=7569740&amp;gh_src=26e143c51&amp;urlHash=qq5_", "https://instacart.careers/job/?gh_jid=7569740&amp;gh_src=26e143c51&amp;urlHash=qq5_")</f>
        <v/>
      </c>
      <c r="G148" t="inlineStr"/>
      <c r="H148" t="inlineStr"/>
      <c r="I148"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Growth team builds the products and experiences that acquire, activate, and deepen relationships with consumers and retailer partners. We’re hiring a Product Manager, Marketer Experience, to empower both Instacart’s internal marketers and our retailers’ marketing teams with tools that make world\-class campaigns easier to create, measure, and scale.
 In this role, you’ll partner hand in glove with Marketing, Design, Engineering, and Data Science to ideate ideal consumer experiences and enable them through automation, AI, and self\-serve workflows. Your work will directly influence campaigns backed by hundreds of millions of dollars in annual spend, driving measurable growth for Instacart’s marketplace and for our retailers’ e\-commerce sites.
 You’ll join a fast\-paced, highly collaborative Growth org of 10\+ PMs and work closely with two PMs focused on Marketing Capabilities. If you thrive on building from the ground up, iterating quickly, and delivering insights and repeatability at scale, this is a unique opportunity to have outsized impact.
**About The Job**
* Own the strategy and roadmap for the marketer experience that powers campaign creation, testing, measurement, and iteration across Instacart and retailer partner channels. Partner closely with Marketing Capability PMs to support your vision, where needed.
* Translate campaign goals into productized workflows, templates, and experimentation frameworks in close partnership with internal Marketing, retailer marketing teams, Design, Engineering, and Data Science.
* Build automation and AI\-assisted capabilities that reduce operational effort for marketers while improving consistency, repeatability, and speed to market for creative and audience experiments.
* Define growth funnel KPIs and instrumentation; partner with analytics to measure and provide marketer access to lift, conversion, CAC, LTV, and retention– delivering actionable insights for continuous iteration.
* Enable a high\-velocity experimentation program (e.g., A/B, multivariate, holdouts) to help marketers validate ideas quickly, make data\-informed decisions, and scale winners across surfaces (app, web, email, push, retailer e\-commerce).
**About You**
 Minimum Qualifications
* 8\+ years of product management experience building and shipping software products.
* 3\+ years driving growth or marketing technology products at scale in e\-commerce, marketplaces, or advertising/marketing platforms.
* Hands\-on experience running A/B and multivariate experiments end to end using experimentation platforms and interpreting results with statistical rigor.
* Proven track record building internal or marketer\-facing tools from 0→1 and iterating post\-launch based on user feedback and data.
* Experience leading cross\-functional teams across Engineering, Design, Marketing, and Data Science to deliver complex, multi\-surface initiatives.
* Bachelor’s degree in a relevant field (e.g., Computer Science, Engineering, Statistics, Economics) or equivalent practical experience.
**Preferred Qualifications**
* Direct experience partnering with brand and retailer marketing teams and design organizations to translate campaign strategies into product capabilities.
* Expertise mapping and optimizing consumer journey flows across app, web, email, and push, including lifecycle and retention programs.
* Fluency in growth funnel analytics (acquisition, activation, retention, monetization) and building KPI frameworks that align teams on outcomes.
* Experience integrating with marketing and retail ecosystems such as CDPs and ESPs (e.g., Segment, Braze, Iterable, Salesforce Marketing Cloud) and ad/attribution tools.
* Background building AI\-assisted workflows for creative generation, audience selection, or campaign automation.
* Comfort operating in an ambiguous, fast\-changing environment with a bias for rapid experimentation and iterative delivery.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Offers may vary based on many factors, such as candidate experience and skills required for the role. Additionally, this role is eligible for a new hire equity grant as well as annual refresh grants. Please read more about our benefits offerings here.
 For US based candidates, the base pay ranges for a successful candidate are listed below.
 CA, NY, CT, NJ
 $189,000—$233,000 USD
 WA
 $181,000—$223,500 USD
 OR, DE, ME, MA, MD, NH, RI, VT, DC, PA, VA, CO, TX, IL, HI
 $174,000—$214,000 USD
 All other states
 $158,000—$194,000 USD</t>
        </is>
      </c>
    </row>
    <row r="149">
      <c r="A149" t="inlineStr">
        <is>
          <t>li-4353044950</t>
        </is>
      </c>
      <c r="B149" t="inlineStr">
        <is>
          <t>Product Manager - Infusion Market</t>
        </is>
      </c>
      <c r="C149" t="inlineStr">
        <is>
          <t>Inovalon</t>
        </is>
      </c>
      <c r="D149" t="inlineStr">
        <is>
          <t>linkedin</t>
        </is>
      </c>
      <c r="E149">
        <f>HYPERLINK("https://www.linkedin.com/jobs/view/4353044950", "https://www.linkedin.com/jobs/view/4353044950")</f>
        <v/>
      </c>
      <c r="F149" t="inlineStr"/>
      <c r="G149" t="inlineStr">
        <is>
          <t>Canonsburg, PA</t>
        </is>
      </c>
      <c r="H149" t="inlineStr"/>
      <c r="I149" t="inlineStr">
        <is>
          <t>Inovalon was founded in 1998 on the belief that technology, and data specifically, would empower the transformation of the entire healthcare ecosystem for the better, improving both outcomes and economics. At Inovalon, we believe that when our customers are successful in their missions, healthcare improves. Therefore, we focus on empowering them with data\-driven solutions. And the momentum is building.
 Together, as ONE Inovalon, we are a united force delivering solutions that address healthcare’s greatest needs. Through our mission\-based culture of inclusion and innovation, our organization brings value not just to our customers, but to the millions of patients and members they serve.
**Location:** 
 This position is a hybrid role based out of our Canonsburg, PA office. The current expectation is that we are in office two days each week (Tuesday\-Wed), with extra additional days as required during the month.
**Overview:** 
 We are seeking a Product Manager with
 **infusion pharmacy experience** 
 to join our team. This role will focus on driving the development and enhancement of infusion\-related products and solutions, ensuring they meet clinical, operational, and regulatory requirements. The ideal candidate will have a strong understanding of infusion workflows, devices, and software integration within healthcare settings.
 The Product Manager is responsible for establishing deep product expertise from a product and market perspective by understanding buyer and user personas, features and functionality, ROI, value proposition, architecture, competitive landscape, voice of customer, and market trends. This person has strong communication and influencing skills and collaborates with cross\-functional stakeholders (i.e. development, marketing, sales, implementation, client success, legal/risk, finance) in efforts to support their product(s) in market. This person is responsible for understanding the jobs to be done and leverages market intelligence, regulatory shifts, client feedback, and internal stakeholder feedback to define and prioritize enhancements (features or operational tools) and new products into a product roadmap. A Product Manager is knowledgeable in the Agile framework and follows Agile processes in partnership with the Product Owner to write product requirements, communicate priorities for sprint and release plans, participates in backlog refinement and retrospectives. This role is also responsible for forecasting and tracking against budget, maintaining a product\-level P\&amp;L, and tracking product key performance indicators (KPIs).
**Duties and Responsibilities:**
* Translate the business strategy into product strategy and vision while working closely with Corporate Development to support buy and partner paths.
* Own and drive product roadmap, defining and planning releases, and driving on\-time delivery.
* Build product\-level revenue and booking forecasts, manage product profitability, and drive commercial success by leveraging key tools and data assets for analysis.
* Exhibit strong market knowledge surrounding your industry and product to drive insights about regulations, competition, industry\-shifts into the pricing, packaging, and positioning of your products.
* Lead product development, strategy, and design from concept to design to development to market launch.
* Develop new products and features by conducting market research, generating product requirements, developing marketing strategies, and determining specifications, release schedule, pricing, and positioning for product launch.
* Understand current and planned business offerings, programs, and processes, and work with business stakeholders to support these needs and requirements in our information technology solutions;
* Facilitate and conduct regular meetings with Product Management, Engineering, Implementation, Customer Support and additional stakeholders to ensure the understanding, clarification, and implementation of requirements in the development environment;
* Determines product pricing by utilizing market research data, reviewing production and sales costs, anticipating volume, and costing special and customized orders.
* Continuous customer engagement and development of customer relationships to drive voice of customer into new and existing product offerings and product positioning.
* Strong proficiency in analyzing data and translating it into actionable plans which are consumable to senior leaders and internal stakeholders.
* Strong collaboration with Product Owner to manage the roadmap, prioritize work, and refine requirements.
* Communicate with confidence and expertise your product strategy, vision, and performance to senior leadership at regular intervals including monthly business unit reviews and bi\-weekly cross\-business unit reviews.
* Maintain an expert level of knowledge regarding products, services, infrastructure and operations of Inovalon to achieve optimal insight into Inovalon's product development, capabilities, and functionality requirements.
* Maintain compliance with Inovalon’s policies, procedures and mission statement;
* Adhere to all confidentiality and HIPAA requirements as outlined within Inovalon’s Operating Policies and Procedures in all ways and at all times with respect to any aspect of the data handled or services rendered in the undertaking of the position; and
* Fulfill those responsibilities and/or duties that may be reasonably provided by Inovalon for the purpose of achieving operational and financial success of the Employer.
**Job Requirements:**
* Minimum of 3\-5 years of business and/or data analysis experience;
* 3\-5 years experience billing in the following environments: transplants, oncology, and infusion
* Infusion pharmacy experience
* Experience in driving product development, preferably in an Agile software development environment;
* Experience leading meetings and presenting information to senior leadership;
* Strong analytical and problem\-solving skills;
* Ability to think strategically and define and layout a vision;
* Excellent verbal and written communication skills;
* Excellent interpersonal skills including effective listening and negotiation skills;
* Strong organization and time management skills;
* Strong work ethic and passion for product management
* Detail\-oriented with excellent follow\-up skills; and
**Education:**
* Bachelor’s Degree (preferred)
**Physical Demands and Work Environment:**
* Sedentary work (i.e., sitting for long periods of time);
* Exerting up to 10 pounds of force occasionally and/or negligible amount of force;
* Frequently or constantly to lift, carry push, pull or otherwise move objects and repetitive motions;
* Subject to inside environmental conditions; and
* Travel for this position will include less than 5% locally usually for training purposes.
**Inovalon Offers a Competitive Salary And Benefits Package**
*In addition to the base compensation, this position may be eligible for performance\-based incentives.*
*The actual base pay offered may vary depending on multiple factors including, but not limited to, job\-related knowledge/skills, experience, business needs, geographical location, and internal equity. At Inovalon, it is not typical for an individual to be hired at or near the top end of the range for their role, and compensation decisions are dependent upon the facts and circumstances of each position and candidate.*
*Inovalon invests in associates to help them stay healthy, save for long\-term financial goals, and manage the demands of work and personal commitments. That’s why Inovalon offers a valuable benefits package with a wide range of choices to meet associate needs, which may include health insurance, life insurance, company\-paid disability, 401k, 18\+ days of paid time off, and more.*
 Base Compensation Range
 $95,800—$119,700 USD
*This position is not eligible for immigration sponsorship (e.g. H\-1B, TN, or E\-3\). Applicants must be authorized to work in the United States as a condition of employment. (This is only applicable for US\-based positions)*
*If you don’t meet every qualification listed but are excited about our mission and the work described, we encourage you to apply. Inovalon is most interested in finding the best candidate for the job, and you may be just the right person for this or other roles.*
*By embracing inclusion, we enhance our work environment and drive business success. Inovalon strives to provide equal opportunities to the communities where we operate and to our clients and everyone whom we serve. We endeavor to create a culture of inclusion in which our associates feel empowered to bring their full, authentic selves to work and pursue their professional goals in an equitable setting. We understand that by fostering this type of culture, and welcoming different perspectives, we generate innovation and growth.*
*Inovalon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
*To review the legal requirements, including all labor law posters, please visit this link*
*To review the California Consumer Privacy Statement: Disclosures for California Residents, please visit this link*</t>
        </is>
      </c>
    </row>
    <row r="150">
      <c r="A150" t="inlineStr">
        <is>
          <t>li-4367624000</t>
        </is>
      </c>
      <c r="B150" t="inlineStr">
        <is>
          <t>Senior Product Manager - Endpoint Management &amp; Patching</t>
        </is>
      </c>
      <c r="C150" t="inlineStr">
        <is>
          <t>Action1</t>
        </is>
      </c>
      <c r="D150" t="inlineStr">
        <is>
          <t>linkedin</t>
        </is>
      </c>
      <c r="E150">
        <f>HYPERLINK("https://www.linkedin.com/jobs/view/4367624000", "https://www.linkedin.com/jobs/view/4367624000")</f>
        <v/>
      </c>
      <c r="F150" t="inlineStr"/>
      <c r="G150" t="inlineStr">
        <is>
          <t>Washington, DC</t>
        </is>
      </c>
      <c r="H150" t="inlineStr"/>
      <c r="I150" t="inlineStr">
        <is>
          <t>**About Action1**
 Action1 is an autonomous endpoint management platform trusted by many Fortune 500 companies. Cloud\-native, infinitely scalable, highly secure, and configurable in 5 minutes—it just works and is always free for the first 200 endpoints, with no functional limits.
 By pioneering autonomous OS and third\-party patching with peer\-to\-peer patch distribution and real\-time vulnerability assessment (no VPN required), Action1 eliminates routine labor, preempts ransomware and security risks, and protects the digital employee experience.
 In 2025, Action1 was recognized by Inc. 5000 as the fastest\-growing private software company in America. The company is founder\-led by Alex Vovk and Mike Walters, previously co\-founders of Netwrix, a multi\-billion\-dollar cybersecurity company.
**The Role**
 Action1 is seeking an experienced
 **Senior Product Manager** 
 to own and evolve core, customer\-facing endpoint management and patching capabilities. This role is for a hands\-on PM who has
 **direct experience building IT or cybersecurity products used by IT administrators** 
 and who is comfortable operating deep in technical, customer\-driven problem spaces.
 This is not a platform\-only, internal tools, or “security\-adjacent” role. You will own externally facing product areas that directly impact how IT and cybersecurity teams patch, manage, and secure endpoints at scale.
 You will work closely with founders and engineering leadership and are expected to operate with both strategic judgment and tactical execution.
**What You’ll Do** 
**Product Ownership \&amp; Execution**
* Own large, customer\-facing product areas end\-to\-end: discovery, strategy, planning, specification, rollout, and iteration
* Define roadmap priorities grounded in real IT workflows, operational constraints, and customer outcomes
* Write detailed functional specifications, user stories, and acceptance criteria
* Create wireframes, user flows, and lightweight mockups when needed
* Partner closely with engineering to clarify scope, tradeoffs, and delivery plans
**Customer \&amp; Domain Depth**
* Engage directly with customers (IT admins, security teams, MSPs) to understand patching workflows, failures, edge cases, and success criteria
* Translate customer pain points into clear product decisions and roadmap investments
* Partner with support, sales, and customer success to surface insights and validate priorities
**Strategy \&amp; Impact**
* Partner directly with founders and leadership to shape product direction
* Balance speed, quality, and security in a high\-growth, technically opinionated environment
* Define and monitor product metrics tied to reliability, coverage, adoption, and customer effort
* Drive continuous improvement through experimentation and iteration
**Requirements**
**Please Review Carefully**
* Proven experience owning a customer\-facing IT, endpoint management, patching, or cybersecurity product
* Direct exposure to OS or third\-party patching, endpoint management, vulnerability remediation, or IT operations workflows
* Experience working with IT administrators, MSPs, or security teams as primary users
* Strong hands\-on product execution: specs, backlog ownership, prioritization, and delivery
* 7–10\+ years of Product Management experience (B2B SaaS strongly preferred)
* Experience writing highly detailed product specifications and user journeys
* Comfort operating in technically complex domains and partnering closely with engineering
* Strong customer discovery, interview, and validation skills
* Ability to operate effectively in fast\-paced startup environments where PMs are highly hands\-on
* Background in cybersecurity, endpoint management, IT systems administration, or adjacent domains
* Familiarity with patching systems, ITSM tools (e.g., ServiceNow), or MSP ecosystems
* Experience scaling products used by enterprise IT teams
* Prior leadership experience (mentoring PMs, owning major product areas)
**Benefits**
* Fully remote work, giving you the flexibility you need in the modern world
* Exciting challenges and opportunities for continuous growth.
* Non\-stop professional development and learning of new technologies.
* A supportive, friendly, and professional team environment.</t>
        </is>
      </c>
    </row>
    <row r="151">
      <c r="A151" t="inlineStr">
        <is>
          <t>li-4358303629</t>
        </is>
      </c>
      <c r="B151" t="inlineStr">
        <is>
          <t>Senior Product Manager - Agentic Commerce</t>
        </is>
      </c>
      <c r="C151" t="inlineStr">
        <is>
          <t>U.S. Bank</t>
        </is>
      </c>
      <c r="D151" t="inlineStr">
        <is>
          <t>linkedin</t>
        </is>
      </c>
      <c r="E151">
        <f>HYPERLINK("https://www.linkedin.com/jobs/view/4358303629", "https://www.linkedin.com/jobs/view/4358303629")</f>
        <v/>
      </c>
      <c r="F151">
        <f>HYPERLINK("https://careers.usbank.com/global/en/job/UBNAGLOBAL20250030639EXTERNALENGLOBAL/Senior-Product-Manager-Agentic-Commerce?utm_source=linkedin&amp;utm_medium=phenom-feeds&amp;urlHash=pz2H", "https://careers.usbank.com/global/en/job/UBNAGLOBAL20250030639EXTERNALENGLOBAL/Senior-Product-Manager-Agentic-Commerce?utm_source=linkedin&amp;utm_medium=phenom-feeds&amp;urlHash=pz2H")</f>
        <v/>
      </c>
      <c r="G151" t="inlineStr">
        <is>
          <t>Milwaukee, WI</t>
        </is>
      </c>
      <c r="H151" t="inlineStr"/>
      <c r="I151" t="inlineStr">
        <is>
          <t>At U.S. Bank, we’re on a journey to do our best. Helping the customers and businesses we serve to make better and smarter financial decisions, enabling the communities we support to grow and succeed in the right ways, all more confidently and more often—that’s what we call the courage to thrive. We believe it takes all of us to bring our shared ambition to life, and each person is unique in their potential. A career with U.S. Bank gives you a wide, ever\-growing range of opportunities to discover what makes you thrive. Try new things, learn new skills and discover what you excel at—all from Day One.
 As a wholly owned subsidiary of U.S. Bank, Elavon is committed to building the platforms and ecosystems that help over 1\.5 million customers around the world to achieve their financial goals—no matter what they need. From transaction processing to customer service, to driving innovation and launching new products, we’re building a range of tailored payment solutions powered by the latest technology. As part of our team, you can explore what motivates and energizes your career goals: partnering with our customers, our communities, and each other.
**Job Description**
 Product Managers at U.S. Bank are customer obsessed in driving product visioning, planning and development to deliver on our human \+ digital product strategy and staying one step ahead of evolving economic, technological, and customer needs. As a Product Manager, you will:
* Identify, analyze and interpret business data using various kinds of techniques to meet business needs and requirements.
* Activate the connective tissue between U.S. Bank, customer experience, digital, technology, and business line strategy to identify and prioritize product / portfolio opportunities, and establish the product vision, charter and roadmap.
* Defines product outcomes and Objectives and Key Results (OKRs) to prioritize Features/Epics and breaks down work into actionable steps to facilitate product discovery, design, development and delivery.
* Manages the end\-to\-end product lifecycle and drives the product roadmap leveraging OKRs (Objectives and Key Results).
* Creates the product in conjunction with agile, experience design, technology and risk partners to achieve business and customer outcomes.
* In the case of technical products, understands and cares for the technical features, debt reduction and modernization of the technical product with expertise in the technology required of the product.
 In addition, Agentic commerce is redefining how purchases are discovered, decided, and transacted—through autonomous AI agents acting on behalf of users. As a Senior Product Manager, you will shape the vision and strategy for this emerging domain and lead the execution that brings agentic checkout and payment experiences to life. This role demands a blend of strategic thinking and hands\-on delivery to turn cutting\-edge concepts into scalable, trusted solutions.
**Key Responsibilities**
* Define the product strategy, vision, and roadmap for agentic purchase orchestration (discovery → selection → payment → fulfillment).
* Define and deliver MVPs/pilots for agent driven checkout and payment methods, then scale to production across multiple channels/partnerships
* Conduct discovery sessions to identify high\-impact use cases and evolve business strategy to achieve desired business goals
* Define product requirements in collaboration with cross functional teams across payments, merchant onboarding, merchant servicing and other teams
* Collaborate with engineering to translate product requirements into executable plans and deliver features in a timely manner.
* Evangelize product internally and externally, working closely with Marketing and Go\-To\-Market to craft compelling narratives and drive product usage.
**Basic Qualifications**
* Product Management experience
**Preferred Skills/Experience**
* Expertise on the critical interdependencies among product model system elements that help and hinder performance; ability to plan and design solutions that synchronize resources to achieve business results using business metrics, key performance indicators, design systems, service blueprints, and reusability
* Ability to anticipate shifting market priorities, internal and external customer needs in a manner that consistently adds value
* Strong customer centricity to implement strategies and techniques used to ensure that customers have a positive experience with the organization's products and services at every touch point
* Knowledge of technical aspects of software products; ability to design, configure and integrate technical aspects of software products
* Knowledge of Agile ways of working, knowledge of processes, tools and techniques for assessing and controlling an organization's exposure to risks of various kinds; ability to apply knowledge of risk management appropriately to diverse situations
 5\+ years product management (with some in AI/ML\-driven or commerce contexts)
 Technical Skills:
* Strong understanding of API architecture, SDKs, and integration frameworks.
* Knowledge of payment gateway technologies, PCI compliance, and security standards.
* Familiarity with multi\-agent orchestration frameworks or microservices architectures for commerce APIs/infrastructure.
* Deep understanding of agentic interaction protocols
 Leadership \&amp; Communication:
* Ability to lead cross\-functional teams, navigate dependencies, and influence senior stakeholders within a matrixed environment
* Skilled in partner advocacy and representing technical solutions in strategic client conversations.
* Excellent negotiation and vendor management skills.
 Domain Expertise:
* Deep knowledge of ISV ecosystems and integration best practices.
* Commerce / payments / marketplace / e\-commerce domain knowledge (checkout flows, payments, fraud/risk, fulfillment, UX).
 product PnL, product strategy, vision and planning, product discovery, product development, channel alignment and management, adoption, customer experience research, insight and execution, agile ways of working, go to market and sales channels, performance measurement and optimization, marketing and analytics, customer centricity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$126,820\.00 \- $149,200\.00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152">
      <c r="A152" t="inlineStr">
        <is>
          <t>li-4348884400</t>
        </is>
      </c>
      <c r="B152" t="inlineStr">
        <is>
          <t>Adobe Product Owner</t>
        </is>
      </c>
      <c r="C152" t="inlineStr">
        <is>
          <t>AARP</t>
        </is>
      </c>
      <c r="D152" t="inlineStr">
        <is>
          <t>linkedin</t>
        </is>
      </c>
      <c r="E152">
        <f>HYPERLINK("https://www.linkedin.com/jobs/view/4348884400", "https://www.linkedin.com/jobs/view/4348884400")</f>
        <v/>
      </c>
      <c r="F152">
        <f>HYPERLINK("https://careers.aarp.org/jobs/6797?lang=en-us&amp;iis=Job+Board&amp;iisn=LinkedIn&amp;urlHash=1WPe", "https://careers.aarp.org/jobs/6797?lang=en-us&amp;iis=Job+Board&amp;iisn=LinkedIn&amp;urlHash=1WPe")</f>
        <v/>
      </c>
      <c r="G152" t="inlineStr">
        <is>
          <t>Washington, DC</t>
        </is>
      </c>
      <c r="H152" t="inlineStr"/>
      <c r="I152" t="inlineStr">
        <is>
          <t>**Overview**
 AARP Foundation works for and with vulnerable people over 50 to end senior poverty and reduce financial hardship by building economic opportunity. As a charitable affiliate of AARP, we serve AARP members and nonmembers alike. Through vigorous legal advocacy and evidence\-based solutions, and by strengthening supportive community connections, we foster resilience, advance equity and restore hope.
 The Business Technology Manager serves as the
 **Adobe Product Owner** 
 to partner with the Marketing \&amp; Communications team to develop and support Adobe Experience Manager and related technologies, legacy systems, databases, and web interfaces to meet the needs across AARP Foundation. This position is focused on Marketing and Communications technology but is responsible for strategy and associated outcomes to clients, end\-users, and within the enterprise and will be expected to deliver incremental business value in an agile environment. The Business Technology Manager works alongside a team of technical and solution architects/engineers, delivery leads, and vendors in application implementation and development projects. The Business Technology Manager orchestrates across various stakeholders to define shared priorities, manages a full technology lifecycle that balances short\-term achievements with long\-term goals, and works to build a sense of partnership across AARP Foundation while staying connected to extended team members across the AARP enterprise.
**Responsibilities**
* Manages technology projects and cross\-functional teams to determine resources needed and responsibly stewards them, tracks progress against established timelines, evaluates training, and monitors adoption. Collaborates across teams during the discovery phase to assess value, usability, and feasibility of enhancement concept and experience.
* Provides strategic guidance on the department's technology roadmap and manages the process of designing and implementing improvements and new functionality in technology applications. Creates product strategies and roadmaps based on a deep understanding of the product technology stack, department goals and consumer needs. Leads technical engagements utilizing an agile planning and development methodology.
* Acts as a business liaison with technology and vendors and provides end\-user training and support. Provides counsel to other business units in the execution of technology initiatives and digital engagement. Collaborates with management and IT to identify opportunities to streamline technology processes that support the business unit. Engages with internal and external vendor teams to establish priorities, manage work requests, and ensure on\-time delivery of enhancements.
* Gathers an in\-depth understanding of the organization's technical landscape, data management practices, workflows, and data available across the organization. Advises on data accuracy and integration best practices, as needed.
* Defines and translates strategic business ideas into technical product implementations utilizing actionable, digestible user stories and acceptance criteria, ensuring all organizational, regulatory, and strategic compliance requirements and objectives are met.
* Utilizes technology to advance AARP and consumer priorities. Serves as a resource within their business unit on appropriate tools/software and shares expertise openly and accessibly to advance business unit priorities and projects and to meet critical goals.
**Qualifications**
* 3\+ years of experience as a Product Owner, Technology Manager, or Administrator for Marketing Communications, Digital Experience, and/or Customer Experience platforms.
* 3\+ years of experience with Adobe Experience Manager (AEM), Adobe Analytics, Adobe Experience Platform (AEP), and/or Customer Journey Analytics (CJA).
**Preferred**
* Certified Scrum Product Owner (CSPO), Professional Scrum Product Owner (PSPO), IC Agile Product Owner, Agile Certified Product Manager Product Owner (ACPMPO).
* In addition to required Adobe experience, experience working with other Content Management Systems, web/mobile analytics, messaging, tag management, asset management, event platforms, customer experience/survey platforms include Adobe Experience Manager, Adobe Analytics, Salesforce Marketing Cloud, Qualtrics, is preferred.
 AARP will not sponsor an employment visa for this position at this time.
**Additional Requirements**
* Regular and reliable job attendance
* Effective verbal and written communication skills
* Exhibit respect and understanding of others to maintain professional relationships
* Independent judgement in evaluation options to make sound decisions
* In office/open office environment with the ability to work effectively surrounded by moderate noise
**Hybrid Work Environment**
 AARP observes Mondays and Fridays as remote workdays, except for essential functions. Remote work can only be done within the United States and its territories.
**Compensation And Benefits**
 AARP offers a competitive compensation and benefits package including a 401(k); 100% company\-funded pension plan; health, dental, and vision plans; life insurance; paid time off to include company and individual holidays, vacation, sick, caregiving, and parental leave; performance\-based and peer\-based recognition and tuition reimbursement.
**Equal Employment Opportunity**
 AARP is an equal opportunity employer committed to hiring a diverse workforce and sustaining an inclusive culture. AARP does not discriminate on the basis of race, ethnicity, religion, sex, color, national origin, age, sexual orientation, gender identity or expression, mental or physical disability, genetic information, veteran status, or on any other basis prohibited by applicable law.</t>
        </is>
      </c>
    </row>
    <row r="153">
      <c r="A153" t="inlineStr">
        <is>
          <t>li-4356791595</t>
        </is>
      </c>
      <c r="B153" t="inlineStr">
        <is>
          <t>Product Manager, AI Powered Messaging</t>
        </is>
      </c>
      <c r="C153" t="inlineStr">
        <is>
          <t>Jerry</t>
        </is>
      </c>
      <c r="D153" t="inlineStr">
        <is>
          <t>linkedin</t>
        </is>
      </c>
      <c r="E153">
        <f>HYPERLINK("https://www.linkedin.com/jobs/view/4356791595", "https://www.linkedin.com/jobs/view/4356791595")</f>
        <v/>
      </c>
      <c r="F153" t="inlineStr"/>
      <c r="G153" t="inlineStr">
        <is>
          <t>Portland, OR</t>
        </is>
      </c>
      <c r="H153" t="inlineStr"/>
      <c r="I153"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54">
      <c r="A154" t="inlineStr">
        <is>
          <t>li-4356870373</t>
        </is>
      </c>
      <c r="B154" t="inlineStr">
        <is>
          <t>Product Manager, AI Powered Messaging</t>
        </is>
      </c>
      <c r="C154" t="inlineStr">
        <is>
          <t>Jerry</t>
        </is>
      </c>
      <c r="D154" t="inlineStr">
        <is>
          <t>linkedin</t>
        </is>
      </c>
      <c r="E154">
        <f>HYPERLINK("https://www.linkedin.com/jobs/view/4356870373", "https://www.linkedin.com/jobs/view/4356870373")</f>
        <v/>
      </c>
      <c r="F154">
        <f>HYPERLINK("https://jobs.ashbyhq.com/Jerry.ai/1dee3063-9b1a-4953-a830-9df7c12cba55?utm_source=6Vdva5VPyD&amp;urlHash=VMk6", "https://jobs.ashbyhq.com/Jerry.ai/1dee3063-9b1a-4953-a830-9df7c12cba55?utm_source=6Vdva5VPyD&amp;urlHash=VMk6")</f>
        <v/>
      </c>
      <c r="G154" t="inlineStr">
        <is>
          <t>Chicago, IL</t>
        </is>
      </c>
      <c r="H154" t="inlineStr"/>
      <c r="I154"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55">
      <c r="A155" t="inlineStr">
        <is>
          <t>li-4367412616</t>
        </is>
      </c>
      <c r="B155" t="inlineStr">
        <is>
          <t>Senior Technical Product Manager - Data Governance Technology Platform Lead</t>
        </is>
      </c>
      <c r="C155" t="inlineStr">
        <is>
          <t>U.S. Bank</t>
        </is>
      </c>
      <c r="D155" t="inlineStr">
        <is>
          <t>linkedin</t>
        </is>
      </c>
      <c r="E155">
        <f>HYPERLINK("https://www.linkedin.com/jobs/view/4367412616", "https://www.linkedin.com/jobs/view/4367412616")</f>
        <v/>
      </c>
      <c r="F155" t="inlineStr"/>
      <c r="G155" t="inlineStr">
        <is>
          <t>Atlanta, GA</t>
        </is>
      </c>
      <c r="H155" t="inlineStr"/>
      <c r="I155"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Technical Product Managers at U.S. Bank oversee the strategic product management for an assigned technical product line(s) in support of the Enterprise organization’s goals and market needs. Engages with key stakeholders to define, document, and prioritize features; ensures delivery of marketable capabilities for all U.S. Bank engineering teams while collaborating with agile teams. As a Technical Product Manager, you will:
* Aligns the strategic vision with cross\-functional stakeholders to shape outcome\-based product roadmap, product risk, investment areas and success measures.
* Drives product development with ownership of backlog and actively engages cross\-functional stakeholders to enable faster speed to market.
* Manages across Enterprise users to define and deliver product performance goals (e.g., outcomes, customer experience, etc.).
* Owns all engagement for assigned technical portfolio regarding the SDLC, e.g., adoption, collaboration.
* Develops, analyses, monitors, and reports on performance metrics from internal and external sources to identify key trends and opportunities for continuous improvement.
* Uses performance metrics to drive towards progress on identified strategies and initiatives.
* Leverages OKRs (Objectives and Key Results) to drive roadmap priorities
**Basic Qualifications**
* Technical Product Management experience
**Preferred Skills/Experience**
* Expertise on the critical interdependencies among product model system elements that help and hinder performance; ability to plan and design solutions that synchronize resources to achieve business results using business metrics, key performance indicators design systems, service blueprints, and reusability
* Technical know\-how understands the product technical architecture and understands the economics of technical investments
* Demonstrates deep understanding of target customer through internal/external research (e.g., creation of personas, story maps, product chartering/mapping experience)
* Strong collaboration with software engineers to execute product vision and roadmap
* Preferred skills: product strategy, vision and planning, product discovery, product development, agile ways of working, enterprise technical alignment and performance measurement and optimization
**Role Summary**
 The Data Governance Platform \&amp; Ecosystem Lead is responsible for defining, building, and scaling the enterprise’s integrated governance platform across multi cloud environments and diverse data ecosystems. This leader will architect and operationalize a unified governance experience that connects Collibra, Snowflake, Databricks Unity Catalog, and other ecosystem technologies to ensure secure, compliant, and trusted data usage across the organization.
 The ideal candidate combines deep data governance expertise with strategic product leadership \- driving interoperability, automation, data driven innovation, and alignment with regulatory, security, and business objectives.
**Key Responsibilities**
* Architect and maintain end\-to\-end governance frameworks for data lineage, data quality, metadata management, access governance, and compliance across AWS, Azure, and on prem environments.
* Establish scalable patterns for metadata ingestion, lineage orchestration, and policy enforcement to ensure consistent and automated governance.
* Unify Collibra, Snowflake, Databricks Unity Catalog, and adjacent technologies into a cohesive governance fabric that supports interoperability and consistent controls.
* Define integration standards and interoperability patterns to ensure unified governance across platforms, data domains, and cloud environments.
* Define governance operating models for data products, shared datasets, and marketplace offerings to support standardized, governed data consumption.
* Enable secure, compliant, and frictionless data sharing using entitlement frameworks, data contracts, and standardized exchange patterns.
* Partner with SMEs across lineage, data quality, privacy, risk, and engineering to embed governance capabilities into workflows and development lifecycles.
* Lead governance evangelism to promote adoption, improve usability, and drive consistent enterprise wide execution.
* Develop API driven patterns and automation for metadata ingestion, lineage capture, quality metrics, and governance workflows.
* Champion automation first practices to reduce operational overhead, improve governance scalability, and ensure consistent control enforcement.
* Collaborate closely with architecture, engineering, product, risk, and business teams to align governance capabilities with enterprise priorities.
* Influence executive stakeholders through a clear vision, measurable outcomes, and demonstrated strategic impact.
* Define KPIs that measure governance adoption, data quality improvements, regulatory readiness, and platform performance.
* Provide leadership reporting that clearly communicates program value, progress, risks, and mitigation strategies.
**Required Qualifications:**
* 12–15\+ years in data governance, enterprise data management, or platform architecture leadership roles
* Expert level knowledge of metadata management, data lineage, data quality, compliance, and enterprise governance frameworks
* Hands on proficiency with Collibra, Snowflake, Databricks Unity Catalog, and related governance ecosystem technologies
* Proven experience architecting and governing multi cloud environments (AWS \+ Azure) and hybrid/on prem integrations
* Experience designing API driven integrations, automation workflows, and governance engineering patterns
* Background in building governed data marketplaces, secure data exchange models, entitlement frameworks, and data contracts
* Experience defining governance standards for data products and enterprise data sharing ecosystems
* Experience with cost optimization, budgeting, and financial governance for platform ecosystems
* Proven product leadership, including vision setting, roadmap development, and backlog management
* Strong stakeholder management skills with the ability to influence across technical, business, and executive domains
* Demonstrated success driving governance adoption in large, complex organizations
* Strong track record delivering strategic roadmaps, KPIs, and modernization outcomes at scale
* Exceptional communication skills with experience presenting to and influencing executive stakeholders
* Experience with AI driven governance automation (e.g., enrichment agents, lineage inference, data quality intelligence)
**Preferred Certifications:**
* Databricks Unity Catalog / Governance focused training
* Collibra Ranger
* CDMP, DCAM, or equivalent governance certifications
* Snowflake or cloud governance certifications (AWS / Azure)
**The role offers a hybrid/flexible schedule, which means there's an in\-office expectation of 3 or more days per week and the flexibility to work outside the office location for the other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$148,495\.00 \- $174,700\.00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156">
      <c r="A156" t="inlineStr">
        <is>
          <t>li-4356821443</t>
        </is>
      </c>
      <c r="B156" t="inlineStr">
        <is>
          <t>Product Manager, Marketplace Growth</t>
        </is>
      </c>
      <c r="C156" t="inlineStr">
        <is>
          <t>Jerry</t>
        </is>
      </c>
      <c r="D156" t="inlineStr">
        <is>
          <t>linkedin</t>
        </is>
      </c>
      <c r="E156">
        <f>HYPERLINK("https://www.linkedin.com/jobs/view/4356821443", "https://www.linkedin.com/jobs/view/4356821443")</f>
        <v/>
      </c>
      <c r="F156" t="inlineStr"/>
      <c r="G156" t="inlineStr">
        <is>
          <t>Portland, OR</t>
        </is>
      </c>
      <c r="H156" t="inlineStr"/>
      <c r="I156"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57">
      <c r="A157" t="inlineStr">
        <is>
          <t>li-4367280318</t>
        </is>
      </c>
      <c r="B157" t="inlineStr">
        <is>
          <t>Product Owner- Workplace Productivity</t>
        </is>
      </c>
      <c r="C157" t="inlineStr">
        <is>
          <t>Jobs via Dice</t>
        </is>
      </c>
      <c r="D157" t="inlineStr">
        <is>
          <t>linkedin</t>
        </is>
      </c>
      <c r="E157">
        <f>HYPERLINK("https://www.linkedin.com/jobs/view/4367280318", "https://www.linkedin.com/jobs/view/4367280318")</f>
        <v/>
      </c>
      <c r="F157" t="inlineStr"/>
      <c r="G157" t="inlineStr"/>
      <c r="H157" t="inlineStr"/>
      <c r="I157" t="inlineStr">
        <is>
          <t>Dice is the leading career destination for tech experts at every stage of their careers. Our client, York Solutions, LLC, is seeking the following. Apply via Dice today!
 Product: The Workplace Productivity Solutions \-\-Provide Thrivent with a suite of foundational, enterprise wide productivity applications that allow their workforce to seamlessly and securely communicate and collaborate)
 This role will require a mixture of both Product Owner and technical skills to keep everything organized \- someone who can immediately stabilize delivery, refine backlogs, and coordinate across multiple employee\-facing portfolios in a complex enterprise environment. Strong collaboration skills.
 Personality: Someone who is extremely proactive and can collaborate with other parts of the organization.
 Product Ownership \&amp; Agile Execution (Must\-Have)
 Deep experience as a Product Owner in Agile/Scrum
 Backlog ownership, refinement, and prioritization
 Writing clear user stories and acceptance criteria
 Short\- to mid\-term planning aligned to long\-term strategy
 Managing delivery in environments with potential pushback on the product model
 Technical \&amp; Domain Expertise (Must\-Have)
 Strong technical fluency (no coding required)
 Experience managing hardware \+ software products, such as:
 Microsoft Office Suite, collaboration tools, Copilot
 Enterprise productivity or workplace technology
 Understanding of:
 Integrations, APIs, vendor platforms
 Enterprise IT environments
 Vendor management experience (roadmaps, upgrades, configurations)
 Cross\-Portfolio Collaboration (Critical)
 Proven ability to coordinate across multiple product portfolios
 Experience working with:
 Modern Workplace / Digital Employee Experience
 Identity, security, or shared services teams
 Proactive communicator who initiates alignment rather than waits. Must have stakeholder \&amp; interpersonal skills
**Benefits:**
 York Solutions Offers a generous benefits package for eligible full\-time employees:
* BCBS Medical with 3 Plans to choose from (PPO and High deductible PPO plans with Health Savings Program)
* Delta Dental plan with 2 free cleanings and insurance discounts
* Eye Med Vision with annual check\-ups and discounts on lens
* Life and Accidental Death Insurance paid by company
* John Hancock 401(k) Retirement Plan with discretionary company match
* Voluntary Insurance programs such as: Hospital Indemnity, Identity Protection, Legal Insurance, Long Term Care, and Pet Insurance.
* Flexible work environment with some remote working opportunities
* Strong fun and teamwork environment
* Learning, development, and career growth</t>
        </is>
      </c>
    </row>
    <row r="158">
      <c r="A158" t="inlineStr">
        <is>
          <t>li-4367498877</t>
        </is>
      </c>
      <c r="B158" t="inlineStr">
        <is>
          <t>3.55 Senior Product Manager, Construction</t>
        </is>
      </c>
      <c r="C158" t="inlineStr">
        <is>
          <t>FieldAI</t>
        </is>
      </c>
      <c r="D158" t="inlineStr">
        <is>
          <t>linkedin</t>
        </is>
      </c>
      <c r="E158">
        <f>HYPERLINK("https://www.linkedin.com/jobs/view/4367498877", "https://www.linkedin.com/jobs/view/4367498877")</f>
        <v/>
      </c>
      <c r="F158" t="inlineStr"/>
      <c r="G158" t="inlineStr">
        <is>
          <t>Irvine, CA</t>
        </is>
      </c>
      <c r="H158" t="inlineStr"/>
      <c r="I158" t="inlineStr">
        <is>
          <t>Field AI 
 is transforming how robots interact with the real world. We are building risk\-aware, reliable, and field\-ready AI systems that address the most complex challenges in robotics, unlocking the full potential of embodied intelligence. We go beyond typical data\-driven approaches or pure transformer\-based architectures, and are charting a new course, with already\-globally\-deployed solutions delivering real\-world results and rapidly improving models through real\-field applications.
 We are hiring a Senior Product Manager to own product definition within our Construction portfolio. This role focuses on building durable, scalable product capabilities for construction workflows such as progress monitoring, inspection, and verification in environments where ground truth is noisy and customer expectations vary widely.This is not a delivery or project management role. Success comes from defining clear product boundaries, supported use cases, and non\-goals, and ensuring that engineering, sales, and delivery teams operate from a single product truth.
**What You Will Get To Do:** 
* Own product definition for construction\-focused capabilities, including scope, configurations, and constraints
* Define supported construction workflows and explicitly document what is out of scope
* Translate field realities into scalable product direction without customer\-specific customization
* Make prioritization and tradeoff decisions that favor reuse and long\-term product integrity
* Partner closely with engineering, robotics, and AI teams on feasibility and sequencing
* Serve as the product authority for construction scope questions and escalations
* Prevent fragmentation across customers, projects, and deployments
**What You Bring:** 
* 6 to 10 years of product management experience on complex or technical products
* Experience working with construction technology, field\-deployed systems, or operational software
* Strong product sense and comfort making decisions with incomplete information
* Proven ability to say no to protect product boundaries
* Clear written and verbal communication skills
**What Will Set You Apart:** 
* Experience with progress monitoring, inspection, or reality capture workflows
* Familiarity with BIM, VDC, or construction operations
* Background working with robotics, perception, or AI\-driven systems
 Our salary range is generous and we take into consideration an individual's background and experience in determining final salary; base pay offered may vary considerably depending on geographic location, job\-related knowledge, skills, and experience. 
**Why Join Field AI?** 
 We are solving one of the world’s most complex challenges: deploying robots in unstructured, previously unknown environments. Our Field Foundational Models™ set a new standard in perception, planning, localization, and manipulation, ensuring our approach is explainable and safe for deployment.
 You will have the opportunity to work with a world\-class team that thrives on creativity, resilience, and bold thinking. With a decade\-long track record of deploying solutions in the field, winning DARPA challenge segments, and bringing expertise from organizations like DeepMind, NASA JPL, Boston Dynamics, NVIDIA, Amazon, Tesla Autopilot, Cruise Self\-Driving, Zoox, Toyota Research Institute, and SpaceX, we are set to achieve our ambitious goals.
**Be Part of the Next Robotics Revolution** 
 To tackle such ambitious challenges, we need a team as unique as our vision — innovators who go beyond conventional methods and are eager to tackle tough, uncharted questions. We’re seeking individuals who challenge the status quo, dive into uncharted territory, and bring interdisciplinary expertise. Our team requires not only top AI talent but also exceptional software developers, engineers, product designers, field deployment experts, and communicators.
 We are headquartered in always\-sunny Mission Viejo (Irvine adjacent), Southern California and have US based and global teammates. 
 Join us, shape the future, and be part of a fun, close\-knit team on an exciting journey!
 We celebrate diversity and are committed to creating an inclusive environment for all employees. Candidates and employees are always evaluated based on merit, qualifications, and performance. We will never discriminate on the basis of race, color, gender, national origin, ethnicity, veteran status, disability status, age, sexual orientation, gender identity, marital status, mental or physical disability, or any other legally protected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9">
      <c r="A159" t="inlineStr">
        <is>
          <t>li-4356659218</t>
        </is>
      </c>
      <c r="B159" t="inlineStr">
        <is>
          <t>Product Manager, AI Powered Messaging</t>
        </is>
      </c>
      <c r="C159" t="inlineStr">
        <is>
          <t>Jerry</t>
        </is>
      </c>
      <c r="D159" t="inlineStr">
        <is>
          <t>linkedin</t>
        </is>
      </c>
      <c r="E159">
        <f>HYPERLINK("https://www.linkedin.com/jobs/view/4356659218", "https://www.linkedin.com/jobs/view/4356659218")</f>
        <v/>
      </c>
      <c r="F159" t="inlineStr"/>
      <c r="G159" t="inlineStr">
        <is>
          <t>Raleigh, NC</t>
        </is>
      </c>
      <c r="H159" t="inlineStr"/>
      <c r="I159"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60">
      <c r="A160" t="inlineStr">
        <is>
          <t>li-4367605157</t>
        </is>
      </c>
      <c r="B160" t="inlineStr">
        <is>
          <t>Principal Product Manager - Performance Solutions Delivery Architecture</t>
        </is>
      </c>
      <c r="C160" t="inlineStr">
        <is>
          <t>FactSet</t>
        </is>
      </c>
      <c r="D160" t="inlineStr">
        <is>
          <t>linkedin</t>
        </is>
      </c>
      <c r="E160">
        <f>HYPERLINK("https://www.linkedin.com/jobs/view/4367605157", "https://www.linkedin.com/jobs/view/4367605157")</f>
        <v/>
      </c>
      <c r="F160" t="inlineStr"/>
      <c r="G160" t="inlineStr"/>
      <c r="H160" t="inlineStr"/>
      <c r="I160"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161">
      <c r="A161" t="inlineStr">
        <is>
          <t>li-4367252915</t>
        </is>
      </c>
      <c r="B161" t="inlineStr">
        <is>
          <t>Senior Director, Product Manager; AI in Product Management</t>
        </is>
      </c>
      <c r="C161" t="inlineStr">
        <is>
          <t>Capital One</t>
        </is>
      </c>
      <c r="D161" t="inlineStr">
        <is>
          <t>linkedin</t>
        </is>
      </c>
      <c r="E161">
        <f>HYPERLINK("https://www.linkedin.com/jobs/view/4367252915", "https://www.linkedin.com/jobs/view/4367252915")</f>
        <v/>
      </c>
      <c r="F161" t="inlineStr"/>
      <c r="G161" t="inlineStr">
        <is>
          <t>New York, NY</t>
        </is>
      </c>
      <c r="H161" t="inlineStr"/>
      <c r="I161" t="inlineStr">
        <is>
          <t>Product Management at Capital One is a booming, vibrant craft that requires reimagining the status quo, finding value creation opportunities, and driving innovative and sustainable customer experiences through technology. We have been elevating the product management job family at Capital One for the last several years, and now want to ensure that the tools and role evolves to leverage the full power of AI.
****About the Role:****
 The role is a part of our EPX (Enterprise Product and Experience) top of house team working closely with the SVP on the Product Council who is the AE for AI in Product at Capital One.
 The product manager will be responsible for defining the long\-term destination of product development in the age of AI at Capital One. In parallel, they will also ensure that we are equipping product managers across Capital One with the AI tools and training to maximize efficiency and effectiveness. Operating at the intersection of high\-level strategy and hands\-on execution, you will partner directly with Senior Executives across the Enterprise, local product teams experimenting with AI, and a dedicated Strategy team to architect a roadmap that balances bold, big\-picture thinking with immediate, actionable milestones. The mission is twofold: to establish a definitive future vision for AI integration and to act as a catalyst for accelerating AI adoption across the organization. We are looking for a seasoned product veteran who carries the gravitas to influence the C\-suite, possesses the organizational rigor of a program lead, and maintains a deep, personal passion for AI experimentation—someone who isn't just watching the AI shift happen but is actively rewriting the product management playbook.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9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in strategy consulting, defining business strategies and delivering value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$245,100 \- $279,800 for Sr. Dir, Product Management
 McLean, VA: $269,600 \- $307,700 for Sr. Dir, Product Management
 New York, NY: $294,100 \- $335,700 for Sr. Dir, Product Management
 Richmond, VA: $245,100 \- $279,800 for Sr. Dir, Product Management
 San Francisco, CA: $294,100 \- $335,700 for Sr. Dir,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62">
      <c r="A162" t="inlineStr">
        <is>
          <t>li-4304991793</t>
        </is>
      </c>
      <c r="B162" t="inlineStr">
        <is>
          <t>Marketing Test &amp; Learn Product Owner</t>
        </is>
      </c>
      <c r="C162" t="inlineStr">
        <is>
          <t>U.S. Bank</t>
        </is>
      </c>
      <c r="D162" t="inlineStr">
        <is>
          <t>linkedin</t>
        </is>
      </c>
      <c r="E162">
        <f>HYPERLINK("https://www.linkedin.com/jobs/view/4304991793", "https://www.linkedin.com/jobs/view/4304991793")</f>
        <v/>
      </c>
      <c r="F162" t="inlineStr"/>
      <c r="G162" t="inlineStr">
        <is>
          <t>Minneapolis, MN</t>
        </is>
      </c>
      <c r="H162" t="inlineStr"/>
      <c r="I162"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The
 **Marketing Test \&amp; Learn Product Owner** 
 is a key member of the Marketing Analytics Product Owner team within Marketing Analtyics \&amp; Technology. The Marketing Analytics \&amp; Technology team is an enabling function supporting the Business Unit Marketing and Enterprise Analytics \&amp; Customer Experience teams (EACX) and thereby the Chief Product Officers/Line of Business, responsible for measuring, assessing and articulating the efficacy of our marketing strategies to help drive growth and/or efficiency opportunities across the bank. With sister teams participating alongside the marketing lifecycle of the various segments, the Marketing Analytics Product Owner team is enabling those analysts with the data, tools, frameworks and centralized reporting they need to generate insights and report on performance.
 We are seeking a strategic
 **Marketing Test \&amp; Learn Product Owner** 
 that will partner closely with our sister Marketing Analytics teams to embed a test\-and\-learn culture, centralize and govern experimentation test \&amp; learn approach, and ensure experimentation delivers actionable business impact. A key responsibility is ensuring that experimentation results are systematically integrated into Marketing Mix Modeling (MMM) to calibrate models, validate assumptions, and improve long\-term marketing investment strategies.
 The ideal candidate is a motivated professional who is passionate about Agile ways of working, fosters a positive team atmosphere, welcomes innovation, supports the fail\-fast philosophy, and drives for results. They should have a product mindset that puts focus on the customer and delivering value and can motivate and actively support a team with a long delivery roadmap. They must feel confident in their technical and analytical skills, their ability to develop a product roadmap well into the future, their ability to understand the business goals/needs and translating those into delivering data driven insights that lead to actionable recommendations. This role requires technical skills that drive the team towards efficiency, automation and innovation.
**Key Responsibilities**
*Strategy \&amp; Roadmap*
* Define and own the vision and roadmap for marketing’s experimentation framework.
* Drive adoption of a “test\-and\-learn” culture across marketing.
* Ensure experimentation is designed to support MMM calibration and broader marketing effectiveness goals.
*Experiment Design \&amp; Governance*
* Manage a centralized Channel Optimization Testing agenda in conjunction with sister teams, establishing governance standards to ensure tests are rigorous, unbiased, aligned with marketing and business objectives, and consistent between LOBs.
* Define best practices for randomization, control groups, and sample sizing to ensure reliable and interpretable outcomes.
* Create guidelines to define how to reconcile output of different methodologies and enable/educate throughout the organization
*Execution \&amp; Enablement*
* In conjunction with sister teams, identify campaigns, channels, and audiences best suited for controlled experiments.
* Partner with sister teams to define success metrics and ensure experiments are measurable, actionable, and aligned with KPIs.
* Provide frameworks, playbooks, and training to empower marketers to run high\-quality experiments independently.
*Measurement, Insights \&amp; MMM Calibration*
* Manage a centralized Incrementality Testing agenda to support MMM Calibration, in conjunction with sister teams.
* Partner with the MMM Product Owner to translate experimental findings into inputs for MMM calibration (e.g., channel ROI adjustments, saturation effects, lag structures).
* Catalogue all marketing testing being conducted across various marketing groups (Business Line Marketing, Marketing Activation, etc) and share\-out key learnings in periodic forums to ensure learnings are taken into account in future experiments.
**Basic Qualifications**
* Bachelor's degree in a related field, or equivalent work experience
* Six to eight years of statistical and/or data analytics experience
**Preferred Skills/Experience**
* 5\+ years in product management, experimentation, marketing analytics, or related field; background in marketing measurement (MMM, attribution, incrementality testing) strongly preferred.
* Technical Knowledge: Strong grasp of A/B testing, geo\-testing, incrementality, and MMM calibration concepts.
* Leadership: Demonstrated ability to influence and partner with marketing and analytics leaders to govern experimentation practices.
* Communication: Skilled at translating experimental outcomes into clear insights for marketing and business stakeholders.
* Mindset: Curious, evidence\-driven, and committed to embedding experimentation into decision\-making.
* Familiarity with SQL and data visualization tools (e.g.,Power BI).
* Experience running experiments across digital and offline media channels.
* Exposure to advanced measurement approaches (MMM, MTA, causal inference, uplift modeling).
 Tag: INDMO
* This role offers a hybrid/flexible schedule, which means there's an in\-office expectation of 3 or more days per week and the flexibility to work outside the office location for the other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$119,765\.00 \- $140,900\.00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163">
      <c r="A163" t="inlineStr">
        <is>
          <t>li-4356771590</t>
        </is>
      </c>
      <c r="B163" t="inlineStr">
        <is>
          <t>Senior Product Manager, Marketplace Growth</t>
        </is>
      </c>
      <c r="C163" t="inlineStr">
        <is>
          <t>Jerry</t>
        </is>
      </c>
      <c r="D163" t="inlineStr">
        <is>
          <t>linkedin</t>
        </is>
      </c>
      <c r="E163">
        <f>HYPERLINK("https://www.linkedin.com/jobs/view/4356771590", "https://www.linkedin.com/jobs/view/4356771590")</f>
        <v/>
      </c>
      <c r="F163" t="inlineStr"/>
      <c r="G163" t="inlineStr">
        <is>
          <t>Houston, TX</t>
        </is>
      </c>
      <c r="H163" t="inlineStr"/>
      <c r="I163"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64">
      <c r="A164" t="inlineStr">
        <is>
          <t>li-4356659216</t>
        </is>
      </c>
      <c r="B164" t="inlineStr">
        <is>
          <t>Senior Product Manager, Marketplace Growth</t>
        </is>
      </c>
      <c r="C164" t="inlineStr">
        <is>
          <t>Jerry</t>
        </is>
      </c>
      <c r="D164" t="inlineStr">
        <is>
          <t>linkedin</t>
        </is>
      </c>
      <c r="E164">
        <f>HYPERLINK("https://www.linkedin.com/jobs/view/4356659216", "https://www.linkedin.com/jobs/view/4356659216")</f>
        <v/>
      </c>
      <c r="F164" t="inlineStr"/>
      <c r="G164" t="inlineStr">
        <is>
          <t>Chicago, IL</t>
        </is>
      </c>
      <c r="H164" t="inlineStr"/>
      <c r="I164"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65">
      <c r="A165" t="inlineStr">
        <is>
          <t>li-4367469808</t>
        </is>
      </c>
      <c r="B165" t="inlineStr">
        <is>
          <t>Digital Program Manager</t>
        </is>
      </c>
      <c r="C165" t="inlineStr">
        <is>
          <t>State of Iowa - Executive Branch</t>
        </is>
      </c>
      <c r="D165" t="inlineStr">
        <is>
          <t>linkedin</t>
        </is>
      </c>
      <c r="E165">
        <f>HYPERLINK("https://www.linkedin.com/jobs/view/4367469808", "https://www.linkedin.com/jobs/view/4367469808")</f>
        <v/>
      </c>
      <c r="F165" t="inlineStr"/>
      <c r="G165" t="inlineStr">
        <is>
          <t>Des Moines, IA</t>
        </is>
      </c>
      <c r="H165" t="inlineStr"/>
      <c r="I165" t="inlineStr">
        <is>
          <t>**Job Description**
 IPERS is looking for an innovative Digital Programs Manager (Management Analyst 3\) who will help us enhance and build our digital environments.
 This role is all about strategically guiding IPERS’ transition to a more digital experience for members and employers. The successful candidate will be a big thinker who understands a realm of digital best practices and how they support effective customer service, communication and education. A team player is essential, as the employee will collaborate with various work groups to creatively solve customer service, communication and education challenges, using data to inform ideas.
**General Responsibilities Include**
* Shape IPERS’ digital experiences: The employee will be at the forefront of planning, executing and optimizing IPERS’ digital assets, and will drive DX/UX initiatives to ensure members and employers enjoy seamless, accessible and user\-friendly interactions.
* Lead website innovation: Manage the CRMs that create IPERS’ Drupal internet and SharePoint intranet sites and the associated AI chat bot.
* Streamline communications: Manage forms, letters and digital documents to ensure effective and efficient communication.
* Champion compliance \&amp; best practices: Ensure all digital assets meet accessibility standards and industry\-leading best practices.
* Be the digital expert: This subject matter expert will understand, recommend, implement and manage technologies that strengthen IPERS' digital presence now and in the future, and will create the policies and procedures that direct IPERS’ use of each technology.
**What We Offer**
* Health, Dental, Life and Long\-Term Disability Insurance – Insurance begins on the first of the month following 30 days of employment. 2026 health and dental premiums can be found here .
* Paid time off – separate vacation and sick leave – accruals begin on day one.
* Paid holidays (nine per year)
* Flex Spending Accounts (medical and dependent care)
* Defined Benefit Retirement Plan (IPERS)
* Voluntary Retirement Plan (Retirement Investors Club)
 Find out more: State of Iowa – Benefits at a Glance.
 Unlock the complete value of State of Iowa benefits with the Total Compensation Calculator .
 Finalists will be subject to a background check.
**E\-Verify And Right To Work**
 The State of Iowa participates in E\-Verify, a federal program that helps employers confirm the employment eligibility of all newly hired employees. Within the required timeframe, new hires will be verified through the E\-Verify system to ensure authorization to work in the United States. The State of Iowa also complies with the federal
 **Right to Work** 
 laws, which protect employees’ rights to work without being required to join a labor organization. For more information, please visit www.e\-verify.gov .
**Minimum Qualification Requirements**
 Applicants must meet at least one of the following minimum requirements to qualify for positions in this job classification:
* Graduation from an accredited four\-year college or university with a degree in any field, and experience equal to three years of full\-time work in project management; management analysis; data science; business systems analysis; or professional\-level program administration, development, or operations.
* All of the following (a and b):
* Three years of full\-time work experience in project management; management analysis; data science; business systems analysis; or professional\-level program administration, development, or operations; and
* A total of four years of education and/or full\-time experience (as described in part a), where thirty semester hours of accredited college or university coursework in any field equals one year of full\-time experience.
* All of the following (a, b, and c):
* One year of full\-time work experience in project management; management analysis; data science; business systems analysis; or professional\-level program administration, development, or operations; and
* A total of four years of education and/or full\-time experience (as described in part a), where thirty semester hours of accredited college or university coursework in any field equals one year of full\-time experience; and
* A total of two years of graduate\-level education and/or full\-time experience (as described in part a), where twenty\-four semester hours of accredited graduate college or university coursework in business administration, industrial management, statistics, natural science, or a closely\-related field equals one year of full\-time experience.
* Current, continuous experience in the state executive branch that includes six months of full\-time work as a Management Analyst 2 or two and a half years as a Management Analyst 1\. For additional information, please click on this link to view the job description .</t>
        </is>
      </c>
    </row>
    <row r="166">
      <c r="A166" t="inlineStr">
        <is>
          <t>li-4356831421</t>
        </is>
      </c>
      <c r="B166" t="inlineStr">
        <is>
          <t>Senior Product Manager, Marketplace Growth</t>
        </is>
      </c>
      <c r="C166" t="inlineStr">
        <is>
          <t>Jerry</t>
        </is>
      </c>
      <c r="D166" t="inlineStr">
        <is>
          <t>linkedin</t>
        </is>
      </c>
      <c r="E166">
        <f>HYPERLINK("https://www.linkedin.com/jobs/view/4356831421", "https://www.linkedin.com/jobs/view/4356831421")</f>
        <v/>
      </c>
      <c r="F166" t="inlineStr"/>
      <c r="G166" t="inlineStr">
        <is>
          <t>Durham, NC</t>
        </is>
      </c>
      <c r="H166" t="inlineStr"/>
      <c r="I166"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67">
      <c r="A167" t="inlineStr">
        <is>
          <t>li-4367272835</t>
        </is>
      </c>
      <c r="B167" t="inlineStr">
        <is>
          <t>IVR Product Owner</t>
        </is>
      </c>
      <c r="C167" t="inlineStr">
        <is>
          <t>Jobs via Dice</t>
        </is>
      </c>
      <c r="D167" t="inlineStr">
        <is>
          <t>linkedin</t>
        </is>
      </c>
      <c r="E167">
        <f>HYPERLINK("https://www.linkedin.com/jobs/view/4367272835", "https://www.linkedin.com/jobs/view/4367272835")</f>
        <v/>
      </c>
      <c r="F167" t="inlineStr"/>
      <c r="G167" t="inlineStr"/>
      <c r="H167" t="inlineStr"/>
      <c r="I167" t="inlineStr">
        <is>
          <t>Dice is the leading career destination for tech experts at every stage of their careers. Our client, 7N USA, Inc., is seeking the following. Apply via Dice today!
 NO THIRD PARTY / NO AGENCIES / NO VISA CANDIDATES
 IVR PRODUCT OWNER with UX experience
 Job Description:
* Serve as Product Owner for IVR Applications that supports CLIENT Global Customer Service and Operations
* Partner and collaborate with the businesses to gain a thorough understanding of the contact center business and their vision to ensure IVR strategy aligns with overall service vision and strategies
* Own the creative process of generating, developing, and curating new ideas, determining which ideas should be promoted into features to push the strategy forward
 Technical \&amp; Professional Skills Required:
* Expert understanding of Collaboration Tools such as Miro, Azure DevOps, SharePoint, Microsoft Teams, Microsoft Powerpoint, Microsoft visio
* Have a Design Thinking Mindset: Personas, Journey Maps, Story Maps, User story writing and Acceptance Criteria
* Expert Understanding of technologies used in the IVR and telephony: Dialogue Design tools, Chat bot, Text to Speech, Speech Recognition, Toll Free Number Engineering, Automatic Call Distribution, Natural
* Expert Understanding of benefits of IVR: Call Containment, Call Misdirects, User Experience (UX), Cost Savings, Average Handle/Call Time
* Expert understanding of Genesys IVR, IVA, Voice Bot, Chat bot
 Experience Required:
* 3\+ years' current experience working within a complex IVR development environment
* 3\+ years' current experience working on a Scrum and/or Agile team as Product Owner
* 3\+ years' experience with creating documentation for communication with varied audiences
* 2\+ years' experience working on complex development projects</t>
        </is>
      </c>
    </row>
    <row r="168">
      <c r="A168" t="inlineStr">
        <is>
          <t>li-4356721614</t>
        </is>
      </c>
      <c r="B168" t="inlineStr">
        <is>
          <t>Senior Product Manager, AI Powered Messaging</t>
        </is>
      </c>
      <c r="C168" t="inlineStr">
        <is>
          <t>Jerry</t>
        </is>
      </c>
      <c r="D168" t="inlineStr">
        <is>
          <t>linkedin</t>
        </is>
      </c>
      <c r="E168">
        <f>HYPERLINK("https://www.linkedin.com/jobs/view/4356721614", "https://www.linkedin.com/jobs/view/4356721614")</f>
        <v/>
      </c>
      <c r="F168" t="inlineStr"/>
      <c r="G168" t="inlineStr">
        <is>
          <t>Atlanta, GA</t>
        </is>
      </c>
      <c r="H168" t="inlineStr"/>
      <c r="I168"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5\+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69">
      <c r="A169" t="inlineStr">
        <is>
          <t>li-4367628010</t>
        </is>
      </c>
      <c r="B169" t="inlineStr">
        <is>
          <t>Associate Director - BI&amp;T, Commercialization Gross-to-Net Product Manager</t>
        </is>
      </c>
      <c r="C169" t="inlineStr">
        <is>
          <t>Bristol Myers Squibb</t>
        </is>
      </c>
      <c r="D169" t="inlineStr">
        <is>
          <t>linkedin</t>
        </is>
      </c>
      <c r="E169">
        <f>HYPERLINK("https://www.linkedin.com/jobs/view/4367628010", "https://www.linkedin.com/jobs/view/4367628010")</f>
        <v/>
      </c>
      <c r="F169">
        <f>HYPERLINK("https://tnl2.jometer.com/v2/job?jz=5tptp38124740201159602c5a9d3938c84aabTAADOAIAAABQ&amp;utm_source=Joveo_LinkedIn+Organic&amp;utm_campaign=Enabling+Functions_Information+Technology+2025&amp;source=jobboard_LinkedIn+Organic_auto&amp;source=LinkedIn_Slots&amp;urlHash=hx6s", "https://tnl2.jometer.com/v2/job?jz=5tptp38124740201159602c5a9d3938c84aabTAADOAIAAABQ&amp;utm_source=Joveo_LinkedIn+Organic&amp;utm_campaign=Enabling+Functions_Information+Technology+2025&amp;source=jobboard_LinkedIn+Organic_auto&amp;source=LinkedIn_Slots&amp;urlHash=hx6s")</f>
        <v/>
      </c>
      <c r="G169" t="inlineStr">
        <is>
          <t>Princeton, NJ</t>
        </is>
      </c>
      <c r="H169" t="inlineStr"/>
      <c r="I169" t="inlineStr">
        <is>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This position is the BI\&amp;T, Commercialization Gross\-to\-Net Product Manager partnering with the Global MAx Pricing teams (for Oncology, CV, Immunology \&amp; Fibrosis, Hematology and Cell Therapy) , accountable for supporting the strategic planning, design, integration and delivery of digital capabilities to enable gross\-to\-net solutions in the US.
 The individual will drive the strategic partnership with the teams within the Global MAx and GTN Finance organizations, to identify digital capabilities, build comprehensive business cases that have the greatest impact on the enterprise, set the right expectations, and ensure that IT resources are appropriately engaged to fulfill the intended business outcomes. The individual will manage relationships with a wide range of VAP and IT associates. This role will directly impact the BMS Global market access programs through the effective use of technology in bringing key products to market.
**Responsibilities**
* Accountable for the delivery, enhancement, and lifecycle management of gross\-to\-net digital solutions
* Responsible for the strategic planning, integration and implementation of digital capabilities (Anaplan, PowerBI, etc.) related to gross\-to\-net. The strategic planning will include a focus on enablement and speed, simplification, and improved outcomes of this critical business process.
* Responsible for the development of long\-term (3\-5 year) roadmaps identifying digital capabilities that have the greatest impact on gross\-to\-net business capabilities
* Foster a mindset of innovation across the team to consistently look at ways of working and reduce manual effort through automation, leveraging AI/ML, (Artificial intelligence and Machine learning), and our external partners.
* Provide digital capabilities that are reliable, adaptable, accessible, and"secure. Embed strong operational excellence, cybersecurity,"and resilience using the power of data and analytics in collaboration with third\-party"risk management.
* Responsible for Developing comprehensive business case(s) to support business outcomes of new/upgraded digital capabilities.
* Responsible for the communication, implementation and operation of the Digital Capability Governance process. Demonstrating the ability to identify high value differentiating capabilities when making digital capability platform choices.
* Partner with the business unit representatives and internal IT organizations to convert business requirements into functional requirements.
* Accountable for committed business outcomes of digital capabilities implemented within the respective area.
* Partner with the various teams involved in the gross\-to\-net process to drive the adoption of digital capabilities by effective business process design, change management, end user training.
* Matrix leadership of IT resources in other BI\&amp;T functions responsible for ensuring that all BI\&amp;T functions are successful in their delivery of services to the MAx Pricing team and related groups. Key matrix IT partner functions include Capability Delivery, portfolio management, enterprise information management. This position will also partner with various market teams, BI\&amp;T for Country teams, BI\&amp;T for R\&amp;D, and other teams within BI\&amp;T for Commercialization to align and identify Opportunities / Synergies in digital capabilities and IT investments.
**Required**
* Demonstrated strength in the implementation of complex gross\-to\-net projects
* Demonstrated ability to communicate, influence and partner with business leaders.
* Experience with enterprise governance operations and demonstrated ability to balance customer responsiveness with identifying high value at the enterprise level.
* Ability to lead the analysis of complex business needs and integrate those into compelling and actionable strategic plans.
* Strong ability and comfort with matrix management in delivering digital capabilities. Matrix management includes business partners as well as multiple IT capability leaders.
* Ability to manage business process analysis and improvement including benefit estimation and post implementation metrics.
* Ability to scan technical landscape for leading edge business solutions and creates business case for support and application, including level of effort/ cost required to implement solutions / services, and facilitating risk assessments.
* Mandatory strong gross\-to\-net expertise
* Excellent collaboration and communication skills, with the confidence to build strong partnerships with Market Access, Pricing and related leaders and become a trusted adviser to executives.
**Ideal Candidates Would Also Have**
* Strong financial experience with budget management and business case development
* Implementations of digital capabilities in the gross\-to\-net domain preferred.
* Working knowledge of agile software\-development lifecycle methodologies.
* Demonstrated ability to create and support a dynamic culture of innovation and continuous improvement in line reports and in the matrix.
**Other Qualifications**
* Bachelor's Degree and 7\-10 years of experience required; Master's degree would be a plus.
* Strong gross\-to\-net business knowledge with proven leadership abilities
* Possesses familiarity with and awareness of the Pharmaceutical Industry
* Capable of working cooperatively across boundaries and within a matrix to achieve results.
* Ability to deliver complex systems to one or multiple geographies and business units.
* Experienced in information technology and management, project and portfolio assessment, planning, systems development and business case development
* Demonstrates strong influencing skills with key partners across the region.
 If you come across a role that intrigues you but doesn't perfectly line up with your resume, we encourage you to apply anyway. You could be one step away from work that will transform your life and career.
**Compensation Overview**
 Princeton \- NJ \- US $166,600 \- $201,880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https //careers.bms.com/life\-at\-bms/.
 Benefit offerings are subject to the terms and conditions of the applicable plans in effect at the time and may require enrollment. Our benefits include
* Health Coverage Medical, pharmacy, dental, and vision care.
* Wellbeing Support Programs such as BMS Well\-Being Account, BMS Living Life Better, and Employee Assistance Programs (EAP).
* Financial Well\-being and Protection 401(k) plan, short\- and long\-term disability, life insurance, accident insurance, supplemental health insurance, business travel protection, personal liability protection, identity theft benefit, legal support, and survivor support.
**Work\-life benefits include**
 Paid Time Off
* US Exempt Employees flexible time off (unlimited, with manager approval, 11 paid national holidays (not applicable to employees in Phoenix, AZ, Puerto Rico or Rayzebio employees)
* Phoenix, AZ, Puerto Rico and Rayzebio Exempt, Non\-Exempt, Hourly Employees 160 hours annual paid vacation for new hires with manager approval, 11 national holidays, and 3 optional holidays
 Based on eligibility\*, additional time off for employees may include unlimited paid sick time, up to 2 paid volunteer days per year, summer hours flexibility, leaves of absence for medical, personal, parental, caregiver, bereavement, and military needs and an annual Global Shutdown between Christmas and New Years Day.
 All global employees full and part\-time who are actively employed at and paid directly by BMS at the end of the calendar year are eligible to take advantage of the Global Shutdown.
* Eligibility Disclosure T he summer hours program is for United States (U.S.) office\-based employees due to the unique nature of their work. Summer hours are generally not available for field sales and manufacturing operations and may also be limited for the capability centers. Employees in remote\-by\-design or lab\-based roles may be eligible for summer hours, depending on the nature of their work, and should discuss eligibility with their manager. Employees covered under a collective bargaining agreement should consult that document to determine if they are eligible. Contractors, leased workers and other service providers are not eligible to participate in the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**Supporting People With Disabilities**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**Candidate Rights**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 //careers.bms.com/california\-residents/
**Data Protection**
 We will never request payments, financial information, or social security numbers during our application or recruitment process. Learn more about protecting yourself at https //careers.bms.com/fraud\-protection .
 Any data processed in connection with role applications will be treated in accordance with applicable data privacy policies and regulations.
 If you believe that the job posting is missing information required by local law or incorrect in any way, please contact BMS at TAEnablement@bms.com . Please provide the Job Title and Requisition number so we can review. Communications related to your application should not be sent to this email and you will not receive a response. Inquiries related to the status of your application should be directed to Chat with Ripley.
 R1598347 Associate Director \- BI\&amp;T, Commercialization Gross\-to\-Net Product Manager</t>
        </is>
      </c>
    </row>
    <row r="170">
      <c r="A170" t="inlineStr">
        <is>
          <t>li-4356761665</t>
        </is>
      </c>
      <c r="B170" t="inlineStr">
        <is>
          <t>Senior Product Manager, AI Powered Messaging</t>
        </is>
      </c>
      <c r="C170" t="inlineStr">
        <is>
          <t>Jerry</t>
        </is>
      </c>
      <c r="D170" t="inlineStr">
        <is>
          <t>linkedin</t>
        </is>
      </c>
      <c r="E170">
        <f>HYPERLINK("https://www.linkedin.com/jobs/view/4356761665", "https://www.linkedin.com/jobs/view/4356761665")</f>
        <v/>
      </c>
      <c r="F170">
        <f>HYPERLINK("https://jobs.ashbyhq.com/Jerry.ai/ddaf1768-bdb0-4bb8-8350-458c0cf9dc8a?utm_source=6Vdva5VPyD&amp;urlHash=lV3J", "https://jobs.ashbyhq.com/Jerry.ai/ddaf1768-bdb0-4bb8-8350-458c0cf9dc8a?utm_source=6Vdva5VPyD&amp;urlHash=lV3J")</f>
        <v/>
      </c>
      <c r="G170" t="inlineStr">
        <is>
          <t>Boston, MA</t>
        </is>
      </c>
      <c r="H170" t="inlineStr"/>
      <c r="I170"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5\+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71">
      <c r="A171" t="inlineStr">
        <is>
          <t>li-4356721613</t>
        </is>
      </c>
      <c r="B171" t="inlineStr">
        <is>
          <t>Senior Product Manager, AI Powered Messaging</t>
        </is>
      </c>
      <c r="C171" t="inlineStr">
        <is>
          <t>Jerry</t>
        </is>
      </c>
      <c r="D171" t="inlineStr">
        <is>
          <t>linkedin</t>
        </is>
      </c>
      <c r="E171">
        <f>HYPERLINK("https://www.linkedin.com/jobs/view/4356721613", "https://www.linkedin.com/jobs/view/4356721613")</f>
        <v/>
      </c>
      <c r="F171">
        <f>HYPERLINK("https://jobs.ashbyhq.com/Jerry.ai/ddaf1768-bdb0-4bb8-8350-458c0cf9dc8a?utm_source=6Vdva5VPyD&amp;urlHash=lV3J", "https://jobs.ashbyhq.com/Jerry.ai/ddaf1768-bdb0-4bb8-8350-458c0cf9dc8a?utm_source=6Vdva5VPyD&amp;urlHash=lV3J")</f>
        <v/>
      </c>
      <c r="G171" t="inlineStr">
        <is>
          <t>Portland, OR</t>
        </is>
      </c>
      <c r="H171" t="inlineStr"/>
      <c r="I171"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5\+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72">
      <c r="A172" t="inlineStr">
        <is>
          <t>li-4367268865</t>
        </is>
      </c>
      <c r="B172" t="inlineStr">
        <is>
          <t>Director Program Manager</t>
        </is>
      </c>
      <c r="C172" t="inlineStr">
        <is>
          <t>ReAlign Insurance Holdings, Inc.</t>
        </is>
      </c>
      <c r="D172" t="inlineStr">
        <is>
          <t>linkedin</t>
        </is>
      </c>
      <c r="E172">
        <f>HYPERLINK("https://www.linkedin.com/jobs/view/4367268865", "https://www.linkedin.com/jobs/view/4367268865")</f>
        <v/>
      </c>
      <c r="F172" t="inlineStr"/>
      <c r="G172" t="inlineStr">
        <is>
          <t>Texas, United States</t>
        </is>
      </c>
      <c r="H172" t="inlineStr"/>
      <c r="I172" t="inlineStr">
        <is>
          <t>Who are we?
**ReAlign** 
 is a Program Carrier operating in both the property and casualty insurance space, with a dynamic and evolving property portfolio. We are looking for someone who is ready to help shape the future of our risk and exposure management team. 
 If that sounds interesting to you, ReAlign could be a great place to make the next move in your career. We are a small but nimble insurance company with lots of great people doing really interesting work. ReAlign was formed in July of 2020, and has grown from approximately $135 Million to over $400 Million of Direct Written Premium, and from a single program to over 20 programs in just four and a half years.
 The team structure creates a unique cross functional environment for collaboration, and the size of our organization allows us to cut through the red tape to help get things done.
 Why choose ReAlign?
 At ReAlign, we believe that we are only as strong as our people. We strive to create an inclusive and welcoming culture where employees feel comfortable and empowered to be themselves. We support a diverse and inclusive work environment, with a focus on a healthy work\-life balance. We understand that comprehensive benefits are important which is why we offer a benefit package that includes: medical, dental, vision, company paid short and long\-term disability, life insurance, health spending account, 401(k, Unlimited PTO, paid holidays, tuition reimbursement, and referral bonuses.
**Job Summary**
 Dynamic and collaborative position in a fast\-paced environment with the opportunity to become a part of a strong leadership team of a growing organization. The Program Manager plays a critical role within the organization by monitoring compliance with pricing, underwriting guidelines, rules and regulations, and overseas program administrators results to attain the return desired by ReAlign. This role offers extensive exposure to a wide range of operational and financial decisions with frequent interaction with other departments, and the opportunity to grow the Company.
**Essential Functions**
* Prices and binds insurance within underwriting authority.
* Reviews all required information on an account including but not limited to the application, the proposed pricing of the risk, loss control, and financial condition of the risk. Line specific information such as the WC experience modification rating worksheet, individual motor vehicle records, property insurance to value calculations, evaluation of the currently valued historical loss information, and web\-based information available to assist the underwriter in evaluating and pricing the account.
* Provides prompt service regarding all servicing aspects of the program book of business including timely response to submissions, clear communication when an account does not meet the underwriting parameters established for the specific program book.
* Monitor monthly production, claim reports, hi\-lighting positive as well as negative trends on a monthly basis in terms of production and profitability.
* Evaluate the loss potential due to catastrophe, severity, and/or frequency.
* Utilize facultative reinsurance, knowledgeable of placement process and evaluate competitiveness of reinsurance quotes.
* Performs other duties as assigned.
**Job Requirements**
* Bachelor’s degree from four\-year college or university in business or one to three years’ related experience and/or training; or equivalent combination of education and experience.
* Minimally 10 years in commercial lines insurance industry; must have program underwriter experience; extensive work experience with various types of ART (Alternative Risk Transfer) programs required.
* Knowledge of loss responsive rating plans including but not limited to the expense components, collateral requirements with respect to GAAP Schedule F and program aggregate attachments.
* Ability to read and understand actuarial reports prepared to support program business. Ability to work with loss triangles, loss development (paid vs. reserved) and IBNR in evaluating the proposed program structure.
* Knowledge of product development including drafting manuscript coverage forms unique to the specific program and the ability to facilitate product development with specific program state filings.
* Ability to create a program proposal, including the letter of intent, binder terms and conditions and pricing components of the program.
* Ability to solve practical problems and deal with a variety of concrete variables in situations where only limited standardization exists. Ability to interpret a variety of instructions furnished in written, oral, diagram, or schedule form.
* CPCU or IIA designation preferred.
* Competent in Internet software; Spreadsheet software and Word Processing software.
* Competent communication, interpersonal, and organizational skills; ability to multi\-task.
* Some travel required
**Key Competencies:** 
* Analytical \- Synthesizes complex or diverse information; Collects and researches data.
* Design \- Demonstrates attention to detail.
* Problem Solving \- Identifies and resolves problems in a timely manner; Gathers and analyzes information skillfully.
* Interpersonal Skills \- Focuses on solving conflict, not blaming; Maintains confidentiality.
* Oral Communication \- Listens and gets clarification; Responds well to questions.
* Written Communication \- Writes clearly and informatively; edits work for spelling and grammar; Varies writing style to meet needs; Able to read and interpret written information.</t>
        </is>
      </c>
    </row>
    <row r="173">
      <c r="A173" t="inlineStr">
        <is>
          <t>li-4356831582</t>
        </is>
      </c>
      <c r="B173" t="inlineStr">
        <is>
          <t>Senior Program Manager, Partner Success</t>
        </is>
      </c>
      <c r="C173" t="inlineStr">
        <is>
          <t>Electronic Arts (EA)</t>
        </is>
      </c>
      <c r="D173" t="inlineStr">
        <is>
          <t>linkedin</t>
        </is>
      </c>
      <c r="E173">
        <f>HYPERLINK("https://www.linkedin.com/jobs/view/4356831582", "https://www.linkedin.com/jobs/view/4356831582")</f>
        <v/>
      </c>
      <c r="F173" t="inlineStr"/>
      <c r="G173" t="inlineStr">
        <is>
          <t>Austin, TX</t>
        </is>
      </c>
      <c r="H173" t="inlineStr"/>
      <c r="I173"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Our EA Experiences group is dedicated to ensuring great experiences for our growing communities centered around our world\-renowned brands, including fan\-favorites like Apex, Battlefield, EA SPORTS FC, Madden NFL and The Sims, just to name a few. We're a multi\-functional group, with world\-class expertise building fandoms, driving interactive storytelling, and positioning our franchises at the center of the broader entertainment ecosystem. We inspire, connect, and engage fans through culturally relevant content, intentionally architected journeys across channels, and meaningful fan care. Our goal is to provide valuable, easy experiences that fans love – in our games, around our games, and through innovative adjacent experiences to grow and enrich how fans experience EA as we shape the future of entertainment. Our Fan Journey Experience Design organization is seeking a Senior Program Manager, Partner Success.
 Your Impact
 A Program Manager in the Partner Success team ensures initiatives are well planned, aligned, and delivered on time and within scope. They streamline collaboration across researchers, technologists, and partners, removing roadblocks and keeping everyone focused on priorities. Their work accelerates delivery of high\-quality customer experience improvements, maximizes resources, and drives measurable business and customer value. This role reports to the Director of Partner Success.
**Responsibilities**
 Program \&amp; Project Leadership
* Own integrated workback schedules, milestones, and dependencies for large partner programs and high\-impact initiatives
* Coordinate across UX, technology, operations, business teams, and external partners to ensure alignment and accountability
* Track progress, risks, and issues; proactively resolve blockers and escalate when needed
* Drive consistent program rhythms (kickoffs, status updates, checkpoints, retrospectives)
 Partner Management
* Serve as a primary operational partner contact for assigned initiatives
* Ensure partners understand timelines, expectations, and decision paths
* Capture partner insights and feedback and ensure they are integrated into program execution and decisions
* Foster trusted, collaborative relationships that support long\-term success
 Program Operations \&amp; Enablement
* Design and maintain program tracking systems (e.g., Airtable, dashboards, documentation)
* Improve workflows, tools, and reporting to increase efficiency and consistency
* Provide leadership with clear visibility into status, outcomes, risks, and ROI
* Establish lightweight frameworks and best practices that enable tactical teams to self\-manage smaller projects
 Scaling \&amp; Governance
* Help define when Partner Success leads vs supports initiatives
* Influence and guide project management practices across partner\-driven work
* Ensure consistency in documentation, communication, and operating norms
* Support planning, prioritization, and dependency management across programs
 If this role is for you, you are…
* Enablement\-minded and people\-first — you care about culture and making it easier for teams and partners to do great work
* Curious and collaborative — you seek context, ask good questions, and work across teams to understand how things connect
* A clear, trusted communicator — you communicate confidently with everyone from senior leaders to delivery teams
* Comfortable managing multiple initiatives at once — you can prioritize across parallel workstreams, maintain momentum, and adapt as needs change
* Proactive, organized, and systems\-oriented — you take ownership, bring structure to complexity, and continuously improve how work gets done
**Qualifications**
* Strong communication skills across written, visual, and verbal formats
* Proven experience leading complex, cross\-functional programs
* Experience managing external partners and stakeholder relationships
* High comfort with ambiguity and shared ownership
* Program and project management expertise
* Strong partner management and collaboration skills
* Advanced proficiency with tools such as Airtable, Google Suite, Asana, Jira, Smartsheet, or similar
* Ability to design and maintain operational systems and reporting
* Experience establishing KPIs and measuring business and customer impact
* Comfort working with senior leaders and influencing without authority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\*$111,600 \- $152,800 CAD
 Pay is just one part of the overall compensation at EA.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174">
      <c r="A174" t="inlineStr">
        <is>
          <t>li-4367280875</t>
        </is>
      </c>
      <c r="B174" t="inlineStr">
        <is>
          <t>Program Manager - Partner Enablement</t>
        </is>
      </c>
      <c r="C174" t="inlineStr">
        <is>
          <t>RemoteHunter</t>
        </is>
      </c>
      <c r="D174" t="inlineStr">
        <is>
          <t>linkedin</t>
        </is>
      </c>
      <c r="E174">
        <f>HYPERLINK("https://www.linkedin.com/jobs/view/4367280875", "https://www.linkedin.com/jobs/view/4367280875")</f>
        <v/>
      </c>
      <c r="F174" t="inlineStr"/>
      <c r="G174" t="inlineStr"/>
      <c r="H174" t="inlineStr"/>
      <c r="I174" t="inlineStr">
        <is>
          <t>About the Opportunity:
 The organization is focused on enabling digital transformation by providing an affordable, integrated SaaS solution that simplifies business operations. The Program Manager \- Partner Enablement will support the growth of Channel Partnerships and Enablement efforts by leading, planning, prioritizing, and delivering scaled partner enablement initiatives globally. This role works closely with Channel Partners, Ecosystem Partners, Alliances, Partner Marketing, Product, Product Marketing, and Revenue Operations leadership. The position reports to the Senior Manager, Sales Enablement, and is responsible for program management to ensure successful deployment, adoption, and capability delivery of partner programs.
 Responsibilities:
 • Drive creation, implementation, and iteration of partner enablement program plans including learning path design, facilitation, systems/tools/process integration, measurement, tracking, reporting, and communications
 • Coordinate and orchestrate complex partner enablement initiatives across multiple lines of business
 • Liaise with Pre\-Sales, Tech Support, and Product Marketing teams to deliver partner onboarding
 • Manage project workstreams including partner\-facing enablement and relevant communications to all organizational levels
 • Advise senior leaders and managers to support their roles as sponsors and evangelists for major initiatives
 • Operate effectively in ambiguous environments, supporting various teams by learning quickly, being proactive, and owning broad work tracks
 • Use strategic, operational, and problem\-solving skills to analyze ambiguous problems, extrapolate insights, and deliver recommendations
 Requirements:
 • 5\+ years experience managing global programs in fast\-paced, highly matrixed corporate environments
 • Undergraduate degree (Bachelor of Science or Bachelor of Arts)
 • 3\+ years Sales Enablement experience and 5\+ years in a partnership role within a technology company preferred
 • Experience designing and delivering live and virtual training based on learning principles and best practices
 • Experience facilitating multiple learning types and communication frameworks
 • Prior Channel Partner Enablement experience in a large global SaaS organization
 • Experience with partner\-specific communication and partner segmentation/enabling delivery
 • Cross\-functional leadership experience
 • Proficiency with tools such as Mindmatrix, WorkRamp, Salesforce, Gong, Jira, or similar systems
 • Strong narrative and storytelling skills for internal communications
 • Ability to manage time, risk, prioritize tasks, and meet deadlines independently in a fast\-paced environment
 • Strong executive presence with clear expectation setting and accountability enforcement
 • Demonstrated problem\-solving and root cause analysis skills
 • Excellent communication, interpersonal, and organizational skills
 • Experience leading strategic development and execution of major global programs and projects across multiple business lines
 • Experience working with senior sales leaders and executive stakeholders
 • Quantitative, analytical, and conceptual business problem\-solving skills
 • Project management certification (e.g., PMP)
 Benefits \&amp; Perks:
 • Flexible work environment
 • Vacation bonus
 • Flexible paid time off
 • Paid parental leave
 • Full suite of traditional benefits
 • Training and advancement opportunities
 • 401(k) with company match and immediate vesting
 • Financial wellness education
 • Company\-contributed Health Savings Account (HSA)
 • Onsite amenities including gym, pickleball, snacks and drinks, arcade, theater room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75">
      <c r="A175" t="inlineStr">
        <is>
          <t>li-4367266250</t>
        </is>
      </c>
      <c r="B175" t="inlineStr">
        <is>
          <t>Program Manager, NPI</t>
        </is>
      </c>
      <c r="C175" t="inlineStr">
        <is>
          <t>Viant Medical</t>
        </is>
      </c>
      <c r="D175" t="inlineStr">
        <is>
          <t>linkedin</t>
        </is>
      </c>
      <c r="E175">
        <f>HYPERLINK("https://www.linkedin.com/jobs/view/4367266250", "https://www.linkedin.com/jobs/view/4367266250")</f>
        <v/>
      </c>
      <c r="F175">
        <f>HYPERLINK("https://jobs.dayforcehcm.com/en-US/medplast/CANDIDATEPORTAL/jobs/27201&amp;urlHash=sBld", "https://jobs.dayforcehcm.com/en-US/medplast/CANDIDATEPORTAL/jobs/27201&amp;urlHash=sBld")</f>
        <v/>
      </c>
      <c r="G175" t="inlineStr">
        <is>
          <t>Wheeling, IL</t>
        </is>
      </c>
      <c r="H175" t="inlineStr"/>
      <c r="I175" t="inlineStr">
        <is>
          <t>We’re a company of agile, customer\-oriented individuals with a shared commitment to integrity, servant leadership, and teamwork. Our associates take pride and ownership in their work, and innovate to provide the highest quality, life\-enhancing medical technology in the world. Together, We’re in It for Life.
 The Program Manager is responsible for directing and applying hands\-on technical skills to programs and projects at all stages of the lifecycle ensuring customer needs are met, active communication happens regularly, and that budgets and timelines are controlled. Drives for successful outcomes to assure best\-in\-class design and quality for product and provides seamless communication between Viant and customers.
**Program Manager, NPI Engineering**
**Responsibilities:**
* Drive the sites Sales and Operations planning process to develop mid\-to\-long range operating plans, which drives the demand and capacity planning function
* Assist in capital expenditure (CER) justification and approval working with peers within operations
* Works with Viant Medical Customers and Customer Operations Management (COM) in the establishment and management of Kanban and Consigned Finished Goods Inventory programs, and ensures that proper Demand and Capacity Plans are implemented to support these requirements at their site
* Management responsibilities for demand and capacity planning, production scheduling and execution, inventory, purchasing and supplier service level management. Responsible for integrating production schedules with business planning and forecasting.
* Must be a driver of lean manufacturing and a lean culture
* Responsible for inventory accuracy (raw, outside services, WIP and finished goods) and cycle count programs. Working closely with finance, maintaining appropriate inventory levels to meet customer demand while meeting Viant Medical financial objectives
* Manage and support outside service providers to meet Viant Medical business requirements
* Participate in daily lean huddles as well as, participate on project teams as required
* Responsible for the planning systems for all raw materials, internal operations, subcontract operations and outside supporting services
* Responsible for production order execution and working with operations to ensure that our on\-time delivery, cycle time and fill\- rate goals are met
* Responsible for site procurement activities (raw materials, outside services (OSV) as well as expense items)
* Supply Chain Sourcing – actively participates with Viant Management team on Strategic Supplier partnerships and agreements in support of Viant Medical Strategic Goals
* Participates in Strategic Sourcing Commodity management on Supplier Relationship Management (Quarterly Business Reviews (QBR) with key suppliers for the site, as well as participates in Global Sourcing supplier relationship management (SRM) meetings as required
* Participating in Supply Chain meetings within Viant Medical to foster cross site teamwork and development of our Global Supply Chain capabilities
* Explore new technologies and processes, to reduce non\-value\-added procurement and planning activities
* Participate in the contract review of all new products / processes
* Perform other duties as needed
**Requirements**
* Bachelor’s Degree in Business, Engineering or related field
* 5\+ Years of Experience in increasing levels of responsibility within Program Management
* 3\-5 Years of Program/Project Management Experience
* Prior experience required must have prior hands on experience within scheduling, Capacity Planning and production planning
* PMP Certificate in Program Management a plus
* Experience with ERP/MRP systems (Oracle, SAP, JD Edwards)
**Skills/Competencies:**
* Experience in the Medical Device Industry strongly preferred
* Advanced understanding of Program Management
* Experience/knowledge of MRP/ERP systems, production scheduling, inventory management, and contract management and negotiation
* Ability to work independently and with fellow team members
* Excellent organizational, time management and communication skills (verbal and written)
* Excellent ability to analyze, think and communicate with well\-supported data
* Excellent problem\-solving skills; the ability to ask the right questions, help frame logical conclusions and arrive at effective solutions
* Data and Metric oriented for decision making
* Advanced knowledge in MS Office and Excel competency
* ORACLE experience is a plus, but not required
**Physical Requirements:**
* Performs light, non\-strenuous administrative activities on a regular basis.
* Occasionally lifts up to 20 lbs. and carries up to 10 lbs.; may involve minimal bending, pushing/pulling, crawling, climbing, balancing, or standing for extended periods.
* Maintains manual dexterity to handle and manipulate small items effectively.
* Requires visual acuity to distinguish colors, assess spatial relationships, and focus on fine details (e.g., using microscopes or similar equipment).
**Travel:**
* Minimal overnight travel (up to 10%) by land and air.
**Benefits:**
* Medical, dental, and vision benefits\-effective date of hire!
* Company\-paid life insurance and disability benefits
* Generous Paid time off and 10 paid Holidays
* 401k Plan with Company Match
* Tuition Reimbursement
* Voluntary Universal Life and Long\-Term Care
* Voluntary Legal Plan
* Pet Insurance
* Home Ownership Program.
 We offer market competitive compensation. Potential salary range for this role is $100k\-$125k. Actual pay will be determined based on experience, qualifications, geographic location, and other job\-related factors permitted by law.
 Viant is a global medical device design and manufacturing services provider that partners and innovates with customers to provide the highest quality, life enhancing medical devices. We do this through our depth and breadth of capabilities, end\-to\-end integration, technical expertise, and relentless focus on our customers and on operational excellence. With nearly 6,000 associates across 24 locations worldwide, we offer a unique combination of small\-company service and attention with big\-company resources. For more information, visit viantmedical.com or follow us on LinkedIn.
 Viant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 Viant complies with applicable state and local laws governing nondiscrimination in employment in every location in which the company has facilities.</t>
        </is>
      </c>
    </row>
    <row r="176">
      <c r="A176" t="inlineStr">
        <is>
          <t>li-4367495336</t>
        </is>
      </c>
      <c r="B176" t="inlineStr">
        <is>
          <t>Senior Program Manager, GTM Programs</t>
        </is>
      </c>
      <c r="C176" t="inlineStr">
        <is>
          <t>Google</t>
        </is>
      </c>
      <c r="D176" t="inlineStr">
        <is>
          <t>linkedin</t>
        </is>
      </c>
      <c r="E176">
        <f>HYPERLINK("https://www.linkedin.com/jobs/view/4367495336", "https://www.linkedin.com/jobs/view/4367495336")</f>
        <v/>
      </c>
      <c r="F176">
        <f>HYPERLINK("https://careers.google.com/jobs/results/114813933830709958-senior-program-manager/?src=Online/LinkedIn/linkedin_us&amp;utm_source=linkedin&amp;utm_medium=jobposting&amp;utm_campaign=contract&amp;urlHash=3ojJ", "https://careers.google.com/jobs/results/114813933830709958-senior-program-manager/?src=Online/LinkedIn/linkedin_us&amp;utm_source=linkedin&amp;utm_medium=jobposting&amp;utm_campaign=contract&amp;urlHash=3ojJ")</f>
        <v/>
      </c>
      <c r="G176" t="inlineStr">
        <is>
          <t>Kirkland, WA</t>
        </is>
      </c>
      <c r="H176" t="inlineStr"/>
      <c r="I176"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**Kirkland, WA, USA; New York, NY, USA; Sunnyvale, CA, USA** 
 .
 **Minimum qualifications:**
* Bachelor's degree or equivalent practical experience.
* 8 years of experience in program or project management.
* 6 years of experience in management consulting.
* Experience in leading cross\-functional programs across their life\-cycle (e.g., opportunity definition, solution design, implementation and operations).
**Preferred qualifications:**
* 8 years of experience managing cross\-functional or cross\-team projects.
* Experience as a executive consulting leader (i.e., Associate Partner or equivalent level).
* Understanding of the cloud services industry and enterprise sales function.
* Ability to build consensus among senior leaders with differing priorities.
* Excellent communication and influencing skills.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Senior Program Manager, you will focus on the critical intersection between Google Cloud Platform’s Engineering and Sales functions. You will be responsible for identifying, designing, and landing cross\-functional solutions that improve alignment, operational excellence, and outcomes between Sales and Engineering.
 We will measure the success of the Program Manager by the effectiveness (e.g., Business and customer satisfaction) and efficiency (e.g., stakeholder toil) of the solutions (mechanisms and programs) that they design and land in partnership with Go\-to\-Market (GTM) and Engineering leaders.
 This highly\-visible role requires a unique blend of strategic problem\-solving, process engineering/operations, and executive\-level influence.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$174,000\-$258,000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Identify the best opportunities for improving alignment and business performance between Engineering and Sales.
* Design, implement, and manage new programs and mechanisms to streamline collaboration, create transparency, and accelerate outcomes.
* Partner with technical and operations teams to define requirements for tooling integrations, creating more seamless workflows for both organizations.
* Develop, track, and improve key performance indicators (KPIs) for process effectiveness and efficiency, reporting on progress to executive leadership and driving a culture of continuous improvement.
* Act as a key strategic partner and trusted advisor to leaders in both Sales and Engineering, navigating complex priorities and driving consensus.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7">
      <c r="A177" t="inlineStr">
        <is>
          <t>li-4367494372</t>
        </is>
      </c>
      <c r="B177" t="inlineStr">
        <is>
          <t>Senior Program Manager, GTM Programs</t>
        </is>
      </c>
      <c r="C177" t="inlineStr">
        <is>
          <t>Google</t>
        </is>
      </c>
      <c r="D177" t="inlineStr">
        <is>
          <t>linkedin</t>
        </is>
      </c>
      <c r="E177">
        <f>HYPERLINK("https://www.linkedin.com/jobs/view/4367494372", "https://www.linkedin.com/jobs/view/4367494372")</f>
        <v/>
      </c>
      <c r="F177" t="inlineStr"/>
      <c r="G177" t="inlineStr">
        <is>
          <t>Sunnyvale, CA</t>
        </is>
      </c>
      <c r="H177" t="inlineStr"/>
      <c r="I177"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**Kirkland, WA, USA; New York, NY, USA; Sunnyvale, CA, USA** 
 .
 **Minimum qualifications:**
* Bachelor's degree or equivalent practical experience.
* 8 years of experience in program or project management.
* 6 years of experience in management consulting.
* Experience in leading cross\-functional programs across their life\-cycle (e.g., opportunity definition, solution design, implementation and operations).
**Preferred qualifications:**
* 8 years of experience managing cross\-functional or cross\-team projects.
* Experience as a executive consulting leader (i.e., Associate Partner or equivalent level).
* Understanding of the cloud services industry and enterprise sales function.
* Ability to build consensus among senior leaders with differing priorities.
* Excellent communication and influencing skills.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Senior Program Manager, you will focus on the critical intersection between Google Cloud Platform’s Engineering and Sales functions. You will be responsible for identifying, designing, and landing cross\-functional solutions that improve alignment, operational excellence, and outcomes between Sales and Engineering.
 We will measure the success of the Program Manager by the effectiveness (e.g., Business and customer satisfaction) and efficiency (e.g., stakeholder toil) of the solutions (mechanisms and programs) that they design and land in partnership with Go\-to\-Market (GTM) and Engineering leaders.
 This highly\-visible role requires a unique blend of strategic problem\-solving, process engineering/operations, and executive\-level influence.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$174,000\-$258,000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Identify the best opportunities for improving alignment and business performance between Engineering and Sales.
* Design, implement, and manage new programs and mechanisms to streamline collaboration, create transparency, and accelerate outcomes.
* Partner with technical and operations teams to define requirements for tooling integrations, creating more seamless workflows for both organizations.
* Develop, track, and improve key performance indicators (KPIs) for process effectiveness and efficiency, reporting on progress to executive leadership and driving a culture of continuous improvement.
* Act as a key strategic partner and trusted advisor to leaders in both Sales and Engineering, navigating complex priorities and driving consensus.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8">
      <c r="A178" t="inlineStr">
        <is>
          <t>li-4367629254</t>
        </is>
      </c>
      <c r="B178" t="inlineStr">
        <is>
          <t>Data Center Program Manager</t>
        </is>
      </c>
      <c r="C178" t="inlineStr">
        <is>
          <t>Oxford Solutions</t>
        </is>
      </c>
      <c r="D178" t="inlineStr">
        <is>
          <t>linkedin</t>
        </is>
      </c>
      <c r="E178">
        <f>HYPERLINK("https://www.linkedin.com/jobs/view/4367629254", "https://www.linkedin.com/jobs/view/4367629254")</f>
        <v/>
      </c>
      <c r="F178" t="inlineStr"/>
      <c r="G178" t="inlineStr">
        <is>
          <t>Pittsburgh, PA</t>
        </is>
      </c>
      <c r="H178" t="inlineStr"/>
      <c r="I178" t="inlineStr">
        <is>
          <t>Oxford Solutions is working with an established engineering consulting firm to fill a senior\-level Data Center Program Manager role. This is a direct hire opportunity with a hybrid work schedule, supporting large\-scale mission\-critical projects primarily across Texas and Columbus, Ohio.
 This position is ideal for a seasoned engineering program leader who can manage complex data center initiatives from early planning through commissioning, while also supporting business development, proposal efforts, and team leadership within the mission\-critical space.
**Responsibilities** 
* Lead the full lifecycle of data center and mission\-critical projects from site planning and entitlement through design, construction, and commissioning
* Manage project scope, schedules, budgets, and technical deliverables across multidisciplinary teams
* Serve as a primary client contact, building long\-term relationships through consistent communication and execution
* Support business development efforts including sourcing leads, writing proposals, and participating in fee negotiations
* Coordinate internal engineering disciplines including civil, power, utilities, and site infrastructure
* Represent the organization in client meetings, industry events, and market\-facing initiatives
* Mentor and manage technical teams, supporting recruiting, retention, and professional development
* Collaborate with internal specialists to implement digital tools and innovative project delivery methods
* Stay current on emerging trends, technologies, and standards within the data center and mission\-critical industry
**Required Qualifications** 
* Bachelor’s degree in Engineering or a related technical field
* 15\-20 years of overall professional experience
* Minimum of 5 years of direct data center or mission\-critical project experience
* Proven experience leading large, complex engineering programs
* Strong leadership, communication, and organizational skills
* Ability to travel as needed to project sites
**Preferred Qualifications** 
* Experience supporting hyperscale or colocation data center projects
* Background working with multidisciplinary engineering teams across site, power, and infrastructure
* Familiarity with project management platforms
* Exposure to CAD, BIM, or digital delivery tools in an engineering environment
 Data Center Program Manager – Mission Critical Infrastructure \- 26\-00100</t>
        </is>
      </c>
    </row>
    <row r="179">
      <c r="A179" t="inlineStr">
        <is>
          <t>li-4356811750</t>
        </is>
      </c>
      <c r="B179" t="inlineStr">
        <is>
          <t>Senior Program Manager</t>
        </is>
      </c>
      <c r="C179" t="inlineStr">
        <is>
          <t>Tulane University</t>
        </is>
      </c>
      <c r="D179" t="inlineStr">
        <is>
          <t>linkedin</t>
        </is>
      </c>
      <c r="E179">
        <f>HYPERLINK("https://www.linkedin.com/jobs/view/4356811750", "https://www.linkedin.com/jobs/view/4356811750")</f>
        <v/>
      </c>
      <c r="F179">
        <f>HYPERLINK("https://jobs.tulane.edu/position/IRC34253&amp;urlHash=dIUV", "https://jobs.tulane.edu/position/IRC34253&amp;urlHash=dIUV")</f>
        <v/>
      </c>
      <c r="G179" t="inlineStr">
        <is>
          <t>New Orleans, LA</t>
        </is>
      </c>
      <c r="H179" t="inlineStr"/>
      <c r="I179" t="inlineStr">
        <is>
          <t>**Summary**
 Tulane’s Celia Scott Weatherhead School of Public Health and Tropical Medicine, one of the nation’s most respected public health institutions, seeks a dynamic Senior Program Manager to lead its graduate and professional programs in Health Policy and Management (HPM). This is a leadership role for an experienced academic manager who thrives at the intersection of operations and student success. Reporting directly to the Department Chair, this individual manages a diverse portfolio of degree programs, including MPH, MHA (on\-campus and online), PhD, international and executive programs, and joint and dual degrees.
 Tulane offers the opportunity to do meaningful work in a collaborative, mission\-driven environment that values innovation, equity, and public service. Located in the heart of New Orleans, the Celia Scott Weatherhead School is deeply engaged with local and global communities. It is nationally recognized for excellence in health policy, management, and leadership development. If you are a thoughtful leader who enjoys supporting students and partnering with faculty to advance high\-quality academic programs, we invite you to consider this role. This is a fully on\-campus position in New Orleans, Louisiana.
**Required Knowledge, Skills, And Abilities**
* In\-depth understanding of financial principles, including budgetary and fiscal management
* Demonstrated ability to prioritize and manage multiple tasks and work well under pressure.
* Ability to exercise independent judgment and problem\-solving
* Strong communication (written and oral) and organizational skills
* Ability to maintain confidentiality in all work performed
* Demonstrated ability to interact well with diverse groups of people
* Proficiency with a variety of management software including database applications
**Required Education And/or Experience**
* Master’s Degree in Health Administration, Public Health, Business, or related field, and two years of experience in a progressively responsible administrative or managerial position
**OR**
* Bachelor’s Degree and five years of experience, or high school diploma and nine years experience
**Preferred Qualifications**
* Three years of experience in academic programming</t>
        </is>
      </c>
    </row>
    <row r="180">
      <c r="A180" t="inlineStr">
        <is>
          <t>li-4367483061</t>
        </is>
      </c>
      <c r="B180" t="inlineStr">
        <is>
          <t>Trauma Program Manager</t>
        </is>
      </c>
      <c r="C180" t="inlineStr">
        <is>
          <t>Northwell Health</t>
        </is>
      </c>
      <c r="D180" t="inlineStr">
        <is>
          <t>linkedin</t>
        </is>
      </c>
      <c r="E180">
        <f>HYPERLINK("https://www.linkedin.com/jobs/view/4367483061", "https://www.linkedin.com/jobs/view/4367483061")</f>
        <v/>
      </c>
      <c r="F180" t="inlineStr"/>
      <c r="G180" t="inlineStr">
        <is>
          <t>Mount Kisco, NY</t>
        </is>
      </c>
      <c r="H180" t="inlineStr"/>
      <c r="I180" t="inlineStr">
        <is>
          <t>179256
**Job Description**
 Manages clinical services, systems, and performance improvement activities as they relate to a multidisciplinary approach to providing care to injured patients. Collaborates with the trauma Medical Director in developing and maintaining policies and procedures for the Trauma Critical Care Department.
 Job Responsibility
* Collaborates with the Nurse Executive to establish nursing care standards and evaluates staff compliance.
* Identifies research protocols effecting the patient population served and keeps nursing staff informed.
* Facilitates effective provision of support services essential to patient care.
* Maintains a safe and caring environment for patients that is conducive to positive health teaching, and maintenance; patient and family expectations of care; develops mechanism to assess same.
* Develops unit goals and objectives to support the institutional values and goals, with input from staff.
* Recognizes the need for patient care to be delivered in a culturally sensitive manner and role models sensitivity to staff.
* Monitors indicators of clinical process indicators, system issues, and outcomes related to the quality of care provided to trauma patients.
* Develops quality indicators, filters, and audits; identifies trends and sentinel events; participates in case reviews of trauma patients.
* Assists the team leaders in outlining and implementing remedial actions.
* Performs related duties as required. All responsibilities noted here are considered essential functions of the job under the Americans with Disabilities Act. Duties not mentioned here, but considered related are not essential functions.
 Job Qualification
* Bachelor of Science in Nursing required.
* Current License to practice as a Registered Professional Nurse in New York State required, plus specialized certifications as needed.
* 5\-7 years of relevant experience and 0\-2 years of leadership / management experience, required.
* Additional Salary Detail The salary range and/or hourly rate listed is a good faith determination of potential base compensation that may be offered to a successful applicant for this position at the time of this job advertisement and may be modified in the future.When determining a team member's base salary and/or rate, several factors may be considered as applicable (e.g., location, specialty, service line, years of relevant experience, education, credentials, negotiated contracts, budget and internal equity).</t>
        </is>
      </c>
    </row>
    <row r="181">
      <c r="A181" t="inlineStr">
        <is>
          <t>li-4367613945</t>
        </is>
      </c>
      <c r="B181" t="inlineStr">
        <is>
          <t>Senior Program Manager, CGM</t>
        </is>
      </c>
      <c r="C181" t="inlineStr">
        <is>
          <t>University of Pittsburgh</t>
        </is>
      </c>
      <c r="D181" t="inlineStr">
        <is>
          <t>linkedin</t>
        </is>
      </c>
      <c r="E181">
        <f>HYPERLINK("https://www.linkedin.com/jobs/view/4367613945", "https://www.linkedin.com/jobs/view/4367613945")</f>
        <v/>
      </c>
      <c r="F181" t="inlineStr"/>
      <c r="G181" t="inlineStr">
        <is>
          <t>Pittsburgh, PA</t>
        </is>
      </c>
      <c r="H181" t="inlineStr"/>
      <c r="I181" t="inlineStr">
        <is>
          <t>Manages and ensures effective research project completion. Oversees complex and concurring projects and supervises team. Coordinates research operations, answers inquiries, and prepares research reports and materials. Designs and implements an organizational system, quality control procedures, and systems for maximum utilization of project resources. Implements communications plans, obtain applicable regulatory approvals, and ensure adherence to regulations, policies, and procedures.
 SPIA\-Office of the Dean
 Reporting to the Executive Director of CGM and faculty principal investigators, the Senior Program Manager will oversee the planning, coordination, and implementation of CGM’s research initiatives, ensuring timely delivery of all required outputs and activities in accordance with documented commitments. The incumbent will be responsible for maintaining continuity, quality control, and alignment across project components, while proactively monitoring progress against milestones and addressing implementation challenges as they arise.
 The Senior Program Manager will serve as the primary programmatic liaison among faculty leadership, university units, and external partners, including civic, religious, nonprofit, and community organizations across Pittsburgh and the greater tri\-state region, as well as national partner organizations. The role includes leading community\-engaged programming, managing regional partnerships, and supporting applied civic leadership initiatives. A core responsibility of this position is to build trust\-based relationships across ideological, cultural, and institutional divides, ensuring that programming reflects CGM’s pluralism\-centered approach to civil discourse in practice.
 The position also carries responsibility for tracking program outputs, participation, and deliverables; maintaining clear documentation to support evaluation, reporting, and replication; managing internal project management systems and digital repositories; and coordinating closely with CGM leadership to ensure grant compliance, reporting, and evaluation requirements are met. The qualified candidate will have commitment to the mission of CGM, with strong interest and experience in issues related to pluralism and civil discourse and thrive in an environment of viewpoint diversity. The incumbent will interface with scholars within the University and around the world and must be able to communicate with clarity, humility, discretion, and represent the Center’s values. An ideal candidate will have the ability to integrate AI\-driven tools into project management processes to improve efficiency, tracking, and decision\-making
 This position is 100% funded by non\-operating funds.
**Essential Functions**
 Excellent organizational and project management skills; ability to communicate clearly and professionally with diverse audiences; strong written, verbal, and interpersonal communication skills; ability to manage multiple priorities simultaneously; proficiency with common office, communication, and project management technologies.
**Physical Effort**
 Primarily sedentary. May occasionally be required to lift or transport materials or supplies and to move between locations on campus for meetings or events.
 The University of Pittsburgh is an equal opportunity employer / disability / veteran.
**Assignment Category**
 Full\-time regular
**Job Classification**
 Staff.Supervisor \- Research Program Coordinator
**Job Family**
 Research
**Job Sub\-Family**
 Research Program Support
**Campus**
 Pittsburgh
**Minimum Education Level Required**
 Bachelor's Degree
**Minimum Years Of Experience Required**
 2
**Will this position accept substitution in lieu of education or experience?**
 Combination of education and relevant experience will be considered in lieu of education and/ or experience requirement.
**Additional Details About Required Licensure/Certification**
 Master’s degree strongly preferred, particularly in public policy, social sciences, or a related field.
**Work Schedule**
 Monday \- Friday, 8:30 a.m. \- 5:00 p.m.
**Work Arrangement**
 Hybrid: Combination of On\-Campus and Remote work as determined by the department.
**Hiring Range**
**To Be Determined Based On Qualifications**
**Relocation Offered**
 No
**Visa Sponsorship Provided**
 No
**Background Check**
 For position finalists, employment with the University will require successful completion of a background check
**Child Protection Clearances**
 Not Applicable
**Required Documents**
 Resume, Cover Letter
**Optional Documents**
 Not Applicable</t>
        </is>
      </c>
    </row>
    <row r="182">
      <c r="A182" t="inlineStr">
        <is>
          <t>li-4367629036</t>
        </is>
      </c>
      <c r="B182" t="inlineStr">
        <is>
          <t>Senior/Staff Technical Program Manager - System Safety for Cross Functional Initiatives</t>
        </is>
      </c>
      <c r="C182" t="inlineStr">
        <is>
          <t>Zoox</t>
        </is>
      </c>
      <c r="D182" t="inlineStr">
        <is>
          <t>linkedin</t>
        </is>
      </c>
      <c r="E182">
        <f>HYPERLINK("https://www.linkedin.com/jobs/view/4367629036", "https://www.linkedin.com/jobs/view/4367629036")</f>
        <v/>
      </c>
      <c r="F182">
        <f>HYPERLINK("https://jobs.lever.co/zoox/fa7b53e5-b6f4-4912-943c-d20155435180/apply?source=LinkedIn&amp;urlHash=szzH", "https://jobs.lever.co/zoox/fa7b53e5-b6f4-4912-943c-d20155435180/apply?source=LinkedIn&amp;urlHash=szzH")</f>
        <v/>
      </c>
      <c r="G182" t="inlineStr">
        <is>
          <t>Foster City, CA</t>
        </is>
      </c>
      <c r="H182" t="inlineStr"/>
      <c r="I182" t="inlineStr">
        <is>
          <t>Zoox is on an ambitious journey to develop a full\-stack autonomous mobility solution for cities and to safely deploy a purpose\-built robotaxi. Our System Design and Mission Assurance (SDMA) team plays a foundational role in this mission by constructing the safety case for each critical milestone.
 We are seeking a Senior Technical Program Manager to lead highly cross\-functional initiatives that substantiate the safety case for Zoox’s autonomous software, vehicle platform, and operations. Your work will span both real\-world and virtual environments, ensuring that the autonomy stack, robot platform, and the operations meet rigorous performance, reliability, and safety requirements.
 This role operates horizontally across Autonomy Software, Robot Platform, and operations, aligning validation efforts, resolving cross\-domain dependencies, and ensuring cohesive execution across the system. You will be part of an organization with strong leadership and a transparent, respectful culture that empowers you to deliver at your highest potential.
**In This Role, You Will**
* Develop, drive, and own the end\-to\-end strategy for cross\-functional Verification and Validation (V\&amp;V) programs from planning through execution and closure.
* Lead cross\-functional coordination to define comprehensive simulation\-based and structured test plans.
* Align validation pipelines and synchronize program execution across technical program managers and engineering leads.
* Manage risk assessments, track critical issues, drive cross\-team resolutions, and escalate challenges where necessary.
* Define and track resource requirements, identify critical paths, and maintain visibility into key program milestones.
* Ensure program transparency, proactively identify risks, and drive mitigation strategies to maintain schedule and quality targets.
* Debrief company executives on program\-critical topics
**Qualifications**
* BS or MS degree in Engineering, Computer Science, or a related technical field, or equivalent practical experience.
* 7\+ years of experience leading complex technical programs or engineering initiatives, preferably in automotive, robotics, aerospace, or related industries.
* Demonstrated ability to lead technical teams through critical paths and deliver programs under tight timelines.
* Proficiency with project and issue tracking tools such as JIRA, and familiarity with Gantt charting, dependency mapping, and critical path management.
* Strong technical foundation with the ability to collaborate effectively with deep engineering teams across hardware, software, and systems disciplines.
* Proven track record of driving cross\-functional programs to completion in dynamic, fast\-paced environments with multiple stakeholders.
* Proficiency with basic statistics and probability
**Bonus Qualifications**
* Experience with validation of safety\-critical or high\-integrity systems.
* Familiarity with simulation environments, software pipelines, and/or data\-driven system modeling and analysis.
* Experience scaling validation and test strategies for complex autonomous systems.
 $179,000 \- $246,000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83">
      <c r="A183" t="inlineStr">
        <is>
          <t>li-4367293087</t>
        </is>
      </c>
      <c r="B183" t="inlineStr">
        <is>
          <t>Experience Design &amp; Engagement Program Manager</t>
        </is>
      </c>
      <c r="C183" t="inlineStr">
        <is>
          <t>Channel Impact</t>
        </is>
      </c>
      <c r="D183" t="inlineStr">
        <is>
          <t>linkedin</t>
        </is>
      </c>
      <c r="E183">
        <f>HYPERLINK("https://www.linkedin.com/jobs/view/4367293087", "https://www.linkedin.com/jobs/view/4367293087")</f>
        <v/>
      </c>
      <c r="F183" t="inlineStr"/>
      <c r="G183" t="inlineStr">
        <is>
          <t>Florida, United States</t>
        </is>
      </c>
      <c r="H183" t="inlineStr"/>
      <c r="I183" t="inlineStr">
        <is>
          <t>Channel Impact is a channel specialty firm that helps companies of all sizes achieve route\-to\-market success through partnering. Join us—to grow your career and be recognized as one of the best and brightest experts in the partner community.
 Channel Impact is seeking an
 **Experience Design \&amp; Engagement Program Manager** 
 to join our events team. In this role, you will lead the development of an intelligent and thoughtful end\-to\-end game strategy for our client’s Sales Kickoff and support bringing the XD strategy to life. In collaboration with our internal team, business partners, and content stakeholders, you will help deliver experiences that are fresh, engaging, and attendee\-ready.
 This is a full\-time, salaried position with benefits for a remote worker within the United States.
**What You Will Be Doing:** 
 Gamification for Sales Kick Off responsibilities:
* Develop Gamification Strategy:
* Define and execute a creative vision for event gamification, aligning with business objectives and sales team
* engagement goals.
 Program Management:
* Manage gamification timeline and understand how gamification milestones impact other work stream
* milestones, such as technology/platform and communications
 Lead Multidisciplinary Teams:
* Inspire and guide UI/UX designers, game designers, and event specialists, fostering innovation and collaboration throughout the project lifecycle.
 Design Engaging Systems:
* Create gameplay mechanics, competitive elements, and reward structures that make event participation fun, motivating, and memorable.
 Oversee User Experience:
* Ensure the development of intuitive and engaging user interfaces and experiences that maximize attendee satisfaction.
 Analyze \&amp; Iterate:
* Gather participant feedback and analyze engagement data to continuously refine and improve gamified elements.
 Ensure Seamless Execution:
* Oversee end\-to\-end implementation of gamification strategies, ensuring all elements are delivered smoothly and integrated flawlessly into the overall event experience XD Support Responsibilities
 Creative Development:
* Lead experiential component design such as new innovation elements, Partner Hub design, and networking opportunities, etc. in collaboration with third party business partners.
 Program Management:
* Manage timeline and understand how milestones impact other work stream milestones, such as technology/platform and communications
 Seamless Execution:
* Oversee end\-to\-end implementation of the experiences, ensuring all elements are delivered smoothly and integrated flawlessly into the overall event experience
**What You Bring:** 
* 3\+ years of experience in game design, gamification, or related fields, with a proven record of delivering successful, engaging experiences.
* Experience in designing systems, mechanics, and engagement strategies.
* Strong creative instincts balanced with analytical thinking and participant insight.
* Experience collaborating across cross\-functional teams.
* Ability to communicate effectively with both creative and technical partners.
* Familiarity with modern design tools and platforms.
* Passion for innovation and creating memorable experiences.
* Strong organizational and prioritization skills.
**Note:** 
 This is a vision\-driven role; technical fluency is required for collaboration but not hands\-on development
**Our Benefits:** 
* Competitive compensation commensurate with experience
* Full Healthcare Package including medical, dental, and vision insurance, long\-term disability insurance, life, and AD\&amp;D insurance
* Flexible paid time off
* Paid holidays
* 401k \&amp; Company Match
* Learning \&amp; Development Stipend
* Employee Referral Bonus
*Channel Impact is committed to creating a diverse environment and is proud to be an equal opportunity employer. All qualified applicants will receive consideration for employment without regard to race, religion, color, gender, gender identity or expression, sexual orientation, national origin, disability, age, veteran status or other applicable legally protected characteristics.*</t>
        </is>
      </c>
    </row>
    <row r="184">
      <c r="A184" t="inlineStr">
        <is>
          <t>li-4367601744</t>
        </is>
      </c>
      <c r="B184" t="inlineStr">
        <is>
          <t>Assistant Program Manager - Wharton Executive Education</t>
        </is>
      </c>
      <c r="C184" t="inlineStr">
        <is>
          <t>Inside Higher Ed</t>
        </is>
      </c>
      <c r="D184" t="inlineStr">
        <is>
          <t>linkedin</t>
        </is>
      </c>
      <c r="E184">
        <f>HYPERLINK("https://www.linkedin.com/jobs/view/4367601744", "https://www.linkedin.com/jobs/view/4367601744")</f>
        <v/>
      </c>
      <c r="F184">
        <f>HYPERLINK("https://jsv3.recruitics.com/redirect?rx_cid=804&amp;rx_jobId=3458106&amp;rx_url=https%3A%2F%2Fcareers.insidehighered.com%2Fjob%2F3458106%2Fassistant-program-manager-wharton-executive-education%2F%3FTrackID%3D3%26rx_campaign%3DLinkedin1%26rx_ch%3Dconnector%26rx_group%3D501092%26rx_id%3D7362fc5f-fdb5-11f0-b9f0-ad3cb29032b9%26rx_job%3D3458106%26rx_medium%3Dpost%26rx_r%3Dnone%26rx_source%3Dlinkedinslot%26rx_ts%3D20260130T181203Z%26rx_vp%3Dslots%26utm_campaign%3Dlinkedinslot%26utm_source%3Dlinkedinslot&amp;urlHash=dQbz", "https://jsv3.recruitics.com/redirect?rx_cid=804&amp;rx_jobId=3458106&amp;rx_url=https%3A%2F%2Fcareers.insidehighered.com%2Fjob%2F3458106%2Fassistant-program-manager-wharton-executive-education%2F%3FTrackID%3D3%26rx_campaign%3DLinkedin1%26rx_ch%3Dconnector%26rx_group%3D501092%26rx_id%3D7362fc5f-fdb5-11f0-b9f0-ad3cb29032b9%26rx_job%3D3458106%26rx_medium%3Dpost%26rx_r%3Dnone%26rx_source%3Dlinkedinslot%26rx_ts%3D20260130T181203Z%26rx_vp%3Dslots%26utm_campaign%3Dlinkedinslot%26utm_source%3Dlinkedinslot&amp;urlHash=dQbz")</f>
        <v/>
      </c>
      <c r="G184" t="inlineStr">
        <is>
          <t>Philadelphia, PA</t>
        </is>
      </c>
      <c r="H184" t="inlineStr"/>
      <c r="I184" t="inlineStr">
        <is>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Assistant Program Manager \- Wharton Executive Education
**Job Profile Title**
 Coordinator, Program
**Job Description Summary**
 Founded in 1881 as the world's first collegiate business school, the Wharton School of the University of Pennsylvania is shaping the future of business by incubating ideas, driving insights, and creating leaders who change the world. With campuses in both Philadelphia and San Francisco, Wharton has over 850 staff, a faculty population of more than 235 renowned professors, and 5,000 undergraduate, MBA, executive MBA, and doctoral students. Each year 13,000 professionals from around the world advance their careers through Wharton Executive Education's individual, company\-customized, and online programs. More than 104,000 Wharton alumni form a powerful global network of leaders who transform business every day. Wharton is home to a dynamic community of staff, bringing a wide range of skills, experiences, and perspectives. To learn more, visit www.wharton.upenn.edu.
 The Assistant Program Manager (Assistant PM) is responsible for the successful organization of program materials, including the creation of websites and enotebooks for assigned open enrollment and custom Wharton Executive Education programs held at the Steinberg Conference Center. The Assistant PM will also provide support for open enrollment and custom virtual programs. The Assistant PM will respond to questions in advance of programs, welcome learners at registration, and provide ongoing support to enhance the experience of learners throughout the program. The Assistant PM will create group surveys, manage simulation preparation, arrange transportation, and will create accurate learner badges, tents, and certificates.
 The Assistant Program Manager will work in accordance with standard operating procedures to ensure a seamless, high\-quality experience for learners. Assistant PM will work with the highest level of professionalism and will sometimes be required to work early mornings, late evenings, and some weekends to support assigned onsite and virtual programs.
**Job Description**
**Job Responsibilities**
* Collaborate with program managers and program directors to organize program materials, create program websites, and provide support for onsite and virtual executive education programs, as assigned.
* Respond to learner requests in advance of program and throughout program week. Ongoing communication with program team to ensure accurate and timely learner communications.
* Input critical program details into various ExecEd systems \- Ben Buys, Enlight, Wharton Direct, Canvas, and other platforms as required to ensure seamless program experience.
* Create notebooks and e\-notebooks, group surveys, and POs for program giveaways. Arrange transportation for offsite groups and special events.
* Review classroom setups to ensure all required standard and special\-order items are in place to support the program. Review break\-out rooms and case studies to ensure they are set up for learners. Create group lists for break\-out activities.
* Other duties and responsibilities as assigned.
**Qualifications**
 Bachelor's degree preferred with a minimum of 2\-3 years' experience or an equivalent combination of experience and education; experience preferably coordinating training programs or special events in a corporate or university environment.
* 
* Ability to work autonomously and in a team\-based environment.
* 
* Experience with public speaking a plus.
* 
* Proficiency with Outlook, PowerPoint, Excel, Zoom, Teams and ability to easily adapt to new systems.
* 
* Effective project management skills for management of ongoing multiple priorities.
* 
* Ability to maintain composure, effectiveness, and a pleasant demeanor under pressure.
* 
* Effective oral and written communications skills, to listen actively and explain information clearly.
* 
* Ability to work weekends, early mornings and evenings as needed and to serve as essential staff in emergencies.
**Job Location \- City, State**
 Philadelphia, Pennsylvania
**Department / School**
 Wharton School
**Pay Range**
 $23\.80 \- $28\.32 Hourly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 Tuition: Take advantage of Penn's exceptional tuition benefits. You, your spouse, and your dependent children can get tuition assistance here at Penn. Your dependent children are also eligible for tuition assistance at other institutions.
* Retirement: Penn offers generous retirement plans to help you save for your future. Penn's Basic, Matching, and Supplemental retirement plans allow you to save for retirement on a pre\-tax or Roth basis. Choose from a wide variety of investment options through TIAA and Vanguard.
* Time Away from Work: Penn provides you with a substantial amount of time away from work during the course of the year. This allows you to relax, take vacations, attend to personal affairs, recover from illness or injury, spend time with family\-whatever your personal needs may be.
*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 Professional and Personal Development: Penn provides an array of resources to help you advance yourself personally and professionally.
*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 Flexible Work Hours: Flexible work options offer creative approaches for completing work while promoting balance between work and personal commitments. These approaches involve use of non\-traditional work hours, locations, and/or job structures.
* Penn Home Ownership Services: Penn offers a forgivable loan for eligible employees interested in buying a home or currently residing in West Philadelphia, which can be used for closing costs or home improvements.
* Adoption Assistance: Penn will reimburse eligible employees on qualified expenses in connection with the legal adoption of an eligible child, such as travel or court fees, for up to two adoptions in your household.
 To learn more, please visit: https://www.hr.upenn.edu/PennHR/benefits\-pay
*Equal Employment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**To apply, visit https://wd1\.myworkdaysite.com/en\-US/recruiting/upenn/careers\-at\-penn/job/SCC\-Aresty\-InstExec\-Ed/Assistant\-Program\-Manager\-\-\-Wharton\-Executive\-Education\_JR00116207**
 Copyright ©2025 Jobelephant.com Inc. All rights reserved.
 Posted by the FREE value\-added recruitment advertising agency
 jeid\-ed5dcccb71df6a4bb4ac88a2844efeda</t>
        </is>
      </c>
    </row>
    <row r="185">
      <c r="A185" t="inlineStr">
        <is>
          <t>li-4356731825</t>
        </is>
      </c>
      <c r="B185" t="inlineStr">
        <is>
          <t>Senior Program Manager</t>
        </is>
      </c>
      <c r="C185" t="inlineStr">
        <is>
          <t>IBM</t>
        </is>
      </c>
      <c r="D185" t="inlineStr">
        <is>
          <t>linkedin</t>
        </is>
      </c>
      <c r="E185">
        <f>HYPERLINK("https://www.linkedin.com/jobs/view/4356731825", "https://www.linkedin.com/jobs/view/4356731825")</f>
        <v/>
      </c>
      <c r="F185" t="inlineStr"/>
      <c r="G185" t="inlineStr">
        <is>
          <t>Washington, DC</t>
        </is>
      </c>
      <c r="H185" t="inlineStr"/>
      <c r="I185" t="inlineStr">
        <is>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The Senior Program Manager will support the Air Force Civil Engineers by providing expert guidance and oversight for areas such as military infrastructure projects, Facility Sustainment, Restoration, and Modernization (FSRM) programs, asset management and strategy and governance.
 They will provide detailed updates to leadership and stakeholders by participating in meetings/forums through coordinating, developing, and delivering analysis and recommendations, as well as creating associated meeting materials.
**Preferred Education**
 Master's Degree
**Required Technical And Professional Expertise**
* Retired Air Force Civil Engineer Officer with a minimum of 15 years of experience supporting large\-scale government programs.
* Demonstrated ability to analyze legislative direction, DoD policies, and organizational processes, and to develop practical improvements and solutions.
* Extensive experience in senior\-level government program management, including oversight of complex, multi\-stakeholder initiatives.
* Deep knowledge of Air Force Civil Engineer mission areas and operational priorities.
* Proven ability to lead cross\-organizational collaboration, align stakeholders, and serve as a trusted advisor to clients and partners.
**Security Requirement**
 Must hold and maintain an active DoD Security Secret Clearance
**Preferred Technical And Professional Experience**
* Master’s degree in engineering or a related field, with extensive experience supporting facility and infrastructure requirements and processes.
* Demonstrated ability to apply policy to project requirements definition, programming, and execution, with a minimum of 15 years of experience.</t>
        </is>
      </c>
    </row>
    <row r="186">
      <c r="A186" t="inlineStr">
        <is>
          <t>li-4367600320</t>
        </is>
      </c>
      <c r="B186" t="inlineStr">
        <is>
          <t>Technical Program Manager III, Infrastructure Networking, Google Cloud</t>
        </is>
      </c>
      <c r="C186" t="inlineStr">
        <is>
          <t>Google</t>
        </is>
      </c>
      <c r="D186" t="inlineStr">
        <is>
          <t>linkedin</t>
        </is>
      </c>
      <c r="E186">
        <f>HYPERLINK("https://www.linkedin.com/jobs/view/4367600320", "https://www.linkedin.com/jobs/view/4367600320")</f>
        <v/>
      </c>
      <c r="F186">
        <f>HYPERLINK("https://careers.google.com/jobs/results/84106223334367942-technical-program-manager-iii/?src=Online/LinkedIn/linkedin_us&amp;utm_source=linkedin&amp;utm_medium=jobposting&amp;utm_campaign=contract&amp;urlHash=amWa", "https://careers.google.com/jobs/results/84106223334367942-technical-program-manager-iii/?src=Online/LinkedIn/linkedin_us&amp;utm_source=linkedin&amp;utm_medium=jobposting&amp;utm_campaign=contract&amp;urlHash=amWa")</f>
        <v/>
      </c>
      <c r="G186" t="inlineStr">
        <is>
          <t>Cambridge, MA</t>
        </is>
      </c>
      <c r="H186" t="inlineStr"/>
      <c r="I186" t="inlineStr">
        <is>
          <t>Note: By applying to this position you will have an opportunity to share your preferred working location from the following:
 **Cambridge, MA, USA; Sunnyvale, CA, USA** 
 .
 **Minimum qualifications:**
* Bachelor's degree in a technical field or equivalent practical experience.
* 5 years of experience in program management.
* Experience driving technical programs within networking or cloud infrastructure environments.
**Preferred qualifications:**
* 5 years of experience managing cross\-functional or cross\-team projects.
* Experience in understanding customer needs and advocating for technical solutions.
* Experience with distributed systems and high\-availability architectures.
* Experience with network capacity planning.
* Knowledge in hybrid networking technologies such as VPN, interconnect, SD\-WAN, and network security.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play a pivotal role in shaping how organizations seamlessly and securely connect their environments. You will lead cross\-functional initiatives that enhance connectivity between customer on\-premise infrastructure, other cloud providers, and the Google Cloud Platform. You will be responsible for driving technical programs from conception through launch.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 roadmaps, track progress, and mitigate technical risks and dependencies across multiple engineering and product teams, leveraging knowledge of networking and cloud architectures.
* Analyze and improve program management workflows, identify and eliminate issues, and implement best practices to enhance team productivity and velocity.
* Facilitate clear and timely technical decision making by bringing together the right engineering stakeholders, defining clear accountabilities, and ensuring alignment across engineering, product management, and other functional groups, grounded in a solid understanding of technical trade\-offs.
* Contribute to programs focused on enhancing the reliability, scalability, and performance with knowledge of distributed systems, network protocols, and infrastructure design to ensure services meet the demanding needs of global enterprises.
* Influence product and engineering roadmaps and align efforts with customer needs to define the future direction of hybrid networking at Google Cloud.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7">
      <c r="A187" t="inlineStr">
        <is>
          <t>li-4356751897</t>
        </is>
      </c>
      <c r="B187" t="inlineStr">
        <is>
          <t>Senior Program Manager</t>
        </is>
      </c>
      <c r="C187" t="inlineStr">
        <is>
          <t>IBM</t>
        </is>
      </c>
      <c r="D187" t="inlineStr">
        <is>
          <t>linkedin</t>
        </is>
      </c>
      <c r="E187">
        <f>HYPERLINK("https://www.linkedin.com/jobs/view/4356751897", "https://www.linkedin.com/jobs/view/4356751897")</f>
        <v/>
      </c>
      <c r="F187" t="inlineStr"/>
      <c r="G187" t="inlineStr">
        <is>
          <t>Dallas, TX</t>
        </is>
      </c>
      <c r="H187" t="inlineStr"/>
      <c r="I187" t="inlineStr">
        <is>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The Senior Program Manager will support the Air Force Civil Engineers by providing expert guidance and oversight for areas such as military infrastructure projects, Facility Sustainment, Restoration, and Modernization (FSRM) programs, asset management and strategy and governance.
 They will provide detailed updates to leadership and stakeholders by participating in meetings/forums through coordinating, developing, and delivering analysis and recommendations, as well as creating associated meeting materials.
**Preferred Education**
 Master's Degree
**Required Technical And Professional Expertise**
* Retired Air Force Civil Engineer Officer with a minimum of 15 years of experience supporting large\-scale government programs.
* Demonstrated ability to analyze legislative direction, DoD policies, and organizational processes, and to develop practical improvements and solutions.
* Extensive experience in senior\-level government program management, including oversight of complex, multi\-stakeholder initiatives.
* Deep knowledge of Air Force Civil Engineer mission areas and operational priorities.
* Proven ability to lead cross\-organizational collaboration, align stakeholders, and serve as a trusted advisor to clients and partners.
**Security Requirement**
 Must hold and maintain an active DoD Security Secret Clearance
**Preferred Technical And Professional Experience**
* Master’s degree in engineering or a related field, with extensive experience supporting facility and infrastructure requirements and processes.
* Demonstrated ability to apply policy to project requirements definition, programming, and execution, with a minimum of 15 years of experience.</t>
        </is>
      </c>
    </row>
    <row r="188">
      <c r="A188" t="inlineStr">
        <is>
          <t>li-4367253696</t>
        </is>
      </c>
      <c r="B188" t="inlineStr">
        <is>
          <t>Offshore RCM Program Manager (SNF)</t>
        </is>
      </c>
      <c r="C188" t="inlineStr">
        <is>
          <t>Assembly Health</t>
        </is>
      </c>
      <c r="D188" t="inlineStr">
        <is>
          <t>linkedin</t>
        </is>
      </c>
      <c r="E188">
        <f>HYPERLINK("https://www.linkedin.com/jobs/view/4367253696", "https://www.linkedin.com/jobs/view/4367253696")</f>
        <v/>
      </c>
      <c r="F188">
        <f>HYPERLINK("https://www.assembly.health/careers?gh_jid=5097032008#jobs&amp;urlHash=21Rt", "https://www.assembly.health/careers?gh_jid=5097032008#jobs&amp;urlHash=21Rt")</f>
        <v/>
      </c>
      <c r="G188" t="inlineStr"/>
      <c r="H188" t="inlineStr"/>
      <c r="I188" t="inlineStr">
        <is>
          <t>Become an Assembler! If you are looking for a company that is focused on being the best in the industry, love being challenged, and make a direct impact on our business, then look no further! We are adding to our motivated team that pride themselves on being client\-focused, biased to action, improving together, and insistent on excellence and integrity.
 This will be an exempt position reporting to the Director of Accounts Receivable. While this is a remote position, the candidate MUST be a U.S. resident and authorized to work in the U.S. without a visa sponsorship.
 We are seeking a highly organized and execution\-focused Program Manager to oversee and scale our offshore Revenue Cycle Management (RCM) operations supporting Skilled Nursing Facility (SNF) clients. This role will serve as the primary owner of offshore delivery performance—ensuring operational excellence, standardized workflows, and strong vendor partnerships.
 The ideal candidate brings a strong mix of RCM domain expertise, offshore vendor management, and program governance, with the ability to build structure where needed and drive consistency across teams, processes, and performance metrics.
**Key Responsibilities**
 Offshore Operations \&amp; Vendor Management
* Serve as the primary point of contact for offshore RCM vendors and delivery teams
* Own vendor governance including:
+ Performance management and SLA adherence
+ Capacity planning and staffing models
+ Escalation management and issue resolution
* Lead regular operational reviews (daily/weekly/monthly) with offshore leadership
* Partner with internal stakeholders to align offshore delivery with business goals
 SOP Development \&amp; Process Standardization
* Design, document, and implement standard operating procedures (SOPs) across offshore RCM functions, including but not limited to:
+ Charge entry
+ Billing
+ AR follow\-up
+ Cash posting
+ Denials management
+ Month end process
* Ensure SOPs are aligned with SNF\-specific workflows, payer requirements, and regulatory standards
* Drive process adherence and continuous improvement initiatives
 Staffing Models \&amp; Productivity Management
* Develop and maintain staffing ratios and productivity benchmarks by function and client type
* Partner with vendors to forecast demand and adjust staffing based on volume and client growth
* Monitor workload distribution and utilization to ensure efficiency and quality outcomes
 Program \&amp; Project Management
* Lead cross\-functional initiatives related to:
+ New client onboarding and transitions
+ Process improvements and automation efforts
+ Vendor expansion or consolidation
* Build and maintain project plans, timelines, risks, and dependencies
* Ensure on\-time, on\-budget delivery of operational initiatives
 Reporting, Metrics \&amp; Governance
* Define and track KPIs related to offshore performance, including:
+ Productivity and quality metrics
+ Turnaround times
+ Net collection rates and DSO
* Provide regular reporting and insights to executive and operational leadership
* Identify trends, risks, and opportunities for optimization
**Required Qualifications**
* 5\+ years of experience in Revenue Cycle Management, preferably supporting Skilled Nursing Facilities (SNF) or post\-acute care
* 3\+ years of experience managing offshore teams or third\-party RCM vendors
* Strong knowledge of SNF RCM workflows, payer dynamics, and compliance considerations
* Proven experience developing SOPs, staffing models, and operational playbooks
* Solid project or program management experience (formal PM training or certification a plus)
* Exceptional communication and stakeholder management skills
* Ability to operate independently in a fast\-paced, scaling environment
**Preferred Qualifications**
* Experience supporting multi\-client RCM delivery models
* Familiarity with offshore delivery in India, Philippines, Eastern Europe or similar regions
* Experience with RCM platforms and reporting tools (e.g., billing systems, workflow tools, dashboards)
* PMP, PgMP, Lean, Six Sigma, or similar certifications
 Salary Range
 $90,000—$115,000 USD
 Compensation for this role is based on a variety of factors, including but not limited to, skills, experience, qualifications, location, and applicable employment laws. The expected salary range for this position reflects these considerations and may vary accordingly. In addition to base pay, eligible employees may have the opportunity to participate in company bonus programs. We also offer a comprehensive benefits package, including medical, dental, vision, 401(k), paid time off, and more.
*All official recruitment communications from Assembly Health will originate from an* 
***@assembly.health***
*email address. Candidates are encouraged to carefully verify sender domains and remain vigilant against potential impersonation attempts. Communications from any other domain should be considered unauthorized.*</t>
        </is>
      </c>
    </row>
    <row r="189">
      <c r="A189" t="inlineStr">
        <is>
          <t>li-4367495308</t>
        </is>
      </c>
      <c r="B189" t="inlineStr">
        <is>
          <t>Epic Program Manager- Ancillary</t>
        </is>
      </c>
      <c r="C189" t="inlineStr">
        <is>
          <t>Westchester Medical Center Health Network</t>
        </is>
      </c>
      <c r="D189" t="inlineStr">
        <is>
          <t>linkedin</t>
        </is>
      </c>
      <c r="E189">
        <f>HYPERLINK("https://www.linkedin.com/jobs/view/4367495308", "https://www.linkedin.com/jobs/view/4367495308")</f>
        <v/>
      </c>
      <c r="F189" t="inlineStr"/>
      <c r="G189" t="inlineStr">
        <is>
          <t>Valhalla, NY</t>
        </is>
      </c>
      <c r="H189" t="inlineStr"/>
      <c r="I189" t="inlineStr">
        <is>
          <t>Job Summary: The\#Program Manager, Information Technology \# Epic,\#provides technical and operational leadership for the implementation of enterprise Epic systems. The individual will be part of a consortium team with colleagues at affiliated institutions, consisting of clinicians, project managers, analysts, and developers with module\-specific domain expertise. This position works closely with clinical and business\#leadership and leads a multidisciplinary team in the design, implementation, workflow optimization, change management, and issue resolution related to the enterprise system. This position requires broad knowledge \#of clinical systems such as the Epic platform, along with clinical workflow and business processes. As a\#Program Manager for the Enterprise Epic initiative, this individual will collaborate with appropriate technical and operational leaders from affiliated institutions. \#Responsibilities:\# Maintains the organization\#s effectiveness and efficiency by defining, delivering, and supporting strategic plans for implementing new and innovative information technologies. Provides technical leadership to ensure the best development practices, user experience standards and security implementation strategies are followed. Advises and recommends state\-of\-the\-art enterprise architecture strategies, processes and methodologies. Apply strategic thinking to IT service management. The ultimate goal is to design, develop, and implement service management as both an organizational capability and a strategic asset. Provides overall direction and guidance, coordinates schedules and related project activities to ensure the work and documentation meet appropriate department/service line standards. Collaborates with users and other IT departments to develop strategy and goals for the team and department. Participates in key user committees to identify business requirements and recommend solutions which conform to organizational goals and regulatory guidelines. Develop innovative approaches for dealing with customer needs that are also aligned with overall information services goals and objectives. Defines and implements programming goals such as reuse and adaptability. Leads the team to gather and analyze business requirements, manage design, implementation and testing of applications. Presents product specifications and delivery schedule clearly and concisely to individuals at all levels of an organization, including to executive management. Strategically collaborates with cross\-functional teams, including development and vendor resources, to solve problems effectively and quickly to deliver product. Manages competing priorities to keep the team on track to deliver high\-quality solutions. Performs all duties inherent to a managerial role. Participates in hiring, training, evaluation and termination of assigned staff according to hospital policies and procedures. Evaluates employee performance. Responsible for timekeeping of direct reports. Train and/or supervise training of users and other staff in current and new aspects of system functionality. Participate in go\-lives and support. Participate in On\-Call support.\# Accountable and responsible for supporting business critical applications and systems that operate 24/7/365\. Performs other special projects and duties as assigned. Qualifications/Requirements: Experience: 5\#7 years of experience as a Technical Manager or Technical Project Management, required Education: \# Bachelor\#s degree in Computer Science or related field required. Master\#s degree, preferred Licenses / Certifications: \# EPIC Module Certification in job\-related module(s) is required to be obtained within 6 months and renewed quadrennial PMP certification, preferred ITIL certirfication, preferred Microsoft or other technology industry certifications, preferred Other: Ability to work in surroundings with a degree of dust, noise, odors, etc. without undue discomfort. Ability to hear, talk, walk, stand, bend and stretch. Ability to read, write and interpret documents. Ability to sit for long periods of time at a desk to perform job functions. Ability to communicate effectively with clients and co\-workers. May be exposed to mechanical/electrical/radiant/explosive/burn and chemical hazards. May be required to handle, dispose of and/or identify hazardous waste and hazardous materials. May be required to operate and clean equipment. May be required to work both indoors and outdoors under extreme temperatures. May be required to handle reasonably heavy weights across distances. May be required to operate heavy vehicles. Must be trained in and knowledgeable of all hospital policies and procedures pertaining to hazardous waste and hazardous materials and maintain qualifications applicable to assigned work. Special Requirements: Compliant with Change Control policies, familiar with ticketing systems, ability to manage communications associated with project roll\-outs.\# Excellent written and verbal communications skills. Excellent Organizational and Analytical Skills Compliant with Change Control policies, familiar with ticketing systems, ability to manage communications associated with project roll\-outs.\# Experience with IT architecture planning, software development methodologies and large\-scale integrated web systems implementations and upgrades in an enterprise environment. Deep and broad understanding of web and mobile technologies, such as Reporting/BI tools, Microsoft.NET, SharePoint 2013\. Knowledge of Service\-Oriented Architecture (SOA), Web services, principles, and patterns at an enterprise\-level as it relates to complex web and mobile applications. Comfortable leading a team using Agile SCRUM software development methodology. Ability to conceptualize, plan, and implement projects as well as interact effectively with applications in complex problem situations. Experience with selecting and managing external software vendors. Applications: Tableau; Statistical Application Fluency (SAS, SPSS, Python ML, Scala, Spark ML, etc.) \# \# \# \# \# \# \# \#</t>
        </is>
      </c>
    </row>
    <row r="190">
      <c r="A190" t="inlineStr">
        <is>
          <t>li-4367628613</t>
        </is>
      </c>
      <c r="B190" t="inlineStr">
        <is>
          <t>Program Manager</t>
        </is>
      </c>
      <c r="C190" t="inlineStr">
        <is>
          <t>Aspire Living &amp; Learning</t>
        </is>
      </c>
      <c r="D190" t="inlineStr">
        <is>
          <t>linkedin</t>
        </is>
      </c>
      <c r="E190">
        <f>HYPERLINK("https://www.linkedin.com/jobs/view/4367628613", "https://www.linkedin.com/jobs/view/4367628613")</f>
        <v/>
      </c>
      <c r="F190">
        <f>HYPERLINK("https://job-boards.greenhouse.io/allinc/jobs/8398169002?gh_src=73098a062us&amp;urlHash=GZgK", "https://job-boards.greenhouse.io/allinc/jobs/8398169002?gh_src=73098a062us&amp;urlHash=GZgK")</f>
        <v/>
      </c>
      <c r="G190" t="inlineStr">
        <is>
          <t>Bedford, NH</t>
        </is>
      </c>
      <c r="H190" t="inlineStr"/>
      <c r="I190" t="inlineStr">
        <is>
          <t>At Aspire Living \&amp; Learning, we don't just talk about making an impact, we live it. For more than 40 years, we've supported neurodiverse children and adults across New England and Maryland as they discover their passions, unlock their potential, and live more independently in their communities. Our person\-centered services evolve with people's needs, from education and behavioral health to residential and community\-based supports. We empower people to live lives shaped by their own interests, choices, and strengths. Join our collaborative, mission\-driven team and bring your skills to work that makes a real difference every day.
 Aspire Living \&amp; Learning is currently seeking a motivated and dedicated Program Manager to oversee the day to day operations for adults with developmental disabilities, ensuring that all supported individuals are receiving appropriate clinical and medical services. The Program Manager will mentor, develop and supervise shift supervisors and direct care staff, ensure adherence to all DDS, funding agency, and state regulations, maintains and monitor staffing schedule, assist with writing clinical assessments and overseeing ISP assessments, and assume on\-call responsibilities as required. The Program Manager will also assist and instruct individuals in all aspects of their IP, administer medication when required, provide in\-house and agency\-contracted training and consultation services, adhere to budgetary guidelines, assist and instruct residents with daily living skills, behavioral and habilitative plans, medical, psychiatric and socio\-emotional needs, and work with the People Team to plan and implement corrective action when necessary.
**Salary:** 
 $44,000 per year
**Schedule:** 
 M\-F 9a\-5p
**Our ideal candidate:**
* Bachelor’s Degree in Human Services or a related field, or the equivalent combination of education \&amp; experience required.
* Experience providing support to individuals with disabilities and challenging behaviors.
* Excellent interpersonal, organizational and communication skills.
* Previous supervisory experience strongly preferred.
* Basic Computer skills, experience using Therap a plus!
* High School Diploma or GED required.
* Empathy, enthusiasm, and a passion and dedication for helping others.
* Valid Driver’s License with at least 3 years of driving experience.
**Employees at Aspire enjoy working with a collaborative and dedicated team that values a culture of belonging and care. We take pride in offering a comprehensive benefits package to eligible employees, including:**
* Comprehensive Health, Dental, \&amp; Vision Insurance \- Choose from multiple medical plans, with vision coverage included at no extra cost.
* Flexible Spending Accounts (FSA) and Health Saving Account (HSA) options \- Use pre\-tax dollars for medical and dependent care expenses.
* Lifestyle Spending Accounts with JOON \- Monthly funds for wellness, fitness, commuting, childcare, pet care, and more.
* 403(b) Retirement Plan with Employer Match \- A 100% match on contributions up to 2% of your salary.
* Generous Paid Time Off \- Paid sick, personal, and vacation days, plus holidays.
* Professional Growth Opportunities \- Access to training, leadership and management courses, mentorship, and career advancement.
* Employer\-Paid Life \&amp; Disability Insurance, Employee Assistance Program (EAP), Telehealth Services and more!
 If you want to join us in making a difference and positively impact the lives of others while charting your own path of development, then we at the Aspire team would love to hear from you.
*Aspire Living \&amp; Learning believes it must play an active role in creating a community of employees that is diverse, inclusive and equitable. Our work benefits greatly from the contributions of people of color, people from working class backgrounds, women, LGBTQ people, and individuals with disabilities. Hence, we strongly encourage applications from people with these identities or who are members of other marginalized communities.*
 \#HJC26</t>
        </is>
      </c>
    </row>
    <row r="191">
      <c r="A191" t="inlineStr">
        <is>
          <t>li-4367242778</t>
        </is>
      </c>
      <c r="B191" t="inlineStr">
        <is>
          <t>Plumbing Program Manager</t>
        </is>
      </c>
      <c r="C191" t="inlineStr">
        <is>
          <t>American Restoration</t>
        </is>
      </c>
      <c r="D191" t="inlineStr">
        <is>
          <t>linkedin</t>
        </is>
      </c>
      <c r="E191">
        <f>HYPERLINK("https://www.linkedin.com/jobs/view/4367242778", "https://www.linkedin.com/jobs/view/4367242778")</f>
        <v/>
      </c>
      <c r="F191">
        <f>HYPERLINK("https://workforcenow.adp.com/mascsr/default/mdf/recruitment/recruitment.html?cid=edd4d11c-3bc4-45e9-9e68-1078ed7e65e1&amp;ccId=19000101_000001&amp;jobId=572461&amp;source=LR&amp;lang=en_US&amp;source=LI&amp;source=LI&amp;urlHash=-ohr", "https://workforcenow.adp.com/mascsr/default/mdf/recruitment/recruitment.html?cid=edd4d11c-3bc4-45e9-9e68-1078ed7e65e1&amp;ccId=19000101_000001&amp;jobId=572461&amp;source=LR&amp;lang=en_US&amp;source=LI&amp;source=LI&amp;urlHash=-ohr")</f>
        <v/>
      </c>
      <c r="G191" t="inlineStr">
        <is>
          <t>Waukesha, WI</t>
        </is>
      </c>
      <c r="H191" t="inlineStr"/>
      <c r="I191" t="inlineStr">
        <is>
          <t>**Company Overview** 
 A\&amp;J Property Restoration is located in Waukesha. We are a local company specializing in Mitigation and Restoration for both residential and commercial customers. As a provider of water, mold, and fire damage property mitigation and restoration services, we are professional and agile, and our goal is to deliver a 5\-star experience to every customer.
 We are actively looking to hire an experienced, hard\-working, and enthusiastic sales professional as an Outside Sales Manager. This Sales Manager will focus on our Water Damage Restoration division and build relationships with other companies in our area. This position focuses on creating long\-term, mutually beneficial partnerships between our company and other service providers.
**Sales Manager Role Description and Responsibilities** 
 We are seeking an experienced, motivated Sales Manager to join our team. The successful candidate will be responsible for developing and maintaining customer relationships, understanding their needs, and providing solutions to meet those needs. The ideal candidate will have a proven track record of success in sales, excellent communication skills, and the ability to think strategically and creatively. This is an excellent opportunity for a driven individual to join a fast\-paced and rewarding environment. Key responsibilities include:
* Develop and maintain customer relationships.
* Identify and develop new sales opportunities.
* Understand customer needs and requirements.
* Provide product information and support to customers.
* Negotiate and close sales deals.
* Prepare and present sales proposals to customers.
* Follow up with customers after the sale is completed.
**Job type:** 
 Full time
**Compensation package:** 
 Salary \+ monthly commission
**Compensation range:** 
 $59,000\-$175,000 per year
**Benefits:** 
* 401(k)
* 401(k) matching
* Cellphone
* Company car
* Flexible schedule
* Health insurance
* Paid time off
 Drivers license required.
**Schedule:** 
 Monday\-Friday
**Work location:** 
 Hybrid. Must be based in Waukesha.</t>
        </is>
      </c>
    </row>
    <row r="192">
      <c r="A192" t="inlineStr">
        <is>
          <t>li-4367464584</t>
        </is>
      </c>
      <c r="B192" t="inlineStr">
        <is>
          <t>Program Manager (HR Benefits) - Hybrid</t>
        </is>
      </c>
      <c r="C192" t="inlineStr">
        <is>
          <t>Northwell Health</t>
        </is>
      </c>
      <c r="D192" t="inlineStr">
        <is>
          <t>linkedin</t>
        </is>
      </c>
      <c r="E192">
        <f>HYPERLINK("https://www.linkedin.com/jobs/view/4367464584", "https://www.linkedin.com/jobs/view/4367464584")</f>
        <v/>
      </c>
      <c r="F192" t="inlineStr"/>
      <c r="G192" t="inlineStr">
        <is>
          <t>Lake Success, NY</t>
        </is>
      </c>
      <c r="H192" t="inlineStr"/>
      <c r="I192" t="inlineStr">
        <is>
          <t>150310
**Job Description**
 Plans, organizes, and participates in the coordination, development and implementation of projects, programs and strategic initiatives to meet strategic goals. Provides management support to leadership. Works closely with leadership to ensure timely completion of projects and initiatives.
 Job Responsibility
* Supports leadership with day\-to\-day operations.
* Supports leadership in achieving strategic goals and objectives to achieve overall mission of the health system in line with Health System strategy.
* Participates, supports and drives major initiatives of business leadership and identified Committees.
* Accountable for follow\-up activities.
* Develops and determines priorities and monitors status of projects on an ongoing basis.
* Plans and executes projects and programs. Prepares project plans including: scheduling, cost analysis, content, communications and other elements as appropriate including relevant process and procedures Acts as a liaison and fosters communication between departments, committees and leaders within the health system and Health System.
* Oversees work of subcommittee coordinators.
* Maintains ongoing interaction and follow\-up with clinical and administrative business leaders.
* Performs research, analysis to supplement and assist initiatives, projects and program.
* Operates under general guidance and work assignments are varied and require interpretation and independent decisions on course of action.
* Performs related duties as required. All responsibilities noted here are considered essential functions of the job under the Americans with Disabilities Act. Duties not mentioned here, but considered related are not essential functions.
 Job Qualification
* Bachelor's Degree required, or equivalent combination of education and related experience. Bachelor's Degree in HR, Business, or Communications, preferred.
* 1\-3 years of relevant experience, required.
* Benefits, people relationship management skills and public speaking ability experience, a plus.
* Schedule flexibility \- This role will require minimal online or onsite meetings outside normal business hours.
* Additional Salary Detail The salary range and/or hourly rate listed is a good faith determination of potential base compensation that may be offered to a successful applicant for this position at the time of this job advertisement and may be modified in the future. When determining a team member's base salary and/or rate, several factors may be considered as applicable (e.g., location, specialty, service line, years of relevant experience, education, credentials, negotiated contracts, budget and internal equity).</t>
        </is>
      </c>
    </row>
    <row r="193">
      <c r="A193" t="inlineStr">
        <is>
          <t>li-4367496350</t>
        </is>
      </c>
      <c r="B193" t="inlineStr">
        <is>
          <t>Epic Program Manager-Ancillary</t>
        </is>
      </c>
      <c r="C193" t="inlineStr">
        <is>
          <t>Westchester Medical Center Health Network</t>
        </is>
      </c>
      <c r="D193" t="inlineStr">
        <is>
          <t>linkedin</t>
        </is>
      </c>
      <c r="E193">
        <f>HYPERLINK("https://www.linkedin.com/jobs/view/4367496350", "https://www.linkedin.com/jobs/view/4367496350")</f>
        <v/>
      </c>
      <c r="F193" t="inlineStr"/>
      <c r="G193" t="inlineStr">
        <is>
          <t>Valhalla, NY</t>
        </is>
      </c>
      <c r="H193" t="inlineStr"/>
      <c r="I193" t="inlineStr">
        <is>
          <t>Job Summary: The\#Program Manager, Information Technology \# Epic,\#provides technical and operational leadership for the implementation of enterprise Epic systems. The individual will be part of a consortium team with colleagues at affiliated institutions, consisting of clinicians, project managers, analysts, and developers with module\-specific domain expertise. This position works closely with clinical and business leadership and leads a multidisciplinary team in the design, implementation, workflow optimization, change management, and issue resolution related to the enterprise system. This position requires broad knowledge \#of clinical systems such as the Epic platform, along with clinical workflow and business processes. As a Program Manager for the Enterprise Epic initiative, this individual will collaborate with appropriate technical\#and operational leaders from affiliated institutions. \#\#Responsibilities:\# Maintains the organization\#s effectiveness and efficiency by defining, delivering, and supporting strategic plans for implementing new and innovative information technologies. Provides technical leadership to ensure the best development practices, user experience standards and security implementation strategies are followed. Advises and recommends state\-of\-the\-art enterprise architecture strategies, processes and methodologies. Apply strategic thinking to IT service management. The ultimate goal is to design, develop, and implement service management as both an organizational capability and a strategic asset. Provides overall direction and guidance, coordinates schedules and related project activities to ensure the work and documentation meet appropriate department/service line standards. Collaborates with users and other IT departments to develop strategy and goals for the team and department. Participates in key user committees to identify business requirements and recommend solutions which conform to organizational goals and regulatory guidelines. Develop innovative approaches for dealing with customer needs that are also aligned with overall information services goals and objectives. Defines and implements programming goals such as reuse and adaptability. Leads the team to gather and analyze business requirements, manage design, implementation and testing of applications. Presents product specifications and delivery schedule clearly and concisely to individuals at all levels of an organization, including to executive management. Strategically collaborates with cross\-functional teams, including development and vendor resources, to solve problems effectively and quickly to deliver product. Manages competing priorities to keep the team on track to deliver high quality solutions. Performs all duties inherent to a managerial role. Participates in hiring, training, evaluation and termination of assigned staff according to hospital policies and procedures. Evaluates employee performance. Responsible for timekeeping of direct reports. Train and/or supervise training of users and other staff in current and new aspects of system functionality. Participate in go\-lives and support. Participate in On\-Call support.\# Accountable and responsible for supporting business critical applications and systems that operate 24/7/365\. Performs other special projects and duties as assigned. Qualifications/Requirements: Experience: 5\#7 years of experience as a Technical Manager or Technical Project Management, required Education: \# Bachelor\#s degree in Computer Science or related field required. Master\#s degree, preferred Licenses / Certifications: \# EPIC Module Certification in job related module(s) is required to be obtained within 6 months and renewed quadrennial PMP certification, preferred ITIL certirfication, preferred Microsoft or other technology industry certifications, preferred Other: Ability to work in surroundings with a degree of dust, noise, odors, etc. without undue discomfort. Ability to hear, talk, walk, stand, bend and stretch. Ability to read, write and interpret documents. Ability to sit for long periods of time at a desk to perform job functions. Ability to communicate effectively with clients and co\-workers. May be exposed to mechanical/electrical/radiant/explosive/burn and chemical hazards. May be required to handle, dispose of and/or identify hazardous waste and hazardous materials. May be required to operate and clean equipment. May be required to work both indoors and outdoors under extreme temperatures. May be required to handle reasonably heavy weights across distances. May be required to operate heavy vehicles. Must be trained in and knowledgeable of all hospital policies and procedures pertaining to hazardous waste and hazardous materials and maintain qualifications applicable to assigned work. Special Requirements: Compliant with Change Control policies, familiar with ticketing systems, ability to manage communications associated with project roll\-outs.\# Excellent written and verbal communications skills. Excellent Organizational and Analytical Skills Compliant with Change Control policies, familiar with ticketing systems, ability to manage communications associated with project roll\-outs.\# Experience with IT architecture planning, software development methodologies and large\-scale integrated web systems implementations and upgrades in an enterprise environment. Deep and broad understanding of web and mobile technologies, such as Reporting/BI tools, Microsoft.NET, SharePoint 2013\. Knowledge of Service\-Oriented Architecture (SOA), Web services, principles, and patterns at an enterprise\-level as it relates to complex web and mobile applications. Comfortable leading a team using Agile SCRUM software development methodology. Ability to conceptualize, plan, and implement projects as well as interact effectively with applications in complex problem situations. Experience with selecting and managing external software vendors. Applications: Tableau; Statistical Application Fluency (SAS, SPSS, Python ML, Scala, Spark ML, etc.)</t>
        </is>
      </c>
    </row>
    <row r="194">
      <c r="A194" t="inlineStr">
        <is>
          <t>li-4367280777</t>
        </is>
      </c>
      <c r="B194" t="inlineStr">
        <is>
          <t>Clinical Senior Living Program Manager (Nurse / Therapist)</t>
        </is>
      </c>
      <c r="C194" t="inlineStr">
        <is>
          <t>BAYADA Home Health Care</t>
        </is>
      </c>
      <c r="D194" t="inlineStr">
        <is>
          <t>linkedin</t>
        </is>
      </c>
      <c r="E194">
        <f>HYPERLINK("https://www.linkedin.com/jobs/view/4367280777", "https://www.linkedin.com/jobs/view/4367280777")</f>
        <v/>
      </c>
      <c r="F194" t="inlineStr"/>
      <c r="G194" t="inlineStr">
        <is>
          <t>Staunton, VA</t>
        </is>
      </c>
      <c r="H194" t="inlineStr"/>
      <c r="I194" t="inlineStr">
        <is>
          <t>**BAYADA Senior Living Solutions** 
 , a specialty offering of BAYADA Home Health Care, was created to address the unique needs of senior living communities, and their residents, in several significant ways. As the
 **Senior Living Program Manager** 
 , you will be a dynamic influencer managing solutions for communities and their residents throughout our unique continuum of care in Senior Living
 ***.***
 Are you a solutions\-oriented, team\-focused
 **Registered Nurse, Licensed Practical Nurse or Therapist (Physical Therapist, Occupational Therapist, Speech Language Pathologist, Physical Therapy Assistant or Certified Occupational Therapy Assistant)?** 
 Do you have a passion for relationship development and the ability to create alignment to common goals across multiple levels of management? Would you like to be viewed as a trusted advisor and senior living expert with the conviction to deliver an exceptional product to customers and clients? If so, the Senior Living Program Manager position may be the opportunity you have been searching for!
**Territory:** 
 Staunton, Harrisonburg, Charlottesville and Lexington, VA
**Responsibilities:**
 As the
 **Senior Living** 
**Program Manager,** 
 you will be a key team member developing and implementing unique solutions to help the communities and residents we serve meet their goals. Additionally, you will exemplify our commitment to excellence by strategically treating patients and ensuring best practices are carried out by all team members to deliver on our differentiated offerings. Through the utilization of outcome driven data analytics, this role will analyze key metrics and develop plans to create customized programming and offerings for those we serve. Opportunities for advancement are in place with a career ladder to inspire professional growth.
**Qualifications:**
* Current VA licensure as a Registered Nurse, Licensed Practical Nurse, Physical Therapist, Occupational Therapist, Speech Language Pathologist, Physical Therapy Assistant or Certified Occupational Therapy Assistant
* Demonstrated business development experience
* Strong communication skills across multiple levels and multiple platforms
* Home Health and/ or Outpatient experience is desirable
 BAYADA believes that our employees are our greatest asset:
* BAYADA offers a comprehensive benefits plan that includes the following: Paid holidays, vacation and sick leave, vision, dental and medical health plans, employer paid life insurance, 401k with company match, direct deposit and employee assistance program.
**As an accredited, regulated, certified, and licensed home health care provider, BAYADA complies with all state/local mandates.**
 BAYADA is celebrating 50 years of compassion, excellence, and reliability. Learn more about our 50th anniversary celebration and how you can join in here.
 BAYADA Home Health Care, Inc., and its associated entities and joint venture partners, are Equal Opportunity Employers. All employment decisions are made on a non\-discriminatory basis without regard to sex, race, color, age, disability, pregnancy or maternity, sexual orientation, gender identity, citizenship status, military status, or any other similarly protected status in accordance with federal, state and local laws. Hence, we strongly encourage applications from people with these identities or who are members of other marginalized communities.</t>
        </is>
      </c>
    </row>
    <row r="195">
      <c r="A195" t="inlineStr">
        <is>
          <t>li-4366674273</t>
        </is>
      </c>
      <c r="B195" t="inlineStr">
        <is>
          <t>Technical Product Owner (Layer 6) - AI/ML Project Delivery</t>
        </is>
      </c>
      <c r="C195" t="inlineStr">
        <is>
          <t>TD</t>
        </is>
      </c>
      <c r="D195" t="inlineStr">
        <is>
          <t>linkedin</t>
        </is>
      </c>
      <c r="E195">
        <f>HYPERLINK("https://www.linkedin.com/jobs/view/4366674273", "https://www.linkedin.com/jobs/view/4366674273")</f>
        <v/>
      </c>
      <c r="F195" t="inlineStr"/>
      <c r="G195" t="inlineStr">
        <is>
          <t>New York, NY</t>
        </is>
      </c>
      <c r="H195" t="inlineStr"/>
      <c r="I195" t="inlineStr">
        <is>
          <t>**Work Location:**
 New York, New York, États\-Unis d'Amérique
**Hours**
 40
**Pay Details**
 $96,130 \- $181,944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Analyses, informations et intelligence artificielle
**Job Description**
**Department Overview:**
 Layer 6 is the AI research center of excellence for TD Bank Group. We develop and deploy industry\-leading machine learning systems that impact the lives of over 27 million customers, helping more people achieve their financial goals and needs.
 Our research broadly spans the field of machine learning with areas such as deep learning and generative AI, time series forecasting and responsible use of AI. We have access to massive financial datasets and actively collaborate with world renowned academic faculty.
**Position Overview**
 Day\-to\-day as a Technical Product Owner
* Translate broad business problems into sharp data science use cases, and craft use cases into product visions
* Own machine learning products from vision to backlog; prioritizing features and defining minimum viable releases; maximizing the value your products generate, and the ROI of your pod
* Guide Agile pods on continuous improvement, ensuring that the next sprint is delivered better than the previous
* Work closely with stakeholders to identify, refine and (occasionally) reject opportunities to build machine learning products; collaborate with support functions such as risk, technology, model risk management and incorporate interfacing features
* Facilitate the professional \&amp; technical development of your colleagues through mentorship and feedback
* Anticipate resource needs as solutions move through the model lifecycle, scaling pods up and down as models are built, perform, degrade, and need to be rebuilt
* Championing model development standards, industry best\-practices and rigorous testing protocols to ensure model excellence
* Self\-direct, with the ability to identify meaningful work in down times and effectively prioritize in busy times
* Drive value through product, feature \&amp; release prioritization, maximizing ROI \&amp; modelling velocity
* Be an exceptional collaborator in a high\-interaction environment
 The TPO (Machine Learning Engineer II) is responsible for providing technical expertise as well as developing and maintaining technical solutions that adhere to engineering and architectural design principles while meeting business requirements. This role plays a lead role in implementing solutions with a focus on efficiency, reliability, scalability, and security; includes planning, evaluating, recommending, designing, operationalizing, and supporting machine learning engineering solutions \&amp; systems in compliance with enterprise and industry standards.
**Depth \&amp; Scope**
* Expert knowledge of specific domain or range of engineering frameworks, technology, tools, processes, and procedures, as well as organization issues
* Expert knowledge of TD applications, systems, networks, innovation, design activities, best practices, business / organization, Bank standards, and may fulfill a governance role
* Integrates knowledge of business and functional priorities and acts as a key contributor in a complex and critical environment
* Adept at technical project execution, strategic planning, and effective communication. Accountable for specialized knowledge in a field of AI/ML Engineering and may provide leadership to teams or projects, shares expertise
* Applies in\-depth skills and broad knowledge of the business to address complex problems and nonstandard situations
**Education \&amp; Experience**
* Undergraduate degree required, advanced technical degree preferred (e.g., math, physics, engineering, finance or computer science) Graduate's degree preferred with either progressive project work experience or
* 1 \+years relevant experience (includes post graduate experience)
**Preferred Qualifications**
* Proven professional track record of delivering major data science, AI/ML projects in large, complex organizations
* Strong communication, business acumen and stakeholder management competencies
* Strong technical skills: machine learning, data engineering, MLOps, cloud solution architecture, software development practices
* Strong coding proficiency: python, R, SQL and / or Scala, cloud architecture
* Certified Scrum Product Owner and / or Certified Scrum Master or equivalent experience
* Familiarity with cloud solution architecture, Azure a plus
* Master’s degree in data science, artificial intelligence, computer science or equivalent experience
**Customer Accountabilities**
* Leverages deep technology expertise for own area of specialization to deliver and ensure that all areas across the organization that provision, manage, and support various technologies have the necessary tools, processes and documentation required to effectively execute on their respective mandates
* Executes on Engineering strategy as it relates to the introduction of tools and the automation of build, test, release and configure activities across Application, Platform and Infrastructure. Partners with the Operations team to automatically integrate with appropriate tools and processes as part of automated/self\-serve Application, Platform, or Infrastructure releases
* Works with partners across Technology and apply in depth understanding of relevant business needs to identify and leverage synergies across the various areas
* Acts as the expert or lead innovator and agent of change for the programs and services under management.
* Works with other teams to implement best practices for engineering and management and serve as an ambassador for ML Engineering
* Works with vendor platform providers and engineering peers to keep abreast of trends, products, frameworks, and applications
* Identifies and effectively manages stakeholder engagement and impacts across the enterprise
* Interprets client needs, assess engineering related requirements, and identify solutions to non\-standard requests
**Shareholder Accountabilities**
* Adheres to enterprise frameworks or methodologies that relate to activities for our business area
* Ensures respective programs / policies / practices are well managed, meets business needs, complies with internal and external requirements, and aligns with business priorities
* Consistently exercises discretion in managing correspondence, information and all matters of confidentiality; escalates issues where appropriate.
* Ensures business operations are in compliance with applicable internal and external requirements (e.g., financial controls, segregation of duties, transaction approvals and physical control of assets)
* Participates in cross\-functional / enterprise / initiatives as a subject matter expert helping to identify risk / provide guidance for complex situations
* Conducts internal and external research projects; supports the development / delivery of presentations / communications to management or broader audience
* Conducts meaningful analysis at the functional or enterprise level using results to draw conclusions, makes recommendations, assess the effectiveness of programs / policies / practices
* Monitors service, productivity and assesses efficiency levels within own function and implement continuous process / performance improvements where opportunities exist
* Leads / facilitates and/or implements actions / remediation plans to address performance / risk / governance issues
* Actively manages relationships within and across various business lines, corporate and/or control functions and ensures alignment with enterprise and/or regulatory requirements
* Keeps abreast of emerging issues, trends, and evolving regulatory requirements and assesses potential impacts
* Maintains a culture of risk management and control, supported by effective processes in alignment with risk appetite
**Employee/Team Accountabilities**
* Participates fully as a member of the team, supports a positive work environment that promotes service to the business, quality, innovation and teamwork and ensures timely communication of issues / points of interest
* Provides thought leadership and/ or industry knowledge for own area of expertise in own area and participate in knowledge transfer within the team and business unit
* Keeps current on emerging trends/ developments and grow knowledge of the business, related tools and techniques.
* Participates in personal performance management and development activities, including cross training within own team
* Keeps others informed and up to date about the status / progress of projects and/or all relevant or useful information related to day\-to\-day activities
* Contributes to team development of skills and capabilities through mentorship of others, by sharing knowledge and experiences and leveraging best practices
* Leads, motivates and develops relationships with internal and external business partners / stakeholders to develop productive working relationships
* Contributes to a fair, positive and equitable environment that supports a diverse workforce.
* Acts as a brand ambassador for your business area/function and the bank, both internally and/or externally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**Who We Are**
 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
 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Include your full name, best way to reach you and the accommodation needed to assist you with the applicant process.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2026-01-30T21:09:31Z</dcterms:created>
  <dcterms:modified xsi:type="dcterms:W3CDTF">2026-01-30T21:09:31Z</dcterms:modified>
</cp:coreProperties>
</file>