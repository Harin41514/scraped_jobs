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in-2c96942ec32f9abf</t>
        </is>
      </c>
      <c r="B2" t="inlineStr">
        <is>
          <t>AI/ML Engineer</t>
        </is>
      </c>
      <c r="C2" t="inlineStr">
        <is>
          <t>Chickasaw Nation Industries</t>
        </is>
      </c>
      <c r="D2" t="inlineStr">
        <is>
          <t>indeed</t>
        </is>
      </c>
      <c r="E2" t="inlineStr"/>
      <c r="F2" t="inlineStr"/>
      <c r="G2" t="inlineStr">
        <is>
          <t>Rockville, MD, US</t>
        </is>
      </c>
      <c r="H2" s="2" t="n">
        <v>46051</v>
      </c>
      <c r="I2" t="inlineStr">
        <is>
          <t>An AI/ML Engineer in the health IT domain with experience in HL7 data standards is responsible for designing, developing, training, and deploying machine learning and AI solutions tailored to health IT applications. This role involves working closely with adverse events data, including HL7 and other clinical data standards, to build scalable, accurate, and efficient AI models that improve drug safety, signal detection and operational efficiency.  
**Chickasaw Nation Industries, Inc.** serves as a holding company with multiple subsidiaries engaged in several lines of business (Technology, Infrastructure \&amp; Engineering, Health, Manufacturing, Public Safety, Consulting, and Transportation) for the federal government and commercial enterprises. A portion of our profits is used to support Chickasaw citizens. We are proud to support the economic development and long\-term viability of the Chickasaw Nation and its people. CNI offers premium benefits eligible on the first day of hire to full time employees; (Medical \- Dental – Vision), Company Life Insurance, Short\-Term and Long\-Term Disability Insurance, 401(K) Immediate Vesting, Professional Development Assistance, Legal Aid Assistance Program, Family Planning / Fertility Assistance, Personal Time Off, and Observance of Federal Holidays.
As a federal contractor, CNI is a drug\-free workplace and adheres to the Federal Controlled Substance Act.
**ESSENTIAL REQUIREMENTS**
* Must possess appropriate level of certifications for this position as required by the contract.
* Must be able to obtain a customer clearance for access to facilities, equipment and property.
* Strong programming skills in Python, R, or Java with experience in AI/ML frameworks and libraries.
* Deep understanding of machine learning algorithms, statistical models, deep learning, and generative AI techniques.
* Experience working with healthcare data standards, especially HL7 and FHIR, to process and interpret clinical data.
* Familiarity with cloud computing platforms (AWS preferred), containerization, and CI/CD pipelines for AI model deployment.
* Knowledge of healthcare workflows, clinical environments, and regulatory compliance (e.g., HIPAA) is essential.
* Strong analytical, problem\-solving, and communication skills to translate complex AI concepts into clinical applications.
* Experience with NLP, computer vision, or other domain\-specific AI applications in healthcare is a plus.
* Prior work in healthcare or health IT companies, handling large\-scale healthcare datasets is preferred.
* Hands\-on experience with GenAI models, LangChain, VectorDBs, and RAG techniques for advanced AI solutions is preferred.
* Leadership or mentorship roles in AI/ML projects within healthcare settings is preferred.
**ESSENTIAL DUTIES AND RESPONSIBILITIES**
Essential duties and responsibilities include the following. Other duties may be assigned.
* Builds, trains, validates, and deploys machine learning models to solve healthcare\-specific problems such as predictive analytics, anomaly detection, clinical decision support, and natural language processing on medical data.
* Develops AI/ML solutions that integrate HL7 and other healthcare interoperability standards to ensure seamless data exchange and compliance with healthcare regulations.
* Collaborates with clinicians, data engineers, product managers, and compliance teams to align AI solutions with clinical workflows and regulatory requirements such as HIPAA.
* Implements and optimizes models using Python, R, Java, or other relevant programming languages and frameworks (e.g., PyTorch, TensorFlow, scikit\-learn).
* Fine\-tunes large language models (LLMs) and leverage generative AI techniques, including Retrieval\-Augmented Generation (RAG) and agentic frameworks, to enhance healthcare AI applications.
* Conducts rigorous evaluation of AI models using appropriate metrics and continuously monitor and improve model performance in production environments.
* Designs and maintains AI/ML pipelines and infrastructure, often utilizing cloud platforms such as AWS, Azure, or Google Cloud for scalable model training and deployment.
* Ensures ethical AI use and compliance with healthcare regulations, including data privacy and security standards.
* Provides mentorship and technical guidance to junior engineers and contribute to research and development efforts in healthcare AI.
**PHYSICAL DEMANDS**
Work is primarily performed in an office environment. Regularly required to sit. Regularly required use hands to finger, handle, or feel, reach with hands and arms to handle objects and operate tools, computer, and/or controls. Required to speak and hear. Occasionally required to stand, walk and stoop, kneel, crouch, or crawl. Must frequently lift and/or move up to 10 pounds and occasionally lift and/or move up to 25 pounds. Specific vision abilities required by this job include close vision, distance vision, depth perception, and ability to adjust focus. Exposed to general office noise with computers printers and light traffic.
The physical demands described here are representative of those that must be met by an employee to successfully perform the essential functions of this job. Reasonable accommodations may be made to enable individuals with disabilities to perform the essential functions of this job.  
**EOE including Disability/Vet**
**The estimated pay range for this role is $100K to $140K, with the final offer contingent on location, skillset, and experience.**
**CNI offers a comprehensive benefits package that includes:**
* Medical
* Dental
* Vision
* 401(k)
* Family Planning/Fertility Assistance
* STD/LTD/Basic Life/AD\&amp;D
* Legal\-Aid Program
* Employee Assistance Program (EAP)
* Paid Time Off (PTO) – (11\) Federal Holidays
* Training and Development Opportunities
Your application submission will be considered for all potential employment opportunities with Chickasaw Nation Industries (CNI).
\#INDCNI</t>
        </is>
      </c>
    </row>
    <row r="3">
      <c r="A3" t="inlineStr">
        <is>
          <t>in-23362c4f7012c1a7</t>
        </is>
      </c>
      <c r="B3" t="inlineStr">
        <is>
          <t>Sr. AI Engineer</t>
        </is>
      </c>
      <c r="C3" t="inlineStr">
        <is>
          <t>Qualcomm</t>
        </is>
      </c>
      <c r="D3" t="inlineStr">
        <is>
          <t>indeed</t>
        </is>
      </c>
      <c r="E3" t="inlineStr"/>
      <c r="F3" t="inlineStr"/>
      <c r="G3" t="inlineStr">
        <is>
          <t>Santa Clara, CA, US</t>
        </is>
      </c>
      <c r="H3" s="2" t="n">
        <v>46050</v>
      </c>
      <c r="I3" t="inlineStr">
        <is>
          <t>**Company:**
------------
Qualcomm Technologies, Inc.**Job Area:**
-------------
Engineering Group, Engineering Group \&gt; Software Engineering**General Summary:**
We are looking for a skilled and motivated AI Model Training Engineer to join our team. In this role, you will be responsible for designing, training, fine\-tuning, and optimizing machine learning models for a range of applications. You’ll work closely with data scientists, researchers, and infrastructure engineers to develop robust, scalable models that meet performance, efficiency, and ethical standards.
**Key Responsibilities**
* Build and train machine learning and deep learning models using structured and unstructured datasets.
* Fine\-tune pre\-trained models (e.g., object detection, classification, LLMs, vision transformers) for specific downstream tasks.
* Design training pipelines with reproducibility, efficiency, and scalability in mind.
* Conduct hyperparameter optimization, model evaluation, and performance tuning.
* Collaborate with data engineering teams to ensure high\-quality, well\-labeled, and balanced datasets.
* Monitor training processes, identify failure modes, and address overfitting, underfitting, or bias.
* Keep up to date with the latest research and integrate state\-of\-the\-art techniques into training workflows.
* Document models, training strategies, and experiments for internal knowledge sharing and compliance.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Bachelor’s or Master’s degree in Computer Science, Machine Learning, Data Science, or related field.
* Solid experience training machine learning models with frameworks like PyTorch, onnxruntime or Hugging Face Transformers.
* Proficient in Python and familiar with ML libraries such as PyTorch, scikit\-learn, and NumPy.
* Understanding of training best practices, including dataset management, batching, checkpointing, and loss functions.
* Experience with GPU/TPU\-based training environments and distributed training frameworks (e.g., PyTorch, onnxruntime).
* Experience training large\-scale models (e.g., LLMs, multimodal models) or using cloud\-based ML platforms.
* Knowledge of MLOps practices including CI/CD, containerization, and model versioning.
* Background in performance profiling and memory optimization for training workflows.
* Exposure to ethical AI practices, including fairness, explainability, and model auditing.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$129,300\.00 \- $193,900\.00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
      <c r="A4" t="inlineStr">
        <is>
          <t>in-cb6baad972873afb</t>
        </is>
      </c>
      <c r="B4" t="inlineStr">
        <is>
          <t>Member of Technical Staff, Applied Scientist - Windows Copilot</t>
        </is>
      </c>
      <c r="C4" t="inlineStr">
        <is>
          <t>Microsoft</t>
        </is>
      </c>
      <c r="D4" t="inlineStr">
        <is>
          <t>indeed</t>
        </is>
      </c>
      <c r="E4" t="inlineStr"/>
      <c r="F4" t="inlineStr"/>
      <c r="G4" t="inlineStr">
        <is>
          <t>Washington, DC, US</t>
        </is>
      </c>
      <c r="H4" s="2" t="n">
        <v>46049</v>
      </c>
      <c r="I4" t="inlineStr">
        <is>
          <t>**Overview**  
The Windows Copilot team is at the forefront of redefining how AI enhances everyday computing. This team owns the full stack—from cutting\-edge AI infrastructure and model development, to crafting seamless user experiences directly in Windows.
We’re building and shipping consumer\-scale services that are transforming how users interact with their PCs. Whether it’s designing intelligent prompts, engineering robust backends to interface with models, or developing native Windows platform and UX features, this team does it all.
We are hiring an Applied Scientist to lead the end\-to\-end model\-building process, including problem understanding, data curation, model development, deployment, and iteration based on real\-world feedback. This role will serve as a critical bridge between Microsoft Research and the engineering team, taking increasing ownership of model training responsibilities.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*MAI employees are expected to work from a designated Microsoft office at least four days a week if they live within 50 miles (U.S.) or 25 miles (non\-U.S., country\-specific) of that location. This expectation is subject to local law and may vary by jurisdiction.*  
**Responsibilities**  
* Develop and refine data pipelines and infrastructure to support AI model development for Copilot.
* Collaborate with research teams to integrate cutting\-edge AI advancements into production systems.
* Design, train, and evaluate machine learning models, ensuring performance optimization and scalability.
* Work closely with engineering and product teams to ensure AI\-driven experiences meet quality and user experience standards.
* Conduct rigorous data analysis and experimentation, leveraging insights to improve Copilot’s intelligence.
* Overcome obstacles to deliver iterative improvements in AI performance and responsiveness.
* Stay ahead of the latest innovations in deep learning, reinforcement learning, and generative AI.
Embody our Culture and Values.  
* 
**Qualifications** **Required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Proven track record of deploying machine learning models in large\-scale production environments.
* 9\+ years of experience building data pipelines, training deep learning models, and optimizing AI workflows.
* Proven track record of deploying machine learning models in large\-scale production environments.
* 4\+ years of experience building data pipelines, training deep learning models, and optimizing AI workflows.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in-92c498a129702989</t>
        </is>
      </c>
      <c r="B5" t="inlineStr">
        <is>
          <t>Senior Data and Applied Scientist - Xbox</t>
        </is>
      </c>
      <c r="C5" t="inlineStr">
        <is>
          <t>Microsoft</t>
        </is>
      </c>
      <c r="D5" t="inlineStr">
        <is>
          <t>indeed</t>
        </is>
      </c>
      <c r="E5" t="inlineStr"/>
      <c r="F5" t="inlineStr"/>
      <c r="G5" t="inlineStr">
        <is>
          <t>Redmond, WA, US</t>
        </is>
      </c>
      <c r="H5" s="2" t="n">
        <v>46048</v>
      </c>
      <c r="I5" t="inlineStr">
        <is>
          <t>**Overview**  
Have you or someone you know ever wanted to work in gaming? How about building safe and inclusive communities? How about impacting experience for millions of customers? What if you could do all three of those things at the same time?
Microsoft is committed to ensuring that we develop and deploy our AI technologies in ways that uphold our AI principles and warrant people’s trust.
Here in Microsoft Gaming, we are on a mission to bring the joy and community of gaming to everyone on the planet. We deliver on that vision by putting players at the center, enabling you to play the games you want, with the people you want, anywhere you want.
Gaming Player Services and Operations is at the heart of our ambition to reach billions of players across the globe, ensuring that every player feels included and engaged across Xbox. We do this through our commitment to driving operational excellence through innovation and ensuring player and partner delight across Microsoft Gaming.
As a Senior Data and Applied Scientist, you will work with cross\-functional teams to apply state\-of\-the\-art AI that supports community moderation experiences for some of the largest online communities around the globe. You will also collaborate with other teams across Xbox, Microsoft, and the gaming industry to ensure the developed technology complies with legal and regulatory requirements, as well as best practices for online safety, privacy and responsible AI. You will be a peer mentor and role model on the team, fostering a culture of customer focus, collaboration, diversity, inclusion, and drive technical excellence and innovation.
Within the Safety, Trust, \&amp; Responsibility team, our mission is to grow and protect global player communities. We believe that wherever you play, it should be a fun, safe, and inclusive environment—and it’s our job to provide the services, expertise, and support to make accessible, world\-class player experiences possible. We champion transparency, compliance, and the responsible use of AI, with trust at the core of how we operate. We embrace experimentation to reach more players, inform business decisions, and deepen our understanding of customer and player needs. Through a culture of innovation, collaboration, and continuous improvement, we support and challenge one another to perform at our best.  
**Responsibilities**  
* Advancing the state\-of\-the\-art artificial intelligence (AI) and natural language processing (NLP) algorithms, especially applying large language models and small language models, (LLM/SLM) to real\-world large\-scale content moderation systems.
* Developing tools, algorithms, fine\-tuning and optimizing AI models, and automated systems that help identify and moderate high\-risk behaviors and user generated text, image, video, audio and mixed media content on social networks
* Working on the full lifecycle of AI development including training data collection, feature engineering, model training, offline and online experimentation, and deployment and maintenance.
* Collaborating and working cross functionally, focusing on strategic business questions, and sharing learnings.
* Driving product and business innovations for measurable impact on moderation product effectiveness.
* Investigating new technologies, tools, and prototypes, the latest techniques to evolve AI capabilities of the product and organization.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Several years of industry experience across multiple AI modalities, such as multimodal models, Automatic Speech Recognition (ASR), Computer Vision, and Natural Language Processing (NLP).
* Hands\-on experience with advanced fine\-tuning methods, including self\-supervised, semi\-supervised, and supervised learning techniques.
* Hands\-on experience building or evaluating large language models and small language models, (LLM/SLM) applications in production, ensuring AI meets or exceeds targets for functionality, responsiveness and compliance.
* Product\-driven thinking.
* Experience designing and implementing processes/systems to measure and improve AI product performance throughout the product life cycle.
* Ability to work in a fast\-paced environment, manage multiple priorities, and adapt to changing requirements and deadlines
* Experience building large data sets using SQL, Spark, Snowflake etc., for model training, testing and/or deriving actionable insights.
* Strong communication skills to explain insights in an understandable way to non\-experts, in both formal presentations and informal group conversations.
* Committed to contributing to an inclusive workplace that focuses on respect, integrity, and personal accountability.
This would be a great role for you if…
* You want to make gaming a safer and more positive experience for everyone.
* You are passionate about applying the latest in AI / ML technology to challenging problems involving text, images, video, audio and mixed\-media classification and moderation.
* You are a role model and active participant in creating a culture of inclusion and respect within the organization.
* You believe in making data\-driven decisions through telemetry and customer feedback.
* You have a passion for engineering excellence.
\#gamingjobs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in-c32d267917b87e0d</t>
        </is>
      </c>
      <c r="B6" t="inlineStr">
        <is>
          <t>Applied Scientist, Amazon Special Projects</t>
        </is>
      </c>
      <c r="C6" t="inlineStr">
        <is>
          <t>Amazon.com</t>
        </is>
      </c>
      <c r="D6" t="inlineStr">
        <is>
          <t>indeed</t>
        </is>
      </c>
      <c r="E6" t="inlineStr"/>
      <c r="F6" t="inlineStr"/>
      <c r="G6" t="inlineStr">
        <is>
          <t>Boston, MA, US</t>
        </is>
      </c>
      <c r="H6" s="2" t="n">
        <v>46026</v>
      </c>
      <c r="I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in-22a0e23c2ae6ad05</t>
        </is>
      </c>
      <c r="B7" t="inlineStr">
        <is>
          <t>Applied Scientist, Amazon Special Projects</t>
        </is>
      </c>
      <c r="C7" t="inlineStr">
        <is>
          <t>Amazon.com</t>
        </is>
      </c>
      <c r="D7" t="inlineStr">
        <is>
          <t>indeed</t>
        </is>
      </c>
      <c r="E7" t="inlineStr"/>
      <c r="F7" t="inlineStr"/>
      <c r="G7" t="inlineStr">
        <is>
          <t>Seattle, WA, US</t>
        </is>
      </c>
      <c r="H7" s="2" t="n">
        <v>46026</v>
      </c>
      <c r="I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in-667beac1516a6ee7</t>
        </is>
      </c>
      <c r="B8" t="inlineStr">
        <is>
          <t>Sr. Applied Scientist, Amazon Ads</t>
        </is>
      </c>
      <c r="C8" t="inlineStr">
        <is>
          <t>Amazon.com</t>
        </is>
      </c>
      <c r="D8" t="inlineStr">
        <is>
          <t>indeed</t>
        </is>
      </c>
      <c r="E8" t="inlineStr"/>
      <c r="F8" t="inlineStr"/>
      <c r="G8" t="inlineStr">
        <is>
          <t>Boston, MA, US</t>
        </is>
      </c>
      <c r="H8" s="2"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in-4468643db4da48bd</t>
        </is>
      </c>
      <c r="B9" t="inlineStr">
        <is>
          <t>Sr. Applied Scientist, Amazon Ads</t>
        </is>
      </c>
      <c r="C9" t="inlineStr">
        <is>
          <t>Amazon.com</t>
        </is>
      </c>
      <c r="D9" t="inlineStr">
        <is>
          <t>indeed</t>
        </is>
      </c>
      <c r="E9" t="inlineStr"/>
      <c r="F9" t="inlineStr"/>
      <c r="G9" t="inlineStr">
        <is>
          <t>Palo Alto, CA,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in-eef03d7739d54820</t>
        </is>
      </c>
      <c r="B10" t="inlineStr">
        <is>
          <t>Sr. Applied Scientist, Amazon Ads</t>
        </is>
      </c>
      <c r="C10" t="inlineStr">
        <is>
          <t>Amazon.com</t>
        </is>
      </c>
      <c r="D10" t="inlineStr">
        <is>
          <t>indeed</t>
        </is>
      </c>
      <c r="E10" t="inlineStr"/>
      <c r="F10" t="inlineStr"/>
      <c r="G10" t="inlineStr">
        <is>
          <t>Tukwila, WA,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in-fb8157a547bef50e</t>
        </is>
      </c>
      <c r="B11" t="inlineStr">
        <is>
          <t>Sr. Applied Scientist, Amazon Ads</t>
        </is>
      </c>
      <c r="C11" t="inlineStr">
        <is>
          <t>Amazon.com</t>
        </is>
      </c>
      <c r="D11" t="inlineStr">
        <is>
          <t>indeed</t>
        </is>
      </c>
      <c r="E11" t="inlineStr"/>
      <c r="F11" t="inlineStr"/>
      <c r="G11" t="inlineStr">
        <is>
          <t>Brooklyn, NY,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in-0588b1e9775825ba</t>
        </is>
      </c>
      <c r="B12" t="inlineStr">
        <is>
          <t>Sr. Applied Scientist, Amazon Ads</t>
        </is>
      </c>
      <c r="C12" t="inlineStr">
        <is>
          <t>Amazon.com</t>
        </is>
      </c>
      <c r="D12" t="inlineStr">
        <is>
          <t>indeed</t>
        </is>
      </c>
      <c r="E12" t="inlineStr"/>
      <c r="F12" t="inlineStr"/>
      <c r="G12" t="inlineStr">
        <is>
          <t>Santa Monica, CA, US</t>
        </is>
      </c>
      <c r="H12" s="2"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in-0c0bde76fdb7f70e</t>
        </is>
      </c>
      <c r="B13" t="inlineStr">
        <is>
          <t>Sr. Applied Scientist, Amazon Ads</t>
        </is>
      </c>
      <c r="C13" t="inlineStr">
        <is>
          <t>Amazon.com</t>
        </is>
      </c>
      <c r="D13" t="inlineStr">
        <is>
          <t>indeed</t>
        </is>
      </c>
      <c r="E13" t="inlineStr"/>
      <c r="F13" t="inlineStr"/>
      <c r="G13" t="inlineStr">
        <is>
          <t>New York, NY, US</t>
        </is>
      </c>
      <c r="H13" s="2" t="n">
        <v>45998</v>
      </c>
      <c r="I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
      <c r="A14" t="inlineStr">
        <is>
          <t>in-5b14e9603ff2c578</t>
        </is>
      </c>
      <c r="B14" t="inlineStr">
        <is>
          <t>Sr. Applied Scientist, Amazon Ads</t>
        </is>
      </c>
      <c r="C14" t="inlineStr">
        <is>
          <t>Amazon.com</t>
        </is>
      </c>
      <c r="D14" t="inlineStr">
        <is>
          <t>indeed</t>
        </is>
      </c>
      <c r="E14" t="inlineStr"/>
      <c r="F14" t="inlineStr"/>
      <c r="G14" t="inlineStr">
        <is>
          <t>Sunnyvale, CA, US</t>
        </is>
      </c>
      <c r="H14" s="2" t="n">
        <v>45998</v>
      </c>
      <c r="I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
      <c r="A15" t="inlineStr">
        <is>
          <t>in-c66d39ed3d596d2f</t>
        </is>
      </c>
      <c r="B15" t="inlineStr">
        <is>
          <t>Sr. Applied Scientist, Amazon Ads</t>
        </is>
      </c>
      <c r="C15" t="inlineStr">
        <is>
          <t>Amazon.com</t>
        </is>
      </c>
      <c r="D15" t="inlineStr">
        <is>
          <t>indeed</t>
        </is>
      </c>
      <c r="E15" t="inlineStr"/>
      <c r="F15" t="inlineStr"/>
      <c r="G15" t="inlineStr">
        <is>
          <t>Boulder, CO, US</t>
        </is>
      </c>
      <c r="H15" s="2" t="n">
        <v>45998</v>
      </c>
      <c r="I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
      <c r="A16" t="inlineStr">
        <is>
          <t>in-3014a49123f75362</t>
        </is>
      </c>
      <c r="B16" t="inlineStr">
        <is>
          <t>Sr. Applied Scientist, Amazon Ads</t>
        </is>
      </c>
      <c r="C16" t="inlineStr">
        <is>
          <t>Amazon.com</t>
        </is>
      </c>
      <c r="D16" t="inlineStr">
        <is>
          <t>indeed</t>
        </is>
      </c>
      <c r="E16" t="inlineStr"/>
      <c r="F16" t="inlineStr"/>
      <c r="G16" t="inlineStr">
        <is>
          <t>Seattle, WA,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in-dd55decd6c1e80ec</t>
        </is>
      </c>
      <c r="B17" t="inlineStr">
        <is>
          <t>Sr. Applied Scientist, Amazon Ads</t>
        </is>
      </c>
      <c r="C17" t="inlineStr">
        <is>
          <t>Amazon.com</t>
        </is>
      </c>
      <c r="D17" t="inlineStr">
        <is>
          <t>indeed</t>
        </is>
      </c>
      <c r="E17" t="inlineStr"/>
      <c r="F17" t="inlineStr"/>
      <c r="G17" t="inlineStr">
        <is>
          <t>Corvallis, OR,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in-599eb55c7bba3f54</t>
        </is>
      </c>
      <c r="B18" t="inlineStr">
        <is>
          <t>Applied Scientist, ML Compiler</t>
        </is>
      </c>
      <c r="C18" t="inlineStr">
        <is>
          <t>Amazon Web Services</t>
        </is>
      </c>
      <c r="D18" t="inlineStr">
        <is>
          <t>indeed</t>
        </is>
      </c>
      <c r="E18" t="inlineStr"/>
      <c r="F18" t="inlineStr"/>
      <c r="G18" t="inlineStr">
        <is>
          <t>Cupertino, CA, US</t>
        </is>
      </c>
      <c r="H18" s="2" t="n">
        <v>45993</v>
      </c>
      <c r="I18"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in-3a553b4958b9fb3a</t>
        </is>
      </c>
      <c r="B19" t="inlineStr">
        <is>
          <t>Applied Scientist, ML Compiler</t>
        </is>
      </c>
      <c r="C19" t="inlineStr">
        <is>
          <t>Amazon Web Services</t>
        </is>
      </c>
      <c r="D19" t="inlineStr">
        <is>
          <t>indeed</t>
        </is>
      </c>
      <c r="E19" t="inlineStr"/>
      <c r="F19" t="inlineStr"/>
      <c r="G19" t="inlineStr">
        <is>
          <t>Seattle, WA, US</t>
        </is>
      </c>
      <c r="H19" s="2" t="n">
        <v>45993</v>
      </c>
      <c r="I19"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in-c127b08aa5cdc10b</t>
        </is>
      </c>
      <c r="B20" t="inlineStr">
        <is>
          <t>Senior Applied Scientist, Locomotion, Amazon Industrial Robotics</t>
        </is>
      </c>
      <c r="C20" t="inlineStr">
        <is>
          <t>Amazon.com</t>
        </is>
      </c>
      <c r="D20" t="inlineStr">
        <is>
          <t>indeed</t>
        </is>
      </c>
      <c r="E20" t="inlineStr"/>
      <c r="F20" t="inlineStr"/>
      <c r="G20" t="inlineStr">
        <is>
          <t>Reading, MA, US</t>
        </is>
      </c>
      <c r="H20" s="2" t="n">
        <v>45992</v>
      </c>
      <c r="I2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in-46adf66a7b4af279</t>
        </is>
      </c>
      <c r="B21" t="inlineStr">
        <is>
          <t>Senior Applied Scientist, Locomotion, Amazon Industrial Robotics</t>
        </is>
      </c>
      <c r="C21" t="inlineStr">
        <is>
          <t>Amazon.com</t>
        </is>
      </c>
      <c r="D21" t="inlineStr">
        <is>
          <t>indeed</t>
        </is>
      </c>
      <c r="E21" t="inlineStr"/>
      <c r="F21" t="inlineStr"/>
      <c r="G21" t="inlineStr">
        <is>
          <t>Reading, MA, US</t>
        </is>
      </c>
      <c r="H21" s="2" t="n">
        <v>45992</v>
      </c>
      <c r="I2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in-d151e409ea194f76</t>
        </is>
      </c>
      <c r="B22" t="inlineStr">
        <is>
          <t>Sr. Machine Learning Engineer, AGIF | Finetuning</t>
        </is>
      </c>
      <c r="C22" t="inlineStr">
        <is>
          <t>Amazon.com</t>
        </is>
      </c>
      <c r="D22" t="inlineStr">
        <is>
          <t>indeed</t>
        </is>
      </c>
      <c r="E22" t="inlineStr"/>
      <c r="F22" t="inlineStr"/>
      <c r="G22" t="inlineStr">
        <is>
          <t>Bellevue, WA, US</t>
        </is>
      </c>
      <c r="H22" s="2" t="n">
        <v>45984</v>
      </c>
      <c r="I2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in-85f65a354f3eb7d0</t>
        </is>
      </c>
      <c r="B23" t="inlineStr">
        <is>
          <t>Sr. Machine Learning Engineer, AGIF | Finetuning</t>
        </is>
      </c>
      <c r="C23" t="inlineStr">
        <is>
          <t>Amazon.com</t>
        </is>
      </c>
      <c r="D23" t="inlineStr">
        <is>
          <t>indeed</t>
        </is>
      </c>
      <c r="E23" t="inlineStr"/>
      <c r="F23" t="inlineStr"/>
      <c r="G23" t="inlineStr">
        <is>
          <t>Sunnyvale, CA, US</t>
        </is>
      </c>
      <c r="H23" s="2" t="n">
        <v>45984</v>
      </c>
      <c r="I2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in-aac6825498a59c5d</t>
        </is>
      </c>
      <c r="B24" t="inlineStr">
        <is>
          <t>Sr. Machine Learning Engineer, AGIF | Finetuning</t>
        </is>
      </c>
      <c r="C24" t="inlineStr">
        <is>
          <t>Amazon.com</t>
        </is>
      </c>
      <c r="D24" t="inlineStr">
        <is>
          <t>indeed</t>
        </is>
      </c>
      <c r="E24" t="inlineStr"/>
      <c r="F24" t="inlineStr"/>
      <c r="G24" t="inlineStr">
        <is>
          <t>New York, NY, US</t>
        </is>
      </c>
      <c r="H24" s="2" t="n">
        <v>45984</v>
      </c>
      <c r="I2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in-c829f6c903328dfa</t>
        </is>
      </c>
      <c r="B25" t="inlineStr">
        <is>
          <t>Principal Applied Scientist, Amazon Special Projects</t>
        </is>
      </c>
      <c r="C25" t="inlineStr">
        <is>
          <t>Amazon.com</t>
        </is>
      </c>
      <c r="D25" t="inlineStr">
        <is>
          <t>indeed</t>
        </is>
      </c>
      <c r="E25" t="inlineStr"/>
      <c r="F25" t="inlineStr"/>
      <c r="G25" t="inlineStr">
        <is>
          <t>Seattle, WA, US</t>
        </is>
      </c>
      <c r="H25" s="2" t="n">
        <v>45982</v>
      </c>
      <c r="I2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in-e067daab2cc0c55b</t>
        </is>
      </c>
      <c r="B26" t="inlineStr">
        <is>
          <t>Principal Applied Scientist, Amazon Special Projects</t>
        </is>
      </c>
      <c r="C26" t="inlineStr">
        <is>
          <t>Amazon.com</t>
        </is>
      </c>
      <c r="D26" t="inlineStr">
        <is>
          <t>indeed</t>
        </is>
      </c>
      <c r="E26" t="inlineStr"/>
      <c r="F26" t="inlineStr"/>
      <c r="G26" t="inlineStr">
        <is>
          <t>Boston, MA, US</t>
        </is>
      </c>
      <c r="H26" s="2" t="n">
        <v>45982</v>
      </c>
      <c r="I2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in-f28733469904d74d</t>
        </is>
      </c>
      <c r="B27" t="inlineStr">
        <is>
          <t>Senior Applied Scientist, Artificial General Intelligence</t>
        </is>
      </c>
      <c r="C27" t="inlineStr">
        <is>
          <t>Amazon.com</t>
        </is>
      </c>
      <c r="D27" t="inlineStr">
        <is>
          <t>indeed</t>
        </is>
      </c>
      <c r="E27" t="inlineStr"/>
      <c r="F27" t="inlineStr"/>
      <c r="G27" t="inlineStr">
        <is>
          <t>Seattle, WA, US</t>
        </is>
      </c>
      <c r="H27" s="2" t="n">
        <v>45980</v>
      </c>
      <c r="I2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in-cbbd759b816ed355</t>
        </is>
      </c>
      <c r="B28" t="inlineStr">
        <is>
          <t>Senior Applied Scientist, Artificial General Intelligence</t>
        </is>
      </c>
      <c r="C28" t="inlineStr">
        <is>
          <t>Amazon.com</t>
        </is>
      </c>
      <c r="D28" t="inlineStr">
        <is>
          <t>indeed</t>
        </is>
      </c>
      <c r="E28" t="inlineStr"/>
      <c r="F28" t="inlineStr"/>
      <c r="G28" t="inlineStr">
        <is>
          <t>Sunnyvale, CA, US</t>
        </is>
      </c>
      <c r="H28" s="2" t="n">
        <v>45980</v>
      </c>
      <c r="I2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in-c4b2acf91f27bc78</t>
        </is>
      </c>
      <c r="B29" t="inlineStr">
        <is>
          <t>Senior Applied Scientist, Artificial General Intelligence</t>
        </is>
      </c>
      <c r="C29" t="inlineStr">
        <is>
          <t>Amazon.com</t>
        </is>
      </c>
      <c r="D29" t="inlineStr">
        <is>
          <t>indeed</t>
        </is>
      </c>
      <c r="E29" t="inlineStr"/>
      <c r="F29" t="inlineStr"/>
      <c r="G29" t="inlineStr">
        <is>
          <t>Boston, MA, US</t>
        </is>
      </c>
      <c r="H29" s="2" t="n">
        <v>45980</v>
      </c>
      <c r="I2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in-89a2769fa963ded8</t>
        </is>
      </c>
      <c r="B30" t="inlineStr">
        <is>
          <t>Senior Applied Scientist, Artificial General Intelligence</t>
        </is>
      </c>
      <c r="C30" t="inlineStr">
        <is>
          <t>Amazon.com</t>
        </is>
      </c>
      <c r="D30" t="inlineStr">
        <is>
          <t>indeed</t>
        </is>
      </c>
      <c r="E30" t="inlineStr"/>
      <c r="F30" t="inlineStr"/>
      <c r="G30" t="inlineStr">
        <is>
          <t>New York, NY, US</t>
        </is>
      </c>
      <c r="H30" s="2" t="n">
        <v>45980</v>
      </c>
      <c r="I3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in-fe63b053535a2dc6</t>
        </is>
      </c>
      <c r="B31" t="inlineStr">
        <is>
          <t>Applied Scientist II, SPB Advertiser Guidance</t>
        </is>
      </c>
      <c r="C31" t="inlineStr">
        <is>
          <t>Amazon.com</t>
        </is>
      </c>
      <c r="D31" t="inlineStr">
        <is>
          <t>indeed</t>
        </is>
      </c>
      <c r="E31" t="inlineStr"/>
      <c r="F31" t="inlineStr"/>
      <c r="G31" t="inlineStr">
        <is>
          <t>Palo Alto, CA, US</t>
        </is>
      </c>
      <c r="H31" s="2" t="n">
        <v>45980</v>
      </c>
      <c r="I3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in-223244bc5e0ab61b</t>
        </is>
      </c>
      <c r="B32" t="inlineStr">
        <is>
          <t>Applied Scientist II, SPB Advertiser Guidance</t>
        </is>
      </c>
      <c r="C32" t="inlineStr">
        <is>
          <t>Amazon.com</t>
        </is>
      </c>
      <c r="D32" t="inlineStr">
        <is>
          <t>indeed</t>
        </is>
      </c>
      <c r="E32" t="inlineStr"/>
      <c r="F32" t="inlineStr"/>
      <c r="G32" t="inlineStr">
        <is>
          <t>Seattle, WA, US</t>
        </is>
      </c>
      <c r="H32" s="2" t="n">
        <v>45980</v>
      </c>
      <c r="I3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in-01742db2e7e0b229</t>
        </is>
      </c>
      <c r="B33" t="inlineStr">
        <is>
          <t>Applied Scientist II, SPB Advertiser Guidance</t>
        </is>
      </c>
      <c r="C33" t="inlineStr">
        <is>
          <t>Amazon.com</t>
        </is>
      </c>
      <c r="D33" t="inlineStr">
        <is>
          <t>indeed</t>
        </is>
      </c>
      <c r="E33" t="inlineStr"/>
      <c r="F33" t="inlineStr"/>
      <c r="G33" t="inlineStr">
        <is>
          <t>New York, NY, US</t>
        </is>
      </c>
      <c r="H33" s="2" t="n">
        <v>45980</v>
      </c>
      <c r="I3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in-69ae43cedfbaa394</t>
        </is>
      </c>
      <c r="B34" t="inlineStr">
        <is>
          <t>Principal Applied Scientist, Sponsored Products and Brands</t>
        </is>
      </c>
      <c r="C34" t="inlineStr">
        <is>
          <t>Amazon.com</t>
        </is>
      </c>
      <c r="D34" t="inlineStr">
        <is>
          <t>indeed</t>
        </is>
      </c>
      <c r="E34" t="inlineStr"/>
      <c r="F34" t="inlineStr"/>
      <c r="G34" t="inlineStr">
        <is>
          <t>New York, NY, US</t>
        </is>
      </c>
      <c r="H34" s="2" t="n">
        <v>45979</v>
      </c>
      <c r="I3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in-64ab8e63c8ac52c0</t>
        </is>
      </c>
      <c r="B35" t="inlineStr">
        <is>
          <t>Principal Applied Scientist, Sponsored Products and Brands</t>
        </is>
      </c>
      <c r="C35" t="inlineStr">
        <is>
          <t>Amazon.com</t>
        </is>
      </c>
      <c r="D35" t="inlineStr">
        <is>
          <t>indeed</t>
        </is>
      </c>
      <c r="E35" t="inlineStr"/>
      <c r="F35" t="inlineStr"/>
      <c r="G35" t="inlineStr">
        <is>
          <t>Seattle, WA, US</t>
        </is>
      </c>
      <c r="H35" s="2" t="n">
        <v>45979</v>
      </c>
      <c r="I3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in-487cee7fb1049847</t>
        </is>
      </c>
      <c r="B36" t="inlineStr">
        <is>
          <t>Sr. Applied Scientist, AGI Foundations</t>
        </is>
      </c>
      <c r="C36" t="inlineStr">
        <is>
          <t>Amazon.com</t>
        </is>
      </c>
      <c r="D36" t="inlineStr">
        <is>
          <t>indeed</t>
        </is>
      </c>
      <c r="E36" t="inlineStr"/>
      <c r="F36" t="inlineStr"/>
      <c r="G36" t="inlineStr">
        <is>
          <t>Boston, MA, US</t>
        </is>
      </c>
      <c r="H36" s="2" t="n">
        <v>45978</v>
      </c>
      <c r="I3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in-0c3e54015655b925</t>
        </is>
      </c>
      <c r="B37" t="inlineStr">
        <is>
          <t>Sr. Applied Scientist, AGI Foundations</t>
        </is>
      </c>
      <c r="C37" t="inlineStr">
        <is>
          <t>Amazon.com</t>
        </is>
      </c>
      <c r="D37" t="inlineStr">
        <is>
          <t>indeed</t>
        </is>
      </c>
      <c r="E37" t="inlineStr"/>
      <c r="F37" t="inlineStr"/>
      <c r="G37" t="inlineStr">
        <is>
          <t>Bellevue, WA, US</t>
        </is>
      </c>
      <c r="H37" s="2" t="n">
        <v>45978</v>
      </c>
      <c r="I3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in-5deb31a44567c354</t>
        </is>
      </c>
      <c r="B38" t="inlineStr">
        <is>
          <t>Sr. Applied Scientist, AGI Foundations</t>
        </is>
      </c>
      <c r="C38" t="inlineStr">
        <is>
          <t>Amazon.com</t>
        </is>
      </c>
      <c r="D38" t="inlineStr">
        <is>
          <t>indeed</t>
        </is>
      </c>
      <c r="E38" t="inlineStr"/>
      <c r="F38" t="inlineStr"/>
      <c r="G38" t="inlineStr">
        <is>
          <t>Sunnyvale, CA, US</t>
        </is>
      </c>
      <c r="H38" s="2" t="n">
        <v>45978</v>
      </c>
      <c r="I3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in-09b3a1c36645d6da</t>
        </is>
      </c>
      <c r="B39" t="inlineStr">
        <is>
          <t>Sr. Applied Scientist, AGI Foundations</t>
        </is>
      </c>
      <c r="C39" t="inlineStr">
        <is>
          <t>Amazon.com</t>
        </is>
      </c>
      <c r="D39" t="inlineStr">
        <is>
          <t>indeed</t>
        </is>
      </c>
      <c r="E39" t="inlineStr"/>
      <c r="F39" t="inlineStr"/>
      <c r="G39" t="inlineStr">
        <is>
          <t>New York, NY, US</t>
        </is>
      </c>
      <c r="H39" s="2" t="n">
        <v>45978</v>
      </c>
      <c r="I3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in-16bc7e9ba5f06991</t>
        </is>
      </c>
      <c r="B40" t="inlineStr">
        <is>
          <t>Applied Scientist II, Robotics and ML, Amazon Industrial Robotics</t>
        </is>
      </c>
      <c r="C40" t="inlineStr">
        <is>
          <t>Amazon.com</t>
        </is>
      </c>
      <c r="D40" t="inlineStr">
        <is>
          <t>indeed</t>
        </is>
      </c>
      <c r="E40" t="inlineStr"/>
      <c r="F40" t="inlineStr"/>
      <c r="G40" t="inlineStr">
        <is>
          <t>Reading, MA, US</t>
        </is>
      </c>
      <c r="H40" s="2" t="n">
        <v>45975</v>
      </c>
      <c r="I4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in-5b4206cee2adec46</t>
        </is>
      </c>
      <c r="B41" t="inlineStr">
        <is>
          <t>Applied Scientist II, Robotics and ML, Amazon Industrial Robotics</t>
        </is>
      </c>
      <c r="C41" t="inlineStr">
        <is>
          <t>Amazon.com</t>
        </is>
      </c>
      <c r="D41" t="inlineStr">
        <is>
          <t>indeed</t>
        </is>
      </c>
      <c r="E41" t="inlineStr"/>
      <c r="F41" t="inlineStr"/>
      <c r="G41" t="inlineStr">
        <is>
          <t>Reading, MA, US</t>
        </is>
      </c>
      <c r="H41" s="2" t="n">
        <v>45975</v>
      </c>
      <c r="I4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in-c1cafa895a11a84c</t>
        </is>
      </c>
      <c r="B42" t="inlineStr">
        <is>
          <t>Sr. Applied Scientist, Amazon Industrial Robotics</t>
        </is>
      </c>
      <c r="C42" t="inlineStr">
        <is>
          <t>Amazon.com</t>
        </is>
      </c>
      <c r="D42" t="inlineStr">
        <is>
          <t>indeed</t>
        </is>
      </c>
      <c r="E42" t="inlineStr"/>
      <c r="F42" t="inlineStr"/>
      <c r="G42" t="inlineStr">
        <is>
          <t>Reading, MA, US</t>
        </is>
      </c>
      <c r="H42" s="2" t="n">
        <v>45973</v>
      </c>
      <c r="I4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in-e92c44eebacc1b91</t>
        </is>
      </c>
      <c r="B43" t="inlineStr">
        <is>
          <t>Sr. Applied Scientist, Amazon Industrial Robotics</t>
        </is>
      </c>
      <c r="C43" t="inlineStr">
        <is>
          <t>Amazon.com</t>
        </is>
      </c>
      <c r="D43" t="inlineStr">
        <is>
          <t>indeed</t>
        </is>
      </c>
      <c r="E43" t="inlineStr"/>
      <c r="F43" t="inlineStr"/>
      <c r="G43" t="inlineStr">
        <is>
          <t>Reading, MA, US</t>
        </is>
      </c>
      <c r="H43" s="2" t="n">
        <v>45973</v>
      </c>
      <c r="I4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in-318d378e80de255d</t>
        </is>
      </c>
      <c r="B44" t="inlineStr">
        <is>
          <t>Principal Applied Scientist, Amazon AGI</t>
        </is>
      </c>
      <c r="C44" t="inlineStr">
        <is>
          <t>Amazon.com</t>
        </is>
      </c>
      <c r="D44" t="inlineStr">
        <is>
          <t>indeed</t>
        </is>
      </c>
      <c r="E44" t="inlineStr"/>
      <c r="F44" t="inlineStr"/>
      <c r="G44" t="inlineStr">
        <is>
          <t>Boston, MA, US</t>
        </is>
      </c>
      <c r="H44" s="2" t="n">
        <v>45964</v>
      </c>
      <c r="I4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in-e1b2a923c6f6f066</t>
        </is>
      </c>
      <c r="B45" t="inlineStr">
        <is>
          <t>Principal Applied Scientist, Amazon AGI</t>
        </is>
      </c>
      <c r="C45" t="inlineStr">
        <is>
          <t>Amazon.com</t>
        </is>
      </c>
      <c r="D45" t="inlineStr">
        <is>
          <t>indeed</t>
        </is>
      </c>
      <c r="E45" t="inlineStr"/>
      <c r="F45" t="inlineStr"/>
      <c r="G45" t="inlineStr">
        <is>
          <t>San Francisco, CA, US</t>
        </is>
      </c>
      <c r="H45" s="2" t="n">
        <v>45964</v>
      </c>
      <c r="I4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in-0f38b5d324f98e27</t>
        </is>
      </c>
      <c r="B46" t="inlineStr">
        <is>
          <t>Sr. Applied Scientist, AGI Foundations</t>
        </is>
      </c>
      <c r="C46" t="inlineStr">
        <is>
          <t>Amazon.com</t>
        </is>
      </c>
      <c r="D46" t="inlineStr">
        <is>
          <t>indeed</t>
        </is>
      </c>
      <c r="E46" t="inlineStr"/>
      <c r="F46" t="inlineStr"/>
      <c r="G46" t="inlineStr">
        <is>
          <t>Boston, MA, US</t>
        </is>
      </c>
      <c r="H46" s="2" t="n">
        <v>45963</v>
      </c>
      <c r="I4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in-e7aa5fdaf203ca85</t>
        </is>
      </c>
      <c r="B47" t="inlineStr">
        <is>
          <t>Sr. Applied Scientist, AGI Foundations</t>
        </is>
      </c>
      <c r="C47" t="inlineStr">
        <is>
          <t>Amazon.com</t>
        </is>
      </c>
      <c r="D47" t="inlineStr">
        <is>
          <t>indeed</t>
        </is>
      </c>
      <c r="E47" t="inlineStr"/>
      <c r="F47" t="inlineStr"/>
      <c r="G47" t="inlineStr">
        <is>
          <t>Bellevue, WA, US</t>
        </is>
      </c>
      <c r="H47" s="2" t="n">
        <v>45963</v>
      </c>
      <c r="I4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in-b3328c077d1bab9e</t>
        </is>
      </c>
      <c r="B48" t="inlineStr">
        <is>
          <t>Sr. Applied Scientist, AGI Foundations</t>
        </is>
      </c>
      <c r="C48" t="inlineStr">
        <is>
          <t>Amazon.com</t>
        </is>
      </c>
      <c r="D48" t="inlineStr">
        <is>
          <t>indeed</t>
        </is>
      </c>
      <c r="E48" t="inlineStr"/>
      <c r="F48" t="inlineStr"/>
      <c r="G48" t="inlineStr">
        <is>
          <t>New York, NY, US</t>
        </is>
      </c>
      <c r="H48" s="2" t="n">
        <v>45963</v>
      </c>
      <c r="I4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in-c96f85561e67635d</t>
        </is>
      </c>
      <c r="B49" t="inlineStr">
        <is>
          <t>Principal Applied Scientist, AWS Agentic AI Science</t>
        </is>
      </c>
      <c r="C49" t="inlineStr">
        <is>
          <t>Amazon Web Services</t>
        </is>
      </c>
      <c r="D49" t="inlineStr">
        <is>
          <t>indeed</t>
        </is>
      </c>
      <c r="E49" t="inlineStr"/>
      <c r="F49" t="inlineStr"/>
      <c r="G49" t="inlineStr">
        <is>
          <t>Santa Clara, CA, US</t>
        </is>
      </c>
      <c r="H49" s="2" t="n">
        <v>45963</v>
      </c>
      <c r="I49"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in-a7bca95c2e4501b4</t>
        </is>
      </c>
      <c r="B50" t="inlineStr">
        <is>
          <t>Principal Applied Scientist, AWS Agentic AI Science</t>
        </is>
      </c>
      <c r="C50" t="inlineStr">
        <is>
          <t>Amazon Web Services</t>
        </is>
      </c>
      <c r="D50" t="inlineStr">
        <is>
          <t>indeed</t>
        </is>
      </c>
      <c r="E50" t="inlineStr"/>
      <c r="F50" t="inlineStr"/>
      <c r="G50" t="inlineStr">
        <is>
          <t>New York, NY, US</t>
        </is>
      </c>
      <c r="H50" s="2" t="n">
        <v>45963</v>
      </c>
      <c r="I50"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in-0fdfb02a38d4cc38</t>
        </is>
      </c>
      <c r="B51" t="inlineStr">
        <is>
          <t>Sr. Applied Scientist, Sponsored Product Off-Search</t>
        </is>
      </c>
      <c r="C51" t="inlineStr">
        <is>
          <t>Amazon.com</t>
        </is>
      </c>
      <c r="D51" t="inlineStr">
        <is>
          <t>indeed</t>
        </is>
      </c>
      <c r="E51" t="inlineStr"/>
      <c r="F51" t="inlineStr"/>
      <c r="G51" t="inlineStr">
        <is>
          <t>Seattle, WA, US</t>
        </is>
      </c>
      <c r="H51" s="2" t="n">
        <v>45963</v>
      </c>
      <c r="I5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in-f64df9c69bf306a0</t>
        </is>
      </c>
      <c r="B52" t="inlineStr">
        <is>
          <t>Sr. Applied Scientist, Sponsored Product Off-Search</t>
        </is>
      </c>
      <c r="C52" t="inlineStr">
        <is>
          <t>Amazon.com</t>
        </is>
      </c>
      <c r="D52" t="inlineStr">
        <is>
          <t>indeed</t>
        </is>
      </c>
      <c r="E52" t="inlineStr"/>
      <c r="F52" t="inlineStr"/>
      <c r="G52" t="inlineStr">
        <is>
          <t>New York, NY, US</t>
        </is>
      </c>
      <c r="H52" s="2" t="n">
        <v>45963</v>
      </c>
      <c r="I5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in-4ed560bd557c027e</t>
        </is>
      </c>
      <c r="B53" t="inlineStr">
        <is>
          <t>Applied Scientist, AWS Agentic AI</t>
        </is>
      </c>
      <c r="C53" t="inlineStr">
        <is>
          <t>Amazon Web Services</t>
        </is>
      </c>
      <c r="D53" t="inlineStr">
        <is>
          <t>indeed</t>
        </is>
      </c>
      <c r="E53" t="inlineStr"/>
      <c r="F53" t="inlineStr"/>
      <c r="G53" t="inlineStr">
        <is>
          <t>Santa Clara, CA, US</t>
        </is>
      </c>
      <c r="H53" s="2" t="n">
        <v>45962</v>
      </c>
      <c r="I5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in-ca56c11f800e97c3</t>
        </is>
      </c>
      <c r="B54" t="inlineStr">
        <is>
          <t>Applied Scientist, AWS Agentic AI</t>
        </is>
      </c>
      <c r="C54" t="inlineStr">
        <is>
          <t>Amazon Web Services</t>
        </is>
      </c>
      <c r="D54" t="inlineStr">
        <is>
          <t>indeed</t>
        </is>
      </c>
      <c r="E54" t="inlineStr"/>
      <c r="F54" t="inlineStr"/>
      <c r="G54" t="inlineStr">
        <is>
          <t>New York, NY, US</t>
        </is>
      </c>
      <c r="H54" s="2" t="n">
        <v>45962</v>
      </c>
      <c r="I5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in-cf2e5f543de0d665</t>
        </is>
      </c>
      <c r="B55" t="inlineStr">
        <is>
          <t>Applied Scientist, AWS Agentic AI</t>
        </is>
      </c>
      <c r="C55" t="inlineStr">
        <is>
          <t>Amazon Web Services</t>
        </is>
      </c>
      <c r="D55" t="inlineStr">
        <is>
          <t>indeed</t>
        </is>
      </c>
      <c r="E55" t="inlineStr"/>
      <c r="F55" t="inlineStr"/>
      <c r="G55" t="inlineStr">
        <is>
          <t>Seattle, WA, US</t>
        </is>
      </c>
      <c r="H55" s="2" t="n">
        <v>45962</v>
      </c>
      <c r="I5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in-04c472f860d5b25d</t>
        </is>
      </c>
      <c r="B56" t="inlineStr">
        <is>
          <t>Principal Applied Scientist, Advertiser Growth, Amazon Sponsored Products &amp; Brands</t>
        </is>
      </c>
      <c r="C56" t="inlineStr">
        <is>
          <t>Amazon.com</t>
        </is>
      </c>
      <c r="D56" t="inlineStr">
        <is>
          <t>indeed</t>
        </is>
      </c>
      <c r="E56" t="inlineStr"/>
      <c r="F56" t="inlineStr"/>
      <c r="G56" t="inlineStr">
        <is>
          <t>Seattle, WA, US</t>
        </is>
      </c>
      <c r="H56" s="2" t="n">
        <v>45942</v>
      </c>
      <c r="I5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in-6b14d036995ca275</t>
        </is>
      </c>
      <c r="B57" t="inlineStr">
        <is>
          <t>Principal Applied Scientist, Advertiser Growth, Amazon Sponsored Products &amp; Brands</t>
        </is>
      </c>
      <c r="C57" t="inlineStr">
        <is>
          <t>Amazon.com</t>
        </is>
      </c>
      <c r="D57" t="inlineStr">
        <is>
          <t>indeed</t>
        </is>
      </c>
      <c r="E57" t="inlineStr"/>
      <c r="F57" t="inlineStr"/>
      <c r="G57" t="inlineStr">
        <is>
          <t>Palo Alto, CA, US</t>
        </is>
      </c>
      <c r="H57" s="2" t="n">
        <v>45942</v>
      </c>
      <c r="I5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in-0ba2094aaf88306b</t>
        </is>
      </c>
      <c r="B58" t="inlineStr">
        <is>
          <t>Principal Applied Scientist, Advertiser Growth, Amazon Sponsored Products &amp; Brands</t>
        </is>
      </c>
      <c r="C58" t="inlineStr">
        <is>
          <t>Amazon.com</t>
        </is>
      </c>
      <c r="D58" t="inlineStr">
        <is>
          <t>indeed</t>
        </is>
      </c>
      <c r="E58" t="inlineStr"/>
      <c r="F58" t="inlineStr"/>
      <c r="G58" t="inlineStr">
        <is>
          <t>New York, NY, US</t>
        </is>
      </c>
      <c r="H58" s="2" t="n">
        <v>45942</v>
      </c>
      <c r="I5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in-53e9860227060c05</t>
        </is>
      </c>
      <c r="B59" t="inlineStr">
        <is>
          <t>Applied Scientist</t>
        </is>
      </c>
      <c r="C59" t="inlineStr">
        <is>
          <t>Amazon.com</t>
        </is>
      </c>
      <c r="D59" t="inlineStr">
        <is>
          <t>indeed</t>
        </is>
      </c>
      <c r="E59" t="inlineStr"/>
      <c r="F59" t="inlineStr"/>
      <c r="G59" t="inlineStr">
        <is>
          <t>Palo Alto, CA, US</t>
        </is>
      </c>
      <c r="H59" s="2" t="n">
        <v>45939</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in-426f0c2fc023e620</t>
        </is>
      </c>
      <c r="B60" t="inlineStr">
        <is>
          <t>Applied Scientist</t>
        </is>
      </c>
      <c r="C60" t="inlineStr">
        <is>
          <t>Amazon.com</t>
        </is>
      </c>
      <c r="D60" t="inlineStr">
        <is>
          <t>indeed</t>
        </is>
      </c>
      <c r="E60" t="inlineStr"/>
      <c r="F60" t="inlineStr"/>
      <c r="G60" t="inlineStr">
        <is>
          <t>Seattle, WA, US</t>
        </is>
      </c>
      <c r="H60" s="2" t="n">
        <v>45939</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in-2e2a6a5f0b5b60ed</t>
        </is>
      </c>
      <c r="B61" t="inlineStr">
        <is>
          <t>Applied Scientist</t>
        </is>
      </c>
      <c r="C61" t="inlineStr">
        <is>
          <t>Amazon.com</t>
        </is>
      </c>
      <c r="D61" t="inlineStr">
        <is>
          <t>indeed</t>
        </is>
      </c>
      <c r="E61" t="inlineStr"/>
      <c r="F61" t="inlineStr"/>
      <c r="G61" t="inlineStr">
        <is>
          <t>New York, NY, US</t>
        </is>
      </c>
      <c r="H61" s="2" t="n">
        <v>45939</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in-70bc1637fa2e18ea</t>
        </is>
      </c>
      <c r="B62" t="inlineStr">
        <is>
          <t>Sr. Applied Scientist, SPB Advertiser Guidance</t>
        </is>
      </c>
      <c r="C62" t="inlineStr">
        <is>
          <t>Amazon.com</t>
        </is>
      </c>
      <c r="D62" t="inlineStr">
        <is>
          <t>indeed</t>
        </is>
      </c>
      <c r="E62" t="inlineStr"/>
      <c r="F62" t="inlineStr"/>
      <c r="G62" t="inlineStr">
        <is>
          <t>Seattle, WA, US</t>
        </is>
      </c>
      <c r="H62" s="2" t="n">
        <v>45939</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in-6d71a249dc11f27d</t>
        </is>
      </c>
      <c r="B63" t="inlineStr">
        <is>
          <t>Sr. Applied Scientist, SPB Advertiser Guidance</t>
        </is>
      </c>
      <c r="C63" t="inlineStr">
        <is>
          <t>Amazon.com</t>
        </is>
      </c>
      <c r="D63" t="inlineStr">
        <is>
          <t>indeed</t>
        </is>
      </c>
      <c r="E63" t="inlineStr"/>
      <c r="F63" t="inlineStr"/>
      <c r="G63" t="inlineStr">
        <is>
          <t>New York, NY, US</t>
        </is>
      </c>
      <c r="H63" s="2" t="n">
        <v>45939</v>
      </c>
      <c r="I6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in-07a96cceaf4e3cd0</t>
        </is>
      </c>
      <c r="B64" t="inlineStr">
        <is>
          <t>Sr. Applied Scientist, SPB Advertiser Guidance</t>
        </is>
      </c>
      <c r="C64" t="inlineStr">
        <is>
          <t>Amazon.com</t>
        </is>
      </c>
      <c r="D64" t="inlineStr">
        <is>
          <t>indeed</t>
        </is>
      </c>
      <c r="E64" t="inlineStr"/>
      <c r="F64" t="inlineStr"/>
      <c r="G64" t="inlineStr">
        <is>
          <t>Palo Alto, CA, US</t>
        </is>
      </c>
      <c r="H64" s="2" t="n">
        <v>45939</v>
      </c>
      <c r="I6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in-663df2dec1a45d9b</t>
        </is>
      </c>
      <c r="B65" t="inlineStr">
        <is>
          <t>Applied Scientist II, Prime Video - Personalization and Discovery Science, Personalization and Discovery Science</t>
        </is>
      </c>
      <c r="C65" t="inlineStr">
        <is>
          <t>Amazon.com</t>
        </is>
      </c>
      <c r="D65" t="inlineStr">
        <is>
          <t>indeed</t>
        </is>
      </c>
      <c r="E65" t="inlineStr"/>
      <c r="F65" t="inlineStr"/>
      <c r="G65" t="inlineStr">
        <is>
          <t>Seattle, WA, US</t>
        </is>
      </c>
      <c r="H65" s="2" t="n">
        <v>45930</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in-42148a6e57659a79</t>
        </is>
      </c>
      <c r="B66" t="inlineStr">
        <is>
          <t>Applied Scientist II, Prime Video - Personalization and Discovery Science, Personalization and Discovery Science</t>
        </is>
      </c>
      <c r="C66" t="inlineStr">
        <is>
          <t>Amazon.com</t>
        </is>
      </c>
      <c r="D66" t="inlineStr">
        <is>
          <t>indeed</t>
        </is>
      </c>
      <c r="E66" t="inlineStr"/>
      <c r="F66" t="inlineStr"/>
      <c r="G66" t="inlineStr">
        <is>
          <t>New York, NY, US</t>
        </is>
      </c>
      <c r="H66" s="2" t="n">
        <v>45930</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in-ab5403b5d04867d9</t>
        </is>
      </c>
      <c r="B67" t="inlineStr">
        <is>
          <t>Applied Scientist II, Prime Video - Personalization and Discovery Science, Personalization and Discovery Science</t>
        </is>
      </c>
      <c r="C67" t="inlineStr">
        <is>
          <t>Amazon.com</t>
        </is>
      </c>
      <c r="D67" t="inlineStr">
        <is>
          <t>indeed</t>
        </is>
      </c>
      <c r="E67" t="inlineStr"/>
      <c r="F67" t="inlineStr"/>
      <c r="G67" t="inlineStr">
        <is>
          <t>Sunnyvale, CA, US</t>
        </is>
      </c>
      <c r="H67" s="2" t="n">
        <v>45930</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in-ddca2303aa6e950f</t>
        </is>
      </c>
      <c r="B68" t="inlineStr">
        <is>
          <t>Senior Applied Scientist, Sponsored Products and Brands</t>
        </is>
      </c>
      <c r="C68" t="inlineStr">
        <is>
          <t>Amazon.com</t>
        </is>
      </c>
      <c r="D68" t="inlineStr">
        <is>
          <t>indeed</t>
        </is>
      </c>
      <c r="E68" t="inlineStr"/>
      <c r="F68" t="inlineStr"/>
      <c r="G68" t="inlineStr">
        <is>
          <t>Seattle, WA, US</t>
        </is>
      </c>
      <c r="H68" s="2" t="n">
        <v>45922</v>
      </c>
      <c r="I6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in-680c8001a683ff60</t>
        </is>
      </c>
      <c r="B69" t="inlineStr">
        <is>
          <t>Senior Applied Scientist, Sponsored Products and Brands</t>
        </is>
      </c>
      <c r="C69" t="inlineStr">
        <is>
          <t>Amazon.com</t>
        </is>
      </c>
      <c r="D69" t="inlineStr">
        <is>
          <t>indeed</t>
        </is>
      </c>
      <c r="E69" t="inlineStr"/>
      <c r="F69" t="inlineStr"/>
      <c r="G69" t="inlineStr">
        <is>
          <t>New York, NY, US</t>
        </is>
      </c>
      <c r="H69" s="2" t="n">
        <v>45922</v>
      </c>
      <c r="I6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in-f7b4a4c08cae75d5</t>
        </is>
      </c>
      <c r="B70" t="inlineStr">
        <is>
          <t>Applied Scientist, Workplace Health &amp; Safety</t>
        </is>
      </c>
      <c r="C70" t="inlineStr">
        <is>
          <t>Amazon.com</t>
        </is>
      </c>
      <c r="D70" t="inlineStr">
        <is>
          <t>indeed</t>
        </is>
      </c>
      <c r="E70" t="inlineStr"/>
      <c r="F70" t="inlineStr"/>
      <c r="G70" t="inlineStr">
        <is>
          <t>Bellevue, WA, US</t>
        </is>
      </c>
      <c r="H70" s="2" t="n">
        <v>45917</v>
      </c>
      <c r="I7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in-1957795dfa64d58b</t>
        </is>
      </c>
      <c r="B71" t="inlineStr">
        <is>
          <t>Applied Scientist, Workplace Health &amp; Safety</t>
        </is>
      </c>
      <c r="C71" t="inlineStr">
        <is>
          <t>Amazon.com</t>
        </is>
      </c>
      <c r="D71" t="inlineStr">
        <is>
          <t>indeed</t>
        </is>
      </c>
      <c r="E71" t="inlineStr"/>
      <c r="F71" t="inlineStr"/>
      <c r="G71" t="inlineStr">
        <is>
          <t>Nashville, TN, US</t>
        </is>
      </c>
      <c r="H71" s="2" t="n">
        <v>45917</v>
      </c>
      <c r="I7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in-ce8d75b681f4cc7b</t>
        </is>
      </c>
      <c r="B72" t="inlineStr">
        <is>
          <t>Applied Scientist II, Prime Video - Personalization and Discovery Science</t>
        </is>
      </c>
      <c r="C72" t="inlineStr">
        <is>
          <t>Amazon.com</t>
        </is>
      </c>
      <c r="D72" t="inlineStr">
        <is>
          <t>indeed</t>
        </is>
      </c>
      <c r="E72" t="inlineStr"/>
      <c r="F72" t="inlineStr"/>
      <c r="G72" t="inlineStr">
        <is>
          <t>Sunnyvale, CA, US</t>
        </is>
      </c>
      <c r="H72" s="2" t="n">
        <v>45915</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in-b45841e87a9b2df2</t>
        </is>
      </c>
      <c r="B73" t="inlineStr">
        <is>
          <t>Applied Scientist II, Prime Video - Personalization and Discovery Science</t>
        </is>
      </c>
      <c r="C73" t="inlineStr">
        <is>
          <t>Amazon.com</t>
        </is>
      </c>
      <c r="D73" t="inlineStr">
        <is>
          <t>indeed</t>
        </is>
      </c>
      <c r="E73" t="inlineStr"/>
      <c r="F73" t="inlineStr"/>
      <c r="G73" t="inlineStr">
        <is>
          <t>New York, NY, US</t>
        </is>
      </c>
      <c r="H73" s="2" t="n">
        <v>45915</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in-4908ecf26fb4f51e</t>
        </is>
      </c>
      <c r="B74" t="inlineStr">
        <is>
          <t>Applied Scientist II, Prime Video - Personalization and Discovery Science</t>
        </is>
      </c>
      <c r="C74" t="inlineStr">
        <is>
          <t>Amazon.com</t>
        </is>
      </c>
      <c r="D74" t="inlineStr">
        <is>
          <t>indeed</t>
        </is>
      </c>
      <c r="E74" t="inlineStr"/>
      <c r="F74" t="inlineStr"/>
      <c r="G74" t="inlineStr">
        <is>
          <t>Seattle, WA, US</t>
        </is>
      </c>
      <c r="H74" s="2" t="n">
        <v>45915</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in-2fe792e5012293b8</t>
        </is>
      </c>
      <c r="B75" t="inlineStr">
        <is>
          <t>Sr. Applied Scientist, Prime Video - Personalization and Discovery Science</t>
        </is>
      </c>
      <c r="C75" t="inlineStr">
        <is>
          <t>Amazon.com</t>
        </is>
      </c>
      <c r="D75" t="inlineStr">
        <is>
          <t>indeed</t>
        </is>
      </c>
      <c r="E75" t="inlineStr"/>
      <c r="F75" t="inlineStr"/>
      <c r="G75" t="inlineStr">
        <is>
          <t>Sunnyvale, CA, US</t>
        </is>
      </c>
      <c r="H75" s="2" t="n">
        <v>45881</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in-f84efcc50cf5d8ad</t>
        </is>
      </c>
      <c r="B76" t="inlineStr">
        <is>
          <t>Sr. Applied Scientist, Prime Video - Personalization and Discovery Science</t>
        </is>
      </c>
      <c r="C76" t="inlineStr">
        <is>
          <t>Amazon.com</t>
        </is>
      </c>
      <c r="D76" t="inlineStr">
        <is>
          <t>indeed</t>
        </is>
      </c>
      <c r="E76" t="inlineStr"/>
      <c r="F76" t="inlineStr"/>
      <c r="G76" t="inlineStr">
        <is>
          <t>New York, NY, US</t>
        </is>
      </c>
      <c r="H76" s="2" t="n">
        <v>45881</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in-67fcb8610e3b2972</t>
        </is>
      </c>
      <c r="B77" t="inlineStr">
        <is>
          <t>Sr. Applied Scientist, Prime Video - Personalization and Discovery Science</t>
        </is>
      </c>
      <c r="C77" t="inlineStr">
        <is>
          <t>Amazon.com</t>
        </is>
      </c>
      <c r="D77" t="inlineStr">
        <is>
          <t>indeed</t>
        </is>
      </c>
      <c r="E77" t="inlineStr"/>
      <c r="F77" t="inlineStr"/>
      <c r="G77" t="inlineStr">
        <is>
          <t>Seattle, WA, US</t>
        </is>
      </c>
      <c r="H77" s="2" t="n">
        <v>45881</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in-13cd38d7861c4a3c</t>
        </is>
      </c>
      <c r="B78" t="inlineStr">
        <is>
          <t>Applied Scientist II, Prime Video - Personalization and Discovery Science</t>
        </is>
      </c>
      <c r="C78" t="inlineStr">
        <is>
          <t>Amazon.com</t>
        </is>
      </c>
      <c r="D78" t="inlineStr">
        <is>
          <t>indeed</t>
        </is>
      </c>
      <c r="E78" t="inlineStr"/>
      <c r="F78" t="inlineStr"/>
      <c r="G78" t="inlineStr">
        <is>
          <t>New York, NY, US</t>
        </is>
      </c>
      <c r="H78" s="2" t="n">
        <v>45881</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in-35087a51ed5408aa</t>
        </is>
      </c>
      <c r="B79" t="inlineStr">
        <is>
          <t>Applied Scientist II, Prime Video - Personalization and Discovery Science</t>
        </is>
      </c>
      <c r="C79" t="inlineStr">
        <is>
          <t>Amazon.com</t>
        </is>
      </c>
      <c r="D79" t="inlineStr">
        <is>
          <t>indeed</t>
        </is>
      </c>
      <c r="E79" t="inlineStr"/>
      <c r="F79" t="inlineStr"/>
      <c r="G79" t="inlineStr">
        <is>
          <t>Sunnyvale, CA, US</t>
        </is>
      </c>
      <c r="H79" s="2" t="n">
        <v>45881</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in-557e08066c564c65</t>
        </is>
      </c>
      <c r="B80" t="inlineStr">
        <is>
          <t>Applied Scientist II, Prime Video - Personalization and Discovery Science</t>
        </is>
      </c>
      <c r="C80" t="inlineStr">
        <is>
          <t>Amazon.com</t>
        </is>
      </c>
      <c r="D80" t="inlineStr">
        <is>
          <t>indeed</t>
        </is>
      </c>
      <c r="E80" t="inlineStr"/>
      <c r="F80" t="inlineStr"/>
      <c r="G80" t="inlineStr">
        <is>
          <t>Seattle, WA, US</t>
        </is>
      </c>
      <c r="H80" s="2" t="n">
        <v>45881</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in-02297722a5585091</t>
        </is>
      </c>
      <c r="B81" t="inlineStr">
        <is>
          <t>Sr. Applied Scientist, Amazon Advertising</t>
        </is>
      </c>
      <c r="C81" t="inlineStr">
        <is>
          <t>Amazon.com</t>
        </is>
      </c>
      <c r="D81" t="inlineStr">
        <is>
          <t>indeed</t>
        </is>
      </c>
      <c r="E81" t="inlineStr"/>
      <c r="F81" t="inlineStr"/>
      <c r="G81" t="inlineStr">
        <is>
          <t>West Hollywood, CA, US</t>
        </is>
      </c>
      <c r="H81" s="2" t="n">
        <v>45851</v>
      </c>
      <c r="I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in-b1d13d5f7df32d04</t>
        </is>
      </c>
      <c r="B82" t="inlineStr">
        <is>
          <t>Sr. Applied Scientist, Amazon Advertising</t>
        </is>
      </c>
      <c r="C82" t="inlineStr">
        <is>
          <t>Amazon.com</t>
        </is>
      </c>
      <c r="D82" t="inlineStr">
        <is>
          <t>indeed</t>
        </is>
      </c>
      <c r="E82" t="inlineStr"/>
      <c r="F82" t="inlineStr"/>
      <c r="G82" t="inlineStr">
        <is>
          <t>Arlington, VA, US</t>
        </is>
      </c>
      <c r="H82" s="2"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in-242b7823e06af0c7</t>
        </is>
      </c>
      <c r="B83" t="inlineStr">
        <is>
          <t>Sr. Applied Scientist, Amazon Advertising</t>
        </is>
      </c>
      <c r="C83" t="inlineStr">
        <is>
          <t>Amazon.com</t>
        </is>
      </c>
      <c r="D83" t="inlineStr">
        <is>
          <t>indeed</t>
        </is>
      </c>
      <c r="E83" t="inlineStr"/>
      <c r="F83" t="inlineStr"/>
      <c r="G83" t="inlineStr">
        <is>
          <t>Austin, TX, US</t>
        </is>
      </c>
      <c r="H83" s="2"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in-33d0103d4e3afdcd</t>
        </is>
      </c>
      <c r="B84" t="inlineStr">
        <is>
          <t>Sr. Applied Scientist, Amazon Advertising</t>
        </is>
      </c>
      <c r="C84" t="inlineStr">
        <is>
          <t>Amazon.com</t>
        </is>
      </c>
      <c r="D84" t="inlineStr">
        <is>
          <t>indeed</t>
        </is>
      </c>
      <c r="E84" t="inlineStr"/>
      <c r="F84" t="inlineStr"/>
      <c r="G84" t="inlineStr">
        <is>
          <t>Simi Valley, CA, US</t>
        </is>
      </c>
      <c r="H84" s="2"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in-131f275c18adad76</t>
        </is>
      </c>
      <c r="B85" t="inlineStr">
        <is>
          <t>Sr. Applied Scientist, Amazon Advertising</t>
        </is>
      </c>
      <c r="C85" t="inlineStr">
        <is>
          <t>Amazon.com</t>
        </is>
      </c>
      <c r="D85" t="inlineStr">
        <is>
          <t>indeed</t>
        </is>
      </c>
      <c r="E85" t="inlineStr"/>
      <c r="F85" t="inlineStr"/>
      <c r="G85" t="inlineStr">
        <is>
          <t>Seattle, WA, US</t>
        </is>
      </c>
      <c r="H85" s="2" t="n">
        <v>45851</v>
      </c>
      <c r="I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in-6960d9a3fe3b53eb</t>
        </is>
      </c>
      <c r="B86" t="inlineStr">
        <is>
          <t>Sr. Applied Scientist, Amazon Advertising</t>
        </is>
      </c>
      <c r="C86" t="inlineStr">
        <is>
          <t>Amazon.com</t>
        </is>
      </c>
      <c r="D86" t="inlineStr">
        <is>
          <t>indeed</t>
        </is>
      </c>
      <c r="E86" t="inlineStr"/>
      <c r="F86" t="inlineStr"/>
      <c r="G86" t="inlineStr">
        <is>
          <t>Los Angeles, CA, US</t>
        </is>
      </c>
      <c r="H86" s="2" t="n">
        <v>45851</v>
      </c>
      <c r="I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in-a8943828eb35c87f</t>
        </is>
      </c>
      <c r="B87" t="inlineStr">
        <is>
          <t>Sr. Applied Scientist, Amazon Advertising</t>
        </is>
      </c>
      <c r="C87" t="inlineStr">
        <is>
          <t>Amazon.com</t>
        </is>
      </c>
      <c r="D87" t="inlineStr">
        <is>
          <t>indeed</t>
        </is>
      </c>
      <c r="E87" t="inlineStr"/>
      <c r="F87" t="inlineStr"/>
      <c r="G87" t="inlineStr">
        <is>
          <t>Palo Alto, CA, US</t>
        </is>
      </c>
      <c r="H87" s="2"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in-7264817ae2943b1e</t>
        </is>
      </c>
      <c r="B88" t="inlineStr">
        <is>
          <t>Sr. Applied Scientist, Amazon Advertising</t>
        </is>
      </c>
      <c r="C88" t="inlineStr">
        <is>
          <t>Amazon.com</t>
        </is>
      </c>
      <c r="D88" t="inlineStr">
        <is>
          <t>indeed</t>
        </is>
      </c>
      <c r="E88" t="inlineStr"/>
      <c r="F88" t="inlineStr"/>
      <c r="G88" t="inlineStr">
        <is>
          <t>New York, NY,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in-afb5daeb33da7ee0</t>
        </is>
      </c>
      <c r="B89" t="inlineStr">
        <is>
          <t>Applied Scientist, Prime Video - Personalization and Discovery Science</t>
        </is>
      </c>
      <c r="C89" t="inlineStr">
        <is>
          <t>Amazon.com</t>
        </is>
      </c>
      <c r="D89" t="inlineStr">
        <is>
          <t>indeed</t>
        </is>
      </c>
      <c r="E89" t="inlineStr"/>
      <c r="F89" t="inlineStr"/>
      <c r="G89" t="inlineStr">
        <is>
          <t>Sunnyvale, CA, US</t>
        </is>
      </c>
      <c r="H89" s="2" t="n">
        <v>45845</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in-fb4e6d7b8d0939d1</t>
        </is>
      </c>
      <c r="B90" t="inlineStr">
        <is>
          <t>Applied Scientist, Prime Video - Personalization and Discovery Science</t>
        </is>
      </c>
      <c r="C90" t="inlineStr">
        <is>
          <t>Amazon.com</t>
        </is>
      </c>
      <c r="D90" t="inlineStr">
        <is>
          <t>indeed</t>
        </is>
      </c>
      <c r="E90" t="inlineStr"/>
      <c r="F90" t="inlineStr"/>
      <c r="G90" t="inlineStr">
        <is>
          <t>Seattle, WA, US</t>
        </is>
      </c>
      <c r="H90" s="2" t="n">
        <v>45845</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in-46da64ce38b8a73c</t>
        </is>
      </c>
      <c r="B91" t="inlineStr">
        <is>
          <t>Applied Scientist, Prime Video - Personalization and Discovery Science</t>
        </is>
      </c>
      <c r="C91" t="inlineStr">
        <is>
          <t>Amazon.com</t>
        </is>
      </c>
      <c r="D91" t="inlineStr">
        <is>
          <t>indeed</t>
        </is>
      </c>
      <c r="E91" t="inlineStr"/>
      <c r="F91" t="inlineStr"/>
      <c r="G91" t="inlineStr">
        <is>
          <t>New York, NY, US</t>
        </is>
      </c>
      <c r="H91" s="2" t="n">
        <v>45845</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in-cf6f1ca54edbb81f</t>
        </is>
      </c>
      <c r="B92" t="inlineStr">
        <is>
          <t>Senior Applied Scientist, Artificial General Intelligence</t>
        </is>
      </c>
      <c r="C92" t="inlineStr">
        <is>
          <t>Amazon.com</t>
        </is>
      </c>
      <c r="D92" t="inlineStr">
        <is>
          <t>indeed</t>
        </is>
      </c>
      <c r="E92" t="inlineStr"/>
      <c r="F92" t="inlineStr"/>
      <c r="G92" t="inlineStr">
        <is>
          <t>Boston, MA, US</t>
        </is>
      </c>
      <c r="H92" s="2" t="n">
        <v>45838</v>
      </c>
      <c r="I9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in-3c8037b695afc4b0</t>
        </is>
      </c>
      <c r="B93" t="inlineStr">
        <is>
          <t>Senior Applied Scientist, Artificial General Intelligence</t>
        </is>
      </c>
      <c r="C93" t="inlineStr">
        <is>
          <t>Amazon.com</t>
        </is>
      </c>
      <c r="D93" t="inlineStr">
        <is>
          <t>indeed</t>
        </is>
      </c>
      <c r="E93" t="inlineStr"/>
      <c r="F93" t="inlineStr"/>
      <c r="G93" t="inlineStr">
        <is>
          <t>Sunnyvale, CA, US</t>
        </is>
      </c>
      <c r="H93" s="2" t="n">
        <v>45838</v>
      </c>
      <c r="I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in-39cf514f75b1bdd8</t>
        </is>
      </c>
      <c r="B94" t="inlineStr">
        <is>
          <t>Senior Applied Scientist, Artificial General Intelligence</t>
        </is>
      </c>
      <c r="C94" t="inlineStr">
        <is>
          <t>Amazon.com</t>
        </is>
      </c>
      <c r="D94" t="inlineStr">
        <is>
          <t>indeed</t>
        </is>
      </c>
      <c r="E94" t="inlineStr"/>
      <c r="F94" t="inlineStr"/>
      <c r="G94" t="inlineStr">
        <is>
          <t>New York, NY, US</t>
        </is>
      </c>
      <c r="H94" s="2" t="n">
        <v>45838</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in-70b6cc1a370ddd67</t>
        </is>
      </c>
      <c r="B95" t="inlineStr">
        <is>
          <t>Sr. Applied Scientist, Sales AI</t>
        </is>
      </c>
      <c r="C95" t="inlineStr">
        <is>
          <t>Amazon.com</t>
        </is>
      </c>
      <c r="D95" t="inlineStr">
        <is>
          <t>indeed</t>
        </is>
      </c>
      <c r="E95" t="inlineStr"/>
      <c r="F95" t="inlineStr"/>
      <c r="G95" t="inlineStr">
        <is>
          <t>New York, NY, US</t>
        </is>
      </c>
      <c r="H95" s="2" t="n">
        <v>45830</v>
      </c>
      <c r="I9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in-a3558857680d303f</t>
        </is>
      </c>
      <c r="B96" t="inlineStr">
        <is>
          <t>Sr. Applied Scientist, Sales AI</t>
        </is>
      </c>
      <c r="C96" t="inlineStr">
        <is>
          <t>Amazon.com</t>
        </is>
      </c>
      <c r="D96" t="inlineStr">
        <is>
          <t>indeed</t>
        </is>
      </c>
      <c r="E96" t="inlineStr"/>
      <c r="F96" t="inlineStr"/>
      <c r="G96" t="inlineStr">
        <is>
          <t>Sunnyvale, CA, US</t>
        </is>
      </c>
      <c r="H96" s="2" t="n">
        <v>45830</v>
      </c>
      <c r="I9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in-21cdae38202ff937</t>
        </is>
      </c>
      <c r="B97" t="inlineStr">
        <is>
          <t>Sr. Applied Scientist, Sales AI</t>
        </is>
      </c>
      <c r="C97" t="inlineStr">
        <is>
          <t>Amazon.com</t>
        </is>
      </c>
      <c r="D97" t="inlineStr">
        <is>
          <t>indeed</t>
        </is>
      </c>
      <c r="E97" t="inlineStr"/>
      <c r="F97" t="inlineStr"/>
      <c r="G97" t="inlineStr">
        <is>
          <t>Seattle, WA, US</t>
        </is>
      </c>
      <c r="H97" s="2" t="n">
        <v>45830</v>
      </c>
      <c r="I9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in-f28ad69437a6d603</t>
        </is>
      </c>
      <c r="B98" t="inlineStr">
        <is>
          <t>Principal Applied Scientist, Delivery Foundation Model</t>
        </is>
      </c>
      <c r="C98" t="inlineStr">
        <is>
          <t>Amazon.com</t>
        </is>
      </c>
      <c r="D98" t="inlineStr">
        <is>
          <t>indeed</t>
        </is>
      </c>
      <c r="E98" t="inlineStr"/>
      <c r="F98" t="inlineStr"/>
      <c r="G98" t="inlineStr">
        <is>
          <t>New York, NY, US</t>
        </is>
      </c>
      <c r="H98" s="2" t="n">
        <v>45810</v>
      </c>
      <c r="I9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in-e0f56055a41b588b</t>
        </is>
      </c>
      <c r="B99" t="inlineStr">
        <is>
          <t>Principal Applied Scientist, Delivery Foundation Model</t>
        </is>
      </c>
      <c r="C99" t="inlineStr">
        <is>
          <t>Amazon.com</t>
        </is>
      </c>
      <c r="D99" t="inlineStr">
        <is>
          <t>indeed</t>
        </is>
      </c>
      <c r="E99" t="inlineStr"/>
      <c r="F99" t="inlineStr"/>
      <c r="G99" t="inlineStr">
        <is>
          <t>Santa Clara, CA, US</t>
        </is>
      </c>
      <c r="H99" s="2" t="n">
        <v>45810</v>
      </c>
      <c r="I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in-d726b37d5cc02d2b</t>
        </is>
      </c>
      <c r="B100" t="inlineStr">
        <is>
          <t>Principal Applied Scientist, Delivery Foundation Model</t>
        </is>
      </c>
      <c r="C100" t="inlineStr">
        <is>
          <t>Amazon.com</t>
        </is>
      </c>
      <c r="D100" t="inlineStr">
        <is>
          <t>indeed</t>
        </is>
      </c>
      <c r="E100" t="inlineStr"/>
      <c r="F100" t="inlineStr"/>
      <c r="G100" t="inlineStr">
        <is>
          <t>Austin, TX, US</t>
        </is>
      </c>
      <c r="H100" s="2" t="n">
        <v>45810</v>
      </c>
      <c r="I1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in-7635d79e5196cd83</t>
        </is>
      </c>
      <c r="B101" t="inlineStr">
        <is>
          <t>Principal Applied Scientist, Delivery Foundation Model</t>
        </is>
      </c>
      <c r="C101" t="inlineStr">
        <is>
          <t>Amazon.com</t>
        </is>
      </c>
      <c r="D101" t="inlineStr">
        <is>
          <t>indeed</t>
        </is>
      </c>
      <c r="E101" t="inlineStr"/>
      <c r="F101" t="inlineStr"/>
      <c r="G101" t="inlineStr">
        <is>
          <t>Bellevue, WA, US</t>
        </is>
      </c>
      <c r="H101" s="2" t="n">
        <v>45810</v>
      </c>
      <c r="I1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in-56c115fb80ab832a</t>
        </is>
      </c>
      <c r="B102" t="inlineStr">
        <is>
          <t>Senior Applied Scientist, Delivery Foundation Model</t>
        </is>
      </c>
      <c r="C102" t="inlineStr">
        <is>
          <t>Amazon.com</t>
        </is>
      </c>
      <c r="D102" t="inlineStr">
        <is>
          <t>indeed</t>
        </is>
      </c>
      <c r="E102" t="inlineStr"/>
      <c r="F102" t="inlineStr"/>
      <c r="G102" t="inlineStr">
        <is>
          <t>Bellevue, WA, US</t>
        </is>
      </c>
      <c r="H102" s="2" t="n">
        <v>45806</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in-0d17f77d33e704d7</t>
        </is>
      </c>
      <c r="B103" t="inlineStr">
        <is>
          <t>Senior Applied Scientist, Delivery Foundation Model</t>
        </is>
      </c>
      <c r="C103" t="inlineStr">
        <is>
          <t>Amazon.com</t>
        </is>
      </c>
      <c r="D103" t="inlineStr">
        <is>
          <t>indeed</t>
        </is>
      </c>
      <c r="E103" t="inlineStr"/>
      <c r="F103" t="inlineStr"/>
      <c r="G103" t="inlineStr">
        <is>
          <t>New York, NY, US</t>
        </is>
      </c>
      <c r="H103" s="2" t="n">
        <v>45806</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in-2b4edcdcda13a6be</t>
        </is>
      </c>
      <c r="B104" t="inlineStr">
        <is>
          <t>Senior Applied Scientist, Delivery Foundation Model</t>
        </is>
      </c>
      <c r="C104" t="inlineStr">
        <is>
          <t>Amazon.com</t>
        </is>
      </c>
      <c r="D104" t="inlineStr">
        <is>
          <t>indeed</t>
        </is>
      </c>
      <c r="E104" t="inlineStr"/>
      <c r="F104" t="inlineStr"/>
      <c r="G104" t="inlineStr">
        <is>
          <t>Santa Clara, CA, US</t>
        </is>
      </c>
      <c r="H104" s="2" t="n">
        <v>45806</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in-6bdadea63b52602a</t>
        </is>
      </c>
      <c r="B105" t="inlineStr">
        <is>
          <t>Principal Applied Scientist, Delivery Foundation Model</t>
        </is>
      </c>
      <c r="C105" t="inlineStr">
        <is>
          <t>Amazon.com</t>
        </is>
      </c>
      <c r="D105" t="inlineStr">
        <is>
          <t>indeed</t>
        </is>
      </c>
      <c r="E105" t="inlineStr"/>
      <c r="F105" t="inlineStr"/>
      <c r="G105" t="inlineStr">
        <is>
          <t>Santa Clara, CA, US</t>
        </is>
      </c>
      <c r="H105" s="2" t="n">
        <v>45757</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in-643e392691058279</t>
        </is>
      </c>
      <c r="B106" t="inlineStr">
        <is>
          <t>Principal Applied Scientist, Delivery Foundation Model</t>
        </is>
      </c>
      <c r="C106" t="inlineStr">
        <is>
          <t>Amazon.com</t>
        </is>
      </c>
      <c r="D106" t="inlineStr">
        <is>
          <t>indeed</t>
        </is>
      </c>
      <c r="E106" t="inlineStr"/>
      <c r="F106" t="inlineStr"/>
      <c r="G106" t="inlineStr">
        <is>
          <t>Bellevue, WA, US</t>
        </is>
      </c>
      <c r="H106" s="2" t="n">
        <v>45757</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in-72c0277c51092e9c</t>
        </is>
      </c>
      <c r="B107" t="inlineStr">
        <is>
          <t>Principal Applied Scientist, Delivery Foundation Model</t>
        </is>
      </c>
      <c r="C107" t="inlineStr">
        <is>
          <t>Amazon.com</t>
        </is>
      </c>
      <c r="D107" t="inlineStr">
        <is>
          <t>indeed</t>
        </is>
      </c>
      <c r="E107" t="inlineStr"/>
      <c r="F107" t="inlineStr"/>
      <c r="G107" t="inlineStr">
        <is>
          <t>New York, NY, US</t>
        </is>
      </c>
      <c r="H107" s="2" t="n">
        <v>45757</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in-8db30e8d9a581484</t>
        </is>
      </c>
      <c r="B108" t="inlineStr">
        <is>
          <t>Principal Applied Scientist, FAR (Frontier AI &amp; Robotics)</t>
        </is>
      </c>
      <c r="C108" t="inlineStr">
        <is>
          <t>Amazon.com</t>
        </is>
      </c>
      <c r="D108" t="inlineStr">
        <is>
          <t>indeed</t>
        </is>
      </c>
      <c r="E108" t="inlineStr"/>
      <c r="F108" t="inlineStr"/>
      <c r="G108" t="inlineStr">
        <is>
          <t>San Francisco, CA, US</t>
        </is>
      </c>
      <c r="H108" s="2" t="n">
        <v>45740</v>
      </c>
      <c r="I10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in-07981c6b5f2ad974</t>
        </is>
      </c>
      <c r="B109" t="inlineStr">
        <is>
          <t>Principal Applied Scientist, FAR (Frontier AI &amp; Robotics)</t>
        </is>
      </c>
      <c r="C109" t="inlineStr">
        <is>
          <t>Amazon.com</t>
        </is>
      </c>
      <c r="D109" t="inlineStr">
        <is>
          <t>indeed</t>
        </is>
      </c>
      <c r="E109" t="inlineStr"/>
      <c r="F109" t="inlineStr"/>
      <c r="G109" t="inlineStr">
        <is>
          <t>Seattle, WA, US</t>
        </is>
      </c>
      <c r="H109" s="2" t="n">
        <v>45740</v>
      </c>
      <c r="I10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in-1422633ebe20c789</t>
        </is>
      </c>
      <c r="B110" t="inlineStr">
        <is>
          <t>Senior Machine Learning Engineer, Vertex Agent Quality</t>
        </is>
      </c>
      <c r="C110" t="inlineStr">
        <is>
          <t>Google</t>
        </is>
      </c>
      <c r="D110" t="inlineStr">
        <is>
          <t>indeed</t>
        </is>
      </c>
      <c r="E110" t="inlineStr"/>
      <c r="F110" t="inlineStr"/>
      <c r="G110" t="inlineStr">
        <is>
          <t>Sunnyvale, CA, US</t>
        </is>
      </c>
      <c r="H110" s="2" t="n">
        <v>46051</v>
      </c>
      <c r="I110" t="inlineStr">
        <is>
          <t>### **Minimum qualifications:**
* Bachelor’s degree or equivalent practical experience.
* 5 years of experience with software development in one or more programming languages.
* 3 years of experience with ML infrastructure (e.g., model deployment, model evaluation, data processing, debugging).
* 1 year of experience with state of the art GenAI techniques (e.g., LLMs, Multi\-Modal, Large Vision Models) or with GenAI\-related concepts (language modeling, computer vision).
* Experience with AI Agent development.
* Experience in agent quality and model tuning.
### **Preferred qualifications:**
* Master's degree or PhD in Computer Science or related technical field.
* 5 years of experience with data structures and algorithms.
* 3 years of experience working in a complex, matrixed organization involving cross\-functional, or cross\-business projects.
* 1 year of experience in a technical leadership role.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collaborate with Google DeepMind (GDM) to advance foundational model agentic capabilities, partner with Gemini Enterprise to elevate Core Assistant quality, and work with Agent Builder to drive simulation and optimization features.  
In this role, you will establish evaluation frameworks by building rigorous agentic benchmarks and high\-fidelity Reinforcement Learning (RL) environments to assess and enhance foundational model capabilities. You will drive quality improvements by optimizing enterprise AI Agent end\-to\-end quality via novel orchestration, advanced prompt/context engineering, and model tuning. You will develop core features by engineering algorithms and features for agent simulation, evaluation, and optimization within Vertex Agent Builder (focusing on ADK and Agent Engine).The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behind Google's groundbreaking innovations, empowering the development of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1">
      <c r="A111" t="inlineStr">
        <is>
          <t>in-40a75f1eab571a1e</t>
        </is>
      </c>
      <c r="B111" t="inlineStr">
        <is>
          <t>Senior Data/AI Engineer</t>
        </is>
      </c>
      <c r="C111" t="inlineStr">
        <is>
          <t>FujiFilm</t>
        </is>
      </c>
      <c r="D111" t="inlineStr">
        <is>
          <t>indeed</t>
        </is>
      </c>
      <c r="E111" t="inlineStr"/>
      <c r="F111" t="inlineStr"/>
      <c r="G111" t="inlineStr">
        <is>
          <t>Remote, US</t>
        </is>
      </c>
      <c r="H111" s="2" t="n">
        <v>46051</v>
      </c>
      <c r="I111" t="inlineStr">
        <is>
          <t>**Position Overview**
---------------------
The Senior Data/AI Engineer is responsible for designing, building, and maintaining efficient, scalable data pipelines and architectures that power data products, analytics, and AI\-driven solutions. In this role, you will apply and advocate for data and AI engineering best practices, including idempotent modular pipeline design, version control, automated testing, CI/CD, IaaS, data quality checks and observability. You will help establish and continuously improve standards for how data and AI solutions are designed, built, deployed, and operated in production. You will work closely with cross\-functional team of business and IT peers and expected to lead by example \- balancing delivery speed of new features with long\-term platform health and technical excellence.
**Company Overview**
--------------------
The work we do at FUJIFILM Biotechnologies has never been more important—and we are looking for talented candidates to join us. We are growing our locations, our capabilities, and our teams, and looking for passionate, mission\-driven people like you who want to make a real difference in people’s lives.
Join FUJIFILM Biotechnologies and help make the next vaccine, cure, or gene therapy in partnership with some of the most innovative biopharma companies across the globe. We are proud to cultivate a culture that will fuel your passion, energy, and drive \- what we call Genki.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
Main Responsibilities of the Role:* Design, build, and maintain enterprise\-scale data pipelines on Snowflake Data Platform.
* Design, build, and maintain cloud\-native AI/ML solutions (AWS, Azure) that support advanced analytics and decision making.
* Implement best practices for data quality, observability, lineage, and governance.
* Ensure integration of biotech systems (MES, LIMS, SCADA, ERP, QMS) into centralized data platform.
* Collaborate with product managers, product engineers, platform architects, and business stakeholders to align data and AI engineering solutions with business requirements.
* Support modern AI capabilities, including model deployment, monitoring, and data readiness.
* Optimize data platform for performance, scalability, and cost efficiency.
* Partner with cybersecurity and compliance teams to ensure adherence to GxP, FDA 21 CFR Part 11, and data privacy regulations.
* Promote engineering best practices, including CI/CD, testing, documentation, and peer reviews.
* Stay current with emerging technologies (data mesh, real\-time streaming, digital twins, generative AI platforms) and introduce relevant innovations.
Education and Experience Required:* Bachelor's degree in Computer Science, Data Engineering, AI/ML Engineering, or related field.
* 7\+ years of professional experience in data engineering, AI/ML engineering, or cloud platform engineering.
* Hands\-on experience designing and developing data solutions on Snowflake, including data modelling, performance optimization, and cost\-efficient usage.
* Experience building and maintaining data pipelines using modern frameworks (e.g. Airflow, dbt).
* Experience with Airflow or similar orchestration tool.
* Experience with Docker/Kubernetes for container orchestration, monitoring, and lifecycle management.
* Experience with modern AI technologies, including LLMs, embeddings, and vector databases.
* Strong SQL skills and experience with data modelling for analytics and AI use cases.
* Strong experience with cloud platforms (AWS, Azure).
* Proven experience delivering production\-grade data solutions.
* Familiarity with biotech or life sciences systems and regulatory compliance frameworks (GxP, FDA, EMA).
Knowledge, Skills and Abilities:* Design and implementation of scalable batch and streaming data pipelines.
* Strong programming proficiency in Python and SQL/dbt for data processing, automation, and analytics.
* Containerization and deployment of data and AI workloads using Docker.
* Orchestration and operation of containerized workloads using Kubernetes.
* Data quality management, observability, lineage, and governance.
* Knowledge of biotech IT/OT systems (MES, LIMS, SCADA), and compliance frameworks (GxP, FDA, data privacy).
* Strong problem\-solving, optimization, and troubleshooting skills for large\-scale data systems.
* Effective communication with both technical and non\-technical stakeholders, influencing at senior levels.
* Passion for emerging technologies, continuous improvement, and building innovative engineering cultures.
Our programs are designed to focus on maintaining and enhancing all pillars of health with a robust benefits package including medical, dental, vision and prescription drug coverage with the option of a Health Savings Account with company contributions. In addition, we offer an industry leading 401(k) savings plan, insurance coverage, employee assistance programs and various wellness incentives. We support life\-work balance with paid vacation time, sick time, and company holidays. Explore a supportive environment that enriches both your personal and professional growth!  
This is a global position that will support all our FUJIFILM Biotechnologies sites. This position can be based at any of our locations around the globe. Benefits and compensation will be governed by the location that you are based from and considered your home site.  
The US salary range for this position is $120,000 to $207,000\. Pay within this range varies by work location and may also depend on job\-related knowledge, skills, and experience.  
As part of any recruitment process, FUJIFILM Biotechnologies collects and processes personal data relating to job applicants. The organization is committed to being transparent about how it collects and uses that data and to meeting its data protection obligations and may share this as part of the global recruitment process with hiring managers in Europe and the United States.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
**EEO Information**
-------------------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
If you require reasonable accommodation in completing this application, interviewing, completing any pre\-employment testing, or otherwise participating in the employee selection process, please direct your inquiries to our HR Department (fdbglobaltalent@fujifilm.com).</t>
        </is>
      </c>
    </row>
    <row r="112">
      <c r="A112" t="inlineStr">
        <is>
          <t>in-e726018d1eec04c9</t>
        </is>
      </c>
      <c r="B112" t="inlineStr">
        <is>
          <t>Machine Learning Engineer II</t>
        </is>
      </c>
      <c r="C112" t="inlineStr"/>
      <c r="D112" t="inlineStr">
        <is>
          <t>indeed</t>
        </is>
      </c>
      <c r="E112" t="inlineStr"/>
      <c r="F112" t="inlineStr"/>
      <c r="G112" t="inlineStr">
        <is>
          <t>New York, NY, US</t>
        </is>
      </c>
      <c r="H112" s="2" t="n">
        <v>46051</v>
      </c>
      <c r="I112"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**Responsibilities:**
* Understanding business objectives and developing models that help to identify and prevent credential stuffing, ATO (account takeover) and other fraud behaviors, along with metrics to track the progress.
* Exploring and visualizing data to gain an understanding of the problems, then identifying differences in data distribution and selecting the suitable ML algorithms.
* Apply machine learning, statistics or data mining to help to be efficient in every aspects of identity security
* Develop scalable and efficient methods for large scale data analysis and model development.
* Defining data augmentation pipelines, training models and tuning their hyperparameters, deploying models to production, monitoring \&amp; evaluating the performance of ML models.
* Collaborate with developers, program managers, and product managers in an open, creative environment
**Basic Qualifications:**
* Bachelors in computer science, EE or other quantitative discipline and a minimum of 3 years of experience
* Experience in large scale machine learning, user behavior analysis, fraud detection in leading internet companies.
* Proficiency with machine learning libraries of scikit\-learn, pandas and machine learning frameworks of TensorFlow/Keras or PyTorch.
* Expertise in visualizing and manipulating big datasets.
* Familiarity with Python, Java/Scala.
* Experience in security domain is highly preferred.
* Passion for technology, open to interdisciplinary work, and experience in building data\-driven services and applications.
* Excellent written and oral communication skills.
The hiring range for this position in New York, NY is $120,300 to $161,300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13">
      <c r="A113" t="inlineStr">
        <is>
          <t>in-d255402a9a913cc0</t>
        </is>
      </c>
      <c r="B113" t="inlineStr">
        <is>
          <t>Lead Machine Learning Engineer</t>
        </is>
      </c>
      <c r="C113" t="inlineStr">
        <is>
          <t>SharkNinja</t>
        </is>
      </c>
      <c r="D113" t="inlineStr">
        <is>
          <t>indeed</t>
        </is>
      </c>
      <c r="E113" t="inlineStr"/>
      <c r="F113" t="inlineStr"/>
      <c r="G113" t="inlineStr">
        <is>
          <t>US</t>
        </is>
      </c>
      <c r="H113" s="2" t="n">
        <v>46051</v>
      </c>
      <c r="I113" t="inlineStr">
        <is>
          <t>About Us
SharkNinja is a global product design and technology company, with a diversified portfolio of 5\-star rated lifestyle solutions that positively impact people’s lives in homes around the world. Powered by two trusted, global brands, Shark and Ninja ,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3,600\+ associates, the company’s products are sold at key retailers, online and offline, and through distributors around the world .
The Lead Machine Learning Engineer will play a critical hands\-on role in designing, building, and deploying machine learning solutions that power SharkNinja’s next generation of consumer products, digital experiences, and operational capabilities. This role combines deep technical execution with technical leadership, mentoring, and cross\-functional collaboration. You will lead end\-to\-end ML initiatives—from problem framing and data exploration through production deployment—while helping to establish best practices for scalable, reliable ML at SharkNinja.
Key Responsibilities
Lead the design, development, and deployment of production\-grade machine learning models across consumer, digital, and operational use cases.
Partner with Product, Engineering, and Business stakeholders to translate real\-world problems into ML\-driven solutions with measurable impact.
Own end\-to\-end ML workflows, including data preparation, feature engineering, model training, evaluation, deployment, and monitoring.
Build and maintain scalable ML pipelines and services that integrate seamlessly with SharkNinja’s data and software platforms.
Provide technical leadership and mentorship to ML engineers and data scientists, raising the bar on model quality, reliability, and performance.
Drive best practices in model versioning, experimentation, monitoring, and lifecycle management.
Collaborate with Data Engineering and Platform teams to ensure ML solutions are secure, performant, and production\-ready.
Contribute to technical design reviews and influence architectural decisions related to ML systems.
Stay current with emerging ML techniques and technologies, applying them thoughtfully to SharkNinja use cases.
Qualifications
Must\-Haves
Bachelor’s or Master’s degree in Computer Science, Engineering, Data Science, or a related field.
6\+ years of experience building and deploying machine learning models in production environments.
Strong experience with Python and ML frameworks such as TensorFlow, PyTorch, or scikit\-learn.
Solid understanding of supervised and unsupervised learning, model evaluation, and feature engineering.
Experience deploying ML models using cloud\-based platforms and services (AWS, GCP, or Azure).
Familiarity with MLOps practices, including CI/CD for ML, model monitoring, and retraining strategies.
Ability to clearly communicate complex technical concepts to both technical and non\-technical partners.
Proven ability to work in fast\-paced, cross\-functional environments with a “progress over perfection” mindset.
Nice\-to\-Haves
Experience with real\-time or embedded ML systems.
Exposure to recommendation systems, personalization, forecasting, or computer vision.
Experience working in consumer products, IoT, or e\-commerce environments.
Familiarity with data orchestration tools (e.g., Airflow) and ML platforms (e.g., SageMaker, Databricks).
**Salary and Other Compensation:** The annual salary range for this position is displayed below. Factors which may affect starting pay within this range may include geography/market, skills, education, experience and other qualifications of the successful candidate.
The Company offers the following benefits for this position, subject to applicable eligibility requirements: medical insurance, dental insurance, vision insurance, flexible spending accounts, health savings accounts (HSA) with company contribution, 401(k) retirement plan with matching, employee stock purchase program, life insurance, AD\&amp;D, short\-term disability insurance, long\-term disability insurance, generous paid time off, company holidays, parental leave, identity theft protection, pet insurance, pre\-paid legal insurance, back\-up child and eldercare days, product discounts, referral bonus program, and more.
Pay Range $175,500 — $214,500 USD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 gether, we won’t just launch products— 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For candidates based in all regions , please refer to this Candidate Privacy Notice .
For candidates based in China , please refer to this Candidate Privacy Notice .
For candidates based in Vietnam , please refer to this Candidate Privacy Notice .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is>
      </c>
    </row>
    <row r="114">
      <c r="A114" t="inlineStr">
        <is>
          <t>in-86cd7c4b1a29d3ca</t>
        </is>
      </c>
      <c r="B114" t="inlineStr">
        <is>
          <t>Principal Machine Learning Engineer</t>
        </is>
      </c>
      <c r="C114" t="inlineStr">
        <is>
          <t>SharkNinja</t>
        </is>
      </c>
      <c r="D114" t="inlineStr">
        <is>
          <t>indeed</t>
        </is>
      </c>
      <c r="E114" t="inlineStr"/>
      <c r="F114" t="inlineStr"/>
      <c r="G114" t="inlineStr">
        <is>
          <t>US</t>
        </is>
      </c>
      <c r="H114" s="2" t="n">
        <v>46051</v>
      </c>
      <c r="I114" t="inlineStr">
        <is>
          <t>About Us
SharkNinja is a global product design and technology company, with a diversified portfolio of 5\-star rated lifestyle solutions that positively impact people’s lives in homes around the world. Powered by two trusted, global brands, Shark and Ninja ,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3,600\+ associates, the company’s products are sold at key retailers, online and offline, and through distributors around the world .
The Principal Machine Learning Engineer is a senior technical authority responsible for shaping SharkNinja’s machine learning strategy, architecture, and long\-term technical direction. This role operates as a force multiplier across teams—solving the hardest problems, defining standards, and influencing how ML is built, deployed, and scaled across the enterprise. You will lead high\-impact initiatives, guide architectural decisions, and mentor senior engineers while remaining deeply hands\-on with critical systems.
Key Responsibilities
Define and drive the technical vision and architecture for machine learning systems across SharkNinja.
Lead the design of scalable, reliable, and secure ML platforms and services that support global products and operations.
Own the most complex ML initiatives, from early exploration through enterprise\-scale deployment.
Partner with executive stakeholders, product leaders, and engineering leadership to identify where ML can deliver outsized business impact.
Establish best practices, standards, and reference architectures for ML development, deployment, and governance.
Serve as a technical mentor and advisor to ML engineers, data scientists, and software engineers across teams.
Influence data strategy, tooling decisions, and platform investments related to ML and AI.
Evaluate and integrate emerging ML technologies, frameworks, and approaches where they provide clear value.
Represent SharkNinja as a thought leader in applied machine learning, internally and externally as needed.
Qualifications
Must\-Haves
Bachelor’s, Master’s, or PhD in Computer Science, Engineering, Data Science, or a related technical field.
10\+ years of experience in machine learning, with significant experience designing and deploying large\-scale ML systems.
Deep expertise in multiple ML domains (e.g., predictive modeling, personalization, optimization, computer vision, or NLP).
Strong proficiency in Python and ML frameworks such as PyTorch or TensorFlow.
Extensive experience with cloud\-native ML architectures and MLOps at scale.
Proven track record of influencing technical strategy and architectural decisions across organizations.
Exceptional problem\-solving skills and the ability to operate effectively in ambiguous, high\-impact situations.
Strong executive\-level communication skills, with the ability to translate complex technical concepts into business value.
Nice\-to\-Haves
Experience leading ML strategy in a global, multi\-brand, or consumer\-facing organization.
Background in IoT, connected devices, or embedded ML.
Experience building internal ML platforms or enabling ML at scale across multiple teams.
Publications, patents, or open\-source contributions in ML or AI.
Core Competencies \&amp; Behaviors
Enterprise\-level technical leadership
Strategic thinking with hands\-on execution
Influence without authority
Consumer\-obsessed innovation
Relentless pursuit of excellence
Tools / Technologies
Python, PyTorch, TensorFlow, advanced ML platforms, cloud\-native architectures, MLOps frameworks, distributed data systems
**Salary and Other Compensation:** The annual salary range for this position is displayed below. Factors which may affect starting pay within this range may include geography/market, skills, education, experience and other qualifications of the successful candidate.
The Company offers the following benefits for this position, subject to applicable eligibility requirements: medical insurance, dental insurance, vision insurance, flexible spending accounts, health savings accounts (HSA) with company contribution, 401(k) retirement plan with matching, employee stock purchase program, life insurance, AD\&amp;D, short\-term disability insurance, long\-term disability insurance, generous paid time off, company holidays, parental leave, identity theft protection, pet insurance, pre\-paid legal insurance, back\-up child and eldercare days, product discounts, referral bonus program, and more.
Pay Range $202,500 — $247,500 USD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 gether, we won’t just launch products— 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For candidates based in all regions , please refer to this Candidate Privacy Notice .
For candidates based in China , please refer to this Candidate Privacy Notice .
For candidates based in Vietnam , please refer to this Candidate Privacy Notice .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is>
      </c>
    </row>
    <row r="115">
      <c r="A115" t="inlineStr">
        <is>
          <t>in-388c2b0cf8b3aa5d</t>
        </is>
      </c>
      <c r="B115" t="inlineStr">
        <is>
          <t>Senior AI Engineer</t>
        </is>
      </c>
      <c r="C115" t="inlineStr">
        <is>
          <t>Capital One</t>
        </is>
      </c>
      <c r="D115" t="inlineStr">
        <is>
          <t>indeed</t>
        </is>
      </c>
      <c r="E115" t="inlineStr"/>
      <c r="F115" t="inlineStr"/>
      <c r="G115" t="inlineStr">
        <is>
          <t>San Jose, CA, US</t>
        </is>
      </c>
      <c r="H115" s="2" t="n">
        <v>46050</v>
      </c>
      <c r="I115" t="inlineStr">
        <is>
          <t>Senior 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6">
      <c r="A116" t="inlineStr">
        <is>
          <t>in-0fae09b774114c2b</t>
        </is>
      </c>
      <c r="B116" t="inlineStr">
        <is>
          <t>Senior Machine Learning Engineer, On-Device Optimization</t>
        </is>
      </c>
      <c r="C116" t="inlineStr">
        <is>
          <t>HP</t>
        </is>
      </c>
      <c r="D116" t="inlineStr">
        <is>
          <t>indeed</t>
        </is>
      </c>
      <c r="E116" t="inlineStr"/>
      <c r="F116" t="inlineStr"/>
      <c r="G116" t="inlineStr">
        <is>
          <t>Palo Alto, CA, US</t>
        </is>
      </c>
      <c r="H116" s="2" t="n">
        <v>46044</v>
      </c>
      <c r="I116" t="inlineStr">
        <is>
          <t>**Description \-**
**Who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 **About The Role**
As a Machine Learning Researcher, you’ll focus on advancing the state\-of\-the\-art in on\-device AI optimization. This role bridges applied research and product development, with a heavy focus on techniques like quantization, pruning, and efficient model representation. You’ll bring academic expertise into real\-world systems that power intelligent assistants running directly on HP laptops and edge devices.
### **What You Might Do**
* Research and implement model compression techniques including quantization, low\-rank factorization, distillation, and pruning
* Develop methods to deploy SOTA transformer and vision models on\-device under hardware constraints
* Lead investigations into hardware\-aware training strategies to optimize latency, throughput, and memory usage
* Collaborate with software engineers and system architects to integrate models into AI companion apps
* Evaluate and benchmark different frameworks and quantization strategies (e.g., AWQ, GPTQ, SmoothQuant)
### **Essential Qualifications**
* PhD in Computer Science, Electrical Engineering, or related field with focus on efficient ML, systems ML, or compiler design for ML
* 2\+ years of industry or applied research experience
* Strong background in model optimization for edge computing or mobile/embedded deployment
* Familiarity with PyTorch, ONNX, TensorRT, OpenVINO, QNN, or Llama.cpp
* Understanding of tradeoffs in asymmetric/symmetric quantization, calibration methods, and inference tuning
### **Preferred Skills**
* Experience publishing at top ML/Systems conferences (e.g., NeurIPS, ICML, MLSys)
* Familiarity with embedded ML for consumer devices
* GPU and system\-level profiling tools (e.g., CUDA, nvprof, perf)
* Contributions to open\-source ML optimization frameworks
The pay range for this role is **$150,000** to **$250,000**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Additional flexible paid vacation and sick leave ( US benefits overview )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117">
      <c r="A117" t="inlineStr">
        <is>
          <t>in-f2ba42b4dc316de7</t>
        </is>
      </c>
      <c r="B117" t="inlineStr">
        <is>
          <t>Machine Learning Engineer, WWPS ProServe Data and Machine Learning</t>
        </is>
      </c>
      <c r="C117" t="inlineStr">
        <is>
          <t>Amazon Web Services</t>
        </is>
      </c>
      <c r="D117" t="inlineStr">
        <is>
          <t>indeed</t>
        </is>
      </c>
      <c r="E117" t="inlineStr"/>
      <c r="F117" t="inlineStr"/>
      <c r="G117" t="inlineStr">
        <is>
          <t>Herndon, VA, US</t>
        </is>
      </c>
      <c r="H117" s="2" t="n">
        <v>46044</v>
      </c>
      <c r="I11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8">
      <c r="A118" t="inlineStr">
        <is>
          <t>in-22c06a23c326f416</t>
        </is>
      </c>
      <c r="B118" t="inlineStr">
        <is>
          <t>Machine Learning Engineer, WWPS ProServe Data and Machine Learning</t>
        </is>
      </c>
      <c r="C118" t="inlineStr">
        <is>
          <t>Amazon Web Services</t>
        </is>
      </c>
      <c r="D118" t="inlineStr">
        <is>
          <t>indeed</t>
        </is>
      </c>
      <c r="E118" t="inlineStr"/>
      <c r="F118" t="inlineStr"/>
      <c r="G118" t="inlineStr">
        <is>
          <t>Arlington, VA, US</t>
        </is>
      </c>
      <c r="H118" s="2" t="n">
        <v>46044</v>
      </c>
      <c r="I11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9">
      <c r="A119" t="inlineStr">
        <is>
          <t>in-5f1a43ba8a2560be</t>
        </is>
      </c>
      <c r="B119" t="inlineStr">
        <is>
          <t>Machine Learning Engineer, WWPS ProServe Data and Machine Learning</t>
        </is>
      </c>
      <c r="C119" t="inlineStr">
        <is>
          <t>Amazon Web Services</t>
        </is>
      </c>
      <c r="D119" t="inlineStr">
        <is>
          <t>indeed</t>
        </is>
      </c>
      <c r="E119" t="inlineStr"/>
      <c r="F119" t="inlineStr"/>
      <c r="G119" t="inlineStr">
        <is>
          <t>Arlington, VA, US</t>
        </is>
      </c>
      <c r="H119" s="2" t="n">
        <v>46043</v>
      </c>
      <c r="I11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0">
      <c r="A120" t="inlineStr">
        <is>
          <t>in-59fe87300f2d617f</t>
        </is>
      </c>
      <c r="B120" t="inlineStr">
        <is>
          <t>Machine Learning Engineer, WWPS ProServe Data and Machine Learning</t>
        </is>
      </c>
      <c r="C120" t="inlineStr">
        <is>
          <t>Amazon Web Services</t>
        </is>
      </c>
      <c r="D120" t="inlineStr">
        <is>
          <t>indeed</t>
        </is>
      </c>
      <c r="E120" t="inlineStr"/>
      <c r="F120" t="inlineStr"/>
      <c r="G120" t="inlineStr">
        <is>
          <t>Herndon, VA, US</t>
        </is>
      </c>
      <c r="H120" s="2" t="n">
        <v>46043</v>
      </c>
      <c r="I12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1">
      <c r="A121" t="inlineStr">
        <is>
          <t>in-04890b95e515f9ac</t>
        </is>
      </c>
      <c r="B121" t="inlineStr">
        <is>
          <t>Applied Scientist, Alexa Smart Home</t>
        </is>
      </c>
      <c r="C121" t="inlineStr">
        <is>
          <t>Amazon.com</t>
        </is>
      </c>
      <c r="D121" t="inlineStr">
        <is>
          <t>indeed</t>
        </is>
      </c>
      <c r="E121" t="inlineStr"/>
      <c r="F121" t="inlineStr"/>
      <c r="G121" t="inlineStr">
        <is>
          <t>Sunnyvale, CA, US</t>
        </is>
      </c>
      <c r="H121" s="2" t="n">
        <v>46033</v>
      </c>
      <c r="I12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2">
      <c r="A122" t="inlineStr">
        <is>
          <t>in-de0b43b901cba6b1</t>
        </is>
      </c>
      <c r="B122" t="inlineStr">
        <is>
          <t>Applied Scientist, Alexa Smart Home</t>
        </is>
      </c>
      <c r="C122" t="inlineStr">
        <is>
          <t>Amazon.com</t>
        </is>
      </c>
      <c r="D122" t="inlineStr">
        <is>
          <t>indeed</t>
        </is>
      </c>
      <c r="E122" t="inlineStr"/>
      <c r="F122" t="inlineStr"/>
      <c r="G122" t="inlineStr">
        <is>
          <t>Seattle, WA, US</t>
        </is>
      </c>
      <c r="H122" s="2" t="n">
        <v>46033</v>
      </c>
      <c r="I12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3">
      <c r="A123" t="inlineStr">
        <is>
          <t>in-d404cfebecb1cac9</t>
        </is>
      </c>
      <c r="B123" t="inlineStr">
        <is>
          <t>Senior Engineer, Machine Learning Engineering (ML Apps)</t>
        </is>
      </c>
      <c r="C123" t="inlineStr">
        <is>
          <t>Qualcomm</t>
        </is>
      </c>
      <c r="D123" t="inlineStr">
        <is>
          <t>indeed</t>
        </is>
      </c>
      <c r="E123" t="inlineStr"/>
      <c r="F123" t="inlineStr"/>
      <c r="G123" t="inlineStr">
        <is>
          <t>San Diego, CA, US</t>
        </is>
      </c>
      <c r="H123" s="2" t="n">
        <v>46033</v>
      </c>
      <c r="I123" t="inlineStr">
        <is>
          <t>**Company:**
------------
Qualcomm Technologies, Inc.**Job Area:**
-------------
Engineering Group, Engineering Group \&gt; Machine Learning Engineering**General Summary:**
Artificial Intelligence is changing the world for the benefit of human beings and societies. QUALCOMM, as the world's leading mobile computing platform provider, is committed to enable the wide deployment of intelligent solutions on all possible devices – like smart phones, laptops, autonomous vehicles, robotics and IOT devices. Qualcomm is creating building blocks for the intelligent edge.
We are part of Qualcomm AI Research, and we focus on advancing Gen AI Technology for the Edge – including model fine tuning, hardware acceleration, model quantization, edge inference and related fields. Come join us on this exciting journey.
In this particular role, you will work in a dynamic research environment, be part of a multi\-disciplinary team of researchers and software engineers who work with cutting edge AI frameworks and tools. You will architect, design, develop, test, and deploy on\-device prototype software for cutting\-edge AI use cases.
The successful applicant should have a strong theoretical background and proven hands\-on experience with enabling on\-device AI using modern software engineering best practices.
**Must have experience and skills:**
* Strong Python and object\-oriented SW design and implementation skills.
* Knowledge of deep learning and ML frameworks ( i.e. PyTorch ).
* Strong software design skills with a focus on usability.
* Strong analytical, debugging and problem\-solving skills.
* Knowledge of GenAI model architectures.
* At least 3 years of work experience in a relevant field.
**Preferred extra experience and skills:**
* Knowledge of Generative AI ( GenAI ) technologies.
* Knowledge of model quantization techniques is a plus.
* Knowledge of neural network model optimization and on\-target deployment is a plus.
* Previous experience with Docker, Git and CI/CD.
* Knowledge of NPUs / ML accelerators.
**Minimum Qualifications:**
* Bachelor's degree in Computer Science, Engineering, Information Systems, or related field.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$122,800\.00 \- $184,200\.00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24">
      <c r="A124" t="inlineStr">
        <is>
          <t>in-2c96942ec32f9abf</t>
        </is>
      </c>
      <c r="B124" t="inlineStr">
        <is>
          <t>AI/ML Engineer</t>
        </is>
      </c>
      <c r="C124" t="inlineStr">
        <is>
          <t>Chickasaw Nation Industries</t>
        </is>
      </c>
      <c r="D124" t="inlineStr">
        <is>
          <t>indeed</t>
        </is>
      </c>
      <c r="E124">
        <f>HYPERLINK("https://www.indeed.com/viewjob?jk=2c96942ec32f9abf", "https://www.indeed.com/viewjob?jk=2c96942ec32f9abf")</f>
        <v/>
      </c>
      <c r="F124">
        <f>HYPERLINK("https://cni.wd503.myworkdayjobs.com/en-US/CNI/job/Rockville-MD/AI-ML-Engineer_R8681", "https://cni.wd503.myworkdayjobs.com/en-US/CNI/job/Rockville-MD/AI-ML-Engineer_R8681")</f>
        <v/>
      </c>
      <c r="G124" t="inlineStr">
        <is>
          <t>Rockville, MD, US</t>
        </is>
      </c>
      <c r="H124" s="3" t="n">
        <v>46051</v>
      </c>
      <c r="I124" t="inlineStr">
        <is>
          <t>An AI/ML Engineer in the health IT domain with experience in HL7 data standards is responsible for designing, developing, training, and deploying machine learning and AI solutions tailored to health IT applications. This role involves working closely with adverse events data, including HL7 and other clinical data standards, to build scalable, accurate, and efficient AI models that improve drug safety, signal detection and operational efficiency.  
**Chickasaw Nation Industries, Inc.** serves as a holding company with multiple subsidiaries engaged in several lines of business (Technology, Infrastructure \&amp; Engineering, Health, Manufacturing, Public Safety, Consulting, and Transportation) for the federal government and commercial enterprises. A portion of our profits is used to support Chickasaw citizens. We are proud to support the economic development and long\-term viability of the Chickasaw Nation and its people. CNI offers premium benefits eligible on the first day of hire to full time employees; (Medical \- Dental – Vision), Company Life Insurance, Short\-Term and Long\-Term Disability Insurance, 401(K) Immediate Vesting, Professional Development Assistance, Legal Aid Assistance Program, Family Planning / Fertility Assistance, Personal Time Off, and Observance of Federal Holidays.
As a federal contractor, CNI is a drug\-free workplace and adheres to the Federal Controlled Substance Act.
**ESSENTIAL REQUIREMENTS**
* Must possess appropriate level of certifications for this position as required by the contract.
* Must be able to obtain a customer clearance for access to facilities, equipment and property.
* Strong programming skills in Python, R, or Java with experience in AI/ML frameworks and libraries.
* Deep understanding of machine learning algorithms, statistical models, deep learning, and generative AI techniques.
* Experience working with healthcare data standards, especially HL7 and FHIR, to process and interpret clinical data.
* Familiarity with cloud computing platforms (AWS preferred), containerization, and CI/CD pipelines for AI model deployment.
* Knowledge of healthcare workflows, clinical environments, and regulatory compliance (e.g., HIPAA) is essential.
* Strong analytical, problem\-solving, and communication skills to translate complex AI concepts into clinical applications.
* Experience with NLP, computer vision, or other domain\-specific AI applications in healthcare is a plus.
* Prior work in healthcare or health IT companies, handling large\-scale healthcare datasets is preferred.
* Hands\-on experience with GenAI models, LangChain, VectorDBs, and RAG techniques for advanced AI solutions is preferred.
* Leadership or mentorship roles in AI/ML projects within healthcare settings is preferred.
**ESSENTIAL DUTIES AND RESPONSIBILITIES**
Essential duties and responsibilities include the following. Other duties may be assigned.
* Builds, trains, validates, and deploys machine learning models to solve healthcare\-specific problems such as predictive analytics, anomaly detection, clinical decision support, and natural language processing on medical data.
* Develops AI/ML solutions that integrate HL7 and other healthcare interoperability standards to ensure seamless data exchange and compliance with healthcare regulations.
* Collaborates with clinicians, data engineers, product managers, and compliance teams to align AI solutions with clinical workflows and regulatory requirements such as HIPAA.
* Implements and optimizes models using Python, R, Java, or other relevant programming languages and frameworks (e.g., PyTorch, TensorFlow, scikit\-learn).
* Fine\-tunes large language models (LLMs) and leverage generative AI techniques, including Retrieval\-Augmented Generation (RAG) and agentic frameworks, to enhance healthcare AI applications.
* Conducts rigorous evaluation of AI models using appropriate metrics and continuously monitor and improve model performance in production environments.
* Designs and maintains AI/ML pipelines and infrastructure, often utilizing cloud platforms such as AWS, Azure, or Google Cloud for scalable model training and deployment.
* Ensures ethical AI use and compliance with healthcare regulations, including data privacy and security standards.
* Provides mentorship and technical guidance to junior engineers and contribute to research and development efforts in healthcare AI.
**PHYSICAL DEMANDS**
Work is primarily performed in an office environment. Regularly required to sit. Regularly required use hands to finger, handle, or feel, reach with hands and arms to handle objects and operate tools, computer, and/or controls. Required to speak and hear. Occasionally required to stand, walk and stoop, kneel, crouch, or crawl. Must frequently lift and/or move up to 10 pounds and occasionally lift and/or move up to 25 pounds. Specific vision abilities required by this job include close vision, distance vision, depth perception, and ability to adjust focus. Exposed to general office noise with computers printers and light traffic.
The physical demands described here are representative of those that must be met by an employee to successfully perform the essential functions of this job. Reasonable accommodations may be made to enable individuals with disabilities to perform the essential functions of this job.  
**EOE including Disability/Vet**
**The estimated pay range for this role is $100K to $140K, with the final offer contingent on location, skillset, and experience.**
**CNI offers a comprehensive benefits package that includes:**
* Medical
* Dental
* Vision
* 401(k)
* Family Planning/Fertility Assistance
* STD/LTD/Basic Life/AD\&amp;D
* Legal\-Aid Program
* Employee Assistance Program (EAP)
* Paid Time Off (PTO) – (11\) Federal Holidays
* Training and Development Opportunities
Your application submission will be considered for all potential employment opportunities with Chickasaw Nation Industries (CNI).
\#INDCNI</t>
        </is>
      </c>
    </row>
    <row r="125">
      <c r="A125" t="inlineStr">
        <is>
          <t>in-ed7caa5751ecd119</t>
        </is>
      </c>
      <c r="B125" t="inlineStr">
        <is>
          <t>Senior Applied Scientist, Machine Learning</t>
        </is>
      </c>
      <c r="C125" t="inlineStr">
        <is>
          <t>McAfee</t>
        </is>
      </c>
      <c r="D125" t="inlineStr">
        <is>
          <t>indeed</t>
        </is>
      </c>
      <c r="E125">
        <f>HYPERLINK("https://www.indeed.com/viewjob?jk=ed7caa5751ecd119", "https://www.indeed.com/viewjob?jk=ed7caa5751ecd119")</f>
        <v/>
      </c>
      <c r="F125">
        <f>HYPERLINK("https://careers.mcafee.com/global/en/job/JR0032278/Senior-Applied-Scientist-Machine-Learning", "https://careers.mcafee.com/global/en/job/JR0032278/Senior-Applied-Scientist-Machine-Learning")</f>
        <v/>
      </c>
      <c r="G125" t="inlineStr">
        <is>
          <t>Frisco, TX, US</t>
        </is>
      </c>
      <c r="H125" s="3" t="n">
        <v>46051</v>
      </c>
      <c r="I125" t="inlineStr">
        <is>
          <t>***Role Overview:***
We are seeking a Senior Applied Scientist to join McAfee's Consumer ML team and drive AI\-powered solutions that deliver personalized experiences, optimize pricing, and improve payment success for millions of global customers. In this role, you will lead the end\-to\-end development and deployment of high\-impact ML models across fraud detection, dynamic pricing, journey optimization, and contextual recommendation systems. You'll design and execute experimentation frameworks, champion GenAI tooling adoption to accelerate development, and apply advanced techniques, including deep learning and reinforcement learning. This is a hands\-on technical leadership role requiring 8\+ years of Applied ML experience, proven expertise in personalization, pricing optimization, or churn/propensity modeling for digital subscriptions, and strong cross\-functional collaboration skills to translate ML innovation into measurable business outcomes.  
This is a Hybrid position located in Frisco, TX. You will be required to be on\-site on an as\-needed basis; when you are not working on\-site, you will work from your home office. You must be within commutable distance of Frisco, TX. We are not offering relocation assistance at this time.**About the Role**
* **Strategic Vision:** Drive the ML science strategy for pricing, recommendation systems, and personalized consumer experiences, to maximize McAfee’s customer value.
* **Model Development:** Lead the research, implementation, and delivery of Applied AI/ML models using user behavior and subscription data to enhance personalization and product value.
* **Optimization \&amp; Experimentation:** Lead algorithm development to optimize consumer journeys, increase conversion rates, and drive monetization strategies. Design and execute controlled experiments (A/B and multivariate tests) to validate and enhance model performance.
* **Generative AI Enablement:** Leverage GenAI tools—such as GitHub Copilot, Claude Code, and other AI coding assistants—to amplify development productivity in data preparation, model tuning, and orchestration workflows. Champion the integration of GenAI capabilities into the ML lifecycle to accelerate experimentation and reduce time\-to\-market.
* **Research \&amp; Knowledge Sharing:** Stay at the forefront of ML science, contributing to the development of new algorithms and applications. Share knowledge through internal presentations, publications, and participation in academic or industry forums.
* **Reinforcement Learning is a Plus:** Guide the team in applying reinforcement learning methods such as contextual bandits, SARSA, and Q\-learning. Implement exploration\-exploitation strategies, including epsilon\-greedy, Thompson sampling, and Upper Confidence Bound (UCB) to optimize decision\-making for pricing and recommendation engines.
* **Cross\-Functional Collaboration:** Partner with Marketing, Product, Sales, and Engineering teams to ensure ML solutions align with strategic objectives and deliver measurable business impact.
**About You**
* **Experience:** 8\+ years of expertise in Applied AI \&amp; ML, complemented by at least 3 years of technical leadership experience mentoring machine learning scientists in technical capacities.
* **Mandatory Qualification:** Proven track record in at least one of the following: implementing AI/ML\-based personalized messaging techniques to enhance consumer/customer product experiences; developing AI/ML\-based dynamic pricing and personalized offer strategies for pricing optimization; or creating customer/consumer churn and propensity models specifically for digital subscription use cases
* **Technical Expertise:** Deep proficiency in classical ML and deep learning techniques (e.g., XGBoost, Random Forest, SVMs, deep neural networks), **autoencoders, representation learning, and deep recommender system techniques**, as well as reinforcement learning methods (contextual bandits, SARSA, Q\-learning). Strong programming skills in Python, SQL, and ML frameworks.
* **Tooling \&amp; Libraries:** Proficient with ML libraries such as PyTorch and Scikit\-learn, with a strong background in feature engineering, model validation, and evaluation metrics.
* **Mathematical Foundations:** Solid understanding of the mathematical and statistical principles underpinning ML algorithms (linear algebra, calculus, probability) and a passion for solving complex problems through research and application of emerging techniques.
* **Communication \&amp; Collaboration:** Excellent communicator who can distill complex ML concepts for both technical and non\-technical stakeholders and collaborate effectively across cross\-functional teams to align ML models with business goals.
\#LI\-Hybrid
 ***Company Overview***
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
***Company Benefits and Perks:***
We work hard to embrace diversity and inclusion and encourage everyone at McAfee to bring their authentic selves to work every day. We’re proud to be Great Place to Work® Certified in 10 countries, a reflection of the supportive, empowering environment we’ve built where people feel seen, valued, and energized to reach their full potential and thrive.
We offer a variety of social programs, flexible work hours and family\-friendly benefits to all of our employees.
* Bonus Program
* Pension and Retirement Plans
* Medical, Dental and Vision Coverage
* Paid Time Off
* Paid Parental Leave
*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t>
        </is>
      </c>
    </row>
    <row r="126">
      <c r="A126" t="inlineStr">
        <is>
          <t>in-23362c4f7012c1a7</t>
        </is>
      </c>
      <c r="B126" t="inlineStr">
        <is>
          <t>Sr. AI Engineer</t>
        </is>
      </c>
      <c r="C126" t="inlineStr">
        <is>
          <t>Qualcomm</t>
        </is>
      </c>
      <c r="D126" t="inlineStr">
        <is>
          <t>indeed</t>
        </is>
      </c>
      <c r="E126">
        <f>HYPERLINK("https://www.indeed.com/viewjob?jk=23362c4f7012c1a7", "https://www.indeed.com/viewjob?jk=23362c4f7012c1a7")</f>
        <v/>
      </c>
      <c r="F126">
        <f>HYPERLINK("https://careers.qualcomm.com/careers/job/446716385089?utm_source=indeed&amp;domain=qualcomm.com", "https://careers.qualcomm.com/careers/job/446716385089?utm_source=indeed&amp;domain=qualcomm.com")</f>
        <v/>
      </c>
      <c r="G126" t="inlineStr">
        <is>
          <t>Santa Clara, CA, US</t>
        </is>
      </c>
      <c r="H126" s="3" t="n">
        <v>46050</v>
      </c>
      <c r="I126" t="inlineStr">
        <is>
          <t>**Company:**
------------
Qualcomm Technologies, Inc.**Job Area:**
-------------
Engineering Group, Engineering Group \&gt; Software Engineering**General Summary:**
We are looking for a skilled and motivated AI Model Training Engineer to join our team. In this role, you will be responsible for designing, training, fine\-tuning, and optimizing machine learning models for a range of applications. You’ll work closely with data scientists, researchers, and infrastructure engineers to develop robust, scalable models that meet performance, efficiency, and ethical standards.
**Key Responsibilities**
* Build and train machine learning and deep learning models using structured and unstructured datasets.
* Fine\-tune pre\-trained models (e.g., object detection, classification, LLMs, vision transformers) for specific downstream tasks.
* Design training pipelines with reproducibility, efficiency, and scalability in mind.
* Conduct hyperparameter optimization, model evaluation, and performance tuning.
* Collaborate with data engineering teams to ensure high\-quality, well\-labeled, and balanced datasets.
* Monitor training processes, identify failure modes, and address overfitting, underfitting, or bias.
* Keep up to date with the latest research and integrate state\-of\-the\-art techniques into training workflows.
* Document models, training strategies, and experiments for internal knowledge sharing and compliance.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Bachelor’s or Master’s degree in Computer Science, Machine Learning, Data Science, or related field.
* Solid experience training machine learning models with frameworks like PyTorch, onnxruntime or Hugging Face Transformers.
* Proficient in Python and familiar with ML libraries such as PyTorch, scikit\-learn, and NumPy.
* Understanding of training best practices, including dataset management, batching, checkpointing, and loss functions.
* Experience with GPU/TPU\-based training environments and distributed training frameworks (e.g., PyTorch, onnxruntime).
* Experience training large\-scale models (e.g., LLMs, multimodal models) or using cloud\-based ML platforms.
* Knowledge of MLOps practices including CI/CD, containerization, and model versioning.
* Background in performance profiling and memory optimization for training workflows.
* Exposure to ethical AI practices, including fairness, explainability, and model auditing.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$129,300\.00 \- $193,900\.00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27">
      <c r="A127" t="inlineStr">
        <is>
          <t>in-cb6baad972873afb</t>
        </is>
      </c>
      <c r="B127" t="inlineStr">
        <is>
          <t>Member of Technical Staff, Applied Scientist - Windows Copilot</t>
        </is>
      </c>
      <c r="C127" t="inlineStr">
        <is>
          <t>Microsoft</t>
        </is>
      </c>
      <c r="D127" t="inlineStr">
        <is>
          <t>indeed</t>
        </is>
      </c>
      <c r="E127">
        <f>HYPERLINK("https://www.indeed.com/viewjob?jk=cb6baad972873afb", "https://www.indeed.com/viewjob?jk=cb6baad972873afb")</f>
        <v/>
      </c>
      <c r="F127">
        <f>HYPERLINK("https://apply.careers.microsoft.com/careers/job/1970393556749077?utm_source=indeed&amp;domain=microsoft.com", "https://apply.careers.microsoft.com/careers/job/1970393556749077?utm_source=indeed&amp;domain=microsoft.com")</f>
        <v/>
      </c>
      <c r="G127" t="inlineStr">
        <is>
          <t>Washington, DC, US</t>
        </is>
      </c>
      <c r="H127" s="3" t="n">
        <v>46049</v>
      </c>
      <c r="I127" t="inlineStr">
        <is>
          <t>**Overview**  
The Windows Copilot team is at the forefront of redefining how AI enhances everyday computing. This team owns the full stack—from cutting\-edge AI infrastructure and model development, to crafting seamless user experiences directly in Windows.
We’re building and shipping consumer\-scale services that are transforming how users interact with their PCs. Whether it’s designing intelligent prompts, engineering robust backends to interface with models, or developing native Windows platform and UX features, this team does it all.
We are hiring an Applied Scientist to lead the end\-to\-end model\-building process, including problem understanding, data curation, model development, deployment, and iteration based on real\-world feedback. This role will serve as a critical bridge between Microsoft Research and the engineering team, taking increasing ownership of model training responsibilities.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*MAI employees are expected to work from a designated Microsoft office at least four days a week if they live within 50 miles (U.S.) or 25 miles (non\-U.S., country\-specific) of that location. This expectation is subject to local law and may vary by jurisdiction.*  
**Responsibilities**  
* Develop and refine data pipelines and infrastructure to support AI model development for Copilot.
* Collaborate with research teams to integrate cutting\-edge AI advancements into production systems.
* Design, train, and evaluate machine learning models, ensuring performance optimization and scalability.
* Work closely with engineering and product teams to ensure AI\-driven experiences meet quality and user experience standards.
* Conduct rigorous data analysis and experimentation, leveraging insights to improve Copilot’s intelligence.
* Overcome obstacles to deliver iterative improvements in AI performance and responsiveness.
* Stay ahead of the latest innovations in deep learning, reinforcement learning, and generative AI.
Embody our Culture and Values.  
* 
**Qualifications** **Required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Proven track record of deploying machine learning models in large\-scale production environments.
* 9\+ years of experience building data pipelines, training deep learning models, and optimizing AI workflows.
* Proven track record of deploying machine learning models in large\-scale production environments.
* 4\+ years of experience building data pipelines, training deep learning models, and optimizing AI workflows.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8">
      <c r="A128" t="inlineStr">
        <is>
          <t>in-92c498a129702989</t>
        </is>
      </c>
      <c r="B128" t="inlineStr">
        <is>
          <t>Senior Data and Applied Scientist - Xbox</t>
        </is>
      </c>
      <c r="C128" t="inlineStr">
        <is>
          <t>Microsoft</t>
        </is>
      </c>
      <c r="D128" t="inlineStr">
        <is>
          <t>indeed</t>
        </is>
      </c>
      <c r="E128">
        <f>HYPERLINK("https://www.indeed.com/viewjob?jk=92c498a129702989", "https://www.indeed.com/viewjob?jk=92c498a129702989")</f>
        <v/>
      </c>
      <c r="F128">
        <f>HYPERLINK("https://apply.careers.microsoft.com/careers/job/1970393556748676?utm_source=indeed&amp;domain=microsoft.com", "https://apply.careers.microsoft.com/careers/job/1970393556748676?utm_source=indeed&amp;domain=microsoft.com")</f>
        <v/>
      </c>
      <c r="G128" t="inlineStr">
        <is>
          <t>Redmond, WA, US</t>
        </is>
      </c>
      <c r="H128" s="3" t="n">
        <v>46048</v>
      </c>
      <c r="I128" t="inlineStr">
        <is>
          <t>**Overview**  
Have you or someone you know ever wanted to work in gaming? How about building safe and inclusive communities? How about impacting experience for millions of customers? What if you could do all three of those things at the same time?
Microsoft is committed to ensuring that we develop and deploy our AI technologies in ways that uphold our AI principles and warrant people’s trust.
Here in Microsoft Gaming, we are on a mission to bring the joy and community of gaming to everyone on the planet. We deliver on that vision by putting players at the center, enabling you to play the games you want, with the people you want, anywhere you want.
Gaming Player Services and Operations is at the heart of our ambition to reach billions of players across the globe, ensuring that every player feels included and engaged across Xbox. We do this through our commitment to driving operational excellence through innovation and ensuring player and partner delight across Microsoft Gaming.
As a Senior Data and Applied Scientist, you will work with cross\-functional teams to apply state\-of\-the\-art AI that supports community moderation experiences for some of the largest online communities around the globe. You will also collaborate with other teams across Xbox, Microsoft, and the gaming industry to ensure the developed technology complies with legal and regulatory requirements, as well as best practices for online safety, privacy and responsible AI. You will be a peer mentor and role model on the team, fostering a culture of customer focus, collaboration, diversity, inclusion, and drive technical excellence and innovation.
Within the Safety, Trust, \&amp; Responsibility team, our mission is to grow and protect global player communities. We believe that wherever you play, it should be a fun, safe, and inclusive environment—and it’s our job to provide the services, expertise, and support to make accessible, world\-class player experiences possible. We champion transparency, compliance, and the responsible use of AI, with trust at the core of how we operate. We embrace experimentation to reach more players, inform business decisions, and deepen our understanding of customer and player needs. Through a culture of innovation, collaboration, and continuous improvement, we support and challenge one another to perform at our best.  
**Responsibilities**  
* Advancing the state\-of\-the\-art artificial intelligence (AI) and natural language processing (NLP) algorithms, especially applying large language models and small language models, (LLM/SLM) to real\-world large\-scale content moderation systems.
* Developing tools, algorithms, fine\-tuning and optimizing AI models, and automated systems that help identify and moderate high\-risk behaviors and user generated text, image, video, audio and mixed media content on social networks
* Working on the full lifecycle of AI development including training data collection, feature engineering, model training, offline and online experimentation, and deployment and maintenance.
* Collaborating and working cross functionally, focusing on strategic business questions, and sharing learnings.
* Driving product and business innovations for measurable impact on moderation product effectiveness.
* Investigating new technologies, tools, and prototypes, the latest techniques to evolve AI capabilities of the product and organization.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Several years of industry experience across multiple AI modalities, such as multimodal models, Automatic Speech Recognition (ASR), Computer Vision, and Natural Language Processing (NLP).
* Hands\-on experience with advanced fine\-tuning methods, including self\-supervised, semi\-supervised, and supervised learning techniques.
* Hands\-on experience building or evaluating large language models and small language models, (LLM/SLM) applications in production, ensuring AI meets or exceeds targets for functionality, responsiveness and compliance.
* Product\-driven thinking.
* Experience designing and implementing processes/systems to measure and improve AI product performance throughout the product life cycle.
* Ability to work in a fast\-paced environment, manage multiple priorities, and adapt to changing requirements and deadlines
* Experience building large data sets using SQL, Spark, Snowflake etc., for model training, testing and/or deriving actionable insights.
* Strong communication skills to explain insights in an understandable way to non\-experts, in both formal presentations and informal group conversations.
* Committed to contributing to an inclusive workplace that focuses on respect, integrity, and personal accountability.
This would be a great role for you if…
* You want to make gaming a safer and more positive experience for everyone.
* You are passionate about applying the latest in AI / ML technology to challenging problems involving text, images, video, audio and mixed\-media classification and moderation.
* You are a role model and active participant in creating a culture of inclusion and respect within the organization.
* You believe in making data\-driven decisions through telemetry and customer feedback.
* You have a passion for engineering excellence.
\#gamingjobs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9">
      <c r="A129" t="inlineStr">
        <is>
          <t>in-3e742274eaf32e2d</t>
        </is>
      </c>
      <c r="B129" t="inlineStr">
        <is>
          <t>Machine Learning Engineer</t>
        </is>
      </c>
      <c r="C129" t="inlineStr">
        <is>
          <t>Kemper</t>
        </is>
      </c>
      <c r="D129" t="inlineStr">
        <is>
          <t>indeed</t>
        </is>
      </c>
      <c r="E129">
        <f>HYPERLINK("https://www.indeed.com/viewjob?jk=3e742274eaf32e2d", "https://www.indeed.com/viewjob?jk=3e742274eaf32e2d")</f>
        <v/>
      </c>
      <c r="F129">
        <f>HYPERLINK("https://kemper.wd5.myworkdayjobs.com/en-US/Kemper_Careers/job/Chicago-Illinois/Machine-Learning-Engineer_R-25-0034950", "https://kemper.wd5.myworkdayjobs.com/en-US/Kemper_Careers/job/Chicago-Illinois/Machine-Learning-Engineer_R-25-0034950")</f>
        <v/>
      </c>
      <c r="G129" t="inlineStr">
        <is>
          <t>Chicago, IL, US</t>
        </is>
      </c>
      <c r="H129" s="3" t="n">
        <v>46051</v>
      </c>
      <c r="I129" t="inlineStr">
        <is>
          <t>Location(s)
Alpharetta, Georgia, Birmingham, Alabama, Chicago, Illinois, Jacksonville, Florida
Details*Kemper is one of the nation’s leading specialized insurers. Our success is a direct reflection of the talented and diverse people who make a positive difference in the lives of our customers every day. We believe a high\-performing culture, valuable opportunities for personal development and professional challenge, and a healthy work\-life balance can be highly motivating and productive. Kemper’s products and services are making a real difference to our customers, who have unique and evolving needs. By joining our team, you are helping to provide an experience to our stakeholders that delivers on our promises.*
Position Summary:
The data science and analytics ecosystem is a driver of significant competitive advantage for Kemper and is critical to the organization’s success. The Kemper Analytics Foundation Services team has an immediate opening for an individual to make a lasting impact through building, deploying, and supporting; Machine Learning/Artifical Intelligence (ML/AI) tools and internal data science work products . At this level expected that an ML Ops engineer will work independently and/or lead/smaller efforts.
Position Responsibilities:* Work unsupervised either individually or as part of a team to build, deploy, and support real\-time and batch analytics/data science applications
* Work unsupervised either individually or as part of a team to build, deploy, and support ML/AI tools for internal users
* Contribute to the improvement of internal analytics capabilities, processes and infrastructure.
* Collaborate with the business, IT, Model Risk Management, and Enterprise Data Office to responsibly and efficiently support analytics and data science.
Position Qualifications:* Proficient in Python programming languages
* Proficient with SQL
* Proficient with Linux/Unix, bash scripts.
* Proficient with API development
* Proficient with AWS tools such as S3, Kubernetes, EC2, and containerization.
* Proficient with data formats such as JSON and XML
* Proficient with GitLab
* Familiar with SDLC
* Experience with Jenkins, Control\-M a plus
* Experience in financial services a plus
* Proficiency with at least one compiled language preferred
* Graduate degree in a quantitative field: Mathematics, Statistics, CS, Physics or 5\+ years of experience in DevOps, MLOps, or Software engineering
* Self\-directed
* Sponsorship is not accepted for this opportunity
* This is a remote opporutnity that can be worked from a US\-based home with up to 10% domestic travel required. The applicant will be required to work Central or Eastern hours.
* The range for this position is $100,800 to $168,000\. When determining candidate offers, we consider experience, skills, education, certifications, and geographic location among other factors. This job is eligible for an annual discretionary bonus and Kemper benefits (Medical, Dental, Vision, PTO, 401k, etc.)
*Kemper is proud to be an equal opportunity employer. All applicants will be considered for employment without attention to race, color, religion, sex, sexual orientation, gender identity, national origin, veteran, disability status or any other status protected by the laws or regulations in the locations where we operate. We are committed to supporting diversity and equality across our organization and we work diligently to maintain a workplace free from discrimination. Kemper is focused on expanding our Diversity, Equity and Inclusion efforts to align with our vision, mission, and guiding principles. Kemper does not accept unsolicited resumes through or from search firms or staffing agencies. All unsolicited resumes will be considered the property of Kemper and Kemper will not be obligated to pay a placement fee.**Kemper will never request personal information, such as your social security number or banking information, via text or email. Additionally, Kemper does not use external messaging applications like WireApp or Skype to communicate with candidates. If you receive such a message, delete it.*
\#LI\-JO1
\#LI\-Remote</t>
        </is>
      </c>
    </row>
    <row r="130">
      <c r="A130" t="inlineStr">
        <is>
          <t>in-b886f0a02e6c41c0</t>
        </is>
      </c>
      <c r="B130" t="inlineStr">
        <is>
          <t>Sr. AI Engineer</t>
        </is>
      </c>
      <c r="C130" t="inlineStr">
        <is>
          <t>McCarthy Building</t>
        </is>
      </c>
      <c r="D130" t="inlineStr">
        <is>
          <t>indeed</t>
        </is>
      </c>
      <c r="E130">
        <f>HYPERLINK("https://www.indeed.com/viewjob?jk=b886f0a02e6c41c0", "https://www.indeed.com/viewjob?jk=b886f0a02e6c41c0")</f>
        <v/>
      </c>
      <c r="F130">
        <f>HYPERLINK("https://app.jobvite.com/CompanyJobs/Job.aspx?j=oS9wzfwQ&amp;s=Indeed", "https://app.jobvite.com/CompanyJobs/Job.aspx?j=oS9wzfwQ&amp;s=Indeed")</f>
        <v/>
      </c>
      <c r="G130" t="inlineStr">
        <is>
          <t>St. Louis, MO, US</t>
        </is>
      </c>
      <c r="H130" s="3" t="n">
        <v>46051</v>
      </c>
      <c r="I130" t="inlineStr">
        <is>
          <t>**Position Summary**
McCarthy is seeking a full\-time Senior AI Engineer located in St. Louis, MO, who as part of the Enterprise Solutions and Analytics team will play a leading role in shaping and delivering AI capabilities through hands\-on engineering and technical mentorship. You will partner closely with the AI Architect and cross\-functional stakeholders to design, build, and scale production\-grade AI solutions across the enterprise.
This is a senior, hands\-on individual contributor role that combines advanced data engineering skills, strong data science and MLOps expertise, deep proficiency in generative AI development, and a commitment to responsible AI practices. You will own end\-to\-end solution delivery, from data preparation and model implementation through deployment, monitoring, and continuous improvement. You will also serve as a technical mentor and thought partner for other engineers.
You will design robust data and MLOps pipelines, develop and refine models, manage agent and prompt lifecycles, and ensure every AI system is built with transparency, auditability, and governance in mind, in alignment with McCarthy’s AI architecture and standards.
**Key Responsibilities*** Lead the design, implementation, and optimization of scalable data and MLOps pipelines to support enterprise AI, advanced analytics, and agent\-based use cases as a senior individual contributor.
* Advance and mature data models and ontologies to serve as reusable building blocks for AI and analytics.
* Develop AI/ML solutions, including generative and agentic systems, using modern data science and ML engineering practices from experimentation through production deployment and continuous improvement.
* Leverage AI\-assisted development tools and coding copilots to accelerate prototyping, implementation, and iteration, while maintaining strong standards for code quality, testing, and security.
* Implement and champion MLOps and PromptOps best practices, ensuring models and agents are reproducible, monitored, observable, and auditable in production environments.
* Embed governance checkpoints and risk controls into AI development workflows, from data sourcing and feature engineering through deployment and retirement.
* Design, test, version, and operationalize prompts for generative AI systems; own the prompt lifecycle from creation and A/B testing through optimization and deprecation.
* Design Scope and design AI solutions with transparency, explainability, and human oversight built in, particularly for autonomous and semi\-autonomous (agentic) AI scenarios, following established architectural and governance guidelines.
* Collaborate with business and technical stakeholders to translate complex business problems into AI solutions that meet performance, security, and compliance requirements.
* Act as a technical mentor and coach for AI engineers:
* + Provide guidance on solution design, coding practices, testing strategies, and performance optimization.
	+ Conduct code reviews and share patterns for high\-quality, maintainable, and secure AI solutions.
	+ Pair\-program and support skill development in data engineering, ML engineering, generative AI, and MLOps/PromptOps.
* Help drive consistent technical practices across teams by documenting reusable patterns, onboarding others to shared components, and reinforcing alignment with McCarthy’s AI architecture, standards, and Responsible AI practices defined by the AI Architect.
**Qualifications*** 5–7\+ years of experience in AI/ML engineering or data science, including delivering end\-to\-end production AI solutions with minimal supervision, in a senior individual contributor capacity.
* Demonstrated ability to define implementation approaches, make tradeoffs at the solution level, and lead execution of complex AI initiatives across teams.
* Bachelor’s or Master’s degree in Computer Science, Data Science, Engineering, or related field (or equivalent practical experience).
* Deep understanding of data science and ML principles:
* + Feature analysis and engineering
	+ Model development and evaluation (supervised/unsupervised)
	+ Experiment design, offline/online testing, and performance tuning
* Strong background in data engineering:
* + ETL/ELT pipelines and orchestration
	+ Distributed processing frameworks (e.g., Spark)
	+ Cloud data platforms and storage patterns
	+ SQL and NoSQL data stores
	+ API\-based data integration
* Advanced proficiency in Python and core data/ML libraries (e.g., pandas, scikit\-learn, PyTorch, TensorFlow, NLP frameworks).
* Hands\-on experience building on cloud environments and AI/ML platforms (Azure, AWS, GCP, Palantir, Dataiku), including use of serverless and container\-based compute.
* Generative AI expertise:
* + Building, fine\-tuning, and deploying generative AI systems (e.g., LLMs, multimodal models)
	+ Practical experience with frameworks and platforms such as Hugging Face, OpenAI, LangChain, LlamaIndex, Textract, DocumentAI or similar
* Prompt Lifecycle Management:
* + Experience with prompt engineering, version control, evaluation frameworks, experimentation, optimization, and retirement of prompts at scale
* Responsible AI Governance:
* + Demonstrated ability to design and implement systems with transparency, explainability, fairness, human oversight, and regulatory/compliance needs in mind, especially for agentic AI scenarios, in alignment with organizational standards.
*McCarthy is proud to be an equal opportunity employer, including disability and protected veteran status.*</t>
        </is>
      </c>
    </row>
    <row r="131">
      <c r="A131" t="inlineStr">
        <is>
          <t>in-0fae09b774114c2b</t>
        </is>
      </c>
      <c r="B131" t="inlineStr">
        <is>
          <t>Senior Machine Learning Engineer, On-Device Optimization</t>
        </is>
      </c>
      <c r="C131" t="inlineStr">
        <is>
          <t>HP</t>
        </is>
      </c>
      <c r="D131" t="inlineStr">
        <is>
          <t>indeed</t>
        </is>
      </c>
      <c r="E131">
        <f>HYPERLINK("https://www.indeed.com/viewjob?jk=0fae09b774114c2b", "https://www.indeed.com/viewjob?jk=0fae09b774114c2b")</f>
        <v/>
      </c>
      <c r="F131">
        <f>HYPERLINK("https://hp.wd5.myworkdayjobs.com/en-US/ExternalCareerSite/job/Palo-Alto-California-United-States-of-America/Software-Engineer--AI-Systems_3152038-1", "https://hp.wd5.myworkdayjobs.com/en-US/ExternalCareerSite/job/Palo-Alto-California-United-States-of-America/Software-Engineer--AI-Systems_3152038-1")</f>
        <v/>
      </c>
      <c r="G131" t="inlineStr">
        <is>
          <t>Palo Alto, CA, US</t>
        </is>
      </c>
      <c r="H131" s="3" t="n">
        <v>46044</v>
      </c>
      <c r="I131" t="inlineStr">
        <is>
          <t>**Description \-**
**Who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 **About The Role**
As a Machine Learning Researcher, you’ll focus on advancing the state\-of\-the\-art in on\-device AI optimization. This role bridges applied research and product development, with a heavy focus on techniques like quantization, pruning, and efficient model representation. You’ll bring academic expertise into real\-world systems that power intelligent assistants running directly on HP laptops and edge devices.
### **What You Might Do**
* Research and implement model compression techniques including quantization, low\-rank factorization, distillation, and pruning
* Develop methods to deploy SOTA transformer and vision models on\-device under hardware constraints
* Lead investigations into hardware\-aware training strategies to optimize latency, throughput, and memory usage
* Collaborate with software engineers and system architects to integrate models into AI companion apps
* Evaluate and benchmark different frameworks and quantization strategies (e.g., AWQ, GPTQ, SmoothQuant)
### **Essential Qualifications**
* PhD in Computer Science, Electrical Engineering, or related field with focus on efficient ML, systems ML, or compiler design for ML
* 2\+ years of industry or applied research experience
* Strong background in model optimization for edge computing or mobile/embedded deployment
* Familiarity with PyTorch, ONNX, TensorRT, OpenVINO, QNN, or Llama.cpp
* Understanding of tradeoffs in asymmetric/symmetric quantization, calibration methods, and inference tuning
### **Preferred Skills**
* Experience publishing at top ML/Systems conferences (e.g., NeurIPS, ICML, MLSys)
* Familiarity with embedded ML for consumer devices
* GPU and system\-level profiling tools (e.g., CUDA, nvprof, perf)
* Contributions to open\-source ML optimization frameworks
The pay range for this role is **$150,000** to **$250,000**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Additional flexible paid vacation and sick leave ( US benefits overview )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li-4367468157</t>
        </is>
      </c>
      <c r="B2" t="inlineStr">
        <is>
          <t>Data/ML Engineer</t>
        </is>
      </c>
      <c r="C2" t="inlineStr">
        <is>
          <t>NuStar Technologies</t>
        </is>
      </c>
      <c r="D2" t="inlineStr">
        <is>
          <t>linkedin</t>
        </is>
      </c>
      <c r="E2" t="inlineStr"/>
      <c r="F2" t="inlineStr"/>
      <c r="G2" t="inlineStr">
        <is>
          <t>Salt Lake City, UT</t>
        </is>
      </c>
      <c r="H2" t="inlineStr"/>
      <c r="I2" t="inlineStr">
        <is>
          <t>Location : Remote
**Must Have Technical/Functional Skills**
* 7\-10 hands\-on experience Python with expertise in pandas, NumPy, scikit\-learn, matplotlib and seaborn.
* Strong understanding of ML evaluation metrics across classification and regression use cases.
* Experience with Databricks Notebooks and PySpark for handling large model outputs in parquet format.
* Experience in working with PDF generation libraries.
* Knowledge of MLFLow, model registries or production ML monitoring platforms.
**Roles \&amp; Responsibilities**
* Build and maintain reusable Python functions for calculating stand model performance metrics – develop
 And maintain the logic for generating executive summaries and recommendations.
* Design and implement a modular framework to generate monitoring reports in PDFs or dashboard formats.
* Standardize templates for model reporting including visualizations, commentary sections and KPI thresholds.
* Build automation scripts using orchestration to schedule monitoring runs at regular intervals and integrate
 with the storage system for output archival.
 Salary : 100000\-115000/per annum</t>
        </is>
      </c>
    </row>
    <row r="3">
      <c r="A3" t="inlineStr">
        <is>
          <t>li-4367436889</t>
        </is>
      </c>
      <c r="B3" t="inlineStr">
        <is>
          <t>Senior Data and Applied Scientist - Xbox</t>
        </is>
      </c>
      <c r="C3" t="inlineStr">
        <is>
          <t>Microsoft</t>
        </is>
      </c>
      <c r="D3" t="inlineStr">
        <is>
          <t>linkedin</t>
        </is>
      </c>
      <c r="E3" t="inlineStr"/>
      <c r="F3" t="inlineStr"/>
      <c r="G3" t="inlineStr">
        <is>
          <t>Redmond, WA</t>
        </is>
      </c>
      <c r="H3" t="inlineStr"/>
      <c r="I3" t="inlineStr">
        <is>
          <t>**Overview**
 Have you or someone you know ever wanted to work in gaming? How about building safe and inclusive communities? How about impacting experience for millions of customers? What if you could do all three of those things at the same time?
 Microsoft is committed to ensuring that we develop and deploy our AI technologies in ways that uphold our AI principles and warrant people’s trust.
 Here in Microsoft Gaming, we are on a mission to bring the joy and community of gaming to everyone on the planet. We deliver on that vision by putting players at the center, enabling you to play the games you want, with the people you want, anywhere you want.
 Gaming Player Services and Operations is at the heart of our ambition to reach billions of players across the globe, ensuring that every player feels included and engaged across Xbox. We do this through our commitment to driving operational excellence through innovation and ensuring player and partner delight across Microsoft Gaming.
 As a Senior Data and Applied Scientist, you will work with cross\-functional teams to apply state\-of\-the\-art AI that supports community moderation experiences for some of the largest online communities around the globe. You will also collaborate with other teams across Xbox, Microsoft, and the gaming industry to ensure the developed technology complies with legal and regulatory requirements, as well as best practices for online safety, privacy and responsible AI. You will be a peer mentor and role model on the team, fostering a culture of customer focus, collaboration, diversity, inclusion, and drive technical excellence and innovation.
 Within the Safety, Trust, \&amp; Responsibility team, our mission is to grow and protect global player communities. We believe that wherever you play, it should be a fun, safe, and inclusive environment—and it’s our job to provide the services, expertise, and support to make accessible, world\-class player experiences possible. We champion transparency, compliance, and the responsible use of AI, with trust at the core of how we operate. We embrace experimentation to reach more players, inform business decisions, and deepen our understanding of customer and player needs. Through a culture of innovation, collaboration, and continuous improvement, we support and challenge one another to perform at our best.
**Responsibilities**
* Advancing the state\-of\-the\-art artificial intelligence (AI) and natural language processing (NLP) algorithms, especially applying large language models and small language models, (LLM/SLM) to real\-world large\-scale content moderation systems.
* Developing tools, algorithms, fine\-tuning and optimizing AI models, and automated systems that help identify and moderate high\-risk behaviors and user generated text, image, video, audio and mixed media content on social networks
* Working on the full lifecycle of AI development including training data collection, feature engineering, model training, offline and online experimentation, and deployment and maintenance.
* Collaborating and working cross functionally, focusing on strategic business questions, and sharing learnings.
* Driving product and business innovations for measurable impact on moderation product effectiveness.
* Investigating new technologies, tools, and prototypes, the latest techniques to evolve AI capabilities of the product and organization.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Several years of industry experience across multiple AI modalities, such as multimodal models, Automatic Speech Recognition (ASR), Computer Vision, and Natural Language Processing (NLP).
* Hands\-on experience with advanced fine\-tuning methods, including self\-supervised, semi\-supervised, and supervised learning techniques.
* Hands\-on experience building or evaluating large language models and small language models, (LLM/SLM) applications in production, ensuring AI meets or exceeds targets for functionality, responsiveness and compliance.
* Product\-driven thinking.
* Experience designing and implementing processes/systems to measure and improve AI product performance throughout the product life cycle.
* Ability to work in a fast\-paced environment, manage multiple priorities, and adapt to changing requirements and deadlines
* Experience building large data sets using SQL, Spark, Snowflake etc., for model training, testing and/or deriving actionable insights.
* Strong communication skills to explain insights in an understandable way to non\-experts, in both formal presentations and informal group conversations.
* Committed to contributing to an inclusive workplace that focuses on respect, integrity, and personal accountability.
 This would be a great role for you if…
* You want to make gaming a safer and more positive experience for everyone.
* You are passionate about applying the latest in AI / ML technology to challenging problems involving text, images, video, audio and mixed\-media classification and moderation.
* You are a role model and active participant in creating a culture of inclusion and respect within the organization.
* You believe in making data\-driven decisions through telemetry and customer feedback.
* You have a passion for engineering excellence.
 \#gamingjobs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
      <c r="A4" t="inlineStr">
        <is>
          <t>li-4338956577</t>
        </is>
      </c>
      <c r="B4" t="inlineStr">
        <is>
          <t>Principal Applied Scientist, AWS Agentic AI Science</t>
        </is>
      </c>
      <c r="C4" t="inlineStr">
        <is>
          <t>Amazon Web Services (AWS)</t>
        </is>
      </c>
      <c r="D4" t="inlineStr">
        <is>
          <t>linkedin</t>
        </is>
      </c>
      <c r="E4" t="inlineStr"/>
      <c r="F4" t="inlineStr"/>
      <c r="G4" t="inlineStr">
        <is>
          <t>New York, United States</t>
        </is>
      </c>
      <c r="H4" t="inlineStr"/>
      <c r="I4" t="inlineStr">
        <is>
          <t>**Description**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A3132887</t>
        </is>
      </c>
    </row>
    <row r="5">
      <c r="A5" t="inlineStr">
        <is>
          <t>li-4339056367</t>
        </is>
      </c>
      <c r="B5" t="inlineStr">
        <is>
          <t>Principal Applied Scientist, AWS Agentic AI Science</t>
        </is>
      </c>
      <c r="C5" t="inlineStr">
        <is>
          <t>Amazon Web Services (AWS)</t>
        </is>
      </c>
      <c r="D5" t="inlineStr">
        <is>
          <t>linkedin</t>
        </is>
      </c>
      <c r="E5" t="inlineStr"/>
      <c r="F5" t="inlineStr"/>
      <c r="G5" t="inlineStr">
        <is>
          <t>Santa Clara, CA</t>
        </is>
      </c>
      <c r="H5" t="inlineStr"/>
      <c r="I5" t="inlineStr">
        <is>
          <t>**Description**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A3132887</t>
        </is>
      </c>
    </row>
    <row r="6">
      <c r="A6" t="inlineStr">
        <is>
          <t>li-4367470169</t>
        </is>
      </c>
      <c r="B6" t="inlineStr">
        <is>
          <t>AI ML Engineer</t>
        </is>
      </c>
      <c r="C6" t="inlineStr">
        <is>
          <t>NuStar Technologies</t>
        </is>
      </c>
      <c r="D6" t="inlineStr">
        <is>
          <t>linkedin</t>
        </is>
      </c>
      <c r="E6" t="inlineStr"/>
      <c r="F6" t="inlineStr"/>
      <c r="G6" t="inlineStr">
        <is>
          <t>Sunrise, FL</t>
        </is>
      </c>
      <c r="H6" t="inlineStr"/>
      <c r="I6" t="inlineStr">
        <is>
          <t>Job Title : AI ML Engineer
 Experience Required \- 8\+ Years
 Must Have Technical/Functional Skills
* Strong proficiency in Python and AI/ML fundamentals
* Hands\-on experience with LLMs, LangChain, LangGraph, and agent\-based workflows
* Prompt engineering, RAG pipelines, vector databases (FAISS, Pinecone, Chroma)
* Experience deploying models using APIs, microservices, Docker, and cloud platforms (AWS/GCP/Azure)
* Knowledge of model evaluation, fine\-tuning, and performance optimization
* Understanding of software engineering best practices, version control, and scalable system design
* Experience on Scalable and secure AI architectures, performance, cost, and latency optimization
 Roles \&amp; Responsibilities
 Design and implement AI/ML solutions from POC to production
 Translate business requirements into scalable AI architectures
 Own model lifecycle: training, deployment, monitoring, retraining
 Deploy models into production with CI/CD pipelines
 Monitor model performance, drift, latency, and cost
 Ensure reliability, scalability, and security of AI systems
 Mentor junior AI/ML engineers and review code/designs
 Lead technical discussions and architecture reviews
 Provide guidance on best practices and standards
 Work closely with Product Owners, Architects, and Program Managers
 Present technical solutions to business and customer stakeholders
 Support proposal development and technical estimations
 Ensure AI solutions meet enterprise governance, security, and compliance standards
 Salary Range \- $100000 to $125000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Convenience and Professional Growth Commuter Benefits and Certification and Training Reimbursement.
 Time Off Vacation, Time Off, Sick Leave and Holidays.
 Legal and Financial Assistance Legal Assistance, 401K Plan, Performance Bonus, College Fund, Student Loan Refinancing.</t>
        </is>
      </c>
    </row>
    <row r="7">
      <c r="A7" t="inlineStr">
        <is>
          <t>li-4367481395</t>
        </is>
      </c>
      <c r="B7" t="inlineStr">
        <is>
          <t>Machine Learning Engineer</t>
        </is>
      </c>
      <c r="C7" t="inlineStr">
        <is>
          <t>Red Hat</t>
        </is>
      </c>
      <c r="D7" t="inlineStr">
        <is>
          <t>linkedin</t>
        </is>
      </c>
      <c r="E7" t="inlineStr"/>
      <c r="F7" t="inlineStr"/>
      <c r="G7" t="inlineStr"/>
      <c r="H7" t="inlineStr"/>
      <c r="I7" t="inlineStr">
        <is>
          <t>**About The Company** 
 Red Hat is a globally recognized leader in enterprise open\-source software solutions, renowned for its community\-driven approach to delivering high\-performance Linux, cloud, container, and Kubernetes technologies. Operating across more than 40 countries, Red Hat fosters a flexible and inclusive work environment that encourages innovation, collaboration, and the sharing of ideas regardless of role or tenure. The company’s commitment to open source principles underpins its culture, promoting transparency, diversity, and continuous learning. Red Hat’s mission is to enable organizations worldwide to leverage open\-source technologies to solve complex problems and accelerate digital transformation.
**About The Role** 
 We are seeking a highly skilled Principal Machine Learning Engineer specializing in model optimization algorithms to join our Red Hat AI Inference team. In this pivotal role, you will work at the forefront of AI innovation, collaborating closely with product and research teams to develop state\-of\-the\-art deep learning software. Your primary responsibilities will include designing, developing, and testing advanced inference optimization algorithms for large language models (LLMs), managing deployment pipelines, and benchmarking various parallelization and quantization techniques to enhance performance across different hardware platforms. You will have the opportunity to contribute to open\-source projects such as vLLM, llm\-d, and LLM\-compressor, ensuring that enterprise\-grade solutions are scalable, efficient, and accessible. Additionally, you will stay abreast of the latest advancements in open\-source LLM architecture, hardware capabilities, and inference techniques, providing innovative solutions to complex technical challenges. This role offers a unique chance to influence the future of AI by productizing cutting\-edge research and fostering a culture of continuous learning and mentorship within the team.
**Qualifications** 
* Bachelor’s or Master’s degree in Computer Science, Computer Engineering, or a related field; a PhD in a machine learning domain is a strong plus.
* Proven experience with machine learning and deep learning fundamentals, particularly in LLM inference optimizations, computer vision, NLP, or reinforcement learning.
* Strong programming skills in Python, with experience in implementing machine learning solutions using tensor libraries such as PyTorch and NumPy.
* Solid understanding of mathematical software, linear algebra, and concepts such as gradients, probability, and graph theory.
* Experience developing and deploying research ideas and algorithms in a production environment.
* Knowledge of CPU and GPU hardware architectures and features relevant to AI inference performance.
* Excellent communication skills, capable of collaborating effectively with both technical and non\-technical team members.
**Responsibilities** 
* Design, develop, and rigorously test inference optimization algorithms for LLMs within vLLM and related projects.
* Create and manage scalable inference serving deployment pipelines to facilitate enterprise AI solutions.
* Benchmark, profile, and evaluate various parallelization, quantization, and sparsification approaches to optimize model performance on diverse hardware platforms.
* Participate in technical design discussions, providing innovative and practical solutions to complex challenges.
* Stay current with the latest research and advancements in open\-source LLM architectures, inference techniques, and hardware capabilities.
* Review code thoughtfully and promptly, ensuring high\-quality, maintainable, and efficient software development.
* Mentor junior engineers, fostering a culture of continuous improvement, innovation, and knowledge sharing.
* Collaborate with internal teams and external open\-source contributors to enhance vLLM and related projects.
**Benefits** 
* Comprehensive medical, dental, and vision coverage.
* Flexible Spending Account (FSA) for healthcare and dependent care expenses.
* Health Savings Account (HSA) options with high deductible medical plans.
* Retirement plan with employer matching contributions (401(k)).
* Paid time off, holidays, and paid parental leave for new parents.
* Leave benefits including disability, family medical leave, and military leave.
* Additional perks such as employee stock purchase plans, tuition reimbursement, transportation expense accounts, and employee assistance programs.
 Equal Opportunity
 Red Hat is committed to creating an inclusive workplace that values diversity and equal opportunity. We are proud to be an affirmative action employer and do not discriminate based on race, color, religion, sex, sexual orientation, gender identity, national origin, ancestry, citizenship, age, veteran status, genetic information, physical or mental disability, medical condition, marital status, or any other protected characteristic.</t>
        </is>
      </c>
    </row>
    <row r="8">
      <c r="A8" t="inlineStr">
        <is>
          <t>li-4367271363</t>
        </is>
      </c>
      <c r="B8" t="inlineStr">
        <is>
          <t>AI/ML Engineer</t>
        </is>
      </c>
      <c r="C8" t="inlineStr">
        <is>
          <t>Neural Earth</t>
        </is>
      </c>
      <c r="D8" t="inlineStr">
        <is>
          <t>linkedin</t>
        </is>
      </c>
      <c r="E8" t="inlineStr"/>
      <c r="F8" t="inlineStr"/>
      <c r="G8" t="inlineStr"/>
      <c r="H8" t="inlineStr"/>
      <c r="I8" t="inlineStr">
        <is>
          <t>**About the team** 
 At Neural, we are committed to building the future of AI. The world is changing, and we're at the forefront of that transformation. Our team is dedicated to creating innovative solutions that address the unique challenges of today's dynamic industries and unlock the potential of new markets. 
 We harness the power of Artificial Intelligence and Machine Learning to drive innovation and create solutions that shape the future of industries. We believe that the future of AI is in your hands. Our mission is to empower individuals and organizations to harness the power of AI to achieve their goals. Join us in shaping the future of AI today. 
**About the position** 
 Neural is seeking an experienced and versatile AI/ML \&amp; Foundational Model Engineer to design, train, fine\-tune, and deploy large\-scale language and multimodal models in support of geospatial, aerospace, and mission\-critical decision systems. You will work at the forefront of foundation model development, contributing to our internal LLM stack and supporting capabilities like anomaly detection, autonomous reasoning, and dynamic knowledge graphs.
 This is a hands\-on engineering role requiring deep knowledge of transformers, NLP, computer vision, and annotation/labelling workflows. You’ll collaborate closely with our product, data, and platform teams to build both generalized and domain\-adapted AI systems capable of processing text, code, imagery, and spatial data.
**Responsibilities** 
* Architect and train transformer\-based models, including BERT, GPT, or vision\-language hybrids.
* Build workflows for supervised, unsupervised, and reinforcement learning.
* Create high\-quality datasets with robust labeling/annotation pipelines.
* Fine\-tune foundation models for specific use cases (e.g., spatial data parsing, technical document summarization).
* Integrate trained models into production environments via scalable inference services.
* Monitor performance, perform evaluations, and iterate using continuous feedback loops.
* Publish internal documentation and contribute to research outputs where appropriate.
* Work with raster imagery, geospatial data, time series, video, and audio data
* Integrate databases, vector search, data lakes, and streaming data
* Build agentic AI applications for geospatial and edge computing
 ‍
**Qualification** 
* 3\-5\+ years of hands\-on experience in AI/ML engineering, with a strong portfolio of transformer or LLM\-related projects.
* Proficiency with PyTorch, TensorFlow, Hugging Face, LangChain, or equivalent frameworks.
* Experience with labeling tools (e.g., Label Studio, Snorkel) and dataset versioning.
* Strong background in LLM development and deployment.
* Understanding of model optimization techniques.
* Ability to work with cross\-functional teams on ML deployment.
* Experience with computer vision, segmentation, object recognition, and NLP a plus.
**Preferred** 
* Experience with geospatial or Earth observation data.
* Familiarity with RAG pipelines, vector databases, and multi\-agent LLM orchestration.
* Contributions to open\-source LLM projects or relevant academic publications.</t>
        </is>
      </c>
    </row>
    <row r="9">
      <c r="A9" t="inlineStr">
        <is>
          <t>li-4367473613</t>
        </is>
      </c>
      <c r="B9" t="inlineStr">
        <is>
          <t>Machine Learning Engineer</t>
        </is>
      </c>
      <c r="C9" t="inlineStr">
        <is>
          <t>The ReWork Group</t>
        </is>
      </c>
      <c r="D9" t="inlineStr">
        <is>
          <t>linkedin</t>
        </is>
      </c>
      <c r="E9" t="inlineStr"/>
      <c r="F9" t="inlineStr"/>
      <c r="G9" t="inlineStr"/>
      <c r="H9" t="inlineStr"/>
      <c r="I9" t="inlineStr">
        <is>
          <t>At The ReWork Group, we partner with high\-growth startups and forward\-thinking companies to build the future. Partnering with one of our growing Series\-A clients, we're on the search for a
 **Machine Learning Engineer** 
 who wants to transform advertising through the power of creators, data, and AI.
 With the rise of influencer marketing, they're hundreds (if not thousands) ways to make influencer accessibility as measurable, predictable, and scalable as traditional paid advertising. This is your opportunity to build it at scale.
 Currently building a next\-generation platform that connects influencers using AI\-powered matchmaking, campaign automation, and generative tools, this is the new standard in Influencer Marketing.
 If you're a Machine Learning Engineer who loves building, optimizing, and deploying ML systems at scale, and you're excited to push the boundaries of AI, this might be your next role.
**What You'll Bring** 
* Proven experience designing, building, and maintaining production\-grade, end\-to\-end machine learning systems.
* Deep expertise in ML algorithms, embeddings, retrieval systems, and evaluation methodologies.
* Hands\-on experience with LLMs, including fine\-tuning, inference optimization, and agent frameworks.
* Strong background in ML infrastructure: feature stores, vector databases, model serving, and real\-time inference pipelines.
* Advanced Python proficiency and experience with PyTorch, TensorFlow, FastAPI, NumPy, scikit\-learn, and data processing frameworks.
* Experience building scalable data pipelines (batch and streaming) using tools like Spark, Kafka, or equivalent technologies.
**Who You Are** 
* You write clean, reusable, well\-documented code for ML pipelines and distributed systems.
* You love experimenting with cutting\-edge AI frameworks, ML optimizations, and deployment techniques and you move quickly from ideas to working prototypes.
* You collaborate effectively with engineering, product, and data teams to ship ML\-powered features that enhance user experience.
* You stay curious about advances in ML infrastructure, LLM optimization, retrieval\-augmented systems, and real\-time personalization.</t>
        </is>
      </c>
    </row>
    <row r="10">
      <c r="A10" t="inlineStr">
        <is>
          <t>li-4367478435</t>
        </is>
      </c>
      <c r="B10" t="inlineStr">
        <is>
          <t>ML Engineer</t>
        </is>
      </c>
      <c r="C10" t="inlineStr">
        <is>
          <t>Lockheed Martin</t>
        </is>
      </c>
      <c r="D10" t="inlineStr">
        <is>
          <t>linkedin</t>
        </is>
      </c>
      <c r="E10" t="inlineStr"/>
      <c r="F10" t="inlineStr"/>
      <c r="G10" t="inlineStr"/>
      <c r="H10" t="inlineStr"/>
      <c r="I10" t="inlineStr">
        <is>
          <t>**About The Company**
 Lockheed Martin is a global aerospace, defense, and security company dedicated to delivering innovative solutions to complex challenges faced by its customers. Renowned for its technological leadership and commitment to excellence, the company operates across various sectors including aeronautics, space, missile defense, and cybersecurity. With a focus on research and development, Lockheed Martin continually pushes the boundaries of innovation to create cutting\-edge products and systems that enhance national security and advance scientific discovery. The company fosters a dynamic and inclusive work environment that encourages employees to think big, lead with integrity, and make a meaningful impact on the world.
**About The Role**
 Join the Lockheed Martin Artificial Intelligence Center (LAIC) as a key member of the Applied AI team. In this role, you will be instrumental in developing, monitoring, and enhancing artificial intelligence capabilities focused on radar systems engineering, signal processing, and data science. Your work will directly contribute to transforming complex operational challenges into innovative solutions through the deployment of machine learning and AI technologies. You will be responsible for maintaining existing AI systems, developing new features to improve system performance, and analyzing customer data to optimize models. The position offers the opportunity to work at major Lockheed Martin facilities, including Moorestown, Valley Forge, Colorado, and Orlando, with flexible scheduling options to support work\-life balance. This role is ideal for a motivated professional passionate about advancing AI applications in defense and aerospace sectors, with a focus on rapid iteration and deployment of mission\-critical systems.
**Qualifications**
* Bachelor's Degree in Engineering, Computer Science, or a related field
* Experience with large dataset management and machine learning techniques
* Proficiency in Python and relevant libraries such as NumPy and Pandas
* Knowledge of MLOps pipelines and modern ML deployment practices
* U.S. citizenship and ability to obtain a security clearance (Secret level)
* Strong technical foundation in ML model development and deployment
* Excellent interpersonal and communication skills
* Self\-motivated, proactive, with effective time management skills
* Ability to work on\-site at designated Lockheed Martin facilities
 Preferred additional skills include a Master’s Degree in related disciplines, experience with DevOps tools like Docker and Git, familiarity with databases, computer vision, compiled languages, Linux application development, network/messaging protocols, high\-performance computing, and radar systems expertise.
**Responsibilities**
* Monitor and maintain operational AI systems to ensure peak performance
* Develop new AI capabilities to enhance machine learning monitoring and system updates
* Analyze customer and operational data to assess and improve ML model performance
* Collaborate with cross\-functional teams to address evolving technical and operational requirements
* Implement and refine deployment pipelines using modern MLOps practices
* Work on\-site at major Lockheed Martin facilities, with flexibility outside of mission\-critical hours
* Participate in continuous learning and development initiatives to stay current with AI advancements
**Benefits**
* Comprehensive health insurance including medical, dental, and vision coverage
* Life insurance and disability benefits (short\-term and long\-term)
* 401(k) retirement plan with company matching contributions
* Flexible Spending Accounts (FSA) and Employee Assistance Programs (EAP)
* Educational assistance and parental leave programs
* Paid time off, holidays, and leave policies aligned with state regulations
* Opportunities for remote work and flexible scheduling options
* Incentive plans and career development support
 Equal Opportunity
 Lockheed Martin is an equal opportunity employer. Qualified candidates will be considered without regard to race, color, religion, sex, sexual orientation, gender identity, national origin, age, disability, or any other protected characteristic. The company is committed to fostering a diverse and inclusive workplace where all employees can thrive and contribute to the organization’s success.</t>
        </is>
      </c>
    </row>
    <row r="11">
      <c r="A11" t="inlineStr">
        <is>
          <t>li-4367470480</t>
        </is>
      </c>
      <c r="B11" t="inlineStr">
        <is>
          <t>Machine Learning Engineer</t>
        </is>
      </c>
      <c r="C11" t="inlineStr">
        <is>
          <t>Goliath Partners</t>
        </is>
      </c>
      <c r="D11" t="inlineStr">
        <is>
          <t>linkedin</t>
        </is>
      </c>
      <c r="E11" t="inlineStr"/>
      <c r="F11" t="inlineStr"/>
      <c r="G11" t="inlineStr"/>
      <c r="H11" t="inlineStr"/>
      <c r="I11" t="inlineStr">
        <is>
          <t>This is a rare opportunity to sit at the intersection of research, high\-performance computing, and large\-scale ML infrastructure, pushing the boundaries of ML applied to financial markets.
 You wouldn’t be building models for one team, you’d be building the core deep learning library and infrastructure that powers the entire research engine of the firm.
 What you’ll do
* Design, build, and evolve an internal deep learning library used firm\-wide
* Partner directly with quantitative researchers to translate research needs into reusable ML tooling
* Work alongside HPC and systems experts to optimize large training workflows for speed and cost efficiency
* Integrate the best of open\-source ML tooling with sophisticated in\-house infrastructure
* Stay on top of cutting\-edge advances in PyTorch, distributed training, CUDA optimization, and bring them into production internally
 What makes this different
* Your work directly accelerates dozens of research teams rather than a single product
* Real scale: large models, serious compute, and complex distributed workloads
* A highly technical environment where ML engineering is treated as a first\-class research enabler
* Direct exposure to some of the best quantitative researchers and systems engineers in the industry
 Background they’re looking for
* 2\+ years of ML engineering / research engineering experience
* Strong Python plus CUDA and/or C\+\+
* Experience scaling distributed deep learning workflows (PyTorch or similar)
* Experience building ML tooling, libraries, or infrastructure rather than just training models
* Interest in high\-performance systems and large\-scale compute environments
 Base: 250,000\-350,000, total comp into the 7 figures</t>
        </is>
      </c>
    </row>
    <row r="12">
      <c r="A12" t="inlineStr">
        <is>
          <t>li-4367446852</t>
        </is>
      </c>
      <c r="B12" t="inlineStr">
        <is>
          <t>Machine Learning Engineer</t>
        </is>
      </c>
      <c r="C12" t="inlineStr">
        <is>
          <t>James Search Group</t>
        </is>
      </c>
      <c r="D12" t="inlineStr">
        <is>
          <t>linkedin</t>
        </is>
      </c>
      <c r="E12" t="inlineStr"/>
      <c r="F12" t="inlineStr"/>
      <c r="G12" t="inlineStr">
        <is>
          <t>New York, NY</t>
        </is>
      </c>
      <c r="H12" t="inlineStr"/>
      <c r="I12" t="inlineStr">
        <is>
          <t>**AI/ML Engineer** 
**Location:** 
 New York, NY
**Compensation:** 
 $135,000 – $175,000 base \+ bonus \+ full benefits, (401(k), and more)
**Industry:** 
 Global P\&amp;C Insurance
**About the role and the company.** 
 James Search Group is working closely with a top\-tier global property \&amp; casualty insurance carrier to identify an
 **AI/ML Engineer** 
 to join their enterprise Data and Artificial Intelligence division. This team is driving innovation across the business by developing and scaling AI capabilities that unlock new value and improve decision\-making across underwriting, claims, and customer engagement.
 As an AI/ML Engineer, you'll collaborate with senior team members to build, refine, and deploy predictive models and intelligent systems. The ideal candidate is skilled in analytics, curious by nature, and passionate about transforming complex data into practical solutions that deliver measurable business impact.
**Key Responsibilities:** 
* Support the development and deployment of AI/ML models—including classification, forecasting, uplift and propensity modeling, and foundational model tuning.
* Collaborate with cross\-functional teams to identify use cases where data science can enhance operational efficiency and business performance.
* Partner with business, IT, and strategy teams to ensure AI models are scalable, impactful, and aligned with organizational goals.
* Communicate analytical findings clearly to stakeholders with varying levels of technical knowledge.
**Required Qualifications:** 
* Master’s degree in Data Science, Statistics, Mathematics, Computer Science, or a related quantitative discipline; Ph.D. a plus.
* Minimum of 2 years’ experience applying advanced analytics methods (e.g., decision trees, logistic regression, neural networks, random forests).
* Proficiency in R or Python for analytics and model development, including work with both structured and unstructured data.
* Proven ability to manage and integrate large, complex datasets and an understanding of end\-to\-end data modeling processes.
* Strong written and verbal communication skills with the ability to connect technical outputs to business strategy.
**Preferred Qualifications:** 
* Internship or project experience in machine learning, AI engineering, or related roles—especially in insurance or financial services.
* Familiarity with actuarial concepts or insurance\-specific data models.
* Enthusiastic about continued learning in AI/ML and staying current with new tools and methodologies.
* Comfortable in a collaborative, fast\-paced, and agile working environment.
 This is a unique opportunity to grow your career with a highly respected organization investing in next\-generation analytics.
**Apply today** 
 to help reshape the future of insurance through data and AI innovation.</t>
        </is>
      </c>
    </row>
    <row r="13">
      <c r="A13" t="inlineStr">
        <is>
          <t>li-4367455820</t>
        </is>
      </c>
      <c r="B13" t="inlineStr">
        <is>
          <t>Machine Learning Engineer</t>
        </is>
      </c>
      <c r="C13" t="inlineStr">
        <is>
          <t>Protech Talent</t>
        </is>
      </c>
      <c r="D13" t="inlineStr">
        <is>
          <t>linkedin</t>
        </is>
      </c>
      <c r="E13" t="inlineStr"/>
      <c r="F13" t="inlineStr"/>
      <c r="G13" t="inlineStr"/>
      <c r="H13" t="inlineStr"/>
      <c r="I13" t="inlineStr">
        <is>
          <t>**💼 Machine Learning Engineer** 
**Full\-time \| Hybrid \| San Francisco** 
**Compensation: $200K – $400K \+ Competitive Equity** 
**🚀 About the Role:** 
 We’re looking for an
 **Applied AI Engineer** 
 to help turn cutting\-edge machine\-learning research into production\-grade, revenue\-driving products.
 You’ll own projects end\-to\-end — from model selection and data pipelines to deployment, monitoring, and iteration in live environments. Expect full autonomy, high accountability, and constant cross\-functional collaboration with product and operations teams.
**💼 About the Company:** 
 This company is a fast\-growing AI\-driven healthcare startup on a mission to make life\-changing therapies accessible faster and more affordably. They’re combining first\-party healthcare data with cutting\-edge AI to streamline one of the most complex and outdated systems in the world — from insurance to drug access to patient support.
 Backed by top\-tier investors (including funds behind companies like Stripe, OpenAI, and Airbnb), they’re scaling rapidly and have already achieved strong product\-market fit. The team is composed of exceptional engineers, operators, and scientists from top startups and research labs.
 The culture is
 **intense, collaborative, and ownership\-driven** 
 — ideal for builders who thrive in zero\-to\-one environments and want to see their work make a measurable impact on real lives.
**What you’ll do:** 
* Build and productionize ML and LLM\-based systems that power automation, prediction, and intelligent search.
* Combine techniques like data extraction, document classification, workflow orchestration, and multimodal modeling.
* Lead zero\-to\-one experiments and deliver models that ship to real customers.
* Collaborate directly with business and engineering stakeholders to scope, design, and deploy AI\-driven features.
* Evaluate new methods, fine\-tune models, and continuously improve reliability, latency, and accuracy.
* Build internal tools and pipelines that accelerate future AI development.
 This is a Hybrid
 **, high\-ownership** 
 position for builders who thrive in fast\-moving, product\-driven environments.
**🧠 What We’re Looking For:** 
**Experience** 
* 1\+ years as an AI / ML Engineer, Applied Scientist, or ML Research Engineer
* Hands\-on experience building and deploying ML systems in production (not research\-only)
* Background at a
 **top\-tier tech or early\-stage startup** 
 that has shipped AI\-powered products
* End\-to\-end project ownership — data, training, infra, deployment, iteration
**Technical Skills** 
* Proficiency with modern ML frameworks (PyTorch, TensorFlow, Transformers, LLM APIs)
* Experience fine\-tuning, prompting, or orchestrating large\-language\-model systems
* Strong foundation in full\-stack development (Python \+ React / TypeScript / PostgreSQL / Kubernetes)
* Comfortable designing scalable data and inference pipelines on cloud (AWS preferred)
**Soft Skills** 
* Low\-ego, high\-ownership mindset
* Strong written \+ verbal communication and cross\-team collaboration
* Bias toward speed, clarity, and tangible results
**Nice to Have** 
* Founder or early\-startup experience
* Pear Fellow / Neo Scholar background
* Degree in CS or related field from a top program (or equivalent practical excellence)
**💡 Why Join:** 
* **Product\-market fit \+ hypergrowth:** 
 the platform already serves thousands of users and is scaling fast.
* **AI\-first mission:** 
 core business outcomes are directly driven by applied ML and generative AI.
* **Top\-tier funding \+ team:** 
 backed by leading investors; small, elite engineering org where impact compounds quickly.
* **High autonomy \+ ownership:** 
 you’ll shape not just the product but the AI infrastructure
**🧩 Interview Process:** 
* **Initial Screen (30 min):** 
 Background, motivation, and alignment with company mission.
* **Technical Interview (45 min):** 
 Coding\-focused (Python), similar to a Leetcode\-style exercise.
* **Project Walkthrough (45 min):** 
 Deep dive into a previous ML or AI system you’ve built.
* **Systems Design (45 min):** 
 Evaluate how you approach scaling, deployment, and architecture.
* **Onsite / Final Round (Half Day):** 
 Collaborative project with the team to assess real\-world problem solving and communication.</t>
        </is>
      </c>
    </row>
    <row r="14">
      <c r="A14" t="inlineStr">
        <is>
          <t>li-4367475542</t>
        </is>
      </c>
      <c r="B14" t="inlineStr">
        <is>
          <t>Robotics and AI Engineer</t>
        </is>
      </c>
      <c r="C14" t="inlineStr">
        <is>
          <t>Unify Technologies</t>
        </is>
      </c>
      <c r="D14" t="inlineStr">
        <is>
          <t>linkedin</t>
        </is>
      </c>
      <c r="E14" t="inlineStr"/>
      <c r="F14" t="inlineStr"/>
      <c r="G14" t="inlineStr">
        <is>
          <t>Redmond, WA</t>
        </is>
      </c>
      <c r="H14" t="inlineStr"/>
      <c r="I14" t="inlineStr">
        <is>
          <t>Robotics and AI Engineer with a strong background in mechatronics, robotics systems design, and artificial intelligence. Contribute to the development, implementation, and optimization of intelligent robotic systems for industrial, research, or consumer applications.
**Key Responsibilities**
* Design and develop robotic systems, including hardware and software integration.
* Develop control systems for autonomous or semi\-autonomous robotic platforms.
* Implement AI algorithms for perception, decision\-making, and task execution.
* Collaborate on the integration of sensors, actuators, and mechatronic systems.
* Test, debug, and optimize robotic systems for performance and reliability.
* Stay updated on advancements in robotics, AI, and mechatronics.
**Qualifications**
* Minimum 5years experience with Bachelor’s or Master’s degree in Robotics, Mechatronics, or Mechanical Engineering.
* Experience in robotic systems design, including kinematics, dynamics, and control.
* Proficiency in programming languages (e.g., Python, C\+\+, ROS).
* Familiarity with AI techniques such as machine learning, computer vision, and neural networks.
* Hands\-on experience with hardware components (motors, controllers, sensors).
* Strong problem\-solving and analytical skills.
**Preferred Skills**
**Recent experience in ME design and prototyping**
* Experience with simulation tools (e.g., Gazebo, MATLAB/Simulink).
* Knowledge of IoT integration for robotics systems.
* Ability to work on interdisciplinary teams.
 Location
 Washington
 5 Days work from Office
 Robotics,Design \&amp; prototyping,hardware components</t>
        </is>
      </c>
    </row>
    <row r="15">
      <c r="A15" t="inlineStr">
        <is>
          <t>li-4367238852</t>
        </is>
      </c>
      <c r="B15" t="inlineStr">
        <is>
          <t>Machine Learning Engineer</t>
        </is>
      </c>
      <c r="C15" t="inlineStr">
        <is>
          <t>TalentBridge</t>
        </is>
      </c>
      <c r="D15" t="inlineStr">
        <is>
          <t>linkedin</t>
        </is>
      </c>
      <c r="E15" t="inlineStr"/>
      <c r="F15" t="inlineStr"/>
      <c r="G15" t="inlineStr"/>
      <c r="H15" t="inlineStr"/>
      <c r="I15" t="inlineStr">
        <is>
          <t>**Role: Senior Machine Learning Engineer** 
**Location: Remote** 
**Type: Fulltime** 
**Role Summary** 
* The Machine Learning Engineer is responsible for implementing, deploying, and maintaining machine learning models in a cloud\-based ML platform. This role serves as a subject matter expert in Machine Learning Operations (MLOps), bridging the gap between data science and production\-grade systems. The engineer will help shape and guide ML solutions within an evolving technology stack and will have the autonomy to recommend and implement best\-practice approaches.
**Required Education \&amp; Experience** 
* Bachelor’s degree (Master’s preferred) in Statistics, Mathematics, Computer Science, or a related quantitative field.
* 7\+ years of experience in data science or a related discipline.
* 3\+ years of hands\-on experience with MLOps and production ML systems.
* Proven experience deploying and scaling machine learning models in production environments.
* Strong programming skills in Python and cloud automation/scripting.
* Experience with big data platforms, real\-time/streaming data, and distributed or cluster computing.
* Hands\-on knowledge of cloud platforms, particularly AWS.
**Key Responsibilities** 
* Implement and operationalize data science models in a cloud\-based ML platform (e.g., AWS SageMaker).
* Design and maintain systems to monitor model performance, reliability, and drift in production.
* Act as the MLOps subject matter expert, advising data scientists on model design and deployment considerations.
* Collaborate with data engineering teams to build and maintain data pipelines from enterprise data sources (e.g., Snowflake, time\-series systems).
* Partner with architecture teams to ensure compute, networking, and endpoint requirements are incorporated into ML solutions.
* Stay current with emerging machine learning techniques, tools, and best practices, and apply them where appropriate.
* Work effectively within a geographically distributed team, communicating priorities and project status clearly.
* Design solutions that balance performance, scalability, and cost to meet business objectives.</t>
        </is>
      </c>
    </row>
    <row r="16">
      <c r="A16" t="inlineStr">
        <is>
          <t>li-4367253729</t>
        </is>
      </c>
      <c r="B16" t="inlineStr">
        <is>
          <t>Machine Learning Engineer</t>
        </is>
      </c>
      <c r="C16" t="inlineStr">
        <is>
          <t>Rise Technical</t>
        </is>
      </c>
      <c r="D16" t="inlineStr">
        <is>
          <t>linkedin</t>
        </is>
      </c>
      <c r="E16" t="inlineStr"/>
      <c r="F16" t="inlineStr"/>
      <c r="G16" t="inlineStr"/>
      <c r="H16" t="inlineStr"/>
      <c r="I16" t="inlineStr">
        <is>
          <t>**Machine Learning Engineer (L4 Autonomous trucking)** 
**$180,000 \- $300,000 \+ Stock Options \+ Health benefits \+ PTO \+ Startup Environment** 
**United States (Remote)** 
 Are you a Machine Learning Engineer looking to showcase your expertise working on cutting\-edge technology in a fast\-paced and dynamic start\-up environment?
 On offer is the chance to be a technical lead, at a L4 autonomous trucking start\-up with no politics and little red tape, working on some of the industry’s most innovative technology.
 This company is at the forefront of innovation in the autonomous trucking industry. You will have the chance to work on state\-of\-the\-art technology alongside some of the brightest engineers in the industry.
 You will be responsible for utilizing your machine learning expertise, in a fast\-paced dynamic start\-up environment where you will have autonomy over your work and see enhanced career progression.
 This role would suit a Machine Learning Engineer looking to showcase their skills at an industry leading autonomous trucking start\-up.
**The Role:** 
 \*Remote position at a groundbreaking L4 autonomous trucking start\-up
 \*Explore and propose new ideas using your knowledge and experience in deep learning, neural networks and large foundation models
 \*Work on the entire life cycle of machine learning projects from data analysis, model experimentations to performance metrics verifications
 \*Collaborate with the product, simulation and other sibling autonomous driving algorithm teams to extend machine learning technology to all components
**The Candidate:** 
 \*Deep learning background
 \*Perception experience and/or multi model/3D vision experience in image or video
**Reference Number: BBBH267646** 
 To apply for this role or for to be considered for further roles, please click "Apply Now” or contact Tiernan Conlon at Rise Technical Recruitment.
 Rise Technical Recruitment Ltd acts as an employment agency for permanent roles and an employment business for temporary roles.
 The salary advertised is the bracket available for this position. The actual salary paid will be dependent on your level of experience, qualifications and skill set. We are an equal opportunities employer and welcome applications from all suitable candidates.</t>
        </is>
      </c>
    </row>
    <row r="17">
      <c r="A17" t="inlineStr">
        <is>
          <t>li-4359476900</t>
        </is>
      </c>
      <c r="B17" t="inlineStr">
        <is>
          <t>Machine Learning Engineer</t>
        </is>
      </c>
      <c r="C17" t="inlineStr">
        <is>
          <t>Monarch Recruiters</t>
        </is>
      </c>
      <c r="D17" t="inlineStr">
        <is>
          <t>linkedin</t>
        </is>
      </c>
      <c r="E17" t="inlineStr"/>
      <c r="F17" t="inlineStr"/>
      <c r="G17" t="inlineStr"/>
      <c r="H17" t="inlineStr"/>
      <c r="I17" t="inlineStr">
        <is>
          <t>Our Client is building the taste layer for AI \- teaching models what
 *"great"* 
 feels like across subjective domains. They lead research with creative experts and AI labs to develop the methods, data, and evaluations that teach models to understand quality, style, and emotion.
 As a Machine Learning Research Engineer, you’ll drive research that teaches models across domains such as model personality and behavior, UI design, multimodal generation, and writing tone.
**Qualifications** 
* Degree in relevant Computer Science, Machine Learning, or Computer Engineering
* 2\+ years of work experience in post\- training/ML research/ML engineering
* Experience in ML research, Applied ML, or ML research engineering, especially in post\-training/fine\-tuning large models (SFT, RLHF, DPO).
* Experience with LLM/diffusion models
* Experience working at or with a data provider for model training
* Proficiency in Python and PyTorch for software engineering
**What You'll Do** 
* Train reward models, classifiers, and verifiers for subjective domains (e.g., design, writing, visual style).
* Develop frontier evaluations and benchmarks for subjective domains.
* Run post\-training experiments on open\-source models to test new data formats and pos training techniques.
* Collaborate with AI labs and creative experts to design pilots and experiments around taste.
* Own the end\-to\-end pipeline.
* Publish blogs and whitepapers.
**What Sets You Apart** 
* Thinks like a researcher, moves like an engineer
* Creative, intellectually curious, and passionate about art, fashion, or writing
* 0 to 1 startup experience or startup mindset (move quickly, iterative research cycles)</t>
        </is>
      </c>
    </row>
    <row r="18">
      <c r="A18" t="inlineStr">
        <is>
          <t>li-4367233553</t>
        </is>
      </c>
      <c r="B18" t="inlineStr">
        <is>
          <t>Sr. AI Engineer</t>
        </is>
      </c>
      <c r="C18" t="inlineStr">
        <is>
          <t>Qualcomm</t>
        </is>
      </c>
      <c r="D18" t="inlineStr">
        <is>
          <t>linkedin</t>
        </is>
      </c>
      <c r="E18" t="inlineStr"/>
      <c r="F18" t="inlineStr"/>
      <c r="G18" t="inlineStr">
        <is>
          <t>Santa Clara, CA</t>
        </is>
      </c>
      <c r="H18" t="inlineStr"/>
      <c r="I18" t="inlineStr">
        <is>
          <t>**Company**
 Qualcomm Technologies, Inc.
**Job Area**
 Engineering Group, Engineering Group \&gt; Software Engineering
**General Summary**
 We are looking for a skilled and motivated AI Model Training Engineer to join our team. In this role, you will be responsible for designing, training, fine\-tuning, and optimizing machine learning models for a range of applications. You’ll work closely with data scientists, researchers, and infrastructure engineers to develop robust, scalable models that meet performance, efficiency, and ethical standards.
**Key Responsibilities**
* Build and train machine learning and deep learning models using structured and unstructured datasets.
* Fine\-tune pre\-trained models (e.g., object detection, classification, LLMs, vision transformers) for specific downstream tasks.
* Design training pipelines with reproducibility, efficiency, and scalability in mind.
* Conduct hyperparameter optimization, model evaluation, and performance tuning.
* Collaborate with data engineering teams to ensure high\-quality, well\-labeled, and balanced datasets.
* Monitor training processes, identify failure modes, and address overfitting, underfitting, or bias.
* Keep up to date with the latest research and integrate state\-of\-the\-art techniques into training workflows.
* Document models, training strategies, and experiments for internal knowledge sharing and compliance.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Bachelor’s or Master’s degree in Computer Science, Machine Learning, Data Science, or related field.
* Solid experience training machine learning models with frameworks like PyTorch, onnxruntime or Hugging Face Transformers.
* Proficient in Python and familiar with ML libraries such as PyTorch, scikit\-learn, and NumPy.
* Understanding of training best practices, including dataset management, batching, checkpointing, and loss functions.
* Experience with GPU/TPU\-based training environments and distributed training frameworks (e.g., PyTorch, onnxruntime).
* Experience training large\-scale models (e.g., LLMs, multimodal models) or using cloud\-based ML platforms.
* Knowledge of MLOps practices including CI/CD, containerization, and model versioning.
* Background in performance profiling and memory optimization for training workflows.
* Exposure to ethical AI practices, including fairness, explainability, and model auditing.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$129,300\.00 \- $193,900\.00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9">
      <c r="A19" t="inlineStr">
        <is>
          <t>li-4367254857</t>
        </is>
      </c>
      <c r="B19" t="inlineStr">
        <is>
          <t>AI/ML Engineer Skill Level 1</t>
        </is>
      </c>
      <c r="C19" t="inlineStr">
        <is>
          <t>Onyx Point, LLC.</t>
        </is>
      </c>
      <c r="D19" t="inlineStr">
        <is>
          <t>linkedin</t>
        </is>
      </c>
      <c r="E19" t="inlineStr"/>
      <c r="F19" t="inlineStr"/>
      <c r="G19" t="inlineStr">
        <is>
          <t>Jessup, MD</t>
        </is>
      </c>
      <c r="H19" t="inlineStr"/>
      <c r="I19" t="inlineStr">
        <is>
          <t>**TO BE CONSIDERED FOR THIS POSITION YOU MUST CURRENTLY HAVE AN ACTIVE TS/SCI WITH POLYGRAPH SECURITY CLEARANCE WITH THE FEDERAL GOVERNMENT. (U.S. CITIZENSHIP REQUIRED).**
**Description**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Seeking an AI/ML Level 1 Engineer, responsible for building, training, fine\-tuning, and evaluating advanced language models. The ideal candidate will have hands\-on experience with state\-of\-the\-art machine learning techniques, specifically for natural language processing (NLP), and will also have a strong understanding of full\-stack development. This person will work across the model development lifecycle and collaborate with cross\-functional teams to deliver high\-impact solutions.
**Key Responsibilities**
* Knowledge and experience of Language models is required
* Specific experience with Marian and multi\-lingual model development
* Knowledge of Computation Linguistics is a plus
* Experience with Open\-Source model libraries, Deep Learning Containers (DLC), GPU technologies and optimization / tuning
* Strong Java, C, C\+\+ programming experience
* Willingness to support occasional on\-call duties is a plus
* Model Development \&amp; Training:
* Build, train, and fine\-tune machine learning models, particularly language models
* Apply best practices in model training, tuning, and optimization.
* Design and implement solutions for model performance improvement.
* Evaluation \&amp; Testing:
* Conduct rigorous model evaluation, including performance analysis and benchmarking.
* Perform error analysis, debugging, and model diagnostics to ensure quality and reliability.
* Model Deployment \&amp; Integration:
* Work with cloud\-based AI platforms (especially AWS Sagemaker) to deploy and scale models.
* Integrate machine learning models into production environments, ensuring seamless integration with other systems.
* Full\-Stack Engineering:
* Contribute to the development and maintenance of the full stack for AI model\-based applications (front\-end and back\-end).
* Collaborate with software engineers to build scalable and efficient deployment pipelines.
* Collaboration \&amp; Reporting:
* Work closely with data scientists, product teams, and engineers to translate business requirements into technical solutions.
* Document workflows, model design processes, and technical specifications.
**Key Qualifications**
* Technical Skills:
* Strong proficiency in AI/ML frameworks such as TensorFlow, PyTorch, or Hugging Face.
* Expertise in model training, evaluation, and deployment.
* Hands\-on experience with AWS tools like SageMaker, Lambda, EC2, and S3\.
* Experience in developing full\-stack software applications (JavaScript, Python, Java, etc.).
* Solid understanding of data structures, algorithms, and system design.
* Experience \&amp; Background:
* Extensive experience in machine learning model development, including natural language processing (NLP).
* Experience with model evaluation, optimization, and performance monitoring.
* Proven experience in software engineering with strong coding skills.
* Experience working in a government or defense\-related environment is highly preferred.
* Additional Skills:
* Experience with model versioning and management using tools such as MLFlow or Git.
* Familiarity with containerization tools (i.e. Kubernetes).
* Strong problem\-solving and analytical skills.
* Excellent communication and collaboration abilities.
**Nice To Have**
* Experience with secure data handling and compliance requirements
* Experience working with Large Language Models (LLMs)
 Polygraph must be within 7 years.
 2 years experience in applied machine learning in programs and contracts of similar scope, type, and complexity is required. A B.S. degree in advanced math (e.g., calculus, linear algebra or Bayesian statistics), computer science or related STEM discipline from an accredited college or university is required. 3 years of additional machine learning experience on projects with similar machine learning processes may be substituted for a bachelor’s degree.
**Compensation**
 We are committed to providing fair and competitive compensation. The salary range for our positions vary depending on accepted contractual position skill level. These salaries fall within the range of $78,000 to $275,000 per year. This range reflects the compensation offered across the locations where we hire. The exact salary will be determined based on the candidate's work location, specific role, skill set, and level of expertise.
**Benefits**
 We offer a comprehensive benefits package, including:
* Health Coverage: Medical, dental, and vision insurance
* Additional Insurance: Basic Life/AD\&amp;D, Voluntary Life/AD\&amp;D, Short and Long\-Term Disability, Accident, Critical Illness, Hospitalization Indemnity, and Pet Insurance
* Retirement Plan: 401(k) plan with company match
* Paid Time Off: Generous PTO, paid holidays, parental leave, and more
* Wellness: Access to wellness programs and mental health support
* Professional Development: Opportunities for growth, including tuition reimbursement
**Additional Perks:**
* Flexible work arrangements, including remote work options
* Flexible Spending Accounts (FSAs)
* Employee referral programs
* Bonus opportunities
* Technology allowance
* A diverse, inclusive, and supportive workplace culture</t>
        </is>
      </c>
    </row>
    <row r="20">
      <c r="A20" t="inlineStr">
        <is>
          <t>li-4367460798</t>
        </is>
      </c>
      <c r="B20" t="inlineStr">
        <is>
          <t>Machine Learning Engineer (Python/SQL/API)</t>
        </is>
      </c>
      <c r="C20" t="inlineStr">
        <is>
          <t>Yoh, A Day &amp; Zimmermann Company</t>
        </is>
      </c>
      <c r="D20" t="inlineStr">
        <is>
          <t>linkedin</t>
        </is>
      </c>
      <c r="E20" t="inlineStr"/>
      <c r="F20" t="inlineStr"/>
      <c r="G20" t="inlineStr">
        <is>
          <t>Addison, TX</t>
        </is>
      </c>
      <c r="H20" t="inlineStr"/>
      <c r="I20" t="inlineStr">
        <is>
          <t>Machine Learning Software Engineer (Python/SQL/API)
 Direct Hire
 100% Remote
 Job Description:
 The Machine Learning Engineer will be responsible for building machine learning models, data pipelines and python\-based backend APIs for our credit risk and fraud prevention decision engine. The ideal candidate has a high level of intellectual curiosity with a desire to understand the business.
**Responsibilities:**
* Continuous development of our decision engine backend including implementation of new models and business rules
* Build data pipelines and python\-based ETL tools for getting, processing, and delivering data
* Create and train new ML models and algorithms for credit risk underwriting and fraud prevention
* Perform data analysis on financial portfolio data regarding efficacy of business rules and models
* Develop data models and schemas in our database that enable performant, intuitive analysis and production grade performance
* Identify, design and implement internal process improvements including re\-designing infrastructure for greater scalability
* Research new opportunities for using Large Language Models on our internal data
* Work with stakeholders including Tech, Product, Operations, Marketing and executive teams and assist them with data\-related technical issues
* Become an expert on all aspects of our credit risk and underwriting infrastructure
**Requirements**
* Bachelor’s or Master’s degree in Computer Science, Engineering or related technical degree
* 2\+ years of work experience in software/data engineering
* 2\+ years of work experience building production ready Machine Learning algorithms/models
* 3\+ years of work experience overall
* Experience with Cloud technologies required (AWS Preferred)
* Experience working with NLP, text\-mining, LLMs preferred
* Experience with the entire data science pipeline. (EDA, Modelling, Implementation, etc.)
* Python and SQL proficiency
* The ability to communicate complex issues or ideas to broader audiences
* A highly motivated self\-starter with the ability to work efficiently with minimal supervision
**Estimated Min Rate** 
 : $105,000\.00
**Estimated Max Rate** 
 : $150,000\.00
**What’s In It for You?**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Benefit eligibility is in accordance with applicable laws and client requirements. Benefits include:
* Medical, Prescription, Dental \&amp; Vision Benefits (for employees working 20\+ hours per week)
* Health Savings Account (HSA) (for employees working 20\+ hours per week)
* Life \&amp; Disability Insurance (for employees working 20\+ hours per week)
* MetLife Voluntary Benefits
* Employee Assistance Program (EAP)
* 401K Retirement Savings Plan
* Direct Deposit \&amp; weekly epayroll
* Referral Bonus Programs
* Certification and training opportunities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It is unlawful in Massachusetts to require or administer a lie detector test as a condition of employment or continued employment. An employer who violates this law shall be subject to criminal penalties and civil liability.
 By applying and submitting your resume, you authorize Yoh to review and reformat your resume to meet Yoh’s hiring clients’ preferences. To learn more about Yoh’s privacy practices, please see our Candidate Privacy Notice: 
 **https://www.yoh.com/privacy\-notice**</t>
        </is>
      </c>
    </row>
    <row r="21">
      <c r="A21" t="inlineStr">
        <is>
          <t>li-4366898356</t>
        </is>
      </c>
      <c r="B21" t="inlineStr">
        <is>
          <t>AI/ML Engineer – (Next-Generation AI Platforms &amp; Workloads)</t>
        </is>
      </c>
      <c r="C21" t="inlineStr">
        <is>
          <t>VeeAR Projects Inc.</t>
        </is>
      </c>
      <c r="D21" t="inlineStr">
        <is>
          <t>linkedin</t>
        </is>
      </c>
      <c r="E21" t="inlineStr"/>
      <c r="F21" t="inlineStr"/>
      <c r="G21" t="inlineStr">
        <is>
          <t>Sunnyvale, CA</t>
        </is>
      </c>
      <c r="H21" t="inlineStr"/>
      <c r="I21"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22">
      <c r="A22" t="inlineStr">
        <is>
          <t>li-4355887904</t>
        </is>
      </c>
      <c r="B22" t="inlineStr">
        <is>
          <t>AI/ML Engineer / Defence / $500k+ / NYC</t>
        </is>
      </c>
      <c r="C22" t="inlineStr">
        <is>
          <t>Open Talent</t>
        </is>
      </c>
      <c r="D22" t="inlineStr">
        <is>
          <t>linkedin</t>
        </is>
      </c>
      <c r="E22" t="inlineStr"/>
      <c r="F22" t="inlineStr"/>
      <c r="G22" t="inlineStr">
        <is>
          <t>New York, United States</t>
        </is>
      </c>
      <c r="H22" t="inlineStr"/>
      <c r="I22"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23">
      <c r="A23" t="inlineStr">
        <is>
          <t>li-4367466335</t>
        </is>
      </c>
      <c r="B23" t="inlineStr">
        <is>
          <t>Software AI Engineer</t>
        </is>
      </c>
      <c r="C23" t="inlineStr">
        <is>
          <t>micro1</t>
        </is>
      </c>
      <c r="D23" t="inlineStr">
        <is>
          <t>linkedin</t>
        </is>
      </c>
      <c r="E23" t="inlineStr"/>
      <c r="F23" t="inlineStr"/>
      <c r="G23" t="inlineStr"/>
      <c r="H23" t="inlineStr"/>
      <c r="I23" t="inlineStr">
        <is>
          <t>**Job Title:** 
 Software Engineer
**Job Type:** 
 Full\-time, Contractual
**Job Summary:** 
 Join our customer’s team as a Software Engineer, where you will build, optimize, and integrate cutting\-edge AI\-powered applications. This is a unique opportunity to leverage large language models and Retrieval\-Augmented Generation (RAG) while working with frontier AI platforms and secure cloud solutions. Help shape the next era of intelligent software in a collaborative, high\-impact environment.
**Key Responsibilities:** 
* Design, implement, and maintain scalable APIs and backend systems leveraging Python and RESTful services.
* Develop and integrate advanced LLM and RAG solutions, utilizing frameworks like LangGraph and LangChain for agentic, multi\-agent orchestration.
* Work with leading AI platforms including Anthropic for Gov, OpenAI Enterprise, Gemini Enterprise, and Grok Enterprise.
* Deploy, monitor, and optimize solutions on secure cloud infrastructures, such as AWS GovCloud, Google GovCloud, Azure IL5\+, and Vertex AI.
* Build robust data pipelines, manage metadata catalogs, and ensure secure data handling using ETL and MCP methodologies.
* Champion best practices in CI/CD pipelines, SDK integration, and secure coding for scalable codebases.
* Collaborate cross\-functionally, demonstrating exemplary written and verbal communication skills to document and present technical solutions.
**Required Skills and Qualifications:** 
* Proven experience with large language models (LLMs), Retrieval\-Augmented Generation (RAG), and prompt engineering.
* Strong development skills with Python, focusing on backend API development and SDK integration.
* Hands\-on expertise with AWS, particularly AWS GovCloud and AWS Bedrock services.
* Experience with agentic AI tools such as LangGraph, LangChain, and multi\-agent orchestration systems.
* Knowledge of cloud platforms including Google GovCloud, Azure IL5\+, and Vertex AI.
* Solid understanding of data ontologies, metadata management, and building ETL pipelines.
* Exceptional written and verbal communication skills are a must.
**Preferred Qualifications:** 
* Background in secure coding practices for government or regulated environments.
* Direct experience working with enterprise AI solutions such as OpenAI Enterprise or Anthropic for Gov.
* Familiarity with CI/CD automation in complex, hybrid cloud environments.</t>
        </is>
      </c>
    </row>
    <row r="24">
      <c r="A24" t="inlineStr">
        <is>
          <t>li-4367471293</t>
        </is>
      </c>
      <c r="B24" t="inlineStr">
        <is>
          <t>AI Engineer</t>
        </is>
      </c>
      <c r="C24" t="inlineStr">
        <is>
          <t>micro1</t>
        </is>
      </c>
      <c r="D24" t="inlineStr">
        <is>
          <t>linkedin</t>
        </is>
      </c>
      <c r="E24" t="inlineStr"/>
      <c r="F24" t="inlineStr"/>
      <c r="G24" t="inlineStr"/>
      <c r="H24" t="inlineStr"/>
      <c r="I24" t="inlineStr">
        <is>
          <t>**Job Title:** 
 AI Engineer
**Job Type:** 
 Full\-Time, Contractual
**Job Summary:** 
 Join our customer’s team as an AI Engineer,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5">
      <c r="A25" t="inlineStr">
        <is>
          <t>li-4364023202</t>
        </is>
      </c>
      <c r="B25" t="inlineStr">
        <is>
          <t>Senior Machine Learning Engineer</t>
        </is>
      </c>
      <c r="C25" t="inlineStr">
        <is>
          <t>P-1 AI</t>
        </is>
      </c>
      <c r="D25" t="inlineStr">
        <is>
          <t>linkedin</t>
        </is>
      </c>
      <c r="E25" t="inlineStr"/>
      <c r="F25" t="inlineStr"/>
      <c r="G25" t="inlineStr"/>
      <c r="H25" t="inlineStr"/>
      <c r="I25" t="inlineStr">
        <is>
          <t>**About P\-1 AI**
 We are building an engineering AGI. We founded P\-1 AI with the conviction that the greatest impact of artificial intelligence will be on the built world. Our first product is Archie, an AI engineer capable of quantitative intuition over physical product domains and engineering tool use. Archie initially performs at the level of an entry\-level design engineer but rapidly gets smarter and more capable. We aim to put an Archie on every engineering team at every industrial company on earth.
 Our founding team includes the top minds in deep learning, model\-based engineering, and industries that are our customers. We closed a $23 million seed round led by Radical Ventures that includes a number of other AI and industrial luminaries (from OpenAI, DeepMind, etc.).
**About The Role**
 As a Senior Machine Learning Engineer you will be creating the most critical AI features of the core Archie product. You will work closely with fellow AI research scientists, forward deployed engineers, software engineers and subject matter experts to build cutting edge AI capabilities that can perform real engineering design tasks.
 In this role, you are expected to take ownership and do whatever it takes to deliver game changing capabilities. Your key technical decisions will directly impact how the world’s largest manufacturers and engineers throughout the world design and build physical products. You’ll have the chance to build and deliver applications that leverage state of the art tools in Machine Learning and AI to shape the physical world around us.
 This role is remote and you can be based anywhere in the US or Canada, where you must have existing work authorization. You will be expected to travel to our San Mateo office for co\-working sessions approximately one week out of every six. If you are already located in the Bay Area or are interested in relocation, you are of course welcome to work out of our San Mateo office. Our AI team is based in the San Mateo office, so there would be some benefit to you being in\-office at least part of the time.
**What You’ll Do**
* Learn from leading experts in aerospace, electrical, mechanical and automotive engineering to develop AI tools and features that solve real design engineering problems.
* Collaborate with research scientists to help train large language models and transition them into a core product (Mid\-Training, SFT, RL, Post\-Training).
* Build new agentic features and integrations with major engineering design tools.
**Who You Are**
* Experience transitioning AI research prototypes into delivered products.
* Experience building physical systems (Aerospace, Mechanical, Robotics, other).
* Deep learning experience with strong fundamental understanding about machine learning.
**Our Values**
**Mission obsession \&amp; urgency** 
 : We are obsessed with building engineering AGI as quickly as possible. We also recognize that as a startup, speed is our most precious competitive advantage. We are constantly asking ourselves what we can do to go faster. We make tradeoffs and sacrifices (personally and in the workplace) in exchange for speed.
**Intellectual excellence \&amp; curiosity** 
 : We ask “what if?” and experiment liberally. We always look for better ways of doing something. We read voraciously. We challenge each other to be better. We surround ourselves with A players and we actively and unapologetically reject B players (and even B\+ players⸺because they tend to surround themselves with C players).
**Shipping discipline:** 
 We treat production with respect. We test and demo our product constantly. We listen attentively to our customers, users, and stakeholders, and we respect our commitments to them. We also respect our commitments to each other and will go the extra mile (or ten or one hundred) to honor them.
**Ownership:** 
 We all have significant ownership stakes in the company and operate in founder mode. We believe in hierarchical requirements but not in hierarchical information flows. If we see that something is broken or can be done better, we flag it and we fix it. We encourage each other to play with and fix anything and everything... but there’s a clear owner for everything.
**Interview Process**
* Initial screening (30 mins)
* Biographic/behavioral interview (45 mins)
* Technical Interview (60 mins)
* CEO Interview (30 mins)
**Compensation**
 Salary: $200k \- $265k.
 This role includes a significant equity component. We are an early\-stage startup, so we favor equity over cash in our current compensation philosophy. This role is best suited for candidates who value long\-term ownership and impact over short\-term cash optimization. Our benefits include healthcare, dental, and vision insurance, 401k with employer matching, unlimited PTO.</t>
        </is>
      </c>
    </row>
    <row r="26">
      <c r="A26" t="inlineStr">
        <is>
          <t>li-4367491684</t>
        </is>
      </c>
      <c r="B26" t="inlineStr">
        <is>
          <t>AI Engineer</t>
        </is>
      </c>
      <c r="C26" t="inlineStr">
        <is>
          <t>Hirenza</t>
        </is>
      </c>
      <c r="D26" t="inlineStr">
        <is>
          <t>linkedin</t>
        </is>
      </c>
      <c r="E26" t="inlineStr"/>
      <c r="F26" t="inlineStr"/>
      <c r="G26" t="inlineStr"/>
      <c r="H26" t="inlineStr"/>
      <c r="I26" t="inlineStr">
        <is>
          <t>**About The Company**
 Cognizant is a global leader in professional services, providing a wide range of solutions in digital, technology, consulting, and operations. Established with a vision to enable enterprises in their digital transformation journeys, Cognizant leverages innovative technology and industry expertise to deliver impactful results. With a presence in over 40 countries and a diverse workforce, the company is committed to fostering a culture of continuous learning, collaboration, and excellence. Cognizant serves clients across various industries including financial services, healthcare, manufacturing, and retail, helping them navigate complex business challenges and achieve sustainable growth.
**About The Role**
 The role at Cognizant offers an exciting opportunity for professionals seeking to contribute to cutting\-edge projects and drive technological innovation. As a key member of our team, you will be responsible for designing, developing, and implementing solutions that meet our clients’ strategic goals. This position requires a proactive mindset, strong problem\-solving skills, and the ability to work collaboratively in a fast\-paced environment. You will engage with cross\-functional teams, stakeholders, and clients to deliver high\-quality results that align with business objectives. The role also provides opportunities for professional growth and development through exposure to diverse projects and advanced technologies.
**Qualifications**
 Candidates should possess a bachelor’s degree in Computer Science, Information Technology, or a related field. A minimum of 3\-5 years of experience in software development, system analysis, or relevant roles is preferred. Strong proficiency in programming languages such as Java, Python, or C\# is essential. Familiarity with cloud platforms like AWS, Azure, or Google Cloud, as well as experience with DevOps practices, is highly desirable. Excellent communication skills, problem\-solving abilities, and a collaborative approach are key attributes for success in this role. Certifications in relevant technologies or methodologies will be considered an advantage.
**Responsibilities**
 Design, develop, and maintain scalable and efficient software solutions aligned with client requirements.
 Collaborate with cross\-functional teams to gather technical requirements and translate them into functional applications.
 Participate in code reviews, testing, and debugging to ensure high\-quality deliverables.
 Implement best practices for software development, including version control, documentation, and testing protocols.
 Assist in the deployment and integration of new systems, ensuring seamless transitions and minimal disruptions.
 Stay updated with emerging technologies and industry trends to continuously enhance skills and contribute innovative ideas.
 Provide technical support and troubleshoot issues as they arise during project execution.
 Communicate effectively with stakeholders to provide project updates and gather feedback for continuous improvement.
**Benefits**
 Cognizant offers a comprehensive benefits package designed to support the well\-being and professional growth of its employees. This includes competitive salary packages, health insurance, and retirement plans. Employees have access to ongoing training and development programs, including certifications and workshops, to enhance their skills. The company promotes a healthy work\-life balance through flexible working arrangements and paid time off policies. Additionally, Cognizant provides opportunities for career advancement within a global organization, encouraging internal mobility and leadership development. Employees also benefit from a collaborative and inclusive work environment that values diversity and innovation.
 Equal Opportunity
 Cognizant is an equal opportunity employer committed to fostering an inclusive workplace where diversity is celebrated. We do not discriminate based on race, color, religion, gender, sexual orientation, national origin, age, disability, or any other protected characteristic. We believe that a diverse workforce enhances our ability to serve our clients effectively and drives innovation. All qualified applicants will receive consideration for employment without regard to any protected status, and we are dedicated to providing a fair and equitable hiring process for all candidates.</t>
        </is>
      </c>
    </row>
    <row r="27">
      <c r="A27" t="inlineStr">
        <is>
          <t>li-4367252635</t>
        </is>
      </c>
      <c r="B27" t="inlineStr">
        <is>
          <t>Lead AI Engineer</t>
        </is>
      </c>
      <c r="C27" t="inlineStr">
        <is>
          <t>TAG - The Aspen Group</t>
        </is>
      </c>
      <c r="D27" t="inlineStr">
        <is>
          <t>linkedin</t>
        </is>
      </c>
      <c r="E27" t="inlineStr"/>
      <c r="F27" t="inlineStr"/>
      <c r="G27" t="inlineStr">
        <is>
          <t>Chicago, IL</t>
        </is>
      </c>
      <c r="H27" t="inlineStr"/>
      <c r="I27" t="inlineStr">
        <is>
          <t>The Aspen Group (TAG) is one of the largest and most trusted retail healthcare business support organizations in the U.S. and has supported over 20,000 healthcare professionals and team members with close to 1,500 health and wellness offices across 48 states in four distinct categories: dental care, urgent care, medical aesthetics, and animal health. Working in partnership with independent practice owners and clinicians, the team is united by a single purpose: to prove that healthcare can be better and smarter for everyone. TAG provides a comprehensive suite of centralized business support services that power the impact of five consumer\-facing businesses: Aspen Dental, ClearChoice Dental Implant Centers, WellNow Urgent Care, Chapter Aesthetic Studio, and Lovet. Each brand has access to a deep community of experts, tools and resources to grow their practices, and an unwavering commitment to delivering high\-quality consumer healthcare experiences at scale.
**Job Description:** 
 As part of our continued investment in AI\-driven innovation, we are looking for a
 **Lead AI Engineer** 
 to join our growing AI team. This is a hands\-on role delivering innovative solutions for the healthcare enterprise. The ideal candidate will bring deep expertise in modern AI systems, multi\-agent systems \&amp; frameworks, LLM\-based architecture, and software engineering.
**Key Responsibilities:** 
* Architect and develop enterprise\-scale multi\-agent systems leveraging LLMs and autonomous agent frameworks using Google ADK, Agentspace, MCP, RAG, and A2A orchestration.
* Design and implement RAG pipelines using BigQuery and Vertex AI Engine for knowledge grounding and factually accurate responses.
* Optimize agents for orchestration, knowledge grounding, multi\-step reasoning, and decision\-making.
* Design and implement distributed training workflows, online inference systems, and low latency serving architectures optimized for real\-world performance, using Google cloud\-native services.
* Engineer scalable, secure, compliant and production\-grade AI fabric and AI agent workflows using Vertex AI and modern cloud\-native technologies.
* Create reusable agent orchestration layers, observability hooks, and governance frameworks that accelerate Agentic AI adoption across TAG brands.
* Partner with cross\-functional stakeholders in translating business requirements into technical specifications.
* Own the full AI development lifecycle – from data collection and implementation to deployment and monitoring.
* Implement intelligent observability and automation strategies to ensure AI system reliability and performance at scale.
**Qualifications \&amp; Experience:** 
* Master’s degree in AI/ML, Computer Science, or related technical field.
* 2\+ years of experience in Generative AI and Agentic AI engineering.
* 8\+ years of experience in AI/ML engineering, software engineering, or platform architecture.
* Proven track record of building and deploying production\-grade AI/ML systems at scale.
* Deep understanding of modern AI model architectures (e.g., transformers, diffusion models) and system design.
* Strong hands\-on expertise with Vertex AI (including model training, pipelines, orchestration, deployment, and monitoring) and Google’s Agentic AI stack.
* Hands\-on with one or more of these agent orchestration frameworks: Google ADK/Agentspace,
 LangChain, LangGraph, LlamaIndex, CrewAI or AutoGen.
* Proficiency in Python, LLM integration workflows, MCP (Model Context Protocol) for tool integration and A2A (Agent\-to\-Agent) orchestration for multi\-agent workflows.
* Expertise in distributed training, online inference, and low latency serving architectures.
* Experience with Kubernetes, Cloud Run, and Dataflow/PubSub for scalable deployment.
**Preferred Qualifications:** 
* Experience with AI governance frameworks, responsible AI practices, and observability (Vertex AI Model Monitoring, BigQuery logging, Looker dashboards).
* Contributions to open\-source AI projects or publications in leading AI/ML conferences.
* Experience with multi\-modal models and advanced optimization strategies \&amp; frameworks.
**Additional Information:** 
* This role is onsite 4 days/week in our Fulton Market office (Chicago, IL).
* Competitive benefits package including paid time off, health, dental, vision, and 401(k) savings plan with match.
 Annual Salary Range: $170,000\-$200,000/year, with a generous benefits package that includes paid time off, health, dental, vision, and 401(k) savings plan with match.
 If you are an applicant residing in California, please view our privacy policy here: https://careers.aspendental.com/us/en/tag\-privacy\-policy\-for\-california\-employees</t>
        </is>
      </c>
    </row>
    <row r="28">
      <c r="A28" t="inlineStr">
        <is>
          <t>li-4355797791</t>
        </is>
      </c>
      <c r="B28" t="inlineStr">
        <is>
          <t>Senior ML Engineer (LLMs) / Frontier Tech / Seattle, WA / $350k+</t>
        </is>
      </c>
      <c r="C28" t="inlineStr">
        <is>
          <t>Open Talent</t>
        </is>
      </c>
      <c r="D28" t="inlineStr">
        <is>
          <t>linkedin</t>
        </is>
      </c>
      <c r="E28" t="inlineStr"/>
      <c r="F28" t="inlineStr"/>
      <c r="G28" t="inlineStr">
        <is>
          <t>Seattle, WA</t>
        </is>
      </c>
      <c r="H28" t="inlineStr"/>
      <c r="I28" t="inlineStr">
        <is>
          <t>**Senior ML/AI Engineer / Frontier Tech / Seattle, WA / $350k** 
**IMPORTANT:**
 Due to the nature of the company’s work, only U.S. citizens can be considered for this position.
**We’re hiring for a frontier aerospace company in Seattle that’s redefining how AI powers real\-world missions.** 
 Backed by top\-tier investors, they build
 **mission\-critical GenAI systems** 
 used in environments where
 **accuracy, reliability \&amp; latency literally matter.** 
 This isn’t a big corporate lab. It’s a
 **tight, elite engineering team** 
 where you’ll have
 **ownership, equity \&amp; autonomy** 
 to build from the ground up \- and see your work directly influence live aerospace operations.
 They’re seeking a
 **Senior or Lead AI Engineer** 
 to take full ownership of a
 **retrieval and evaluation pipeline** 
 already powering production systems. You’ll fine\-tune, optimise, and scale LLM\-driven intelligence that sits at the core of aerospace decision\-making.
**What You’ll Do** 
* **Own and evolve** 
 a production\-grade
 **GenAI retrieval \&amp; evaluation pipeline** 
 — hybrid vector \+ keyword retrieval (FAISS/BM25\) tuned for precision, recall, and sub\-100ms latency
* **Optimise RAG performance** 
 across the stack — prompt routing, context compression, reranking, and answer grounding under strict reliability thresholds
* **Design \&amp; implement** 
 scalable architectures for inference, caching, and continuous evaluation – your decisions will directly shape live aerospace intelligence systems
* **Debug \&amp; deploy** 
 in high\-stakes production – profiling token usage, batching inference, automating evals with LangSmith or custom metrics suites
* **Collaborate directly** 
 with technical founders \&amp; aerospace engineers to align
 **LLM performance with real\-world mission data**
**You’re a Fit If You Have** 
* Proven experience deploying
 **LLM or RAG\-based systems** 
 into production
* Strong grasp of
 **retrieval, ranking, and evaluation** 
 under real constraints
* Hands\-on with
 **Python, PyTorch, LangChain, Hugging Face, vector DBs**
* You’ve
 **shipped systems that work in production** 
 , not research demos
* Background in
 **high\-performance or regulated environments** 
 (defence, aerospace, fintech, etc.)
* Ownership mindset \- fast, curious \&amp; comfortable building 0→1 systems
**Tech Stack** 
 Python, PyTorch, FastAPI, Hugging Face, Postgres, Redis, Docker, Kubernetes, Vector Databases
**Offer** 
* Up to
 **$350,000\+ base** 
 plus
 **meaningful equity (already doing exceptionally)**
* Medical \&amp; dental (full coverage)
* **Backed by top\-tier investors** 
 with serious long\-term conviction
* **Onsite in downtown Seattle \- relo offered**
* Join a
 **small, elite team** 
 tackling problems few can even attempt
* **0 bureaucracy, 0 noise** 
 \- just hard problems, fast decisions, real impact
**Interview Process** 
1. Technical Deep Dive
2. Assessment or Live Pair
3. Team Fit \&amp; Mindset Panel
**Fast:** 
 2 weeks total
**TL;DR** 
* Join a frontier tech company with real customers and real systems in production
* Work onsite in Seattle, directly with senior engineers \&amp; technical founders
* Own performance\-critical ML pipelines where speed and precision matter
* This is real product work, not research or prototypes
* Up to $350K\+ base salary with meaningful equity
* U.S. Citizenship required due to the nature of the work
**Must be onsite in Seattle. Relocation support available for exceptional candidates.** 
**Our client is an Equal Opportunity employer.** 
 If you're a Senior ML engineer ready to build systems that matter, apply now.
**Our new NYC roles here 1st:** 
 linkedin.com/in/sufyanbashir</t>
        </is>
      </c>
    </row>
    <row r="29">
      <c r="A29" t="inlineStr">
        <is>
          <t>li-4344894625</t>
        </is>
      </c>
      <c r="B29" t="inlineStr">
        <is>
          <t>AI Engineer</t>
        </is>
      </c>
      <c r="C29" t="inlineStr">
        <is>
          <t>Infosys</t>
        </is>
      </c>
      <c r="D29" t="inlineStr">
        <is>
          <t>linkedin</t>
        </is>
      </c>
      <c r="E29" t="inlineStr"/>
      <c r="F29" t="inlineStr"/>
      <c r="G29" t="inlineStr">
        <is>
          <t>Hartford, CT</t>
        </is>
      </c>
      <c r="H29" t="inlineStr"/>
      <c r="I29" t="inlineStr">
        <is>
          <t>**Infosys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Candidate must be located within commuting distance of Richardson, TX or Raleigh, NC or Hartford, CT or Indianapolis, IN or be willing to relocate to the area.
* At least 2 years of experience in Information Technology
* Proficiency in Python, SQL, and machine learning frameworks such as scikit\-learn, TensorFlow, or PyTorch, NLP
* Candidates authorized to work for any employer in the United States without employer\-based visa sponsorship are welcome to apply. Infosys is unable to provide immigration sponsorship for this role at this time
**Preferred Qualifications**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30">
      <c r="A30" t="inlineStr">
        <is>
          <t>li-4337894461</t>
        </is>
      </c>
      <c r="B30" t="inlineStr">
        <is>
          <t>Staff Applied AI Engineer</t>
        </is>
      </c>
      <c r="C30" t="inlineStr">
        <is>
          <t>Quizlet</t>
        </is>
      </c>
      <c r="D30" t="inlineStr">
        <is>
          <t>linkedin</t>
        </is>
      </c>
      <c r="E30" t="inlineStr"/>
      <c r="F30" t="inlineStr"/>
      <c r="G30" t="inlineStr">
        <is>
          <t>San Francisco, CA</t>
        </is>
      </c>
      <c r="H30" t="inlineStr"/>
      <c r="I30"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(Applied AI)**
 Our mission is to invent and deploy the next generation of intelligent, personalized, and adaptive learning experiences. We’re consolidating AI efforts across the company into a unified portfolio and are accountable for a disproportionate share of Quizlet’s growth and product differentiation. You’ll partner closely with Product, Data Science, and the AI \&amp; Data Platform to deliver an AI‑driven learning coach that’s recognized as best‑in‑class.
**About The Role**
 As an Applied AI Engineer, you will be working at the forefront of our AI strategy, shaping Quizlet’s AI develop in one of the two complementary domains:
**Personalization \&amp; Ranking** 
 – retrieval and ranking systems that match learners with the right content, experiences, and monetization moments across surfaces (search, feed, notifications, ads).
**Generative AI \&amp; Agentic Systems** 
 – LLM‑powered tutoring, content understanding/synthesis, and tools that boost learner outcomes and creator productivity.
 You will work on a variety of models and modeling systems (from Two‑Tower retrieval and multi‑task rankers to RAG/LLM pipelines), ensure robust evaluation and responsible deployment
 We’re happy to share that this is an
 **onsite position** 
 in our San Francisco office. To help foster team collaboration, we require that employees be in the office a
 **minimum of three days per week:** 
 Monday, Wednesday, and Thursday and as needed by your manager or the company. We believe that this working environment facilitates increased work efficiency, team partnership, and supports growth as an employee and organization.
**In This Role, You Will**
* Contribute to the technical roadmap for applied AI across personalization, ranking, search, recommendations, and GenAI/LLM systems; help connect modeling work to business metrics (engaged learners, conversion, retention, revenue)
* Build components of end‑to‑end ML systems: candidate sourcing, embedding platforms \&amp; ANN retrieval, multi‑stage ranking (early/late), and value modeling with guardrails for fairness and integrity
* Implement LLM‑based features: build RAG pipelines, apply instruction‑/preference‑tuning techniques (e.g., SFT/DPO), optimize prompts, and improve latency/cost‑aware inference; contribute to offline evals \+ human‑in‑the‑loop and online success metrics
* Help develop "Learner 360" representations by working with behavior signals, explicit inputs, and conversational context to create robust embeddings reused across surfaces
* Support evaluation infrastructure: contribute to the eval harness for both ranking and generative systems (offline metrics like NDCG/AUC/BLEU/BERTScore; quality/safety scorecards), and help close the loop with online A/B experiments
* Ship reliable systems at scale: ensure training‑serving consistency, implement drift detection, follow canarying/rollback protocols, participate in on‑call rotation for model services, and maintain strong CI/CD for features \&amp; models
* Collaborate with and learn from senior ML/SWE teammates; write high‑quality code and follow best practices for experimentation rigor and reproducibility
* Work closely with Product, Design, Legal, and Data Science on objectives, tradeoffs, and responsible AI practices
* Stay current with ML research (RecSys, LLMs, multimodal) and propose new methods that could improve learner outcomes
**What You Bring To The Table**
* 8\+ years of industry experience in applied ML/AI or ML‑heavy software engineering
* BS/MS in CS, ML, or related quantitative field (or equivalent experience)
* Experience building ranking/personalization or search systems (retrieval, Two‑Tower/dual encoders, multi‑task rankers) and contributing to online metric improvements (e.g., CTR, session depth, retention)
* Hands‑on experience with LLM/GenAI systems: data curation, fine‑tuning (SFT/PEFT, preference optimization), prompt engineering, evaluation, and productionization considerations (latency/cost/safety)
* Strong skills in Python/PyTorch, data and feature engineering, distributed training/inference on GPUs, and familiarity with modern MLOps (model registry, feature stores, monitoring, drift)
* Solid experiment design (offline/online), metrics literacy, and ability to translate product goals into modeling solutions
* Strong collaboration skills and eagerness to learn from senior engineers; some experience mentoring junior teammates is a plus
**Bonus Points If You Have**
* EdTech or consumer mobile experience; conversational tutoring or learning science‑informed modeling
* Publications/open‑source with RecSys/LLMs (e.g., RecSys, KDD, NeurIPS, ICLR, ACL), or contributions to safety/guardrails tooling
* Experience building on a modern MLOps stack (feature mgmt, orchestration, streaming, online inference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$190,000 \- $274,500,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
      <c r="A31" t="inlineStr">
        <is>
          <t>li-4315074036</t>
        </is>
      </c>
      <c r="B31" t="inlineStr">
        <is>
          <t>Senior Applied AI Engineer</t>
        </is>
      </c>
      <c r="C31" t="inlineStr">
        <is>
          <t>Harvey</t>
        </is>
      </c>
      <c r="D31" t="inlineStr">
        <is>
          <t>linkedin</t>
        </is>
      </c>
      <c r="E31" t="inlineStr"/>
      <c r="F31" t="inlineStr"/>
      <c r="G31" t="inlineStr">
        <is>
          <t>New York, United States</t>
        </is>
      </c>
      <c r="H31" t="inlineStr"/>
      <c r="I31"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1000\+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As an Applied AI Engineer on the Engineering team at Harvey, you will own and lead engineering projects across our various product lines. We are looking for individuals who have worked across the stack on incredible products and have experience building products where machine learning models are a core component.
 This role is based in New York City, NY. We use an in\-person work model and offer relocation assistance to new employees.
**What You'll Do**
* Conduct data collection, experimentation, and analysis to drive algorithmic development for RAG and multi\-step AI pipelines.
* Zero\-to\-one product development: rapidly prototype, evaluate, integrate, and test new product features in close partnership with our legal team.
* Develop new AI native workflows: implement streaming, long\-running tasks, procedural UX, etc. for new AI tasks, finding the balance between state\-of\-the\-art and pragmatism.
* Representative Projects
+ Partner with our legal team to design and implement a method for evaluating the correctness of document citations. Use this to build a large dataset of ground\-truth citations and then improve our core citation algorithm. You can read about some of our work on evaluation and citations here (1, 2, 3\).
+ Make targeted improvements to our RAG pipelines to improve answer quality for user questions over corpuses of complex data, like massive banks of spreadsheets or Japan’s tax code.
+ Design and build systems that leverage state\-of\-the\-art LLMs from multiple model providers, including custom models.
+ Work across the stack and with our legal team to create seamless multi\-step AI workflows for complex legal tasks, like corporate merger due diligence.
**What You Have**
* 7\+ years of experience (post\-BS/MS) in an engineering role.
* Experience with shipping a scaled and impactful product powered by machine learning: how to use offline datasets, online experiments, and recent research to build simple and high performance systems. Prior experience with LLMs and retrieval pipelines is not required.
* Track record of shipping reliable products and a strong attention to detail.
* Experience building backend platforms that can support multiple product lines.
* Grit \- experience working at early\-stage startups is a plus.
**Compensation Range**
 $201,000 – $264,000 USD
**Please find our CA applicant privacy notice** 
**here** 
**.**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32">
      <c r="A32" t="inlineStr">
        <is>
          <t>li-4304807860</t>
        </is>
      </c>
      <c r="B32" t="inlineStr">
        <is>
          <t>Senior Machine Learning Engineer - Discovery (ML + Backend Engineering)</t>
        </is>
      </c>
      <c r="C32" t="inlineStr">
        <is>
          <t>Scribd, Inc.</t>
        </is>
      </c>
      <c r="D32" t="inlineStr">
        <is>
          <t>linkedin</t>
        </is>
      </c>
      <c r="E32" t="inlineStr"/>
      <c r="F32" t="inlineStr"/>
      <c r="G32" t="inlineStr">
        <is>
          <t>Phoenix, AZ</t>
        </is>
      </c>
      <c r="H32" t="inlineStr"/>
      <c r="I3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3">
      <c r="A33" t="inlineStr">
        <is>
          <t>li-4344588116</t>
        </is>
      </c>
      <c r="B33" t="inlineStr">
        <is>
          <t>Principal Machine Learning Engineer</t>
        </is>
      </c>
      <c r="C33" t="inlineStr">
        <is>
          <t>Microsoft</t>
        </is>
      </c>
      <c r="D33" t="inlineStr">
        <is>
          <t>linkedin</t>
        </is>
      </c>
      <c r="E33" t="inlineStr"/>
      <c r="F33" t="inlineStr"/>
      <c r="G33" t="inlineStr">
        <is>
          <t>Redmond, WA</t>
        </is>
      </c>
      <c r="H33" t="inlineStr"/>
      <c r="I33" t="inlineStr">
        <is>
          <t>**Overview**
 Health Futures is a Research and Incubation team working at the intersection of computer science, signal processing, machine learning, and biomedicine. We are a global and diverse team of engineers, scientists, and medical doctors who are working on next\-generation Artificial Intelligence (AI) tools and methods for health and life sciences. We offer a unique and vibrant environment that features innovative academic research, enterprise software development, and real\-world delivery, with close feedback loops and rapid iterations among all three, much like a lean startup. Our mission is to empower every person on the planet to live a healthier future.
 We are seeking a Principal Machine Learning Engineer to accelerate our training of generative models in close collaboration with Maching Learning (ML) researchers, software engineers, and domain experts. This is a hands\-on technical role focused on advancing state\-of\-the\-art model capabilities across a variety of scientific domains and modalities. You’ll spend your time working across the stack from curriculum design, to debugging training runs, through developing new evaluation methods and high\-performance inferencing – with a goal of improving all phases of our training process.
 As part of Health Futures, you’ll have the opportunity to tackle everything from model training to data and evaluation pipelines. Your work will span the full spectrum of model development – training and optimizing models on the latest hardware, devising new ways to assess their capabilities, and evolving data and training workflows to maximize model utility. Beyond model training, you’ll participate in explorations of how these models can and should be used in the real world – and the systems required to successfully operate them.
 At Microsoft, our mission—to empower every person and every organization on the planet to achieve more—guides how we partner with customers to deliver trusted, impactful solutions. With a growth mindset culture, we innovate responsibly and measure success by shared progress—people, teams, and customers. Join us to do meaningful work that changes the world and helps shape what’s next for everyone.
**Responsibilities**
* Lead the design and development of machine learning models and systems for health and life sciences applications, ensuring scalability and reliability.
* Define technical strategy and architecture for ML pipelines, including data ingestion, feature engineering, model training, evaluation, and deployment.
* Collaborate with interdisciplinary teams (including scientists, researchers, and software engineers) to envision and develop AI\-augmented scientific systems.
* Mentor engineers and researchers, promoting best practices in ML development, experimentation, and responsible AI principles.
* Ensure security, privacy, and regulatory compliance across ML workflows and data handling.
**Qualifications**
**Required Qualifications**
* Bachelor's Degree in Computer Science or related technical field AND 6\+ years technical engineering experience with coding in languages including, but not limited to, C\+\+, C\#, Java, JavaScript, or Python
+ OR equivalent experience.
**Preferred Qualifications**
* Masters in Computer Science or related technical field AND 6\+ years technical engineering experience including significant work in machine learning or applied AI
+ OR equivalent experience.
* Proven track record of designing and deploying large\-scale ML or MLops systems in research or product settings.
* Hands\-on experience with large\-scale distributed training of ML models.
* Deep expertise in ML algorithms, model optimization, and frameworks (e.g., PyTorch, TensorFlow).
* Experience with one or more of: optimizing data mixes, mid\-training, post\-training, model merging, or model distillation.
* Familiarity with security and compliance standards for enterprise and health data.
* Demonstrated ability to communicate effectively and solve problems in collaborative, research\-driven environment.
 \#Research \#healthfutures \#researchsystems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
      <c r="A34" t="inlineStr">
        <is>
          <t>li-4367276043</t>
        </is>
      </c>
      <c r="B34" t="inlineStr">
        <is>
          <t>Founding AI Engineer (only USA citizens)</t>
        </is>
      </c>
      <c r="C34" t="inlineStr">
        <is>
          <t>Drift (Backed by Antler)</t>
        </is>
      </c>
      <c r="D34" t="inlineStr">
        <is>
          <t>linkedin</t>
        </is>
      </c>
      <c r="E34" t="inlineStr"/>
      <c r="F34" t="inlineStr"/>
      <c r="G34" t="inlineStr"/>
      <c r="H34" t="inlineStr"/>
      <c r="I34" t="inlineStr">
        <is>
          <t>**Founding AI Engineer (US citizen only)** 
**Full\-Time** 
**About Drift** 
 Drift is an AI\-powered copilot for robotics simulations. We help robotics developers set up, debug, and run simulations using natural language integrating seamlessly with ROS, Gazebo, and other simulation tools. Our mission is to democratise robotics development by reducing simulation time from months to days.
**About the Role** 
 We're hiring our Founding AI Engineer. You'll work directly with the founders to architect and build the core systems that makes Drift intelligent.
 This isn't a role where you'll be handed specs. You'll be in the room shaping what we build and how we build it.
**What You'll Work On** 
 \- Improving \&amp; implementing the Agentic capabilities of Drift
 \- Building context systems that pull relevant information from documentation, codebases, and past interactions
 \- Developing validation and error\-correction mechanisms for generated scripts and workspaces
 \- Creating internal tooling for debugging agent behavior and measuring improvements
 \- Designing feedback loops that help the agent improve over time
**What We're Looking For** 
 \- Min 2\+ years of engineering experience in Software and AI based systems
 \- Strong proficiency in TypeScript and Python
 \- Experience building LLM based applications \- agents, copilots, or similar systems
 \- Deep familiarity with prompt engineering, RAG, and context management
 \- Systems thinking \- you can design how pieces fit together, not just implement them
 \- Comfort with ambiguity and ownership; you'll be defining the roadmap alongside us
**Nice to Have** 
 \- Experience with ROS, Gazebo, or robotics simulation
 \- Background in developer tools, CLI applications, or IDE extensions
 \- Familiarity with evaluation and benchmarking for AI systems
**Why Join Now** 
 You'll be one of the first engineers at Drift, with real ownership over the technical direction. The problems are hard, the scope is wide, and you'll have direct impact on everything we ship.
 This position is open to US citizens only.
**To Apply** 
 Apply here and share your GitHub or relevant work to
 **founders@godrift.ai** 
 To know more about Drift visit \- https://godrift.ai</t>
        </is>
      </c>
    </row>
    <row r="35">
      <c r="A35" t="inlineStr">
        <is>
          <t>li-4367233310</t>
        </is>
      </c>
      <c r="B35" t="inlineStr">
        <is>
          <t>Senior AI Engineer (Natural Language Systems)</t>
        </is>
      </c>
      <c r="C35" t="inlineStr">
        <is>
          <t>RemoteHunter</t>
        </is>
      </c>
      <c r="D35" t="inlineStr">
        <is>
          <t>linkedin</t>
        </is>
      </c>
      <c r="E35" t="inlineStr"/>
      <c r="F35" t="inlineStr"/>
      <c r="G35" t="inlineStr"/>
      <c r="H35" t="inlineStr"/>
      <c r="I35" t="inlineStr">
        <is>
          <t>About the Opportunity:
 A mission\-driven startup is seeking an experienced Senior AI Engineer to advance AI initiatives in healthcare, focusing on speech and language processing. The organization provides highly automated B2B enterprise software to rehab therapy businesses, supporting their teams and patients. The role involves applying generative AI and ML methods to build reliable, production\-grade systems used daily by clinics, staff, and patients.
 Responsibilities:
 • Drive the mission to improve healthcare through modern AI technology
 • Lead AI projects from ideation through production and iteration until widely adopted
 • Develop and deploy real\-time AI systems for speech and natural language understanding (transcription, summarization, classification)
 • Build robust model and prompt pipelines for LLM\-powered workflows with high accuracy and monitoring
 • Partner with Product and Engineering to identify AI opportunities and deliver measurable outcomes
 • Help develop the strategic AI roadmap across speech, NLP, and automation workflows
 • Apply AI to improve client and internal operations including clinical documentation, customer support, and billing
 • Develop deep understanding of the product, customers, and rehab therapy business
 • Help grow and lead the AI team, including training junior members
 Requirements:
 • 4\+ years building AI/ML systems with production ownership in industry or academia
 • Strong experience with NLP and/or LLM systems (retrieval, summarization, classification, extraction, agent workflows)
 • Experience with speech\-related pipelines in production or near\-real\-time settings (speech\-to\-text, spoken intent classification, conversational AI)
 • Proven track record of benchmarking and improving accuracy, cost, and latency
 • Strong problem\-solving skills
 • Excellent communication skills for explaining AI concepts to non\-technical stakeholders
 • Proficiency in Python (\&gt;3\.9\)
 • Basic Docker knowledge
 • AWS familiarity (S3, RDS, EC2\) preferred
 • Willingness to learn healthcare domain, specifically physical, occupational, and speech therapy
 • Interest in a heavy code contribution role; not an engineering management position
 Benefits \&amp; Perks:
 • Competitive salaries
 • Remote/hybrid work environment
 • Potential equity compensation for outstanding performance
 • Flexible PTO
 • Company\-sponsored lunches
 • Company\-paid disability and life insurance
 • Company\-paid family and medical leave
 • Medical, dental, and vision insurance
 • Discounted pet insurance
 • FSA/DCA and commuter benefits
 • 401k plan
 • Credits for online fitness classes/gym memberships
 • Recovery suite at headquarters, including cold plunge, sauna, and shower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6">
      <c r="A36" t="inlineStr">
        <is>
          <t>li-4344802648</t>
        </is>
      </c>
      <c r="B36" t="inlineStr">
        <is>
          <t>Lead AI Engineer – Agentic &amp; Generative AI (DFW Area)</t>
        </is>
      </c>
      <c r="C36" t="inlineStr">
        <is>
          <t>RealPage, Inc.</t>
        </is>
      </c>
      <c r="D36" t="inlineStr">
        <is>
          <t>linkedin</t>
        </is>
      </c>
      <c r="E36" t="inlineStr"/>
      <c r="F36" t="inlineStr"/>
      <c r="G36" t="inlineStr">
        <is>
          <t>Richardson, TX</t>
        </is>
      </c>
      <c r="H36" t="inlineStr"/>
      <c r="I36" t="inlineStr">
        <is>
          <t>**Overview**
 RealPage is at the forefront of the Generative AI revolution, dedicated to shaping the future of artificial intelligence within the Property Tech domain. Our Agentic AI team is focused on driving innovation by building next generation AI applications and enhancing existing systems with Generative AI capabilities.
 We are seeking a Lead AI Engineer who is a senior technical leader responsible for driving the strategy, architecture, and delivery of Agentic and Generative AI solutions across our PropTech portfolio. You will define and implement the technical roadmap for AI systems, mentor the AI engineering team, and collaborate with executives and product leaders to identify high\-impact AI opportunities.
 You will design robust, scalable AI platforms that leverage foundation models, RAG, multi\-agent systems, and emerging technologies to create differentiated experiences for our customers.
**In this role you would be expected to come into the office 2\-3 days a week.**
**Responsibilities**
* Technical Strategy \&amp; Architecture
* Own the end\-to\-end architecture for AI products and platforms:
+ Model selection strategy (Google vs. OpenAI, small vs. large models)
+ Multi\-agent and workflow orchestration patterns (responder/thinker pattern, tool calling, agentic frameworks)
+ Data and retrieval architecture (RAG, hybrid search, knowledge graphs, semantic caching)
* Evaluate and introduce emerging technologies such as:
+ Next\-generation LLMs and multimodal models
+ Real\-time streaming infrastructures
+ Advanced agent frameworks, workflow engines (e.g., Agents SDK, Google ADK, LangGraph, etc.)
* Platformization \&amp; Reusable Capabilities
* Design and lead the implementation of shared AI services and SDKs:
+ Reusable RAG pipelines and ingestion frameworks
+ Common UI components and design patterns for AI copilots and agents
+ Modular reusable coding practices for agentic back\-end processes
* Establish standards and best practices for:
+ Prompt design and versioning
+ Model and retrieval evaluation
+ Observability, logging, and incident response for AI systems.
* Leadership \&amp; Mentoring
* Provide hands\-on technical leadership to AI Engineers, ML Engineers, and Data Scientists:
+ Guide architectural decisions and code quality
+ Conduct thorough design and code reviews
+ Mentor team members in LLMs, RAG, agentic design, and production AI practices
* Help define and grow the AI engineering culture, focusing on innovation, quality, and responsible AI.
* Delivery \&amp; Stakeholder Management
* Partner closely with Product, Design, and Business stakeholders to:
+ Identify high\-value AI use cases aligned with company strategy and PropTech domain needs
+ Shape product roadmaps and define measurable success criteria for AI initiatives
* Lead complex, cross\-functional AI projects from concept to production, ensuring:
+ Clear requirement definitions and project plans
+ On\-time delivery with high quality and reliability
+ Ongoing iteration based on user feedback and metrics.
* Evaluation, Governance \&amp; Responsible AI
* Define robust evaluation frameworks:
+ Offline and online metrics for relevance, safety, user satisfaction, and business impact
+ Human evaluation workflows for complex or sensitive tasks
* Drive AI governance and responsible AI practices:
+ Content safety, bias and fairness considerations, PII handling
+ Compliance with internal policies and external regulations (e.g., GDPR\-like requirements, data residency)
* Collaborate with security, privacy, and legal teams to ensure compliant AI solutions.
* Performance, Reliability \&amp; Cost Management
* Lead performance and cost optimization for AI systems:
+ Model routing, distillation, and caching strategies
+ Right\-sizing infrastructure and making build\-vs\-buy decisions
+ SLAs/SLOs for key AI services, including latency, uptime, and error budgets.
* Proactively identify and mitigate technical risks related to scalability, data quality, or vendor lock\-in.
**Qualifications**
* Required Knowledge / Skills / Abilities
+ Typically 8\+ years of experience in Software Engineering, ML Engineering, or Data Science, with 3\+ years hands\-on in Applied AI/LLMs and at least 2\+ years in a senior/lead role.
+ Deep expertise in:
- Python and TypeScript/JavaScript in production environments
- Designing and operating distributed, cloud\-native systems (GCP, Azure, or AWS)
- Containerization and orchestration (Docker, Kubernetes) and modern CI/CD.
+ Working with coding assistants like Windsurf, Cursor, Codex, etc.
+ Proven track record of:
- Architecting and shipping complex AI systems to production at scale
- Leading multi\-engineer initiatives and mentoring others
- Making data\-driven tradeoffs between speed, quality, and cost.
+ Advanced experience with:
- LLM\-based application design (prompting, tool use, function calling, multi\-agent workflows)
- RAG architectures, vector databases, and retrieval optimization techniques
- AI observability, monitoring, and evaluation frameworks.
+ Excellent communication and stakeholder management skills:
- Ability to communicate complex AI concepts to executives and non\-technical partners
- Comfortable representing AI strategy and progress to leadership and cross\-functional teams.
**Nice\-to\-Have Skills / Abilities**
* Experience with:
+ Working with coding assistants like Windsurf, Cursor, Codex, etc.
+ Multimodal and real\-time agents (voice \+ text \+ UI control, streaming interactions).
* Background in:
+ AI experiment tracking and evaluation frameworks (e.g., OpenAI Evals, Langsmith Evals, etc.)
+ Data platforms (data lakes/warehouses, feature stores, event streams like Kafka)
+ Browser automation software such as PlayWright
+ Designing AI products in domains with strong regulatory or privacy constraints.
* Experience building organizational AI strategies, setting standards, and helping define AI hiring and capability roadmaps.
* In this role you would be expected to come into the office 2\-3 days a week.
**Pay Range**
 USD $122,600\.00 \- USD $208,800\.00 /Yr.</t>
        </is>
      </c>
    </row>
    <row r="37">
      <c r="A37" t="inlineStr">
        <is>
          <t>li-4356700855</t>
        </is>
      </c>
      <c r="B37" t="inlineStr">
        <is>
          <t>AI Engineer – Entry Level Sales Program 2026</t>
        </is>
      </c>
      <c r="C37" t="inlineStr">
        <is>
          <t>IBM</t>
        </is>
      </c>
      <c r="D37" t="inlineStr">
        <is>
          <t>linkedin</t>
        </is>
      </c>
      <c r="E37" t="inlineStr"/>
      <c r="F37" t="inlineStr"/>
      <c r="G37" t="inlineStr">
        <is>
          <t>Austin, TX</t>
        </is>
      </c>
      <c r="H37" t="inlineStr"/>
      <c r="I37" t="inlineStr">
        <is>
          <t>**Introduction**
 Technology sales at IBM is evolving its way of working to break beyond boundaries with innovative approaches. Preferring to ‘show’ vs. ‘tell’, Client Engineering co\-creates with clients, in real\-time, on solutions to solve their hardest business challenges.
 As an AI Engineer within our Client Engineering team, you'll harness your unique skills and perspectives to engage in the development and deployment of AI systems using our Watsonx platform for pilots that lead to deployment of enterprise\-scale solutions at start\-up speed.
 In a world where technology moves at speed, it's essential that we stay ahead of the curve to provide tailored solutions that meet our clients' needs. It's not enough for us to have the technical expertise. We need to be great with people, too. To empathize. To understand. To collaborate on technical solutions that will improve lives all over the world.
 Excellent onboarding training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An AI Engineer at IBM is not just a job title \- it's a mindset. You'll leverage the WatsonX platform to co\-create AI value with clients, focusing on technology patterns to enhance repeatability and delight clients.
 Success is our passion, and your accomplishments will reflect this, driving your career forward, propelling your team to success, and helping our clients thrive.
 Your primary responsibilities will include, but not be limited to:
* Pre and Post Sales Pilots: Develop pilots to validate and highlight the feasibility and effectiveness of the proposed AI solutions. Collaborate with cross\-functional teams to implement and iterate on pilots, ensuring alignment with customer requirements and expectations while adhering to best practices and quality standards.
* Solution Optimization and Performance: Continuously monitor and optimize the performance of AI solutions, including foundation models and large language models. Identify opportunities to enhance efficiency, accuracy, and speed through fine\-tuning, algorithmic improvements, or infrastructure optimization to meet performance requirements.
* Collaboration and Project Management: Collaborate with cross\-functional teams, including AI engineers, platforms engineers, and members of the sales team, to ensure smooth execution and successful delivery of AI solutions. Effectively communicate project progress, risks, and dependencies to stakeholders.
* Industry Trends and Innovation: Stay up to date with the latest trends and advancements in AI, foundation models, and large language models. Evaluate emerging technologies, tools, and frameworks to assess their potential impact on solution design and implementation.
**To Be Successful In This Role, You Will Need**
* Confidence to contact and engage potential new customers and deliver an elevated experience.
* Motivation to achieve sales, business objectives and high client satisfaction.
* Strong analytic, problem solving, and troubleshooting skills combined with an agile process.
* Embrace curiosity and a growth mindset.
 This position requires you to be in one of the following IBM offices: Atlanta GA, Austin TX, Chicago IL, Dallas TX, New York NY, Raleigh NC, San Francisco CA, and Washington DC.
 Readiness to travel up to 50% annually.
**IBM will not be providing visa sponsorship for this position now or in the future. Therefore, in order to be considered for this position, you must have the ability to work without a need for current or future visa sponsorship**
**Preferred Education**
 Bachelor's Degree
**Required Technical And Professional Expertise**
* Technical Education: B.S./M.S. in Computer Science, Artificial Intelligence, Data Science, Math, Statistics, Engineering or equivalent technical degree/experience.
* Programming: Working knowledge in Python, R, Java or language in similar discipline.
* Tech Savvy: Conversant about AI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Self\-Starter: Motivated to work with clients and can lead projects independently.
**Preferred Technical And Professional Experience**
* Knowledge of AI frameworks such as TensorFlow, PyTorch, Keras or Hugging Face.
* Experience with LLM and foundational models.
* Understanding in the usage of libraries such as SciKit Learn, Pandas, Matplotlib, etc.
* Familiarity with open\-source technology, automation and legacy coding (Cobol, C, Assembler) is a
 plus.</t>
        </is>
      </c>
    </row>
    <row r="38">
      <c r="A38" t="inlineStr">
        <is>
          <t>li-4320773430</t>
        </is>
      </c>
      <c r="B38" t="inlineStr">
        <is>
          <t>Full Stack AI Engineer - Senior Associate - Commercial Technology &amp; Innovation</t>
        </is>
      </c>
      <c r="C38" t="inlineStr">
        <is>
          <t>PwC</t>
        </is>
      </c>
      <c r="D38" t="inlineStr">
        <is>
          <t>linkedin</t>
        </is>
      </c>
      <c r="E38" t="inlineStr"/>
      <c r="F38" t="inlineStr"/>
      <c r="G38" t="inlineStr">
        <is>
          <t>New York, NY</t>
        </is>
      </c>
      <c r="H38" t="inlineStr"/>
      <c r="I38"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contribute to the evolution of AI technologies and methodologies. As a Senior Associate, you will analyze complex problems, mentor others, and maintain elevated standards while navigating intricate situations to drive project success.
**Responsibilities**
* Uphold exceptional standards in deliverables
* Work with diverse teams to improve product development
* Navigate complex scenarios to secure project success
* Maintain remarkable quality and performance in tasks
* Foster a culture of continuous improvement and innovation
 What You Must Have
* Bachelor's Degree
* 3 years of experience
 What Sets You Apart
* Master's Degree in Computer Engineering, Computer Science, Artificial Intelligence and Robotics, Software Engineering, Data Processing/Analytics/Science preferred
* Designing and deploying machine learning models and LLMs
* Developing scalable, cloud\-native microservices with Docker and Kubernetes
* Building end\-to\-end AI applications for web, mobile, or API\-first platforms
* Managing CI/CD pipelines for AI systems using GitHub Actions and MLflow
* Implementing vector databases and RAG pipelines with orchestration tools
* Translating complex business problems into software\-engineered AI solutions
* Fine\-tuning models on domain\-specific data
* Applying Responsible AI practices including governance and ethics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9">
      <c r="A39" t="inlineStr">
        <is>
          <t>li-4334203585</t>
        </is>
      </c>
      <c r="B39" t="inlineStr">
        <is>
          <t>Staff AI Engineer - Tower Research Ventures</t>
        </is>
      </c>
      <c r="C39" t="inlineStr">
        <is>
          <t>Tower Research Capital</t>
        </is>
      </c>
      <c r="D39" t="inlineStr">
        <is>
          <t>linkedin</t>
        </is>
      </c>
      <c r="E39" t="inlineStr"/>
      <c r="F39" t="inlineStr"/>
      <c r="G39" t="inlineStr">
        <is>
          <t>New York, NY</t>
        </is>
      </c>
      <c r="H39" t="inlineStr"/>
      <c r="I39" t="inlineStr">
        <is>
          <t>Tower Research Capital is a leading quantitative trading firm founded in 1998\. Tower has built its business on a high\-performance platform and independent trading teams. We have a 25\+ year track record of innovation and a reputation for discovering unique market opportunities.
 Tower Research Ventures (TRV), the venture arm of Tower Research Capital, is dedicated to building and investing in category\-defining companies with the same enthusiasm and discipline that Tower applies to public markets. We closely partner with our portfolio companies, offering a diverse set of business, technical, and financial expertise to help them reach their goals, from product development to business growth and beyond.
 We are seeking a
 **Staff AI Engineer** 
 to join our internal team, driving foundational engineering efforts with a focus on vertical AI applications. In this pivotal role, you will be responsible for designing, building, and launching core products from the ground up within a fast\-paced environment. This position is tailored for engineers with a passion for building, particularly those experienced in machine learning (ML) engineering and early\-stage startup environments.
**Responsibilities:**
* Acting as a ‘zero to one’ engineer, building out core features and infrastructure for new products
* Establishing and maintaining a technical roadmap for projects
* Evaluating the technical feasibility and scalability of product features
* Leading and building out the engineering side of the organization as needed
* Mentoring and collaborating with new team members as the engineering team grows
**Qualifications:**
* Bachelor’s or Master's degree in Computer Science, Engineering or a related field
* Strong technical background with 6\+ years of engineering experience
* Eagerness to work across diverse tech stacks and influence the trajectory of early\-stage ventures
* Excellent communication skills, with the ability to collaborate with investors, founders and product managers to initiate and drive projects
* Ability to manage multiple tasks in a fast\-paced, dynamic environment
**Preferred Qualifications (not required)::**
* Prior experience as an early employee for a tech startup.
* Expertise in at least one area of applied AI, such as:
+ Computer Vision
+ Language Modeling
+ Reinforcement Learning
+ Generative Modeling (e.g. image, video, audio)
* Experience building user\-facing applications, which may include:
+ Back\-end API development
+ Front\-end or full\-stack web development
+ Mobile app development
**Why Join?**
* High\-Impact, Fast\-Paced Environment: This is the ideal role for engineers who thrive on variety, problem\-solving and rapid execution. You'll get to prototype, iterate and deploy real\-world solutions quickly, ensuring constant learning and engagement
* Resource\-Rich with Startup Agility: Benefit from the backing of Tower Research Capital, gaining access to deep technical expertise, financial support and a network of top\-tier engineers and founders—all while working in an agile, fast\-moving startup\-style environment
* Collaborative Culture: Work alongside curious, driven and highly collaborative engineers, researchers, product managers and entrepreneurs who are passionate about solving complex problems and building category\-defining companies
* Growth Opportunity: Play a foundational role in shaping the technical direction and culture of a rapidly growing team. As an early team member, you'll have significant impact on the product, technology and team.
 If you're an engineer who loves building from scratch and working on high\-impact projects, TRV offers an unparalleled opportunity to do just that.
 Anticipated annual base salary range $175,000 \- $250,000, plus eligible for discretionary bonus.
**Benefits**
 Tower’s headquarters are in the historic Equitable Building, right in the heart of NYC’s Financial District and our impact is global, with over a dozen offices around the world.
 At Tower, we believe work should be both challenging and enjoyable. That is why we foster a culture where smart, driven people thrive – without the egos. Our open concept workplace, casual dress code, and well\-stocked kitchens reflect the value we place on a friendly, collaborative environment where everyone is respected, and great ideas win.
 Our benefits include:
* Generous paid time off policies
* Savings plans and other financial wellness tools available in each region
* Hybrid working opportunities
* Free breakfast, lunch, and snacks daily
* Company\-sponsored sports teams and fitness events (JPM Corporate Challenge, Cycle for Survival, Wall Street Rides FAR and more)
* Volunteer opportunities and charitable giving
* Social events, happy hours, treats, and celebrations throughout the year
* Workshops and continuous learning opportunities
 At Tower, you’ll find a collaborative and welcoming culture, a diverse team and a workplace that values both performance and enjoyment. No unnecessary hierarchy. No ego. Just great people doing great work – together.
 Tower Research Capital is an equal opportunity employer.</t>
        </is>
      </c>
    </row>
    <row r="40">
      <c r="A40" t="inlineStr">
        <is>
          <t>li-4337389334</t>
        </is>
      </c>
      <c r="B40" t="inlineStr">
        <is>
          <t>Développeur Principal en Apprentissage Automatique - Technologie et Transformation IA (CDP)/ Principal Machine Learning Engineer – AI Transformation &amp; Technology (CDP)</t>
        </is>
      </c>
      <c r="C40" t="inlineStr">
        <is>
          <t>Electronic Arts (EA)</t>
        </is>
      </c>
      <c r="D40" t="inlineStr">
        <is>
          <t>linkedin</t>
        </is>
      </c>
      <c r="E40" t="inlineStr"/>
      <c r="F40" t="inlineStr"/>
      <c r="G40" t="inlineStr">
        <is>
          <t>Orlando, FL</t>
        </is>
      </c>
      <c r="H40" t="inlineStr"/>
      <c r="I40"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Pour visualiser la description de poste en français, veuillez sélectionner le français dans le menu déroulant au haut de la page.
**About The Role**
 We’re EA, one of the world’s largest video game publishers. Our central development teams power every EA game you know and love. From localization and culturalization to testing, art, rigging, animation, capture, and cinematics we are the backbone that helps our studios bring immersive worlds to life.
 As part of EA’s AI Transformation, we’re reimagining how games are created, tested, and localized by deeply integrating generative AI and agentic systems into every part of our central development pipeline.
 We are seeking a Machine Learning Engineer on the team, to design, train, and deploy large\-scale AI models that drive innovation in human motion generation, real\-time performance capture, and multimodal understanding. You will work at the intersection of research and production—building intelligent systems that enable more natural, dynamic, and scalable character and motion technologies across EA titles.
**Key Responsibilities**
* Lead the design and implementation of deep learning models for motion capture, pose estimation, and generative motion synthesis.
* Develop and optimize transformer\-based architectures and multimodal AI systems for real\-time inference and large\-scale data processing.
* Collaborate with research, animation, and engineering teams to translate experimental models into production\-ready pipelines.
* Develop scalable training and deployment systems using frameworks such as PyTorch, TensorRT, and gRPC.
* Work with cross\-functional partners to prototype, benchmark, and validate new models and algorithms for animation, capture, and simulation.
* Implement best practices for data curation, synthetic dataset generation, and model evaluation.
* Drive experimentation and innovation through close collaboration with academic institutions and industry partners.
**Qualifications**
* PhD or Master’s degree in Computer Science, Engineering, or a related field, with focus on Machine Learning, Computer Vision, or Applied AI.
* 5\+ years of professional experience developing and deploying machine learning systems in production.
* Proven expertise in deep learning for human motion capture, pose estimation, or 3D vision.
* Proficiency in Python, PyTorch, TensorFlow, and deep learning optimization toolkits (e.g., TensorRT).
* Strong understanding of transformer architectures, LLMs, and generative adversarial networks (GANs).
* Demonstrated ability to lead R\&amp;D initiatives, mentor technical staff, and deliver results across multidisciplinary teams.
* Excellent problem\-solving, communication, and documentation skills.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\*$201,000 \- $281,900 CAD
 Pay is just one part of the overall compensation at EA.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41">
      <c r="A41" t="inlineStr">
        <is>
          <t>li-4356680987</t>
        </is>
      </c>
      <c r="B41" t="inlineStr">
        <is>
          <t>AI Engineer – Entry Level Sales Program 2026</t>
        </is>
      </c>
      <c r="C41" t="inlineStr">
        <is>
          <t>IBM</t>
        </is>
      </c>
      <c r="D41" t="inlineStr">
        <is>
          <t>linkedin</t>
        </is>
      </c>
      <c r="E41" t="inlineStr"/>
      <c r="F41" t="inlineStr"/>
      <c r="G41" t="inlineStr">
        <is>
          <t>Research Park, CA</t>
        </is>
      </c>
      <c r="H41" t="inlineStr"/>
      <c r="I41" t="inlineStr">
        <is>
          <t>**Introduction**
 Technology sales at IBM is evolving its way of working to break beyond boundaries with innovative approaches. Preferring to ‘show’ vs. ‘tell’, Client Engineering co\-creates with clients, in real\-time, on solutions to solve their hardest business challenges.
 As an AI Engineer within our Client Engineering team, you'll harness your unique skills and perspectives to engage in the development and deployment of AI systems using our Watsonx platform for pilots that lead to deployment of enterprise\-scale solutions at start\-up speed.
 In a world where technology moves at speed, it's essential that we stay ahead of the curve to provide tailored solutions that meet our clients' needs. It's not enough for us to have the technical expertise. We need to be great with people, too. To empathize. To understand. To collaborate on technical solutions that will improve lives all over the world.
 Excellent onboarding training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An AI Engineer at IBM is not just a job title \- it's a mindset. You'll leverage the WatsonX platform to co\-create AI value with clients, focusing on technology patterns to enhance repeatability and delight clients.
 Success is our passion, and your accomplishments will reflect this, driving your career forward, propelling your team to success, and helping our clients thrive.
 Your primary responsibilities will include, but not be limited to:
* Pre and Post Sales Pilots: Develop pilots to validate and highlight the feasibility and effectiveness of the proposed AI solutions. Collaborate with cross\-functional teams to implement and iterate on pilots, ensuring alignment with customer requirements and expectations while adhering to best practices and quality standards.
* Solution Optimization and Performance: Continuously monitor and optimize the performance of AI solutions, including foundation models and large language models. Identify opportunities to enhance efficiency, accuracy, and speed through fine\-tuning, algorithmic improvements, or infrastructure optimization to meet performance requirements.
* Collaboration and Project Management: Collaborate with cross\-functional teams, including AI engineers, platforms engineers, and members of the sales team, to ensure smooth execution and successful delivery of AI solutions. Effectively communicate project progress, risks, and dependencies to stakeholders.
* Industry Trends and Innovation: Stay up to date with the latest trends and advancements in AI, foundation models, and large language models. Evaluate emerging technologies, tools, and frameworks to assess their potential impact on solution design and implementation.
**To Be Successful In This Role, You Will Need**
* Confidence to contact and engage potential new customers and deliver an elevated experience.
* Motivation to achieve sales, business objectives and high client satisfaction.
* Strong analytic, problem solving, and troubleshooting skills combined with an agile process.
* Embrace curiosity and a growth mindset.
 This position requires you to be in one of the following IBM offices: Atlanta GA, Austin TX, Chicago IL, Dallas TX, New York NY, Raleigh NC, San Francisco CA, and Washington DC.
 Readiness to travel up to 50% annually.
**IBM will not be providing visa sponsorship for this position now or in the future. Therefore, in order to be considered for this position, you must have the ability to work without a need for current or future visa sponsorship**
**Preferred Education**
 Bachelor's Degree
**Required Technical And Professional Expertise**
* Technical Education: B.S./M.S. in Computer Science, Artificial Intelligence, Data Science, Math, Statistics, Engineering or equivalent technical degree/experience.
* Programming: Working knowledge in Python, R, Java or language in similar discipline.
* Tech Savvy: Conversant about AI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Self\-Starter: Motivated to work with clients and can lead projects independently.
**Preferred Technical And Professional Experience**
* Knowledge of AI frameworks such as TensorFlow, PyTorch, Keras or Hugging Face.
* Experience with LLM and foundational models.
* Understanding in the usage of libraries such as SciKit Learn, Pandas, Matplotlib, etc.
* Familiarity with open\-source technology, automation and legacy coding (Cobol, C, Assembler) is a
 plus.</t>
        </is>
      </c>
    </row>
    <row r="42">
      <c r="A42" t="inlineStr">
        <is>
          <t>li-4367269458</t>
        </is>
      </c>
      <c r="B42" t="inlineStr">
        <is>
          <t>Senior AI Engineer</t>
        </is>
      </c>
      <c r="C42" t="inlineStr">
        <is>
          <t>Capital One</t>
        </is>
      </c>
      <c r="D42" t="inlineStr">
        <is>
          <t>linkedin</t>
        </is>
      </c>
      <c r="E42" t="inlineStr"/>
      <c r="F42" t="inlineStr"/>
      <c r="G42" t="inlineStr">
        <is>
          <t>San Francisco, CA</t>
        </is>
      </c>
      <c r="H42" t="inlineStr"/>
      <c r="I4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3">
      <c r="A43" t="inlineStr">
        <is>
          <t>li-4320623827</t>
        </is>
      </c>
      <c r="B43" t="inlineStr">
        <is>
          <t>Advisory National CT&amp;I - AI Engineer - Senior Manager</t>
        </is>
      </c>
      <c r="C43" t="inlineStr">
        <is>
          <t>PwC</t>
        </is>
      </c>
      <c r="D43" t="inlineStr">
        <is>
          <t>linkedin</t>
        </is>
      </c>
      <c r="E43" t="inlineStr"/>
      <c r="F43" t="inlineStr"/>
      <c r="G43" t="inlineStr">
        <is>
          <t>Washington, DC</t>
        </is>
      </c>
      <c r="H43" t="inlineStr"/>
      <c r="I43"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will lead the design, training, and deployment of innovative ML and LLM models in production environments. As a Senior Manager, you will drive engineering excellence through hands\-on knowledge, maintaining the reliability and maintainability of scalable AI solutions while overseeing the development of cloud\-native microservices. This role offers a unique chance to shape the future of AI at PwC, leveraging advanced technologies to deliver impactful results.
**Responsibilities**
* Oversee the development of cloud\-native microservices and CI/CD pipelines
* Shape the future of AI by leveraging advanced technologies
* Foster a culture of continuous improvement and innovation
* Mentor and develop team members to enhance their skills
 What You Must Have
* Bachelor's Degree
* At least 8 years of experience in AI/ML engineering, software development, or similar technical leadership roles
 What Sets You Apart
* Master's Degree in Computer Science, Artificial Intelligence and Robotics, Software Engineering preferred
* Demonstrating in\-depth abilities in client needs assessment
* Excelling in Python and ML frameworks
* Managing cloud platforms like AWS, GCP, Azure
* Utilizing analytical techniques including machine learning and optimization
* Skilled in vectorization and prompt engineering
* Designing AI architectures with enterprise application integrations
* Championing governance and Responsible AI practices
* Mentoring junior engineers and fostering collaboration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4">
      <c r="A44" t="inlineStr">
        <is>
          <t>li-4367270864</t>
        </is>
      </c>
      <c r="B44" t="inlineStr">
        <is>
          <t>Senior Machine Learning Engineer</t>
        </is>
      </c>
      <c r="C44" t="inlineStr">
        <is>
          <t>Jobs via Dice</t>
        </is>
      </c>
      <c r="D44" t="inlineStr">
        <is>
          <t>linkedin</t>
        </is>
      </c>
      <c r="E44">
        <f>HYPERLINK("https://www.linkedin.com/jobs/view/4367270864", "https://www.linkedin.com/jobs/view/4367270864")</f>
        <v/>
      </c>
      <c r="F44">
        <f>HYPERLINK("https://click.appcast.io/t/oeVFux5H-P5HfUpCr15QIyixBqv1krOKZxASuQuHzGU=&amp;urlHash=_ONB", "https://click.appcast.io/t/oeVFux5H-P5HfUpCr15QIyixBqv1krOKZxASuQuHzGU=&amp;urlHash=_ONB")</f>
        <v/>
      </c>
      <c r="G44" t="inlineStr">
        <is>
          <t>San Diego, CA</t>
        </is>
      </c>
      <c r="H44" t="inlineStr"/>
      <c r="I44" t="inlineStr">
        <is>
          <t>Job ID: 2600921
**Location:** 
 SAN DIEGO, CA, US
**Date Posted:** 
 2026\-01\-29
**Category:** 
 Engineering and Sciences
**Subcategory:** 
 Machine Learning Engineer
**Schedule:** 
 Full\-time
**Shift:** 
 Day Job
**Travel:** 
 No
**Minimum Clearance Required:** 
 Top Secret
**Clearance Level Must Be Able to Obtain:** 
 TS/SCI
**Potential for Remote Work:** 
 No
**Description**
 SAIC is seeking a
 **Top s** 
**ecret cleared AI/Machine Learning Subject Matter Expert** 
 in support of NAVWAR's Naval Operational Architecture (NOA) Program in San Diego, CA.
 In this role, you'll help drive the innovation of autonomous, AI\-enabled systems for the Naval Operational Architecture that supports distributed maritime operations. You will translate sensor\-derived data into real\-time decision triggers, supporting initiatives. Your contributions will play a pivotal role in enhancing the Navy's command networks with AI\-driven analysis, prioritizing speed, resilience, and operational superiority. In this mission\-critical position, your expertise will help shape the future of autonomous naval warfare and analytic decision support. This is a recently awarded contract, funded for five years.
**Work is performed on site in San Diego, CA.**
 Please view our program page for more information and to view all open positions available:
**Job Duties**
* Design, develop, and implement machine learning models and algorithms for naval applications.
* Develop and deploy algorithms, mathematical models, and machine learning models into real\-world operational environments.
* Perform data preprocessing, feature engineering, model evaluation, and validation.
* Collaborate with engineers, data scientists, and mission stakeholders to align ML solutions with operational requirements.
* Develop cloud\-native ML pipelines using AWS, Azure, Docker, Kubernetes, or equivalent platforms.
* Implement ML solutions using frameworks such as TensorFlow, PyTorch, and scikit\-learn.
* Contribute to distributed computing and parallel processing approaches to optimize ML model performance.
* Participate in CI/CD pipeline development, automation, and DevSecOps workflows.
* Apply cybersecurity principles in the design and deployment of machine learning systems.
* Provide documentation, technical reports, and engineering artifacts consistent with PMAT and government standards.
* Stay current with advancements in machine learning, data science, and emerging technologies relevant to naval and DoD applications.
**Qualifications**
**Required Skills and Experience:**
* At least 10 years of experience as a data scientist, data engineer, geospatial engineer, machine learning engineer, or software engineer.
* Proven experience developing and deploying algorithms, mathematical models, or machine learning models in real\-world applications.
* Strong programming skills in Python.
* Familiarity with cloud platforms (e.g., AWS, Azure) or containerization technologies (e.g., Docker, Kubernetes).
* Familiarity with software engineering best practices, including Git.
* Experience with ML frameworks such as TensorFlow, PyTorch, or scikit\-learn.
* Strong programming skills in Java, C\+\+, Go, or Rust.
* Experience with distributed computing and parallel processing.
* Experience with CI/CD pipelines and automation tools (GitHub Actions, GitLab CI, Jenkins).
* Strong analytical, problem\-solving, and communication skills.
* Ability to work effectively in a collaborative team environment.
* Previous experience supporting government agencies or military organizations.
* Ability to safely carry tools, equipment, and materials aboard ship, including ascending and descending shipboard ladders(stairwells) and navigating confined spaces while maintaining required points of contact. Tools and equipment will weigh no more than 50 lbs.
* Ability to perform required work aboard Navy vessels and in shipboard environments, including navigating narrow passageways, ascending, and descending ladders (stairwells), working on elevated platforms, and operating in variable sea conditions.
* Ability to perform activities on a reoccurring basis during shipboard operations or testing evolutions.
* Ability to comply with Navy safety requirements and wear required personal protective equipment (PPE).
**Preferred Skills and Experience:**
* Experience with cloud\-native architecture and software API design.
* Experience integrating machine learning into operational DoD systems or edge computing environments.
* Familiarity with DoD AI strategies, MLOps, or data engineering in secure environments.
* Experience supporting NAVWAR, NIWC Pacific, or other Navy C2/ISR programs.
**Education and Certification Requirements:**
* Bachelor of Science degree in Artificial Intelligence, Data Science, Computer Science, Machine Learning, or Statistics.
* Advanced degrees (MS/PhD) in related fields are preferred but not required.
* Additional certifications in cloud, cybersecurity, AI/ML, or DevSecOps are a plus if required by contract.
**Citizenship and Clearance Requirements:**
* ship
* No dual citizenship
* Active DoD TS w/ SCI eligibility highly preferred
 Target salary range: $120,001 \- $160,000\. The estimate displayed represents the typical salary range for this position based on experience and other factors.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45">
      <c r="A45" t="inlineStr">
        <is>
          <t>li-4367481395</t>
        </is>
      </c>
      <c r="B45" t="inlineStr">
        <is>
          <t>Machine Learning Engineer</t>
        </is>
      </c>
      <c r="C45" t="inlineStr">
        <is>
          <t>Red Hat</t>
        </is>
      </c>
      <c r="D45" t="inlineStr">
        <is>
          <t>linkedin</t>
        </is>
      </c>
      <c r="E45">
        <f>HYPERLINK("https://www.linkedin.com/jobs/view/4367481395", "https://www.linkedin.com/jobs/view/4367481395")</f>
        <v/>
      </c>
      <c r="F45">
        <f>HYPERLINK("https://www.wiraa.com/job-description/us6675B0B1106643E5F6B792013C9A3CD0?source=Linkedin&amp;urlHash=o1yL", "https://www.wiraa.com/job-description/us6675B0B1106643E5F6B792013C9A3CD0?source=Linkedin&amp;urlHash=o1yL")</f>
        <v/>
      </c>
      <c r="G45" t="inlineStr"/>
      <c r="H45" t="inlineStr"/>
      <c r="I45" t="inlineStr">
        <is>
          <t>**About The Company** 
 Red Hat is a globally recognized leader in enterprise open\-source software solutions, renowned for its community\-driven approach to delivering high\-performance Linux, cloud, container, and Kubernetes technologies. Operating across more than 40 countries, Red Hat fosters a flexible and inclusive work environment that encourages innovation, collaboration, and the sharing of ideas regardless of role or tenure. The company’s commitment to open source principles underpins its culture, promoting transparency, diversity, and continuous learning. Red Hat’s mission is to enable organizations worldwide to leverage open\-source technologies to solve complex problems and accelerate digital transformation.
**About The Role** 
 We are seeking a highly skilled Principal Machine Learning Engineer specializing in model optimization algorithms to join our Red Hat AI Inference team. In this pivotal role, you will work at the forefront of AI innovation, collaborating closely with product and research teams to develop state\-of\-the\-art deep learning software. Your primary responsibilities will include designing, developing, and testing advanced inference optimization algorithms for large language models (LLMs), managing deployment pipelines, and benchmarking various parallelization and quantization techniques to enhance performance across different hardware platforms. You will have the opportunity to contribute to open\-source projects such as vLLM, llm\-d, and LLM\-compressor, ensuring that enterprise\-grade solutions are scalable, efficient, and accessible. Additionally, you will stay abreast of the latest advancements in open\-source LLM architecture, hardware capabilities, and inference techniques, providing innovative solutions to complex technical challenges. This role offers a unique chance to influence the future of AI by productizing cutting\-edge research and fostering a culture of continuous learning and mentorship within the team.
**Qualifications** 
* Bachelor’s or Master’s degree in Computer Science, Computer Engineering, or a related field; a PhD in a machine learning domain is a strong plus.
* Proven experience with machine learning and deep learning fundamentals, particularly in LLM inference optimizations, computer vision, NLP, or reinforcement learning.
* Strong programming skills in Python, with experience in implementing machine learning solutions using tensor libraries such as PyTorch and NumPy.
* Solid understanding of mathematical software, linear algebra, and concepts such as gradients, probability, and graph theory.
* Experience developing and deploying research ideas and algorithms in a production environment.
* Knowledge of CPU and GPU hardware architectures and features relevant to AI inference performance.
* Excellent communication skills, capable of collaborating effectively with both technical and non\-technical team members.
**Responsibilities** 
* Design, develop, and rigorously test inference optimization algorithms for LLMs within vLLM and related projects.
* Create and manage scalable inference serving deployment pipelines to facilitate enterprise AI solutions.
* Benchmark, profile, and evaluate various parallelization, quantization, and sparsification approaches to optimize model performance on diverse hardware platforms.
* Participate in technical design discussions, providing innovative and practical solutions to complex challenges.
* Stay current with the latest research and advancements in open\-source LLM architectures, inference techniques, and hardware capabilities.
* Review code thoughtfully and promptly, ensuring high\-quality, maintainable, and efficient software development.
* Mentor junior engineers, fostering a culture of continuous improvement, innovation, and knowledge sharing.
* Collaborate with internal teams and external open\-source contributors to enhance vLLM and related projects.
**Benefits** 
* Comprehensive medical, dental, and vision coverage.
* Flexible Spending Account (FSA) for healthcare and dependent care expenses.
* Health Savings Account (HSA) options with high deductible medical plans.
* Retirement plan with employer matching contributions (401(k)).
* Paid time off, holidays, and paid parental leave for new parents.
* Leave benefits including disability, family medical leave, and military leave.
* Additional perks such as employee stock purchase plans, tuition reimbursement, transportation expense accounts, and employee assistance programs.
 Equal Opportunity
 Red Hat is committed to creating an inclusive workplace that values diversity and equal opportunity. We are proud to be an affirmative action employer and do not discriminate based on race, color, religion, sex, sexual orientation, gender identity, national origin, ancestry, citizenship, age, veteran status, genetic information, physical or mental disability, medical condition, marital status, or any other protected characteristic.</t>
        </is>
      </c>
    </row>
    <row r="46">
      <c r="A46" t="inlineStr">
        <is>
          <t>li-4367478435</t>
        </is>
      </c>
      <c r="B46" t="inlineStr">
        <is>
          <t>ML Engineer</t>
        </is>
      </c>
      <c r="C46" t="inlineStr">
        <is>
          <t>Lockheed Martin</t>
        </is>
      </c>
      <c r="D46" t="inlineStr">
        <is>
          <t>linkedin</t>
        </is>
      </c>
      <c r="E46">
        <f>HYPERLINK("https://www.linkedin.com/jobs/view/4367478435", "https://www.linkedin.com/jobs/view/4367478435")</f>
        <v/>
      </c>
      <c r="F46" t="inlineStr"/>
      <c r="G46" t="inlineStr"/>
      <c r="H46" t="inlineStr"/>
      <c r="I46" t="inlineStr">
        <is>
          <t>**About The Company**
 Lockheed Martin is a global aerospace, defense, and security company dedicated to delivering innovative solutions to complex challenges faced by its customers. Renowned for its technological leadership and commitment to excellence, the company operates across various sectors including aeronautics, space, missile defense, and cybersecurity. With a focus on research and development, Lockheed Martin continually pushes the boundaries of innovation to create cutting\-edge products and systems that enhance national security and advance scientific discovery. The company fosters a dynamic and inclusive work environment that encourages employees to think big, lead with integrity, and make a meaningful impact on the world.
**About The Role**
 Join the Lockheed Martin Artificial Intelligence Center (LAIC) as a key member of the Applied AI team. In this role, you will be instrumental in developing, monitoring, and enhancing artificial intelligence capabilities focused on radar systems engineering, signal processing, and data science. Your work will directly contribute to transforming complex operational challenges into innovative solutions through the deployment of machine learning and AI technologies. You will be responsible for maintaining existing AI systems, developing new features to improve system performance, and analyzing customer data to optimize models. The position offers the opportunity to work at major Lockheed Martin facilities, including Moorestown, Valley Forge, Colorado, and Orlando, with flexible scheduling options to support work\-life balance. This role is ideal for a motivated professional passionate about advancing AI applications in defense and aerospace sectors, with a focus on rapid iteration and deployment of mission\-critical systems.
**Qualifications**
* Bachelor's Degree in Engineering, Computer Science, or a related field
* Experience with large dataset management and machine learning techniques
* Proficiency in Python and relevant libraries such as NumPy and Pandas
* Knowledge of MLOps pipelines and modern ML deployment practices
* U.S. citizenship and ability to obtain a security clearance (Secret level)
* Strong technical foundation in ML model development and deployment
* Excellent interpersonal and communication skills
* Self\-motivated, proactive, with effective time management skills
* Ability to work on\-site at designated Lockheed Martin facilities
 Preferred additional skills include a Master’s Degree in related disciplines, experience with DevOps tools like Docker and Git, familiarity with databases, computer vision, compiled languages, Linux application development, network/messaging protocols, high\-performance computing, and radar systems expertise.
**Responsibilities**
* Monitor and maintain operational AI systems to ensure peak performance
* Develop new AI capabilities to enhance machine learning monitoring and system updates
* Analyze customer and operational data to assess and improve ML model performance
* Collaborate with cross\-functional teams to address evolving technical and operational requirements
* Implement and refine deployment pipelines using modern MLOps practices
* Work on\-site at major Lockheed Martin facilities, with flexibility outside of mission\-critical hours
* Participate in continuous learning and development initiatives to stay current with AI advancements
**Benefits**
* Comprehensive health insurance including medical, dental, and vision coverage
* Life insurance and disability benefits (short\-term and long\-term)
* 401(k) retirement plan with company matching contributions
* Flexible Spending Accounts (FSA) and Employee Assistance Programs (EAP)
* Educational assistance and parental leave programs
* Paid time off, holidays, and leave policies aligned with state regulations
* Opportunities for remote work and flexible scheduling options
* Incentive plans and career development support
 Equal Opportunity
 Lockheed Martin is an equal opportunity employer. Qualified candidates will be considered without regard to race, color, religion, sex, sexual orientation, gender identity, national origin, age, disability, or any other protected characteristic. The company is committed to fostering a diverse and inclusive workplace where all employees can thrive and contribute to the organization’s success.</t>
        </is>
      </c>
    </row>
    <row r="47">
      <c r="A47" t="inlineStr">
        <is>
          <t>li-4367473613</t>
        </is>
      </c>
      <c r="B47" t="inlineStr">
        <is>
          <t>Machine Learning Engineer</t>
        </is>
      </c>
      <c r="C47" t="inlineStr">
        <is>
          <t>The ReWork Group</t>
        </is>
      </c>
      <c r="D47" t="inlineStr">
        <is>
          <t>linkedin</t>
        </is>
      </c>
      <c r="E47">
        <f>HYPERLINK("https://www.linkedin.com/jobs/view/4367473613", "https://www.linkedin.com/jobs/view/4367473613")</f>
        <v/>
      </c>
      <c r="F47" t="inlineStr"/>
      <c r="G47" t="inlineStr"/>
      <c r="H47" t="inlineStr"/>
      <c r="I47" t="inlineStr">
        <is>
          <t>At The ReWork Group, we partner with high\-growth startups and forward\-thinking companies to build the future. Partnering with one of our growing Series\-A clients, we're on the search for a
 **Machine Learning Engineer** 
 who wants to transform advertising through the power of creators, data, and AI.
 With the rise of influencer marketing, they're hundreds (if not thousands) ways to make influencer accessibility as measurable, predictable, and scalable as traditional paid advertising. This is your opportunity to build it at scale.
 Currently building a next\-generation platform that connects influencers using AI\-powered matchmaking, campaign automation, and generative tools, this is the new standard in Influencer Marketing.
 If you're a Machine Learning Engineer who loves building, optimizing, and deploying ML systems at scale, and you're excited to push the boundaries of AI, this might be your next role.
**What You'll Bring** 
* Proven experience designing, building, and maintaining production\-grade, end\-to\-end machine learning systems.
* Deep expertise in ML algorithms, embeddings, retrieval systems, and evaluation methodologies.
* Hands\-on experience with LLMs, including fine\-tuning, inference optimization, and agent frameworks.
* Strong background in ML infrastructure: feature stores, vector databases, model serving, and real\-time inference pipelines.
* Advanced Python proficiency and experience with PyTorch, TensorFlow, FastAPI, NumPy, scikit\-learn, and data processing frameworks.
* Experience building scalable data pipelines (batch and streaming) using tools like Spark, Kafka, or equivalent technologies.
**Who You Are** 
* You write clean, reusable, well\-documented code for ML pipelines and distributed systems.
* You love experimenting with cutting\-edge AI frameworks, ML optimizations, and deployment techniques and you move quickly from ideas to working prototypes.
* You collaborate effectively with engineering, product, and data teams to ship ML\-powered features that enhance user experience.
* You stay curious about advances in ML infrastructure, LLM optimization, retrieval\-augmented systems, and real\-time personalization.</t>
        </is>
      </c>
    </row>
    <row r="48">
      <c r="A48" t="inlineStr">
        <is>
          <t>li-4367470480</t>
        </is>
      </c>
      <c r="B48" t="inlineStr">
        <is>
          <t>Machine Learning Engineer</t>
        </is>
      </c>
      <c r="C48" t="inlineStr">
        <is>
          <t>Goliath Partners</t>
        </is>
      </c>
      <c r="D48" t="inlineStr">
        <is>
          <t>linkedin</t>
        </is>
      </c>
      <c r="E48">
        <f>HYPERLINK("https://www.linkedin.com/jobs/view/4367470480", "https://www.linkedin.com/jobs/view/4367470480")</f>
        <v/>
      </c>
      <c r="F48" t="inlineStr"/>
      <c r="G48" t="inlineStr"/>
      <c r="H48" t="inlineStr"/>
      <c r="I48" t="inlineStr">
        <is>
          <t>This is a rare opportunity to sit at the intersection of research, high\-performance computing, and large\-scale ML infrastructure, pushing the boundaries of ML applied to financial markets.
 You wouldn’t be building models for one team, you’d be building the core deep learning library and infrastructure that powers the entire research engine of the firm.
 What you’ll do
* Design, build, and evolve an internal deep learning library used firm\-wide
* Partner directly with quantitative researchers to translate research needs into reusable ML tooling
* Work alongside HPC and systems experts to optimize large training workflows for speed and cost efficiency
* Integrate the best of open\-source ML tooling with sophisticated in\-house infrastructure
* Stay on top of cutting\-edge advances in PyTorch, distributed training, CUDA optimization, and bring them into production internally
 What makes this different
* Your work directly accelerates dozens of research teams rather than a single product
* Real scale: large models, serious compute, and complex distributed workloads
* A highly technical environment where ML engineering is treated as a first\-class research enabler
* Direct exposure to some of the best quantitative researchers and systems engineers in the industry
 Background they’re looking for
* 2\+ years of ML engineering / research engineering experience
* Strong Python plus CUDA and/or C\+\+
* Experience scaling distributed deep learning workflows (PyTorch or similar)
* Experience building ML tooling, libraries, or infrastructure rather than just training models
* Interest in high\-performance systems and large\-scale compute environments
 Base: 250,000\-350,000, total comp into the 7 figures</t>
        </is>
      </c>
    </row>
    <row r="49">
      <c r="A49" t="inlineStr">
        <is>
          <t>li-4367619655</t>
        </is>
      </c>
      <c r="B49" t="inlineStr">
        <is>
          <t>Machine Learning Engineer</t>
        </is>
      </c>
      <c r="C49" t="inlineStr">
        <is>
          <t>Cleo</t>
        </is>
      </c>
      <c r="D49" t="inlineStr">
        <is>
          <t>linkedin</t>
        </is>
      </c>
      <c r="E49">
        <f>HYPERLINK("https://www.linkedin.com/jobs/view/4367619655", "https://www.linkedin.com/jobs/view/4367619655")</f>
        <v/>
      </c>
      <c r="F49" t="inlineStr"/>
      <c r="G49" t="inlineStr">
        <is>
          <t>San Francisco, CA</t>
        </is>
      </c>
      <c r="H49" t="inlineStr"/>
      <c r="I49" t="inlineStr">
        <is>
          <t>**About The Company**
**About Cleo**
 At Cleo, we're not just building another fintech app. We're embarking on a mission to fundamentally change humanity's relationship with money. Imagine a world where everyone, regardless of background or income, has access to a hyper\-intelligent financial advisor in their pocket. That's the future we're creating.
 Cleo is a rare success story: a profitable, fast\-growing unicorn with over $200 million in ARR and growing over 2x year\-over\-year. This isn't just a job; it's a chance to join a team of brilliant, driven individuals who are passionate about making a real difference. We have an exceptionally high bar for talent, seeking individuals who are not only at the top of their field but also embody our culture of collaboration and positive impact.
 If you’re driven by complex challenges that push your expertise, the chance to shape something truly transformative, and the potential to share in Cleo’s success as we scale, while growing alongside a company that’s scaling fast, this might be your perfect fit.
 Follow us on LinkedIn to keep up to date with new product features and insights from the team.
**About Cleo**
 At Cleo, we're not just building another fintech app. We're embarking on a mission to fundamentally change humanity's relationship with money. Imagine a world where everyone, regardless of background or income, has access to a hyper\-intelligent financial advisor in their pocket. That's the future we're creating.
 Cleo is a rare success story: a profitable, fast\-growing unicorn with over $200 million in ARR and growing over 2x year\-over\-year. This isn't just a job; it's a chance to join a team of brilliant, driven individuals who are passionate about making a real difference. We have an exceptionally high bar for talent, seeking individuals who are not only at the top of their field but also embody our culture of collaboration and positive impact.
 If you’re driven by complex challenges that push your expertise, the chance to shape something truly transformative, and the potential to share in Cleo’s success as we scale, while growing alongside a company that’s scaling fast, this might be your perfect fit.
 Follow us on LinkedIn to keep up to date with new product features and insights from the team.
**About The Role**
 Machine Learning Engineers at Cleo work on building novel solutions to real\-world problems. This really does vary but could be: creating chatbots to coach our users around their financial health, creating classifiers to better understand transaction data or even optimising transactions within our payments platform.
 Ultimately, we’re looking for a brilliant Machine Learning Engineer to join us on our mission to fight for the world's financial health. You’ll be leading technical work within a team of adaptable, creative and product\-focused engineers, who train \&amp; integrate cutting edge machine learning across a variety of products and deploy them into production for millions of users. We understand our customers, we understand their pain, and we are passionate about helping them.
 Here Are Some Examples, Big And Small, Of The Kinds Of Product Feature Work Our ML Engineers Have Taken Part In Over The Last Year
* Designed and implemented AI agents to analyse and extract insights from users’ transactional data.
* Developed models to interpret transactional data, enhancing the understanding of users’ finances. Think about your bank statement—how often do you not recognise a transaction on first review?
* Created contextual intent classifiers to understand user conversations with Cleo, enabling tailored and accurate platform responses.
* Engineered ML models to identify and deliver relevant actions to users within Cleo, ensuring a seamless, context\-aware conversational experience.
* Built models to evaluate risk in customer interactions with bank transaction features and user activities.
* Developed optimisation models to improve payment success rates for customers while minimising business costs, tackling this as a two\-sided optimisation challenge.
 Whatever problem you tackle, and whichever team you join, your work will directly impact those most in need, helping to improve their financial health.
**What You'll Need**
* Excellent knowledge of both Data Science (Python, SQL) and production tools
* A deep understanding of probability and statistics fundamentals
* Big picture thinking to correctly diagnose problems and productionising research
* Top tier communication skills, to be able to partner with Product and Commercial Leaders
* Industry\-leading contributions to your field, communicated through conferences, blogs, talks, or open\-source projects
* 3\+ years of experience in data science, machine learning engineering, or related roles
* Excellent knowledge of both Data Science (python, SQL) and production tools
* Strong ability to communicate findings to non\-technical stakeholders
* Experience deploying machine learning models into production; familiarity with Docker containers and container orchestration tools is a plus
**The recruitment process**
* Interview with a Recruiter (30 mins)
* Interview with the Hiring Manager (30 mins)
* Technical Interview (45 mins)
* White\-boarding session (60 mins)
* Technical Discussion (45 mins)
**What do you get for all your hard work?**
* A competitive compensation package (base \+ equity) with bi\-annual reviews, aligned to our quarterly OKR planning cycles.
* Work at one of the fastest\-growing tech startups, backed by top VC firms, Balderton \&amp; EQT Ventures
* A clear progression plan. We want you to keep growing. That means trying new things, leading others, challenging the status quo and owning your impact. Always with our complete support.
* Flexibility. We can’t fight for the world’s financial health if we’re not healthy ourselves. We work with everyone to make sure they have the balance they need to do their best work
* Work where you work best. We’re a globally distributed team. Our US team works fully remotely, but we host virtual socials and an annual company offsite in Europe with all expenses paid.
**Other Benefits**
* Company\-wide performance reviews every 6 months
* Generous pay increases for high\-performing team members
* Equity top\-ups for team members getting promoted
* 15 days annual leave a year \+ 5 additional floating flexible days per year \+ public holidays (\+ an additional day for every year you spend at Cleo)
* 1 extra day a year to be used for learning and 1 extra day for volunteering
* 401k matching
* Medical Insurance, Dental and Vision care
* Generous Parental Leave
* 1 month paid sabbatical after 4 years at Cleo
* Regular socials and activities, online and in\-person
* We'll pay for your OpenAI subscription
* Online mental health support via Spill
* And many more!
**Welcoming Everyone**
*We strongly encourage applications from people of colour, the LGBTQ\+ community, people with disabilities, neurodivergent people, parents, carers, and people from lower socio\-economic backgrounds.*
*If there’s anything we can do to accommodate your specific situation, please let us know.*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Cleo AI. I accept that if any of the information given by me in this application is in any way false or incorrect, my application may be rejected, any offer of employment may be withdrawn or my employment with Cleo AI may be terminated summarily or I may be dismissed. By submitting this application, I agree that my personal data will be processed in accordance with Cleo AI's Candidate Privacy Notice</t>
        </is>
      </c>
    </row>
    <row r="50">
      <c r="A50" t="inlineStr">
        <is>
          <t>li-4367475542</t>
        </is>
      </c>
      <c r="B50" t="inlineStr">
        <is>
          <t>Robotics and AI Engineer</t>
        </is>
      </c>
      <c r="C50" t="inlineStr">
        <is>
          <t>Unify Technologies</t>
        </is>
      </c>
      <c r="D50" t="inlineStr">
        <is>
          <t>linkedin</t>
        </is>
      </c>
      <c r="E50">
        <f>HYPERLINK("https://www.linkedin.com/jobs/view/4367475542", "https://www.linkedin.com/jobs/view/4367475542")</f>
        <v/>
      </c>
      <c r="F50">
        <f>HYPERLINK("https://easyapply.jobs/r/oEpXtbo25OZBNo1tgLup&amp;urlHash=6oLl", "https://easyapply.jobs/r/oEpXtbo25OZBNo1tgLup&amp;urlHash=6oLl")</f>
        <v/>
      </c>
      <c r="G50" t="inlineStr">
        <is>
          <t>Redmond, WA</t>
        </is>
      </c>
      <c r="H50" t="inlineStr"/>
      <c r="I50" t="inlineStr">
        <is>
          <t>Robotics and AI Engineer with a strong background in mechatronics, robotics systems design, and artificial intelligence. Contribute to the development, implementation, and optimization of intelligent robotic systems for industrial, research, or consumer applications.
**Key Responsibilities**
* Design and develop robotic systems, including hardware and software integration.
* Develop control systems for autonomous or semi\-autonomous robotic platforms.
* Implement AI algorithms for perception, decision\-making, and task execution.
* Collaborate on the integration of sensors, actuators, and mechatronic systems.
* Test, debug, and optimize robotic systems for performance and reliability.
* Stay updated on advancements in robotics, AI, and mechatronics.
**Qualifications**
* Minimum 5years experience with Bachelor’s or Master’s degree in Robotics, Mechatronics, or Mechanical Engineering.
* Experience in robotic systems design, including kinematics, dynamics, and control.
* Proficiency in programming languages (e.g., Python, C\+\+, ROS).
* Familiarity with AI techniques such as machine learning, computer vision, and neural networks.
* Hands\-on experience with hardware components (motors, controllers, sensors).
* Strong problem\-solving and analytical skills.
**Preferred Skills**
**Recent experience in ME design and prototyping**
* Experience with simulation tools (e.g., Gazebo, MATLAB/Simulink).
* Knowledge of IoT integration for robotics systems.
* Ability to work on interdisciplinary teams.
 Location
 Washington
 5 Days work from Office
 Robotics,Design \&amp; prototyping,hardware components</t>
        </is>
      </c>
    </row>
    <row r="51">
      <c r="A51" t="inlineStr">
        <is>
          <t>li-4367635000</t>
        </is>
      </c>
      <c r="B51" t="inlineStr">
        <is>
          <t>Machine Learning Engineer</t>
        </is>
      </c>
      <c r="C51" t="inlineStr">
        <is>
          <t>Valzo Soft Solutions</t>
        </is>
      </c>
      <c r="D51" t="inlineStr">
        <is>
          <t>linkedin</t>
        </is>
      </c>
      <c r="E51">
        <f>HYPERLINK("https://www.linkedin.com/jobs/view/4367635000", "https://www.linkedin.com/jobs/view/4367635000")</f>
        <v/>
      </c>
      <c r="F51" t="inlineStr"/>
      <c r="G51" t="inlineStr">
        <is>
          <t>Texas, United States</t>
        </is>
      </c>
      <c r="H51" t="inlineStr"/>
      <c r="I51" t="inlineStr">
        <is>
          <t>**Job Title:** 
 Machine Learning Engineer
**Location:** 
 Hybrid – Texas, United States
**Experience:** 
 4–15\+ Years
**Job Type:** 
 Full\-Time / C2C (60$\-125$/Hr)
**Work Authorization:** 
 All Visas applicable
**Job Description** 
 We are looking for an experienced
 **Machine Learning Engineer** 
 to design, develop, and deploy scalable machine learning models and AI\-driven solutions. The ideal candidate should have strong hands\-on experience with ML algorithms, data processing, and production\-grade ML systems.
**Key Responsibilities** 
* Design, develop, and deploy machine learning models for real\-world applications
* Work with large structured and unstructured datasets
* Build and optimize ML pipelines and workflows
* Collaborate with data scientists, engineers, and product teams
* Implement model training, validation, testing, and monitoring
* Optimize model performance, scalability, and reliability
* Deploy models using cloud platforms and MLOps best practices
* Maintain documentation and follow best coding standards
**Required Skills** 
* Strong experience in
 **Machine Learning, Deep Learning, and AI**
* Proficiency in
 **Python** 
 (NumPy, Pandas, Scikit\-learn)
* Experience with
 **TensorFlow / PyTorch / Keras**
* Solid understanding of
 **statistics, probability, and algorithms**
* Experience with
 **SQL and data processing frameworks**
* Knowledge of
 **MLOps, CI/CD, model monitoring**
* Experience with
 **AWS / Azure / GCP**
* Familiarity with
 **Docker, Kubernetes** 
 is a plus
**Preferred Skills** 
* Experience with
 **NLP, Computer Vision, or Generative AI**
* Knowledge of
 **Big Data tools** 
 (Spark, Hadoop)
* Experience with
 **REST APIs and microservices**
* Prior experience working in
 **enterprise or cloud environments**
**Education** 
* Bachelor’s or Master’s degree in
 **Computer Science, Data Science, AI, or related field**
* Equivalent practical experience is acceptable</t>
        </is>
      </c>
    </row>
    <row r="52">
      <c r="A52" t="inlineStr">
        <is>
          <t>li-4367238852</t>
        </is>
      </c>
      <c r="B52" t="inlineStr">
        <is>
          <t>Machine Learning Engineer</t>
        </is>
      </c>
      <c r="C52" t="inlineStr">
        <is>
          <t>TalentBridge</t>
        </is>
      </c>
      <c r="D52" t="inlineStr">
        <is>
          <t>linkedin</t>
        </is>
      </c>
      <c r="E52">
        <f>HYPERLINK("https://www.linkedin.com/jobs/view/4367238852", "https://www.linkedin.com/jobs/view/4367238852")</f>
        <v/>
      </c>
      <c r="F52" t="inlineStr"/>
      <c r="G52" t="inlineStr"/>
      <c r="H52" t="inlineStr"/>
      <c r="I52" t="inlineStr">
        <is>
          <t>**Role: Senior Machine Learning Engineer** 
**Location: Remote** 
**Type: Fulltime** 
**Role Summary** 
* The Machine Learning Engineer is responsible for implementing, deploying, and maintaining machine learning models in a cloud\-based ML platform. This role serves as a subject matter expert in Machine Learning Operations (MLOps), bridging the gap between data science and production\-grade systems. The engineer will help shape and guide ML solutions within an evolving technology stack and will have the autonomy to recommend and implement best\-practice approaches.
**Required Education \&amp; Experience** 
* Bachelor’s degree (Master’s preferred) in Statistics, Mathematics, Computer Science, or a related quantitative field.
* 7\+ years of experience in data science or a related discipline.
* 3\+ years of hands\-on experience with MLOps and production ML systems.
* Proven experience deploying and scaling machine learning models in production environments.
* Strong programming skills in Python and cloud automation/scripting.
* Experience with big data platforms, real\-time/streaming data, and distributed or cluster computing.
* Hands\-on knowledge of cloud platforms, particularly AWS.
**Key Responsibilities** 
* Implement and operationalize data science models in a cloud\-based ML platform (e.g., AWS SageMaker).
* Design and maintain systems to monitor model performance, reliability, and drift in production.
* Act as the MLOps subject matter expert, advising data scientists on model design and deployment considerations.
* Collaborate with data engineering teams to build and maintain data pipelines from enterprise data sources (e.g., Snowflake, time\-series systems).
* Partner with architecture teams to ensure compute, networking, and endpoint requirements are incorporated into ML solutions.
* Stay current with emerging machine learning techniques, tools, and best practices, and apply them where appropriate.
* Work effectively within a geographically distributed team, communicating priorities and project status clearly.
* Design solutions that balance performance, scalability, and cost to meet business objectives.</t>
        </is>
      </c>
    </row>
    <row r="53">
      <c r="A53" t="inlineStr">
        <is>
          <t>li-4333355314</t>
        </is>
      </c>
      <c r="B53" t="inlineStr">
        <is>
          <t>Machine Learning Engineer</t>
        </is>
      </c>
      <c r="C53" t="inlineStr">
        <is>
          <t>Robert Half</t>
        </is>
      </c>
      <c r="D53" t="inlineStr">
        <is>
          <t>linkedin</t>
        </is>
      </c>
      <c r="E53">
        <f>HYPERLINK("https://www.linkedin.com/jobs/view/4333355314", "https://www.linkedin.com/jobs/view/4333355314")</f>
        <v/>
      </c>
      <c r="F53" t="inlineStr"/>
      <c r="G53" t="inlineStr">
        <is>
          <t>El Segundo, CA</t>
        </is>
      </c>
      <c r="H53" t="inlineStr"/>
      <c r="I53" t="inlineStr">
        <is>
          <t>**Title:** 
 3D Machine Learning Engineer
**Location:** 
 Hybrid – El Segundo, CA
**Compensation:** 
 Up to $190,000 DOE \+ benefits
 We’re seeking a
 **3D Machine Learning Engineer** 
 to join our innovative R\&amp; D team developing cutting\-edge vision systems and AI\-driven 3D modeling solutions. This hybrid role in
 **El Segundo** 
 offers the opportunity to work on challenging projects at the intersection of
 **computer vision, deep learning, and image processing** 
 .
**Responsibilities** 
* Design, train, and optimize deep learning models using
 **TensorFlow** 
 and
 **Python** 
 for 2D and 3D visual data.
* Develop algorithms for
 **3D reconstruction** 
 ,
 **object recognition** 
 , and
 **scene understanding** 
 .
* Implement and evaluate models for
 **image segmentation** 
 ,
 **depth estimation** 
 , and
 **motion tracking** 
 .
* Collaborate with multidisciplinary teams of engineers and researchers to deploy models into production environments.
* Contribute to data preprocessing, augmentation, and model performance evaluation.
 For immediate consideration, direct message Reid Gormly on LinkedIN Today and Apply now
**Qualifications** 
* **Bachelor’s degree** 
 in Computer Science, Engineering, Mathematics, or related STEM field.
* **2\+ years** 
 of professional experience in
 **machine learning** 
 or
 **computer vision** 
 .
* Strong programming skills in
 **Python** 
 and experience with
 **TensorFlow** 
 (PyTorch a plus).
* Hands\-on experience with
 **2D/3D image processing** 
 ,
 **feature extraction** 
 , and
 **geometric modeling** 
 .
* Familiarity with 3D data formats (e.g., point clouds, meshes, depth maps) and visualization tools.
* Excellent problem\-solving skills and ability to work in a collaborative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54">
      <c r="A54" t="inlineStr">
        <is>
          <t>li-4367254857</t>
        </is>
      </c>
      <c r="B54" t="inlineStr">
        <is>
          <t>AI/ML Engineer Skill Level 1</t>
        </is>
      </c>
      <c r="C54" t="inlineStr">
        <is>
          <t>Onyx Point, LLC.</t>
        </is>
      </c>
      <c r="D54" t="inlineStr">
        <is>
          <t>linkedin</t>
        </is>
      </c>
      <c r="E54">
        <f>HYPERLINK("https://www.linkedin.com/jobs/view/4367254857", "https://www.linkedin.com/jobs/view/4367254857")</f>
        <v/>
      </c>
      <c r="F54">
        <f>HYPERLINK("https://onyxpointinc.catsone.com/careers/46015-General/jobs/16769011-AIML-Engineer-Skill-Level-1&amp;urlHash=Uks6", "https://onyxpointinc.catsone.com/careers/46015-General/jobs/16769011-AIML-Engineer-Skill-Level-1&amp;urlHash=Uks6")</f>
        <v/>
      </c>
      <c r="G54" t="inlineStr">
        <is>
          <t>Jessup, MD</t>
        </is>
      </c>
      <c r="H54" t="inlineStr"/>
      <c r="I54" t="inlineStr">
        <is>
          <t>**TO BE CONSIDERED FOR THIS POSITION YOU MUST CURRENTLY HAVE AN ACTIVE TS/SCI WITH POLYGRAPH SECURITY CLEARANCE WITH THE FEDERAL GOVERNMENT. (U.S. CITIZENSHIP REQUIRED).**
**Description**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Seeking an AI/ML Level 1 Engineer, responsible for building, training, fine\-tuning, and evaluating advanced language models. The ideal candidate will have hands\-on experience with state\-of\-the\-art machine learning techniques, specifically for natural language processing (NLP), and will also have a strong understanding of full\-stack development. This person will work across the model development lifecycle and collaborate with cross\-functional teams to deliver high\-impact solutions.
**Key Responsibilities**
* Knowledge and experience of Language models is required
* Specific experience with Marian and multi\-lingual model development
* Knowledge of Computation Linguistics is a plus
* Experience with Open\-Source model libraries, Deep Learning Containers (DLC), GPU technologies and optimization / tuning
* Strong Java, C, C\+\+ programming experience
* Willingness to support occasional on\-call duties is a plus
* Model Development \&amp; Training:
* Build, train, and fine\-tune machine learning models, particularly language models
* Apply best practices in model training, tuning, and optimization.
* Design and implement solutions for model performance improvement.
* Evaluation \&amp; Testing:
* Conduct rigorous model evaluation, including performance analysis and benchmarking.
* Perform error analysis, debugging, and model diagnostics to ensure quality and reliability.
* Model Deployment \&amp; Integration:
* Work with cloud\-based AI platforms (especially AWS Sagemaker) to deploy and scale models.
* Integrate machine learning models into production environments, ensuring seamless integration with other systems.
* Full\-Stack Engineering:
* Contribute to the development and maintenance of the full stack for AI model\-based applications (front\-end and back\-end).
* Collaborate with software engineers to build scalable and efficient deployment pipelines.
* Collaboration \&amp; Reporting:
* Work closely with data scientists, product teams, and engineers to translate business requirements into technical solutions.
* Document workflows, model design processes, and technical specifications.
**Key Qualifications**
* Technical Skills:
* Strong proficiency in AI/ML frameworks such as TensorFlow, PyTorch, or Hugging Face.
* Expertise in model training, evaluation, and deployment.
* Hands\-on experience with AWS tools like SageMaker, Lambda, EC2, and S3\.
* Experience in developing full\-stack software applications (JavaScript, Python, Java, etc.).
* Solid understanding of data structures, algorithms, and system design.
* Experience \&amp; Background:
* Extensive experience in machine learning model development, including natural language processing (NLP).
* Experience with model evaluation, optimization, and performance monitoring.
* Proven experience in software engineering with strong coding skills.
* Experience working in a government or defense\-related environment is highly preferred.
* Additional Skills:
* Experience with model versioning and management using tools such as MLFlow or Git.
* Familiarity with containerization tools (i.e. Kubernetes).
* Strong problem\-solving and analytical skills.
* Excellent communication and collaboration abilities.
**Nice To Have**
* Experience with secure data handling and compliance requirements
* Experience working with Large Language Models (LLMs)
 Polygraph must be within 7 years.
 2 years experience in applied machine learning in programs and contracts of similar scope, type, and complexity is required. A B.S. degree in advanced math (e.g., calculus, linear algebra or Bayesian statistics), computer science or related STEM discipline from an accredited college or university is required. 3 years of additional machine learning experience on projects with similar machine learning processes may be substituted for a bachelor’s degree.
**Compensation**
 We are committed to providing fair and competitive compensation. The salary range for our positions vary depending on accepted contractual position skill level. These salaries fall within the range of $78,000 to $275,000 per year. This range reflects the compensation offered across the locations where we hire. The exact salary will be determined based on the candidate's work location, specific role, skill set, and level of expertise.
**Benefits**
 We offer a comprehensive benefits package, including:
* Health Coverage: Medical, dental, and vision insurance
* Additional Insurance: Basic Life/AD\&amp;D, Voluntary Life/AD\&amp;D, Short and Long\-Term Disability, Accident, Critical Illness, Hospitalization Indemnity, and Pet Insurance
* Retirement Plan: 401(k) plan with company match
* Paid Time Off: Generous PTO, paid holidays, parental leave, and more
* Wellness: Access to wellness programs and mental health support
* Professional Development: Opportunities for growth, including tuition reimbursement
**Additional Perks:**
* Flexible work arrangements, including remote work options
* Flexible Spending Accounts (FSAs)
* Employee referral programs
* Bonus opportunities
* Technology allowance
* A diverse, inclusive, and supportive workplace culture</t>
        </is>
      </c>
    </row>
    <row r="55">
      <c r="A55" t="inlineStr">
        <is>
          <t>li-4299465847</t>
        </is>
      </c>
      <c r="B55" t="inlineStr">
        <is>
          <t>Machine Learning Engineer - Devops</t>
        </is>
      </c>
      <c r="C55" t="inlineStr">
        <is>
          <t>Genentech</t>
        </is>
      </c>
      <c r="D55" t="inlineStr">
        <is>
          <t>linkedin</t>
        </is>
      </c>
      <c r="E55">
        <f>HYPERLINK("https://www.linkedin.com/jobs/view/4299465847", "https://www.linkedin.com/jobs/view/4299465847")</f>
        <v/>
      </c>
      <c r="F55" t="inlineStr"/>
      <c r="G55" t="inlineStr">
        <is>
          <t>South San Francisco, CA</t>
        </is>
      </c>
      <c r="H55" t="inlineStr"/>
      <c r="I55"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Roche's AI for Drug Discovery (AIDD) group (Prescient Design), we are revolutionizing drug discovery with cutting\-edge machine learning techniques. We are seeking a highly motivated and skilled ML Infrastructure DevOps Engineer to join our growing team within Genentech Research and Early Development AI Drug Development (gRED AIDD). This role is crucial for building and maintaining the scalable and robust infrastructure that powers our machine learning initiatives. The ideal candidate will be proactive, user\-facing, and possess a "get\-it\-done" attitude, while consistently adhering to corporate standards and best practices.
**What You'll Do**
* Design, implement, and maintain scalable and reliable ML infrastructure on AWS.
* Automate deployment, monitoring, alerting, and operational tasks using tools like Terraform and Helm.
* Manage and optimize CI/CD pipelines and Git repositories for ML projects, ensuring efficient version control to support collaboration and deployment.
* Collaborate closely with ML engineers and data scientists to understand their infrastructure needs and provide solutions.
* Troubleshoot and resolve infrastructure\-related issues in a timely manner.
* Implement and enforce security best practices for ML infrastructure.
* Document infrastructure designs, processes, and operational procedures.
* Contribute to initiatives independently as part of a team, delivering assigned outputs.
* Proactively identify issues and gaps, proposing ideas and suggestions for improvements.
**Who You Are**
* Proven experience in designing, deploying, and managing infrastructure on Amazon Web Services (AWS), including services such as EC2, S3, RDS, EKS, SageMaker, etc.
* Strong proficiency with Git and Git repository management.
* Hands\-on experience with Terraform for infrastructure provisioning and management.
* Experience with Helm for deploying and managing applications on Kubernetes.
* Proficiency in scripting languages (e.g., Python, Bash) for automation.
* Excellent problem\-solving skills and a strong ability to debug complex issues.
* Strong communication and interpersonal skills to effectively collaborate with cross\-functional teams and user\-facing interactions.
* Demonstrated ability to take initiative, anticipate needs, and drive projects to completion.
* Ability to thrive in a fast\-paced environment and adapt to evolving requirements while adhering to corporate guidelines.
* Ability to write clean code with little syntax/convention feedback.
* Applies software engineering best practices (linting automation, unit testing, documentation, CI/CD).
* Familiarity with modern machine learning methods.
* Knowledge of and experience with high\-performance computing, distributed systems, and cloud computing.
**Preferred**
* Experience with MLOps platforms and tools.
* Familiarity with CI/CD pipelines for ML workflows.
* Knowledge of monitoring and logging tools (e.g., Prometheus, Grafana, ELK stack)
 Relocation benefits are available for this job posting
 The expected salary range for this position based on the primary location of California is $147,600, \- $274,000\.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56">
      <c r="A56" t="inlineStr">
        <is>
          <t>li-4366898356</t>
        </is>
      </c>
      <c r="B56" t="inlineStr">
        <is>
          <t>AI/ML Engineer – (Next-Generation AI Platforms &amp; Workloads)</t>
        </is>
      </c>
      <c r="C56" t="inlineStr">
        <is>
          <t>VeeAR Projects Inc.</t>
        </is>
      </c>
      <c r="D56" t="inlineStr">
        <is>
          <t>linkedin</t>
        </is>
      </c>
      <c r="E56">
        <f>HYPERLINK("https://www.linkedin.com/jobs/view/4366898356", "https://www.linkedin.com/jobs/view/4366898356")</f>
        <v/>
      </c>
      <c r="F56" t="inlineStr"/>
      <c r="G56" t="inlineStr">
        <is>
          <t>Sunnyvale, CA</t>
        </is>
      </c>
      <c r="H56" t="inlineStr"/>
      <c r="I56"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57">
      <c r="A57" t="inlineStr">
        <is>
          <t>li-4355887904</t>
        </is>
      </c>
      <c r="B57" t="inlineStr">
        <is>
          <t>AI/ML Engineer / Defence / $500k+ / NYC</t>
        </is>
      </c>
      <c r="C57" t="inlineStr">
        <is>
          <t>Open Talent</t>
        </is>
      </c>
      <c r="D57" t="inlineStr">
        <is>
          <t>linkedin</t>
        </is>
      </c>
      <c r="E57">
        <f>HYPERLINK("https://www.linkedin.com/jobs/view/4355887904", "https://www.linkedin.com/jobs/view/4355887904")</f>
        <v/>
      </c>
      <c r="F57" t="inlineStr"/>
      <c r="G57" t="inlineStr">
        <is>
          <t>New York, United States</t>
        </is>
      </c>
      <c r="H57" t="inlineStr"/>
      <c r="I57"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58">
      <c r="A58" t="inlineStr">
        <is>
          <t>li-4355451192</t>
        </is>
      </c>
      <c r="B58" t="inlineStr">
        <is>
          <t>Senior AI/ML Engineer</t>
        </is>
      </c>
      <c r="C58" t="inlineStr">
        <is>
          <t>Inovalon</t>
        </is>
      </c>
      <c r="D58" t="inlineStr">
        <is>
          <t>linkedin</t>
        </is>
      </c>
      <c r="E58">
        <f>HYPERLINK("https://www.linkedin.com/jobs/view/4355451192", "https://www.linkedin.com/jobs/view/4355451192")</f>
        <v/>
      </c>
      <c r="F58">
        <f>HYPERLINK("https://www.inovalon.com/careers/job/?gh_jid=7570284003&amp;gh_src=d198a36a3us&amp;urlHash=JEp4", "https://www.inovalon.com/careers/job/?gh_jid=7570284003&amp;gh_src=d198a36a3us&amp;urlHash=JEp4")</f>
        <v/>
      </c>
      <c r="G58" t="inlineStr">
        <is>
          <t>Nashville, TN</t>
        </is>
      </c>
      <c r="H58" t="inlineStr"/>
      <c r="I58"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**Job Title:** 
 Senior AI / ML Engineer
**About Us:**
 Inovalon is a leading healthcare technology company dedicated to revolutionizing the healthcare industry through innovative AI and machine learning solutions. Our mission is to leverage cutting\-edge technology to improve health outcomes and streamline healthcare processes. We are looking for a talented and experienced Senior Full Stack Machine Learning Engineer to join our dynamic team.
**Job Description:**
 As a Senior AI/ML Engineer, you will play a pivotal role in designing, developing, and deploying machine learning models that drive our healthcare solutions. You will work closely with data scientists, software engineers, and product managers to build scalable and robust machine learning systems. Your expertise will help us transform healthcare data into actionable insights, ultimately improving patient care and operational efficiency.
**Key Responsibilities:**
 Model Development: Design, implement, and optimize machine learning models for various healthcare applications, including predictive analytics, natural language processing, and generative AI.
 End\-to\-End Deployment: Develop and maintain the full lifecycle of machine learning solutions, from data preprocessing and model training to deployment and monitoring in production environments.
 Data Engineering: Collaborate with data engineers to build and maintain data pipelines, ensuring the availability of high\-quality data for training and inference.
 Software Development: Write clean, efficient, and maintainable code for machine learning applications, ensuring seamless integration with existing systems.
 Performance Optimization: Continuously monitor and improve the performance of machine learning models and systems, addressing issues related to scalability, latency, and accuracy.
 Collaboration: Work closely with cross\-functional teams to understand business requirements and translate them into technical solutions.
 Mentorship: Provide guidance and mentorship to junior engineers, fostering a culture of continuous learning and innovation.
 On\-Call Support: Advance and standardize CI/CD frameworks. Participate in an on\-call rotation to resolve critical incidents within SLA\-defined timeframes, with performance measured by incident resolution metrics and post\-incident reviews.
 Compliance \&amp; Confidentiality: Ensure ongoing compliance with Inovalon’s policies, HIPAA, and all regulatory requirements. Lead regular internal audits and compliance reviews, maintaining a state of audit\-readiness and proactively mitigating risks related to data handling and service delivery.
**Qualifications:**
* Minimum of 8 years total experience with 4\+ years of experience in dedicated machine learning, with a proven track record of deploying models in production environments.
* Proficiency in Python and relevant ML libraries (e.g., TensorFlow, PyTorch, scikit\-learn).
* Proficiency in building applications leveraging generative AI technologies which includes LLM’s, prompt engineering, Vector Databases, RAG architectures and transfer learning.
* Experience with cloud platforms (e.g., AWS, GCP, Azure) and containerization technologies (e.g., Docker, Kubernetes).
* Strong knowledge of data structures, algorithms, and software engineering best practices.
* Familiarity with big data technologies (e.g., Hadoop, Spark) and data pipeline tools (e.g., Airflow, Kafka).
* Experience with frontend and backend development, including frameworks such as React, Node.js, and Django.
* Domain Knowledge: Understanding of healthcare data standards (e.g., HL7, FHIR) and regulations (e.g., HIPAA) is a plus.
**Soft Skills:**
* Excellent problem\-solving and analytical skills.
* Strong communication and collaboration abilities.
* Ability to work independently and as part of a team in a fast\-paced environment.
**What We Offer:**
* Competitive salary and benefits package.
* Opportunity to work on impactful projects that improve healthcare outcomes.
* Collaborative and innovative work environment.
* Professional development and growth opportunities.
* Flexible work arrangements, including hybrid and remote options.
 Join us in our mission to transform healthcare through technology! We look forward to hearing from you.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$151,800—$228,000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59">
      <c r="A59" t="inlineStr">
        <is>
          <t>li-4367477253</t>
        </is>
      </c>
      <c r="B59" t="inlineStr">
        <is>
          <t>AI/ML Engineer</t>
        </is>
      </c>
      <c r="C59" t="inlineStr">
        <is>
          <t>micro1</t>
        </is>
      </c>
      <c r="D59" t="inlineStr">
        <is>
          <t>linkedin</t>
        </is>
      </c>
      <c r="E59">
        <f>HYPERLINK("https://www.linkedin.com/jobs/view/4367477253", "https://www.linkedin.com/jobs/view/4367477253")</f>
        <v/>
      </c>
      <c r="F59" t="inlineStr"/>
      <c r="G59" t="inlineStr"/>
      <c r="H59" t="inlineStr"/>
      <c r="I59" t="inlineStr">
        <is>
          <t>**Job Title:** 
 AI/ML Engineer
**Job Type:** 
 Full\-Time, Contractual
**Job Summary:** 
 Join our customer’s team as an AI/ML Engineer,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60">
      <c r="A60" t="inlineStr">
        <is>
          <t>li-4331595273</t>
        </is>
      </c>
      <c r="B60" t="inlineStr">
        <is>
          <t>Senior Machine Learning Engineer</t>
        </is>
      </c>
      <c r="C60" t="inlineStr">
        <is>
          <t>Iterable</t>
        </is>
      </c>
      <c r="D60" t="inlineStr">
        <is>
          <t>linkedin</t>
        </is>
      </c>
      <c r="E60">
        <f>HYPERLINK("https://www.linkedin.com/jobs/view/4331595273", "https://www.linkedin.com/jobs/view/4331595273")</f>
        <v/>
      </c>
      <c r="F60">
        <f>HYPERLINK("https://job-boards.greenhouse.io/iterable/jobs/7087600&amp;urlHash=2Eue", "https://job-boards.greenhouse.io/iterable/jobs/7087600&amp;urlHash=2Eue")</f>
        <v/>
      </c>
      <c r="G60" t="inlineStr">
        <is>
          <t>Boston, MA</t>
        </is>
      </c>
      <c r="H60" t="inlineStr"/>
      <c r="I60"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We’re looking for a talented Senior Machine Learning Engineer to join a cross\-functional machine learning team shaping the future of our platform’s AI capabilities. In this role, you’ll architect and develop robust systems for feature engineering and large\-scale model training — collaborating across teams, navigating complex data challenges, and guiding technical direction.
 This is an exceptional opportunity for someone with a strong platform mindset who is passionate about building end\-to\-end ML workflows, enjoys tackling real\-world data problems, and thrives on ownership from ideation through to deployment. You’ll play a pivotal part in designing reusable, scalable ML infrastructure, enabling teams to accelerate experimentation and bring intelligent features to life. While specific domain expertise in certain ML methods is a plus, what matters most is your ability to identify impactful opportunities, prototype new solutions, and continuously advance our platform’s machine learning capabilities.
 One of our core values is a growth mindset and Iterable is a company where everyone can grow. If this is a role that excites you, please do apply as we value applicants for the skills they bring beyond a job description.
**How You Will Make a Difference:**
* Independently lead large\-scale machine learning initiatives—delivering capabilities for scalable feature engineering, data processing, and model training on Databricks.
* Design, build, and deploy machine learning models that enable our partners to reach the right user with the right message at the right time.
* Own the complete lifecycle of ML platform features: from requirements gathering and architecture, through implementation, deployment, and post\-launch support.
* Shape architectural decisions aimed at building robust, reusable, and highly available ML infrastructure that raises the bar for engineering and data science excellence.
* Mentor colleagues through code reviews, technical design sessions, and knowledge sharing, helping grow a strong culture of engineering rigor and learning.
**We Are Looking for People Who:**
* Have 5\+ years of experience in machine learning engineering, data infrastructure, or platform engineering, preferably in a SaaS environment.
* Demonstrate a strong track record leading multi\-stakeholder projects that deliver platform features, scalable ML tooling, or end\-to\-end training systems.
* Show proficiency with Python (with a preference for experience in distributed data processing environments like Databricks, Spark, or similar platforms).
* Bring hands\-on experience with large\-scale data pipelines, distributed systems, and cloud data storage (Databricks Delta, Spark, Kafka, Postgres, etc.).
* Exhibit a product\-minded approach: comfortable partnering with product managers and data practitioners to balance trade\-offs across usability, scalability, and complexity.
* Possess curiosity and adaptability to master new ML and data technologies, frameworks, and best practices.
* Communicate and collaborate effectively within remote and distributed teams.
**Bonus Points**
* Experience building or operating ML platforms on Databricks.
* Scala development experience
* Familiarity with ML workflow orchestration tools (e.g., MLflow, Kubeflow, Airflow) and interest in automating model development, testing, and deployment.
* Exposure to generative AI or large language model workflows within an agentic or conversational UX context.
* Experience designing developer\-facing APIs or tools to empower other ML engineers or data scientists.
* Success working in remote\-first or globally distributed engineering organizations.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61">
      <c r="A61" t="inlineStr">
        <is>
          <t>li-4367606636</t>
        </is>
      </c>
      <c r="B61" t="inlineStr">
        <is>
          <t>AI Engineer</t>
        </is>
      </c>
      <c r="C61" t="inlineStr">
        <is>
          <t>Best Job Tool</t>
        </is>
      </c>
      <c r="D61" t="inlineStr">
        <is>
          <t>linkedin</t>
        </is>
      </c>
      <c r="E61">
        <f>HYPERLINK("https://www.linkedin.com/jobs/view/4367606636", "https://www.linkedin.com/jobs/view/4367606636")</f>
        <v/>
      </c>
      <c r="F61">
        <f>HYPERLINK("https://www.hirecrap.com/job-description-usj/2086375888511544294?src=LinkedIn&amp;urlHash=O-W0", "https://www.hirecrap.com/job-description-usj/2086375888511544294?src=LinkedIn&amp;urlHash=O-W0")</f>
        <v/>
      </c>
      <c r="G61" t="inlineStr"/>
      <c r="H61" t="inlineStr"/>
      <c r="I61" t="inlineStr">
        <is>
          <t>**About The Company**
 Lightfield is a forward\-thinking technology company dedicated to delivering innovative solutions that empower businesses and individuals alike. With a strong focus on cutting\-edge advancements in the industry, Lightfield prides itself on fostering a collaborative and dynamic work environment. Our commitment to excellence, integrity, and sustainability drives us to develop products and services that make a meaningful impact across various sectors. As a growing organization, we value creativity, diversity, and continuous learning, ensuring our team remains at the forefront of technological innovation.
**About The Role**
 We are seeking a highly motivated and skilled professional to join Lightfield as a \[Insert Job Title]. In this pivotal role, you will be responsible for \[briefly describe core responsibilities, e.g., developing innovative software solutions, managing key projects, or leading cross\-functional teams]. The ideal candidate will possess a strong technical background, excellent problem\-solving abilities, and a passion for driving technological advancements. This position offers an exciting opportunity to contribute to impactful projects, collaborate with talented professionals, and grow within a dynamic environment that encourages innovation and excellence.
**Qualifications**
 The successful candidate should meet the following qualifications:
* Bachelor's or Master’s degree in Computer Science, Engineering, or a related field.
* Proven experience in \[relevant skills or technologies, e.g., software development, data analysis, project management].
* Strong understanding of \[specific tools, programming languages, or methodologies relevant to the role].
* Excellent communication and teamwork skills.
* Ability to adapt to fast\-paced environments and manage multiple priorities effectively.
* Demonstrated problem\-solving skills and attention to detail.
**Responsibilities**
 The key responsibilities of this role include:
* Designing, developing, and implementing innovative solutions aligned with company objectives.
* Collaborating with cross\-functional teams to ensure seamless project execution.
* Participating in the full software development lifecycle, including planning, coding, testing, and deployment.
* Providing technical guidance and mentorship to junior team members.
* Monitoring and optimizing system performance to ensure reliability and scalability.
* Staying updated on industry trends and emerging technologies to continuously improve processes and products.
* Documenting technical specifications and maintaining comprehensive project documentation.
**Benefits**
 At Lightfield, we believe in rewarding our employees with a comprehensive benefits package that promotes well\-being and professional growth. Our offerings include competitive salary packages, health insurance coverage, retirement plans, and paid time off. We also provide opportunities for continuous learning through training programs, workshops, and conferences. Employees enjoy a flexible work environment, fostering work\-life balance, and access to modern office facilities. Additionally, we promote a culture of recognition and collaboration, ensuring every team member feels valued and motivated to contribute their best.
 Equal Opportunity
 Lightfield is an equal opportunity employer committed to fostering an inclusive environment for all employees. We do not discriminate based on race, color, religion, gender, sexual orientation, age, national origin, disability, or any other protected characteristic. We believe that diverse perspectives and backgrounds drive innovation and success, and we are dedicated to providing a workplace where everyone can thrive and reach their full potential.</t>
        </is>
      </c>
    </row>
    <row r="62">
      <c r="A62" t="inlineStr">
        <is>
          <t>li-4367602792</t>
        </is>
      </c>
      <c r="B62" t="inlineStr">
        <is>
          <t>AI Engineer - Microsoft 365 Copilot Specialist</t>
        </is>
      </c>
      <c r="C62" t="inlineStr">
        <is>
          <t>Stefanini Group</t>
        </is>
      </c>
      <c r="D62" t="inlineStr">
        <is>
          <t>linkedin</t>
        </is>
      </c>
      <c r="E62">
        <f>HYPERLINK("https://www.linkedin.com/jobs/view/4367602792", "https://www.linkedin.com/jobs/view/4367602792")</f>
        <v/>
      </c>
      <c r="F62">
        <f>HYPERLINK("https://www.adzuna.com/details/5606137105?v=D4E230F77C5334F8CC0C395F466B741C783A9FC9&amp;r=21167620&amp;frd=76ba5d1703d005feda7f7ae1a9a826a6&amp;ccd=8ac487c8a05ee2520261d1333bbd4d29&amp;utm_source=linkedin7&amp;utm_medium=organic&amp;chnlid=1931&amp;title=AI%20Engineer%20-%20Microsoft%20365%20Copilot%20Specialist&amp;a=e&amp;urlHash=yH7U", "https://www.adzuna.com/details/5606137105?v=D4E230F77C5334F8CC0C395F466B741C783A9FC9&amp;r=21167620&amp;frd=76ba5d1703d005feda7f7ae1a9a826a6&amp;ccd=8ac487c8a05ee2520261d1333bbd4d29&amp;utm_source=linkedin7&amp;utm_medium=organic&amp;chnlid=1931&amp;title=AI%20Engineer%20-%20Microsoft%20365%20Copilot%20Specialist&amp;a=e&amp;urlHash=yH7U")</f>
        <v/>
      </c>
      <c r="G62" t="inlineStr">
        <is>
          <t>New York, NY</t>
        </is>
      </c>
      <c r="H62" t="inlineStr"/>
      <c r="I62" t="inlineStr">
        <is>
          <t>**Details:**
 Stefanini Group is looking for
 **AI Engineer \- Microsoft 365 Copilot Specialist** 
 for a globally recognized company!
 For interested applicants, click the apply button or you may reach out to
 **Alfher Hidalgo at (248\) 728\-2627/Alfher.Hidalgo@stefanini.com** 
 for faster processing. Thank you!
****Job Summary:****
 We are looking for an AI Engineer who specializes in Microsoft 365 Copilot to help configure and optimize our AI\-driven applications. The ideal candidate will have a deep understanding of the M365 platform, its features, and how they integrate seamlessly to enhance user experience. This role requires a professional who can ensure compliance with security protocols while maximizing the potential of AI tools within the organization.
****Key Responsibilities:****
**Copilot Configuration:** 
 Design, configure, and optimize Microsoft 365 Copilot to meet the specific needs of the organization, ensuring smooth integration with existing workflows and applications.
**Feature Integration:** 
 Collaborate with cross\-functional teams to understand how various features within the M365 ecosystem work together, and develop strategies to enhance productivity through AI\-driven solutions.
**Security Management:** 
 Assess and implement security measures related to the use of Copilot, ensuring compliance with organizational policies and industry standards. Stay updated on best practices for data privacy and security in AI applications.
**User Training and Support:** 
 Develop training materials and conduct workshops to educate team members on how to effectively utilize Copilot features, ensuring user adoption and proficiency.
**Monitoring and Optimization:** 
 Continuously monitor the performance of AI applications, analyze usage data, and identify opportunities for improvement to enhance functionality and user experience.
**Collaboration:** 
 Work closely with IT and security teams to address any potential risks associated with AI deployment and implement necessary controls.
**Details:**
**Qualifications:**
* Bachelor's or Master's degree in Computer Science, Artificial Intelligence, Data Science, or a related field.
* Proven experience working with Microsoft 365 Copilot, including configuration and feature integration.
* Strong understanding of the M365 ecosystem and its applications (e.g., Word, Excel, Teams, SharePoint).
* Knowledge of AI technologies and frameworks, with a focus on practical applications in a business context.
* Familiarity with security protocols and best practices related to AI and data handling.
* Excellent problem\-solving skills and the ability to work collaboratively in a fast\-paced environment.
* Strong communication skills, with the ability to explain complex technical concepts to non\-technical stakeholders.
****Preferred Qualifications:****
* Experience in developing and implementing AI solutions in an enterprise environment.
* Certifications related to Microsoft technologies (e.g., Microsoft Certified: Azure AI Engineer Associate).
* Familiarity with machine learning frameworks and tools.</t>
        </is>
      </c>
    </row>
    <row r="63">
      <c r="A63" t="inlineStr">
        <is>
          <t>li-4356861437</t>
        </is>
      </c>
      <c r="B63" t="inlineStr">
        <is>
          <t>AI Engineer</t>
        </is>
      </c>
      <c r="C63" t="inlineStr">
        <is>
          <t>Avesta Computer Services</t>
        </is>
      </c>
      <c r="D63" t="inlineStr">
        <is>
          <t>linkedin</t>
        </is>
      </c>
      <c r="E63">
        <f>HYPERLINK("https://www.linkedin.com/jobs/view/4356861437", "https://www.linkedin.com/jobs/view/4356861437")</f>
        <v/>
      </c>
      <c r="F63" t="inlineStr"/>
      <c r="G63" t="inlineStr">
        <is>
          <t>Fremont, CA</t>
        </is>
      </c>
      <c r="H63" t="inlineStr"/>
      <c r="I63" t="inlineStr">
        <is>
          <t>**Customer** 
 \- Our customer offers an enterprise grade, Agentic\-AI solution/platform to help customers de\-risk, optimize and rationalize their entire application portfolio, based on deep actionable insights.
**Job Title** 
 \-
 **AI Engineer** 
**Location** 
 \- Fremont, California, United States
**Type** 
 \- Fulltime
**H1 Sponsorship is available** 
 As an
 **AI Engineer** 
 , you’ll help build the next generation of
 **intelligent Agents** 
 that power this platform — autonomous systems that reason, collaborate, and deliver actionable insights across complex enterprise environments. You’ll work at the frontier of applied AI — blending model engineering, orchestration, and product thinking to make AI truly useful and reliable in enterprise contexts.
**What You’ll Do** 
* Design, build, and scale intelligent
 **multi\-agent systems** 
 that can autonomously perform complex reasoning, analysis, and decision\-support tasks.
* Architect and optimize
 **AI workflows** 
 that combine LLMs, tools, and retrieval mechanisms into reliable, explainable, and repeatable outcomes.
* Develop
 **evaluation and control frameworks** 
 to ensure agent accuracy, traceability, and performance in dynamic enterprise settings.
* Collaborate closely with product, engineering, and customer teams to translate business problems into scalable AI capabilities.
* Continuously refine agent behavior and orchestration through experimentation, system\-level tuning, and real\-world feedback.
**Who You Are** 
* 3–6 years of experience in applied AI, machine learning, or software systems engineering.
* **Hands\-on experience with LLM frameworks and agentic architectures (LangChain, LlamaIndex, AutoGen, or similar).**
* Strong software fundamentals in Python, APIs, and data handling — you can design systems, not just models.
* Deep curiosity about how AI can simulate reasoning, collaboration, and autonomy within real business ecosystems.
* Thrive in high\-context, high\-velocity environments where your work shapes the core intelligence of the company</t>
        </is>
      </c>
    </row>
    <row r="64">
      <c r="A64" t="inlineStr">
        <is>
          <t>li-4326356989</t>
        </is>
      </c>
      <c r="B64" t="inlineStr">
        <is>
          <t>Machine Learning Engineer</t>
        </is>
      </c>
      <c r="C64" t="inlineStr">
        <is>
          <t>Recruiting from Scratch</t>
        </is>
      </c>
      <c r="D64" t="inlineStr">
        <is>
          <t>linkedin</t>
        </is>
      </c>
      <c r="E64">
        <f>HYPERLINK("https://www.linkedin.com/jobs/view/4326356989", "https://www.linkedin.com/jobs/view/4326356989")</f>
        <v/>
      </c>
      <c r="F64" t="inlineStr"/>
      <c r="G64" t="inlineStr">
        <is>
          <t>San Francisco, CA</t>
        </is>
      </c>
      <c r="H64" t="inlineStr"/>
      <c r="I64" t="inlineStr">
        <is>
          <t>**About the Company** 
 We are training models that predict how well someone will perform on a job better than a human can. We use our platform to source, vet, and onboard expert contractors who help train AI models in a wide variety of domains. Our technology is so effective it’s used by all of the top 5 AI labs.
 We scaled from $1\-500M in revenue run rate in the last 17 months, making us the fastest growing company in the world. Our growth is accelerating. We averaged 11% week over week growth in July, 18% WoW growth in August, and 19% WoW growth in September. The team is small and we remain profitable because we can’t hire great people as quickly as revenue is growing."
**About the Role** 
 As a Machine Learning Engineer, you’ll be a key contributor to the backbone of our core product: models and systems that power talent discovery, evaluation, and trust. From fraud detection to candidate\-job matching to performance prediction, your work will directly impact how companies find talent and how people land their next opportunity.
 This role blends generalist backend engineering with applied machine learning and statistical modeling. You’ll work across the stack: designing and deploying models, building scalable infrastructure, and collaborating with product and operations teams to solve real\-world problems.
**What You’ll Work On** 
* Researching, training, and deploying ML models in production (e.g., fraud/cheating detection, candidate engagement and conversion prediction, search/recommendation).
* Building backend infrastructure and APIs to serve ML models at scale.
* Collaborating with product engineers, sourcing/operations, and other teams to align models with business impact.
* Running experiments, analyzing results, and iterating quickly to improve model and product performance.
* Wearing multiple hats, sometimes data scientist, sometimes backend engineer, always problem solver.
**What We’re Looking For** 
* Strong background in backend engineering (Python/Django or similar).
* Solid foundation in machine learning and statistics; experience applying ML in production.
* Comfort with ambiguity and a willingness to work across domains.
* Familiarity with LLMs, search/recommendation systems, or classification models is a bonus.
* Above all: a strong generalist engineer with the curiosity and rigor to tackle diverse problems.
**Why Join Us** 
* Work on high\-impact problems at the intersection of ML and talent discovery.
* Own projects end\-to\-end in a fast\-moving, high\-autonomy environment.
* Collaborate with a team of versatile engineers who are comfortable wearing many hats.
* Contribute to a mission of empowering a billion people to find their next job.
**Compensation** 
* Base cash compensation $130\-400k
* Generous equity grant
* $20K relocation bonus
* $10K housing bonus
* $1K/month food stipend
* Free Equinox membership
* Health insurance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t>
        </is>
      </c>
    </row>
    <row r="65">
      <c r="A65" t="inlineStr">
        <is>
          <t>li-4367500031</t>
        </is>
      </c>
      <c r="B65" t="inlineStr">
        <is>
          <t>Senior AI/ML Engineer, Tools &amp; Infrastructure</t>
        </is>
      </c>
      <c r="C65" t="inlineStr">
        <is>
          <t>Apple</t>
        </is>
      </c>
      <c r="D65" t="inlineStr">
        <is>
          <t>linkedin</t>
        </is>
      </c>
      <c r="E65">
        <f>HYPERLINK("https://www.linkedin.com/jobs/view/4367500031", "https://www.linkedin.com/jobs/view/4367500031")</f>
        <v/>
      </c>
      <c r="F65">
        <f>HYPERLINK("https://jobs.apple.com/en-us/details/200643825?board_id=17682&amp;urlHash=rxsy", "https://jobs.apple.com/en-us/details/200643825?board_id=17682&amp;urlHash=rxsy")</f>
        <v/>
      </c>
      <c r="G65" t="inlineStr">
        <is>
          <t>Cupertino, CA</t>
        </is>
      </c>
      <c r="H65" t="inlineStr"/>
      <c r="I65" t="inlineStr">
        <is>
          <t>**Summary**
 Come join a creative engineering team devoted to making our products more durable through data\-driven insights. We're looking for a senior AI/ML engineer to lead the development of intelligent applications and systems that unlock the power of our hardware test data and enable hardware engineers to create their own software tools. In this role, you'll architect and build scalable AI/ML\-driven software to help take our department's capabilities to the next level. You'll work with hardware and software engineering teams throughout Apple to design robust AI/ML applications, implement production\-grade AI pipelines, iterate based on evolving requirements, and provide input on technical strategy. The tools and platforms you build will power processes, analytics, and workflows that directly influence the design of future products. This is a hands\-on work environment where engineers are expected to be self\-motivated and proficient with a wide range of AI/ML technologies, while dedicating time to leading contractor teams, driving projects forward, presenting to executive leadership, and delivering excellent solutions for Apple.
**Description**
 In this role you'll architect and implement AI/ML software applications and platforms for the Reliability department at Apple. You’ll provide technical leadership and bridge the gap between business needs and production software, delivering tools that automate workflows and surface novel insights for the organization.
**Responsibilities**
* Architect and build robust, full\-stack AI/ML applications using modern software engineering best practices, leveraging Python\-based services (FastAPI), containerized deployments on Kubernetes, scalable data stores (Postgres/Timescale with vector search), and production\-grade ML platforms for training, evaluation, and serving, while providing technical leadership across projects.
* Lead and mentor a team of external contractors, providing architectural guidance, code reviews, and daily direction to ensure fast, high\-quality delivery.
* Drive the scope of engineering projects independently, identifying new opportunities, defining requirements, and managing the full project lifecycle from concept to deployment.
* Apply machine learning algorithms and statistical methods to solve complex business problems, focusing on rapid prototyping followed by high\-quality production delivery.
* Design and implement MLOps workflows to ensure applications are scalable, monitoring their performance and reliability in production environments.
* Cultivate strong partnerships across engineering and business teams, acting as both a visionary and translator between software and non\-software audiences.
* Act as the primary point of contact for stakeholders, tailoring communication to multidisciplinary audiences while delivering regular updates on project roadmaps.
* Present complex technical narratives and data\-driven insights effectively to executive leadership through clear, high\-impact presentations and visualizations.
**Minimum Qualifications**
* B.S. in Computer Science, Software Engineering, Computer Engineering, Machine Learning, or related field
* 4\+ years experience and strong foundation in Software Engineering fundamentals, including data structures, algorithms, object\-oriented design, and proficiency in building production\-quality applications in Python
* 2\+ years expertise in AI Engineering, using modern ML frameworks to design and deploy production\-level platforms with end\-to\-end observability using vector\-enabled data stores (e.g. Postgres/Timescale)
* Demonstrated leadership experience with the ability to lead contractors, mentor peers, and manage technical resources effectively
* Proven ability to drive projects independently: defining scope, collaborating with stakeholders, negotiating requirements, and driving projects to completion
* Solid understanding of Machine Learning algorithms, with the ability to select and implement the right model or approach for the problem at hand
* Excellent communication and presentation skills, with the ability to articulate complex technical concepts to diverse audiences and influence decision\-making
* Thrives in fast\-paced, evolving environments—quickly pivots priorities while maintaining data integrity and reliability
**Preferred Qualifications**
* M.S. in Computer Science, Software Engineering, Computer Engineering, Machine Learning, or related field
* Passion for quality and attention to detail; proactive in researching and assessing emerging technologies (AI/ML models, protocols, and techniques), and integrating them into production
* Experience designing and operating MLOps workflows in cloud\-native environments, including CI/CD for ML systems, model versioning and promotion, scalable batch and online inference, and monitoring of data quality, model performance, and system reliability in production
* Track record of successfully growing the scope of engineering projects from initial proof\-of\-concept to organization\-wide adoption
* 6\+ years experience and strong foundation in Software Engineering fundamentals, including data structures, algorithms, object\-oriented design, and proficiency in building production\-quality applications
* Experience with Python (FastAPI), PyTorch, Hugging Face, and Spark to deploy production\-level platforms on Kubernetes with end\-to\-end observability, MLflow tracking, and vector\-enabled data stores (e.g. Postgres/Timescale)
* Experience with computer vision technologies and techniques, especially for segmentation, anomaly detection, and objective grading is a plus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6">
      <c r="A66" t="inlineStr">
        <is>
          <t>li-4356711649</t>
        </is>
      </c>
      <c r="B66" t="inlineStr">
        <is>
          <t>Low Code AI Engineer</t>
        </is>
      </c>
      <c r="C66" t="inlineStr">
        <is>
          <t>NOVA-Diné</t>
        </is>
      </c>
      <c r="D66" t="inlineStr">
        <is>
          <t>linkedin</t>
        </is>
      </c>
      <c r="E66">
        <f>HYPERLINK("https://www.linkedin.com/jobs/view/4356711649", "https://www.linkedin.com/jobs/view/4356711649")</f>
        <v/>
      </c>
      <c r="F66">
        <f>HYPERLINK("https://ddc-dine-careers.icims.com/jobs/5901/low-code-ai-engineer/job&amp;urlHash=nh_7", "https://ddc-dine-careers.icims.com/jobs/5901/low-code-ai-engineer/job&amp;urlHash=nh_7")</f>
        <v/>
      </c>
      <c r="G66" t="inlineStr">
        <is>
          <t>Washington, DC</t>
        </is>
      </c>
      <c r="H66" t="inlineStr"/>
      <c r="I66" t="inlineStr">
        <is>
          <t>**Job Summary**
 The
 **Low Code AI Engineer** 
 will support the International Trade Administration (ITA) AI Center of Excellence (AI‑CoE) by developing, deploying, and maintaining scalable artificial intelligence and machine learning solutions. This role focuses on building predictive models, automating ML pipelines, and operationalizing AI solutions using low‑code and cloud‑based platforms within a federal environment.
* This position is contingent upon contract award.\*
**Job Duties And Responsibilities**
* Develop algorithms and predictive models using machine learning and deep learning frameworks.
* Scale AI/ML prototypes into production‑ready solutions.
* Preprocess, validate, and manage structured and unstructured datasets.
* Automate, orchestrate, and monitor machine learning pipelines.
* Manage versioning, deployment, and lifecycle of models and datasets.
* Ensure data quality, accuracy, and integrity throughout the ML lifecycle.
* Serve and scale ML models in cloud environments.
* Deploy, monitor, and maintain AI/ML solutions in development, staging, and production.
* Collaborate with cross‑functional teams using SAFe Agile methodologies.
* Utilize Government‑provided DevOps and cloud platforms.
* Produce clear technical documentation compliant with federal standards.
* Other duties as assigned.
**Job Requirements (Education/Skills/Experience)**
* U.S. Citizenship (required). Ability to obtain and maintain a NACI or higher background investigation.
* Bachelor’s degree in Computer Science, Data Science, Engineering, or a related field (or equivalent experience).
* Experience developing and deploying machine learning models.
* Hands‑on experience with data preprocessing, feature engineering, and model evaluation.
* Familiarity with ML pipeline automation and orchestration tools.
* Experience working in Agile or SAFe environments.
**Desired Qualifications**
* Master’s degree in a related technical field.
* Experience with low‑code or no‑code AI/ML platforms.
* Experience deploying models in cloud environments (AWS, Azure, or GCP).
* Knowledge of MLOps practices, CI/CD pipelines, and monitoring tools.
* Prior experience supporting federal or government clients.
* Familiarity with AI governance, ethics, and security considerations.
* Experience using Azure DevOps or similar tools.
 Work Location: Remote work preferred with occasional on‑site support in Washington, DC, as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t>
        </is>
      </c>
    </row>
    <row r="67">
      <c r="A67" t="inlineStr">
        <is>
          <t>li-4367471293</t>
        </is>
      </c>
      <c r="B67" t="inlineStr">
        <is>
          <t>AI Engineer</t>
        </is>
      </c>
      <c r="C67" t="inlineStr">
        <is>
          <t>micro1</t>
        </is>
      </c>
      <c r="D67" t="inlineStr">
        <is>
          <t>linkedin</t>
        </is>
      </c>
      <c r="E67">
        <f>HYPERLINK("https://www.linkedin.com/jobs/view/4367471293", "https://www.linkedin.com/jobs/view/4367471293")</f>
        <v/>
      </c>
      <c r="F67" t="inlineStr"/>
      <c r="G67" t="inlineStr"/>
      <c r="H67" t="inlineStr"/>
      <c r="I67" t="inlineStr">
        <is>
          <t>**Job Title:** 
 AI Engineer
**Job Type:** 
 Full\-Time, Contractual
**Job Summary:** 
 Join our customer’s team as an AI Engineer,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68">
      <c r="A68" t="inlineStr">
        <is>
          <t>li-4367252635</t>
        </is>
      </c>
      <c r="B68" t="inlineStr">
        <is>
          <t>Lead AI Engineer</t>
        </is>
      </c>
      <c r="C68" t="inlineStr">
        <is>
          <t>TAG - The Aspen Group</t>
        </is>
      </c>
      <c r="D68" t="inlineStr">
        <is>
          <t>linkedin</t>
        </is>
      </c>
      <c r="E68">
        <f>HYPERLINK("https://www.linkedin.com/jobs/view/4367252635", "https://www.linkedin.com/jobs/view/4367252635")</f>
        <v/>
      </c>
      <c r="F68" t="inlineStr"/>
      <c r="G68" t="inlineStr">
        <is>
          <t>Chicago, IL</t>
        </is>
      </c>
      <c r="H68" t="inlineStr"/>
      <c r="I68" t="inlineStr">
        <is>
          <t>The Aspen Group (TAG) is one of the largest and most trusted retail healthcare business support organizations in the U.S. and has supported over 20,000 healthcare professionals and team members with close to 1,500 health and wellness offices across 48 states in four distinct categories: dental care, urgent care, medical aesthetics, and animal health. Working in partnership with independent practice owners and clinicians, the team is united by a single purpose: to prove that healthcare can be better and smarter for everyone. TAG provides a comprehensive suite of centralized business support services that power the impact of five consumer\-facing businesses: Aspen Dental, ClearChoice Dental Implant Centers, WellNow Urgent Care, Chapter Aesthetic Studio, and Lovet. Each brand has access to a deep community of experts, tools and resources to grow their practices, and an unwavering commitment to delivering high\-quality consumer healthcare experiences at scale.
**Job Description:** 
 As part of our continued investment in AI\-driven innovation, we are looking for a
 **Lead AI Engineer** 
 to join our growing AI team. This is a hands\-on role delivering innovative solutions for the healthcare enterprise. The ideal candidate will bring deep expertise in modern AI systems, multi\-agent systems \&amp; frameworks, LLM\-based architecture, and software engineering.
**Key Responsibilities:** 
* Architect and develop enterprise\-scale multi\-agent systems leveraging LLMs and autonomous agent frameworks using Google ADK, Agentspace, MCP, RAG, and A2A orchestration.
* Design and implement RAG pipelines using BigQuery and Vertex AI Engine for knowledge grounding and factually accurate responses.
* Optimize agents for orchestration, knowledge grounding, multi\-step reasoning, and decision\-making.
* Design and implement distributed training workflows, online inference systems, and low latency serving architectures optimized for real\-world performance, using Google cloud\-native services.
* Engineer scalable, secure, compliant and production\-grade AI fabric and AI agent workflows using Vertex AI and modern cloud\-native technologies.
* Create reusable agent orchestration layers, observability hooks, and governance frameworks that accelerate Agentic AI adoption across TAG brands.
* Partner with cross\-functional stakeholders in translating business requirements into technical specifications.
* Own the full AI development lifecycle – from data collection and implementation to deployment and monitoring.
* Implement intelligent observability and automation strategies to ensure AI system reliability and performance at scale.
**Qualifications \&amp; Experience:** 
* Master’s degree in AI/ML, Computer Science, or related technical field.
* 2\+ years of experience in Generative AI and Agentic AI engineering.
* 8\+ years of experience in AI/ML engineering, software engineering, or platform architecture.
* Proven track record of building and deploying production\-grade AI/ML systems at scale.
* Deep understanding of modern AI model architectures (e.g., transformers, diffusion models) and system design.
* Strong hands\-on expertise with Vertex AI (including model training, pipelines, orchestration, deployment, and monitoring) and Google’s Agentic AI stack.
* Hands\-on with one or more of these agent orchestration frameworks: Google ADK/Agentspace,
 LangChain, LangGraph, LlamaIndex, CrewAI or AutoGen.
* Proficiency in Python, LLM integration workflows, MCP (Model Context Protocol) for tool integration and A2A (Agent\-to\-Agent) orchestration for multi\-agent workflows.
* Expertise in distributed training, online inference, and low latency serving architectures.
* Experience with Kubernetes, Cloud Run, and Dataflow/PubSub for scalable deployment.
**Preferred Qualifications:** 
* Experience with AI governance frameworks, responsible AI practices, and observability (Vertex AI Model Monitoring, BigQuery logging, Looker dashboards).
* Contributions to open\-source AI projects or publications in leading AI/ML conferences.
* Experience with multi\-modal models and advanced optimization strategies \&amp; frameworks.
**Additional Information:** 
* This role is onsite 4 days/week in our Fulton Market office (Chicago, IL).
* Competitive benefits package including paid time off, health, dental, vision, and 401(k) savings plan with match.
 Annual Salary Range: $170,000\-$200,000/year, with a generous benefits package that includes paid time off, health, dental, vision, and 401(k) savings plan with match.
 If you are an applicant residing in California, please view our privacy policy here: https://careers.aspendental.com/us/en/tag\-privacy\-policy\-for\-california\-employees</t>
        </is>
      </c>
    </row>
    <row r="69">
      <c r="A69" t="inlineStr">
        <is>
          <t>li-4317209922</t>
        </is>
      </c>
      <c r="B69" t="inlineStr">
        <is>
          <t>Lead Generative AI Engineer</t>
        </is>
      </c>
      <c r="C69" t="inlineStr">
        <is>
          <t>Madison-Davis, LLC</t>
        </is>
      </c>
      <c r="D69" t="inlineStr">
        <is>
          <t>linkedin</t>
        </is>
      </c>
      <c r="E69">
        <f>HYPERLINK("https://www.linkedin.com/jobs/view/4317209922", "https://www.linkedin.com/jobs/view/4317209922")</f>
        <v/>
      </c>
      <c r="F69" t="inlineStr"/>
      <c r="G69" t="inlineStr"/>
      <c r="H69" t="inlineStr"/>
      <c r="I69" t="inlineStr">
        <is>
          <t>We’re supporting a major global financial technology organization that’s making significant investments in AI innovation. They’re scaling their engineering teams across North America to drive development of next\-generation Generative AI solutions. Multiple openings are available for engineers at varying levels — from early\-career developers to senior leads and architects — across areas like AI platform engineering, chatbot development, and data engineering for AI\-driven systems.
**Why This Role** 
 This is a chance to be part of a global enterprise that’s putting real resources behind AI strategy — building tools, platforms, and models that impact client experiences and internal productivity at scale. You’ll join a high\-performing engineering group that’s delivering enterprise\-grade AI capabilities across multiple business lines.
**What You’ll Do** 
* Build and enhance production\-grade AI and LLM\-based systems for enterprise applications.
* Contribute to model fine\-tuning, prompt optimization, and training workflows.
* Develop APIs, microservices, and SDKs for internal and client\-facing AI products.
* Collaborate with engineering and data teams to operationalize AI solutions and support MLOps/LLMOps processes.
* Partner cross\-functionally to design and deliver reliable, scalable AI integrations.
**What You Bring** 
* Bachelor’s or Master’s degree in Computer Science, Engineering, or related field (or equivalent practical experience).
* 4\+ years of hands\-on Python development experience.
* Strong understanding of Generative AI, LLMs, and related model architectures.
* Experience working with NLP, model training, and fine\-tuning workflows.
* Solid grasp of Linux environments and modern DevOps practices.
**Nice to Have (Highlight These on Your Resume)** 
* Hands\-on experience with frameworks like Flask, Django, or FastAPI.
* Familiarity with Python libraries such as numpy, pandas, scikit\-learn, matplotlib, or opencv.
* Experience deploying AI solutions using cloud services like Azure OpenAI, AWS Bedrock, AWS Sagemaker, or Google Vertex AI.
* Background in AI/ML lifecycle management — MLflow, Databricks, or Dataiku.
* Understanding of MLOps or LLMOps principles.
* Exposure to TensorFlow or PyTorch.
* Experience integrating AI models into enterprise or regulated environments.
* Familiarity with containerized cloud environments (Docker, Kubernetes).
* Version control experience with GitHub or Bitbucket.
* Bonus: experience working with conversational AI platforms (e.g., Copilot Studio, Kore.ai, Amelia).
* Experience collaborating with software development teams to embed AI into core applications.
**What’s In It for You** 
* Join an organization that’s putting real investment behind AI and automation initiatives.
* Work on cutting\-edge technology in a large\-scale, data\-rich environment.
* Collaborate with top\-tier engineers and data scientists driving AI innovation in financial technology.
* Opportunities for career growth across multiple teams and projects.</t>
        </is>
      </c>
    </row>
    <row r="70">
      <c r="A70" t="inlineStr">
        <is>
          <t>li-4367285304</t>
        </is>
      </c>
      <c r="B70" t="inlineStr">
        <is>
          <t>Machine Learning Engineer (Python/SQL/API)</t>
        </is>
      </c>
      <c r="C70" t="inlineStr">
        <is>
          <t>Jobs via Dice</t>
        </is>
      </c>
      <c r="D70" t="inlineStr">
        <is>
          <t>linkedin</t>
        </is>
      </c>
      <c r="E70">
        <f>HYPERLINK("https://www.linkedin.com/jobs/view/4367285304", "https://www.linkedin.com/jobs/view/4367285304")</f>
        <v/>
      </c>
      <c r="F70">
        <f>HYPERLINK("https://click.appcast.io/t/9E4aGoFiMVhpkLRTFbzf-shKoHw3zK92gOr0I02w4CQ=&amp;urlHash=Gy8a", "https://click.appcast.io/t/9E4aGoFiMVhpkLRTFbzf-shKoHw3zK92gOr0I02w4CQ=&amp;urlHash=Gy8a")</f>
        <v/>
      </c>
      <c r="G70" t="inlineStr">
        <is>
          <t>Addison, TX</t>
        </is>
      </c>
      <c r="H70" t="inlineStr"/>
      <c r="I70" t="inlineStr">
        <is>
          <t>Dice is the leading career destination for tech experts at every stage of their careers. Our client, Yoh \- A Day \&amp; Zimmerman Company, is seeking the following. Apply via Dice today!
 Machine Learning Software Engineer (Python/SQL/API)
 Direct Hire
 100% Remote
 Job Description:
 The Machine Learning Engineer will be responsible for building machine learning models, data pipelines and python\-based backend APIs for our credit risk and fraud prevention decision engine. The ideal candidate has a high level of intellectual curiosity with a desire to understand the business.
**Responsibilities:**
* Continuous development of our decision engine backend including implementation of new models and business rules
* Build data pipelines and python\-based ETL tools for getting, processing, and delivering data
* Create and train new ML models and algorithms for credit risk underwriting and fraud prevention
* Perform data analysis on financial portfolio data regarding efficacy of business rules and models
* Develop data models and schemas in our database that enable performant, intuitive analysis and production grade performance
* Identify, design and implement internal process improvements including re\-designing infrastructure for greater scalability
* Research new opportunities for using Large Language Models on our internal data
* Work with stakeholders including Tech, Product, Operations, Marketing and executive teams and assist them with data\-related technical issues
* Become an expert on all aspects of our credit risk and underwriting infrastructure
**Requirements**
* Bachelor s or Master s degree in Computer Science, Engineering or related technical degree
* 2\+ years of work experience in software/data engineering
* 2\+ years of work experience building production ready Machine Learning algorithms/models
* 3\+ years of work experience overall
* Experience with Cloud technologies required (AWS Preferred)
* Experience working with NLP, text\-mining, LLMs preferred
* Experience with the entire data science pipeline. (EDA, Modelling, Implementation, etc.)
* Python and SQL proficiency
* The ability to communicate complex issues or ideas to broader audiences
* A highly motivated self\-starter with the ability to work efficiently with minimal supervision
**Estimated Min Rate** 
 : $105,000\.00
**Estimated Max Rate** 
 : $150,000\.00
**What s In It for You?**
 We welcome you to be a part of the largest and legendary global staffing companies to meet your career aspirations. Yoh s network of client companies has been employing professionals like you for over 65 years in the U.S., UK and Canada. Join Yoh s extensive talent community that will provide you with access to Yoh s vast network of opportunities and gain access to this exclusive opportunity available to you. Benefit eligibility is in accordance with applicable laws and client requirements. Benefits include:
* Medical, Prescription, Dental \&amp; Vision Benefits (for employees working 20\+ hours per week)
* Health Savings Account (HSA) (for employees working 20\+ hours per week)
* Life \&amp; Disability Insurance (for employees working 20\+ hours per week)
* MetLife Voluntary Benefits
* Employee Assistance Program (EAP)
* 401K Retirement Savings Plan
* Direct Deposit \&amp; weekly epayroll
* Referral Bonus Programs
* Certification and training opportunities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It is unlawful in Massachusetts to require or administer a lie detector test as a condition of employment or continued employment. An employer who violates this law shall be subject to criminal penalties and civil liability.
 By applying and submitting your resume, you authorize Yoh to review and reformat your resume to meet Yoh s hiring clients preferences. To learn more about Yoh s privacy practices, please see our Candidate Privacy Notice:
 **https://www.yoh.com/privacy\-notice**</t>
        </is>
      </c>
    </row>
    <row r="71">
      <c r="A71" t="inlineStr">
        <is>
          <t>li-4356692034</t>
        </is>
      </c>
      <c r="B71" t="inlineStr">
        <is>
          <t>Sr. AI Engineer</t>
        </is>
      </c>
      <c r="C71" t="inlineStr">
        <is>
          <t>McCarthy Building Companies, Inc.</t>
        </is>
      </c>
      <c r="D71" t="inlineStr">
        <is>
          <t>linkedin</t>
        </is>
      </c>
      <c r="E71">
        <f>HYPERLINK("https://www.linkedin.com/jobs/view/4356692034", "https://www.linkedin.com/jobs/view/4356692034")</f>
        <v/>
      </c>
      <c r="F71">
        <f>HYPERLINK("https://jobs.jobvite.com/mccarthy-building-co/job/oS9wzfwQ?nl=1&amp;__jvst=Job+Board&amp;__jvsd=LinkedIn&amp;urlHash=SVAG", "https://jobs.jobvite.com/mccarthy-building-co/job/oS9wzfwQ?nl=1&amp;__jvst=Job+Board&amp;__jvsd=LinkedIn&amp;urlHash=SVAG")</f>
        <v/>
      </c>
      <c r="G71" t="inlineStr">
        <is>
          <t>St Louis, MO</t>
        </is>
      </c>
      <c r="H71" t="inlineStr"/>
      <c r="I71" t="inlineStr">
        <is>
          <t>**McCarthy Holdings, Inc. (McCarthy)** 
 , is the holding entity for McCarthy Building Companies, Inc., the oldest privately\-held national construction company in America, and Castle Contracting. McCarthy provides the crucial business infrastructure for these entities and connects the day\-to\-day operations to ensure seamless operations across the business. Repeatedly honored as a great place to work and healthiest employer, McCarthy is a
 **100 percent employee\-owned company** 
 .
 At McCarthy, we are committed to sustaining a culture that delivers great experiences for everyone. This begins with developing high\-performing individuals and teams through our award\-winning learning and development programs, best\-in\-class Total Rewards benefits, and our inclusive culture aligned with our core values: Ge
 **Genuine** 
 .
 **We, Not I** 
 .
 **All In.**
 How do McCarthy partners define our culture?
**Position Summary**
 McCarthy is seeking a full\-time Senior AI Engineer located in St. Louis, MO, who as part of the Enterprise Solutions and Analytics team will play a leading role in shaping and delivering AI capabilities through hands\-on engineering and technical mentorship. You will partner closely with the AI Architect and cross\-functional stakeholders to design, build, and scale production\-grade AI solutions across the enterprise.
 This is a senior, hands\-on individual contributor role that combines advanced data engineering skills, strong data science and MLOps expertise, deep proficiency in generative AI development, and a commitment to responsible AI practices. You will own end\-to\-end solution delivery, from data preparation and model implementation through deployment, monitoring, and continuous improvement. You will also serve as a technical mentor and thought partner for other engineers.
 You will design robust data and MLOps pipelines, develop and refine models, manage agent and prompt lifecycles, and ensure every AI system is built with transparency, auditability, and governance in mind, in alignment with McCarthy’s AI architecture and standards.
**Key Responsibilities**
* Lead the design, implementation, and optimization of scalable data and MLOps pipelines to support enterprise AI, advanced analytics, and agent\-based use cases as a senior individual contributor.
* Advance and mature data models and ontologies to serve as reusable building blocks for AI and analytics.
* Develop AI/ML solutions, including generative and agentic systems, using modern data science and ML engineering practices from experimentation through production deployment and continuous improvement.
* Leverage AI\-assisted development tools and coding copilots to accelerate prototyping, implementation, and iteration, while maintaining strong standards for code quality, testing, and security.
* Implement and champion MLOps and PromptOps best practices, ensuring models and agents are reproducible, monitored, observable, and auditable in production environments.
* Embed governance checkpoints and risk controls into AI development workflows, from data sourcing and feature engineering through deployment and retirement.
* Design, test, version, and operationalize prompts for generative AI systems; own the prompt lifecycle from creation and A/B testing through optimization and deprecation.
* Design Scope and design AI solutions with transparency, explainability, and human oversight built in, particularly for autonomous and semi\-autonomous (agentic) AI scenarios, following established architectural and governance guidelines.
* Collaborate with business and technical stakeholders to translate complex business problems into AI solutions that meet performance, security, and compliance requirements.
* Act as a technical mentor and coach for AI engineers:
+ Provide guidance on solution design, coding practices, testing strategies, and performance optimization.
+ Conduct code reviews and share patterns for high\-quality, maintainable, and secure AI solutions.
+ Pair\-program and support skill development in data engineering, ML engineering, generative AI, and MLOps/PromptOps.
* Help drive consistent technical practices across teams by documenting reusable patterns, onboarding others to shared components, and reinforcing alignment with McCarthy’s AI architecture, standards, and Responsible AI practices defined by the AI Architect.
**Qualifications**
* 5–7\+ years of experience in AI/ML engineering or data science, including delivering end\-to\-end production AI solutions with minimal supervision, in a senior individual contributor capacity.
* Demonstrated ability to define implementation approaches, make tradeoffs at the solution level, and lead execution of complex AI initiatives across teams.
* Bachelor’s or Master’s degree in Computer Science, Data Science, Engineering, or related field (or equivalent practical experience).
* Deep understanding of data science and ML principles:
+ Feature analysis and engineering
+ Model development and evaluation (supervised/unsupervised)
+ Experiment design, offline/online testing, and performance tuning
* Strong background in data engineering:
+ ETL/ELT pipelines and orchestration
+ Distributed processing frameworks (e.g., Spark)
+ Cloud data platforms and storage patterns
+ SQL and NoSQL data stores
+ API\-based data integration
* Advanced proficiency in Python and core data/ML libraries (e.g., pandas, scikit\-learn, PyTorch, TensorFlow, NLP frameworks).
* Hands\-on experience building on cloud environments and AI/ML platforms (Azure, AWS, GCP, Palantir, Dataiku), including use of serverless and container\-based compute.
* Generative AI expertise:
+ Building, fine\-tuning, and deploying generative AI systems (e.g., LLMs, multimodal models)
+ Practical experience with frameworks and platforms such as Hugging Face, OpenAI, LangChain, LlamaIndex, Textract, DocumentAI or similar
* Prompt Lifecycle Management:
+ Experience with prompt engineering, version control, evaluation frameworks, experimentation, optimization, and retirement of prompts at scale
* Responsible AI Governance:
+ Demonstrated ability to design and implement systems with transparency, explainability, fairness, human oversight, and regulatory/compliance needs in mind, especially for agentic AI scenarios, in alignment with organizational standards.
*McCarthy is proud to be an equal opportunity employer, including disability and protected veteran status.*</t>
        </is>
      </c>
    </row>
    <row r="72">
      <c r="A72" t="inlineStr">
        <is>
          <t>li-4367489806</t>
        </is>
      </c>
      <c r="B72" t="inlineStr">
        <is>
          <t>Staff Machine Learning Engineer - Risk AI/ML</t>
        </is>
      </c>
      <c r="C72" t="inlineStr">
        <is>
          <t>Coinbase</t>
        </is>
      </c>
      <c r="D72" t="inlineStr">
        <is>
          <t>linkedin</t>
        </is>
      </c>
      <c r="E72">
        <f>HYPERLINK("https://www.linkedin.com/jobs/view/4367489806", "https://www.linkedin.com/jobs/view/4367489806")</f>
        <v/>
      </c>
      <c r="F72" t="inlineStr"/>
      <c r="G72" t="inlineStr"/>
      <c r="H72" t="inlineStr"/>
      <c r="I72"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**About the Team**
 The Risk AI/ML team has a critical mission to foster business growth by effectively managing the financial threats impacting the business and our users. We are on the front lines, building the flexible, scalable, and intelligent systems required to detect and prevent fraud, scams, and account takeovers at scale. As a member of this team, you will build and deploy the sophisticated AI/ML models that power our real\-time, near\-real\-time, and scheduled risk\-detection workflows. You will collaborate closely with Platform, Product, Analyst, and Ops teams to uncover new fraud patterns, fight baddies, and continuously improve our defensive capabilities, protecting our good users and the open financial system.
**About the Role** 
 We are looking for a
 **Staff Machine Learning Engineer** 
 to join our Risk AI/ML team. We are dedicated to building the sophisticated models that protect our customers and make Coinbase the most trusted platform in crypto. Your work will directly prevent fraud, account takeovers, and scams, while enabling future products like instant guest checkout and Coinbase Cards. This is a hands\-on technical role where you will leverage our cutting\-edge, self\-service ML platform to rapidly design, deploy, and iterate on the models that defend millions of users.
**What you’ll be doing:** 
* **Own a Critical Risk Domain:** 
 Take full technical ownership of a core problem space, such as Scams or Account Takeover. You will design, build, and lead the strategy for all models in this domain.
* **Architect and Design Systems:** 
 Lead the system design and architecture for new, complex, cross\-team risk detection models. This includes everything from feature pipeline design to model selection (e.g., GNNs, LSTMs, LLMs) and high\-performance serving.
* **Drive the Technical Roadmap:** 
 You will be the primary technical voice influencing at an organizational level. Work with Product, Ops, and other stakeholders to translate ambiguous business needs into a clear technical roadmap. You will be the primary technical voice defining the "how."
* **Mentor and Lead:** 
 Act as a
 senior technical leader and mentor for other senior (IC5\), mid\-level, and junior engineers on the team.
* **Apply Advanced ML:** 
 Apply modern methodologies (e.g., deep learning, NLP, Graph Neural Networks (GNNs), sequence modeling, and LLMs for NLP and conversational agents) to solve complex, crypto\-native challenges.
* **Build Context\-Aware Risk Systems:** 
 Architect the adaptive logic that decides
 *which* 
 friction (a quiz, an LLM agent, a human review) to apply to
 *which* 
 user, balancing security with user experience.
**What we look for:** 
* 8\+ years of professional experience in software engineering and/or AI/ML, with experience deploying AI/ML systems into production.
* Proven track record of technical leadership, including leading small teams or pods and designing and deploying large\-scale, cross\-team ML systems from scratch.
* A commitment to building an open financial system and a strong desire to protect users from fraud and scams.
* You embody our core cultural values: add positive energy, communicate clearly, be curious, and be a builder.
* Deep expertise in applied AI/ML techniques (e.g., Risk ML, deep learning, NLP, recommender systems, anomaly detection); with required prior domain experience in Payment Risk, Credit Risk, or Identity Risk / Account Takeover / Scams.
* Expert\-level coding skills (e.g., Python) and deep experience with AI/ML frameworks (TensorFlow, PyTorch). Experience in building backend systems with a focus on data processing or analytics is a plus.
* Ability to work collaboratively on technical initiatives and contribute to impactful AI/ML solutions.
* Strong communication skills, with the ability to convey technical concepts to both technical and non\-technical audiences.
**Nice to Haves:** 
* Master’s / Ph.D in Computer Science, AI/ML, Data Science, or a related field.
* Familiarity with modern data and AI/ML infrastructure (e.g., Feature Stores like Tecton, Model Serving like RayServe, Apache Airflow, Spark, Kafka).
* Experience with Graph Neural Networks (GNNs) or Sequential Models (like LSTMs).
* Experience with LLMs (NLP, fine\-tuning, agentic systems) or Reinforcement Learning.
* Understanding of MLOps best practices, including monitoring and improving production models.
* Experience with data analysis and visualization tools.
 Job \#: GP\-RPMLE06US\-Q126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$218,025 USD \- $256,500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73">
      <c r="A73" t="inlineStr">
        <is>
          <t>li-4367497959</t>
        </is>
      </c>
      <c r="B73" t="inlineStr">
        <is>
          <t>AWS Connect / Conversational AI Engineer (Agentic AI Focus)</t>
        </is>
      </c>
      <c r="C73" t="inlineStr">
        <is>
          <t>Interon IT Solutions</t>
        </is>
      </c>
      <c r="D73" t="inlineStr">
        <is>
          <t>linkedin</t>
        </is>
      </c>
      <c r="E73">
        <f>HYPERLINK("https://www.linkedin.com/jobs/view/4367497959", "https://www.linkedin.com/jobs/view/4367497959")</f>
        <v/>
      </c>
      <c r="F73" t="inlineStr"/>
      <c r="G73" t="inlineStr">
        <is>
          <t>Chantilly, VA</t>
        </is>
      </c>
      <c r="H73" t="inlineStr"/>
      <c r="I73" t="inlineStr">
        <is>
          <t>JD:
 **Key Responsibilities** 
 Design, develop, and support
 **Amazon Connect** 
 contact center solutions, including contact flows, routing profiles, queues, and Lambda integrations Implement
 **AI\-powered conversational experiences** 
 using Amazon Lex, Amazon Bedrock, or third\-party LLMs Build
 **agentic AI workflows** 
 where autonomous agents can reason, take actions, call APIs, and orchestrate multi\-step customer interactions Integrate Amazon Connect with backend systems (CRM, ticketing, databases) using
 **AWS Lambda, API Gateway, and Step Functions** 
 Develop intelligent
 **virtual agents and agent assist solutions** 
 , including real\-time recommendations, summarization, and next\-best actions Leverage
 **speech analytics, sentiment analysis, and transcription** 
 using Amazon Transcribe and Amazon Comprehend Optimize call flows and AI logic based on business rules, customer intent, and real\-time context Ensure scalability, security, and performance across all AI and Connect components Collaborate with product owners, AI architects, and business stakeholders to translate requirements into working solutions Support production issues, enhancements, and continuous improvement of AI\-driven contact center platforms
 **Required Skills \&amp; Experience** 
 8\+ years of overall experience with
 **AWS Cloud** 
 , with 3\+ years of hands\-on
 **Amazon Connect** 
 experience Strong experience with
 **Amazon Lex** 
 , Lambda, API Gateway, and IAM Hands\-on experience implementing
 **AI/LLM\-based solutions** 
 (Amazon Bedrock, OpenAI, Anthropic, or similar) Proven experience with
 **agentic AI patterns** 
 (tool calling, orchestration, decision\-making agents, workflow\-driven AI) Strong programming skills in
 **Python or Node.js** 
 Experience building
 **event\-driven and serverless architectures** 
 on AWS Knowledge of contact center KPIs, call routing strategies, and omnichannel flows Experience integrating with CRMs (Salesforce, ServiceNow, Zendesk, etc.) Strong debugging, performance tuning, and troubleshooting skills
 **Nice to Have** 
 Experience with
 **Agent Assist** 
 , real\-time transcription, or call summarization Knowledge of
 **RAG (Retrieval Augmented Generation)** 
 patterns for customer support use cases Experience with
 **Step Functions** 
 , DynamoDB, or Aurora AWS certifications (AWS Solutions Architect, AI/ML Specialty, or Connect\-related experience) Prior experience modernizing legacy contact centers to Amazon Connect</t>
        </is>
      </c>
    </row>
    <row r="74">
      <c r="A74" t="inlineStr">
        <is>
          <t>li-4367288209</t>
        </is>
      </c>
      <c r="B74" t="inlineStr">
        <is>
          <t>AI/ML Engineer</t>
        </is>
      </c>
      <c r="C74" t="inlineStr">
        <is>
          <t>Jobs via Dice</t>
        </is>
      </c>
      <c r="D74" t="inlineStr">
        <is>
          <t>linkedin</t>
        </is>
      </c>
      <c r="E74">
        <f>HYPERLINK("https://www.linkedin.com/jobs/view/4367288209", "https://www.linkedin.com/jobs/view/4367288209")</f>
        <v/>
      </c>
      <c r="F74" t="inlineStr"/>
      <c r="G74" t="inlineStr">
        <is>
          <t>Indianapolis, IN</t>
        </is>
      </c>
      <c r="H74" t="inlineStr"/>
      <c r="I74" t="inlineStr">
        <is>
          <t>Dice is the leading career destination for tech experts at every stage of their careers. Our client, INNOVIT USA INC, is seeking the following. Apply via Dice today!
**Hiring: W2 Candidates Only**
**Visa: Open to any visa type with valid work authorization in the USA**
**Key Responsibilities**
* Design, develop, and deploy machine learning models and AI algorithms
* Analyze large datasets to extract insights and build predictive systems
* Build and optimize supervised, unsupervised, and deep learning models
* Implement NLP, Computer Vision, or Recommendation Systems (as per project)
* Train, evaluate, and fine\-tune ML models for performance and scalability
* Deploy models using APIs, cloud platforms, or MLOps pipelines
* Collaborate with data scientists, software engineers, and product teams
* Monitor model performance and retrain models when required
* Document model architecture, experiments, and results
**Required Skills**
* Strong knowledge of Machine Learning \&amp; AI concepts
* Programming experience in Python (preferred) or R
* Hands\-on experience with TensorFlow, PyTorch, Scikit\-learn
* Good understanding of Statistics, Probability, Linear Algebra
* Experience with Data preprocessing, feature engineering
* Knowledge of SQL / NoSQL databases
* Familiarity with REST APIs
* Experience with Git / version control
**Preferred Skills**
* Experience with Deep Learning, NLP, or Computer Vision
* Knowledge of Cloud platforms (AWS, Azure, Google Cloud Platform)
* Experience with MLOps tools (MLflow, Kubeflow, Airflow)
* Familiarity with Docker, Kubernetes
* Understanding of Big Data tools (Spark, Hadoop)
**Education \&amp; Experience**
* Bachelor s or Master s degree in Computer Science, Data Science, AI, or related field
* 5\+ years of experience in Machine Learning / AI development (depending on role level)</t>
        </is>
      </c>
    </row>
    <row r="75">
      <c r="A75" t="inlineStr">
        <is>
          <t>li-4367285296</t>
        </is>
      </c>
      <c r="B75" t="inlineStr">
        <is>
          <t>AI/ML Engineer</t>
        </is>
      </c>
      <c r="C75" t="inlineStr">
        <is>
          <t>Jobs via Dice</t>
        </is>
      </c>
      <c r="D75" t="inlineStr">
        <is>
          <t>linkedin</t>
        </is>
      </c>
      <c r="E75">
        <f>HYPERLINK("https://www.linkedin.com/jobs/view/4367285296", "https://www.linkedin.com/jobs/view/4367285296")</f>
        <v/>
      </c>
      <c r="F75" t="inlineStr"/>
      <c r="G75" t="inlineStr">
        <is>
          <t>Sunrise, FL</t>
        </is>
      </c>
      <c r="H75" t="inlineStr"/>
      <c r="I75" t="inlineStr">
        <is>
          <t>Dice is the leading career destination for tech experts at every stage of their careers. Our client, ASCII Group LLC, is seeking the following. Apply via Dice today!
 Hi,
**The following requirement is open with our client.**
**Title : AI/ML Engineer**
**Location : Sunrise, FL**
**Duration : 6\+ Months**
**Relevant Experience (in Yrs.): 10\+**
**Job Description:**
* Design and implement AI/ML solutions from POC through production deployment.
* Translate business requirements into scalable and secure AI architectures.
* Own the full model lifecycle including training, deployment, monitoring, and retraining.
* Deploy AI models using CI/CD pipelines and production\-grade infrastructure.
* Monitor model performance, drift, latency, and operational costs.
* Ensure system reliability, scalability, security, and compliance with enterprise standards.
* Lead technical discussions, architecture reviews, and best practice implementations.
* Mentor junior AI/ML engineers and conduct code/design reviews.
* Collaborate with Product Owners, Architects, and Program Managers.
* Present technical solutions to business and customer stakeholders.
* Support proposal development, technical estimations, and solution planning.
**Required Skills \&amp; Qualifications**
* Strong proficiency in Python and AI/ML fundamentals.
* Hands\-on experience with LLMs, LangChain, LangGraph, and agent\-based workflows.
* Experience in Prompt Engineering, RAG pipelines, and vector databases such as FAISS, Pinecone, and Chroma.
* Experience deploying models using APIs, microservices, Docker, and cloud platforms (AWS, Google Cloud Platform, Azure).
* Strong understanding of model evaluation, fine\-tuning, and performance optimization.
* Knowledge of software engineering best practices, version control (Git), and scalable system design.
* Experience building scalable and secure AI architectures with focus on performance, cost, and latency optimization.
**Must\-Have Skills:**
* 
* Python
* 
* Machine Learning
* 
* LLM Frameworks (LangChain, LangGraph)
**Thanks and Regards,**
**Grace**
**Technical Recruiter \|ASCII Group LLC.**
**Email:** 
**\|** 
**Direct:**
****38345 W. 10 Mile Rd, Ste.\#365; Farmington, MI 48335****</t>
        </is>
      </c>
    </row>
    <row r="76">
      <c r="A76" t="inlineStr">
        <is>
          <t>li-4366426870</t>
        </is>
      </c>
      <c r="B76" t="inlineStr">
        <is>
          <t>Java Full-Stack AI engineer</t>
        </is>
      </c>
      <c r="C76" t="inlineStr">
        <is>
          <t>Jobs via Dice</t>
        </is>
      </c>
      <c r="D76" t="inlineStr">
        <is>
          <t>linkedin</t>
        </is>
      </c>
      <c r="E76">
        <f>HYPERLINK("https://www.linkedin.com/jobs/view/4366426870", "https://www.linkedin.com/jobs/view/4366426870")</f>
        <v/>
      </c>
      <c r="F76">
        <f>HYPERLINK("https://click.appcast.io/t/G7r9P5s6qw4NO_L1F0W5H6HHr1LQinBZPXjRFFU9rrg=&amp;urlHash=Ul5K", "https://click.appcast.io/t/G7r9P5s6qw4NO_L1F0W5H6HHr1LQinBZPXjRFFU9rrg=&amp;urlHash=Ul5K")</f>
        <v/>
      </c>
      <c r="G76" t="inlineStr">
        <is>
          <t>Memphis, TN</t>
        </is>
      </c>
      <c r="H76" t="inlineStr"/>
      <c r="I76" t="inlineStr">
        <is>
          <t>**Job Description**
 ECS is seeking a
 **Java Full\-Stack AI Engineer** 
 to work in our
 **Memphis, TN** 
 office (Remote Considered).
 ECS is seeking a highly skilled and motivated
 **Java Full\-Stack AI Engineer** 
 to support our USPS client. The candidate will enhance enterprise services and solutions for USPS, as part of an integrated evaluation, integration, strategy, design, implementation, and operational maintenance program. Participates in the design, development, and implementation of software engineering activities. Responsible for the development of components of many analytical tasks and activities. Establishes input/output processes and defining parameters for interfacing with external production systems and the implementation of system design. Must be able to provide and communicate technology solutions across technical, managerial and customer audiences. Responsible for the resolution process for problems where troubleshooting requires an in\-depth understanding and evaluation of system processes. Exercises judgment through understanding of software engineering best practices in selecting methods, techniques, and evaluation criterion for obtaining results. This role bridges traditional applications with modern AI\-driven data workflows, ensuring our systems are scalable, secure, and ready for intelligent automation. As this role will involve supporting rapidly evolving AI/ML projects and use cases, the candidate must have experience in any of the following areas: NLP, data provenance, LLMs/RAG, or deep learning.
**Responsibilities:**
* Design, develop and implement web\-based applications.
* Design, develop and implement highly complex applications utilizing Oracle and Java technologies.
* Demonstrate strong troubleshooting skills to solve complex problems across a large enterprise.
* Demonstrate a flexible attitude, ability to perform under pressure and ability to handle change easily while meeting deadlines.
* Communicate with technical and non\-technical audiences verbally and in writing to design efficient and effective applications.
* Work independently and in a team environment, to give and receive direction.
* Develop and revise Java source code based on clearly defined requirements.
* Experience in designing, architecting, and building Kafka based solutions.
* Extensive experience with messaging and stream processing on Kafka.
* Participate in code reviews for team members as well as yourself.
* Assist in the setup of production environments including application servers and database structure.
* Assist in the implementation of applications through various testing phases and into production environments.
* Must be able to communicate effectively, work in a team environment and think analytically.
* Perform maintenance on programs currently in production.
* Assist QA teams with writing test scripts and explaining functionality.
* Unit Testing candidate releases.
* Collaborate with other departments to ensure high availability and performance.
* Partner with data scientists, data architects, and federal stakeholders to deploy AI/ML models in production
**Required Skills**
* Master's Degree in Computer Science, Engineering, Mathematics, Business Management or equivalent.
* 12\+ years of general experience in information systems, including 7 years of specialized experience providing state\-of\-the\-art solutions in information systems technology
* 5\+ years of experience with web technologies (HTML, CSS, JavaScript frameworks)
* 5\+ years of experience with Java server technologies (JEE, Spring Framework, Spring Boot)
* 3\+ years of experience with SQL and PL/SQL on Oracle or similar platform
* 5\+ years of experience with IBM MQ and stream processing on Kafka.
* Expertise in troubleshooting, performance tuning, and query optimization.
* Excellent communication, problem\-solving, and organizational skills.
* Ability to work independently and as part of a team.
* Experience with Large Language Models, NLP, GenAI, and scaling of AI tools
* Work comfortably in version control systems (e.g., Git)
* Partner with data scientists, data architects, and federal stakeholders to deploy AI/ML models in production
**Desired Skills**
* Experience with React, Angular and Bootstrap
* Experience with the NodeJS and Java toolchains (NPM, Angular CLI, Maven) with AWS cloud services.
* Experience WITH creating REST web services (JAX\-RS or Spring MVC)
* Experience with testing tools (JUnit, Mockito, Mocha, Selenium)
* Experience with source control tools GitHub.
* Experience with CI/CD tools (Jenkins, Ansible)
* Familiarity with Scrum or other agile methodologies
* Act as advisor to applications engineering team regarding projects, tasks, and operations.
* Extensive experience and judgment to plan and accomplish goals.
* Ability to performs a variety of complex tasks.
* Prior federal government experience
* Experience in assessment, evaluation, and documentation of client environment, infrastructure, process, operations
* A passion for staying updated with the latest advancements in AI/ML and data engineering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77">
      <c r="A77" t="inlineStr">
        <is>
          <t>li-4366425844</t>
        </is>
      </c>
      <c r="B77" t="inlineStr">
        <is>
          <t>Forward Deployed AI Engineer - Clearance Required</t>
        </is>
      </c>
      <c r="C77" t="inlineStr">
        <is>
          <t>Jobs via Dice</t>
        </is>
      </c>
      <c r="D77" t="inlineStr">
        <is>
          <t>linkedin</t>
        </is>
      </c>
      <c r="E77">
        <f>HYPERLINK("https://www.linkedin.com/jobs/view/4366425844", "https://www.linkedin.com/jobs/view/4366425844")</f>
        <v/>
      </c>
      <c r="F77" t="inlineStr"/>
      <c r="G77" t="inlineStr">
        <is>
          <t>Dayton, OH</t>
        </is>
      </c>
      <c r="H77" t="inlineStr"/>
      <c r="I77" t="inlineStr">
        <is>
          <t>**Overview**
 At LMI, we're building mission\-ready AI that delivers impact where it matters most. Our
 **Forward Deployed AI Engineers** 
 embed with government partners to tackle high\-priority, fast\-moving challenges\-designing and deploying AI solutions that accelerate decisions, uncover anomalies, and unlock the power of our LIGER generative AI (GenAI) platform.
 Like a startup CTO in the field, you'll wear many hats: part software engineer, part AI architect, part problem solver. You'll operate with autonomy, adapt to shifting requirements, and bring technical clarity to ambiguous problems\-all while collaborating with mission stakeholders, software engineers, and the Chief Product Officer team. If you thrive at the intersection of customer impact, technical excellence, and operational speed, this role offers the chance to deliver AI that matters.
 This role requires
 **an Active TS/SCI security clearance** 
 and availability to collocate with our defense and national security customers in the Pentagon.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 Own technical delivery: Drive AI solution design and implementation across multiple government deployments, from first prototype to stable mission use.
* Embed with customers: Serve as a technical thought partner to mission stakeholders, guiding adoption, maximizing impact, and ensuring successful deployments.
* Build GenAI\-enabled systems: Prototype and implement pipelines using Python, TypeScript, or comparable stacks aligned to customer mission needs.
* Guide value realization: Help customers understand trade\-offs, sequence delivery, and adapt applications to achieve operational outcomes.
* Deliver clarity under ambiguity: Scope projects, remove blockers, and make informed trade\-offs between speed, scope, and quality.
* Contribute directly in code: Write and review software across backend and full\-stack environments when clarity or momentum depends on it.
* Codify patterns: Capture reusable workflows, best practices, and lessons learned into playbooks, tools, and building blocks that scale beyond a single project.
* Shape the roadmap: Share field signal with LMI's product and research teams to guide the evolution of LIGER and related AI capabilities.
**Qualifications**
**Minimum Qualifications**
* Bachelor's degree in Computer Science, Data Science, or a related technical field (or equivalent practical experience).
* 5\+ years of engineering or technical deployment experience, ideally in customer\-facing or government environments.
* Hands\-on experience building and deploying applications that integrate AI/LLMs, APIs, and data pipelines.
* Strong programming skills in Python and proficiency in a modern full\-stack environment (e.g., JavaScript/TypeScript, MEAN, Node.js).
* Familiarity with cloud deployment (AWS, Azure, or Google Cloud Platform), containerization (Docker, Kubernetes), and infrastructure\-as\-code (Terraform, etc.).
* Ability to translate customer needs into actionable technical approaches and deliver solutions in fast\-moving or ambiguous contexts.
* Excellent problem\-solving, judgment, and communication skills, with ability to engage technical and non\-technical stakeholders alike.
* Must have an active Top Secret security clearance with SCI eligibility.
**Desired Qualifications**
* Master's degree in Computer Science, Data Science, or related technical field.
* Experience deploying systems powered by generative AI (LLMs, RAG architectures, Model Context Protocol) in sensitive or mission\-critical settings.
* Proven track record of scoping and delivering complex systems under tight timelines.
* Familiarity with DevSecOps practices, CI/CD, and secure software development for government environments.
* Demonstrated ability to simplify complexity, anticipate risks, and provide clarity in high\-stakes environments.
 Target salary range: $130,986 \- $233,154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**Options**
 Apply for this job onlineApply
 Share
 Email this job to a friendRefer
 Sorry the Share function is not working properly at this moment. Please refresh the page and try again later.
 Share on your newsfeed
**LMI is an Equal Opportunity Employer. LMI is committed to the fair treatment of all and to our policy of providing applicants and employees with equal employment opportunities. LMI recruits, hires, trains, and promotes people without regard to race, color, religion, sex, sexual orientation, gender identity, national origin, pregnancy, disability, age, protected veteran status, citizenship status, genetic information, or any other characteristic protected by applicable federal, state, or local law. If you are a person with a disability needing assistance with the application process, please contact
 Colorado Residents: In any materials you submit, you may redact or remove age\-identifying information such as age, date of birth, or dates of school attendance or graduation. You will not be penalized for redacting or removing this information.
**Need help finding the right job?****</t>
        </is>
      </c>
    </row>
    <row r="78">
      <c r="A78" t="inlineStr">
        <is>
          <t>li-4367604708</t>
        </is>
      </c>
      <c r="B78" t="inlineStr">
        <is>
          <t>AI Engineer (Gemini Enterprise)</t>
        </is>
      </c>
      <c r="C78" t="inlineStr">
        <is>
          <t>ComResource</t>
        </is>
      </c>
      <c r="D78" t="inlineStr">
        <is>
          <t>linkedin</t>
        </is>
      </c>
      <c r="E78">
        <f>HYPERLINK("https://www.linkedin.com/jobs/view/4367604708", "https://www.linkedin.com/jobs/view/4367604708")</f>
        <v/>
      </c>
      <c r="F78" t="inlineStr"/>
      <c r="G78" t="inlineStr">
        <is>
          <t>Columbus, Ohio Metropolitan Area</t>
        </is>
      </c>
      <c r="H78" t="inlineStr"/>
      <c r="I78" t="inlineStr">
        <is>
          <t>ComResource is searching for a Senior Software Engineer with a background specifically focused on Google Customer Engagement Suite (now Google Gemini Enterprise for CX). This person will be tasked with building AI agents and services to integrate into Genesys Cloud, Salesforce, SAP, ServiceNow, and more.
**Duties** 
* Assist in the design, development, and deployment of sophisticated conversational AI applications.
* Develop configurable solutions leveraging Google’s Gemini model to provide AI\-driven solutions for contact center agents to support the case channel.
* Develop intelligent AI solutions leveraging Google Agent Assist and Google Conversational Agents to drive improvements to the agent and customer experience.
* Collaborate with cross\-functional teams to understand requirements and build/deploy solutions that meet their needs.
* Integrate Google Agent Assist and Google Conversational Agents with key contact center technologies (Genesys, Verint) and CRM platforms (Salesforce, SAP).
* Troubleshoot and resolve technical issues related to Google AI applications.
* Stay updated with industry trends and emerging technologies in conversational AI.
**Skills** 
* Proven experience as an engineer or similar role in developing conversational AI solutions.
* Programming experience in Python, Java, or JavaScript.
* Understanding how ML models work, especially for Smart Reply, Smart Compose, and LLM summarization features.
* Experience with platforms like Dialogflow, or equivalent framework. Familiarity with Google Gemini and CCAI (Contact Center AI) is preferred.
* Proficiency in cloud platforms including Google Cloud Platform (GCP).
* Ability to build architecture on Google Cloud that integrates Gemini with other services such as containerized apps, messaging, databases and storage solutions is preferred.
* Skills in IVA/Conversational AI, GenAI agent assist, and speech/text analytics.
* Familiarity with large language models (LLMs), especially multimodal models like Gemini, which handle text, video, and audio inputs.
**Plusses** 
* Skills in using Gemini APIs and tools for embedding AI into applications and workflows.
* Experience with freeform prompts, variables, and parameters to fine\-tune AI responses.
* Familiarity with Google Gemini’s architecture and how it supports vision\-language\-action tasks.
* Experience with custom UIs for agent\-facing and customer\-facing applications when native integration isn’t feasible is preferred.</t>
        </is>
      </c>
    </row>
    <row r="79">
      <c r="A79" t="inlineStr">
        <is>
          <t>li-4367466335</t>
        </is>
      </c>
      <c r="B79" t="inlineStr">
        <is>
          <t>Software AI Engineer</t>
        </is>
      </c>
      <c r="C79" t="inlineStr">
        <is>
          <t>micro1</t>
        </is>
      </c>
      <c r="D79" t="inlineStr">
        <is>
          <t>linkedin</t>
        </is>
      </c>
      <c r="E79">
        <f>HYPERLINK("https://www.linkedin.com/jobs/view/4367466335", "https://www.linkedin.com/jobs/view/4367466335")</f>
        <v/>
      </c>
      <c r="F79" t="inlineStr"/>
      <c r="G79" t="inlineStr"/>
      <c r="H79" t="inlineStr"/>
      <c r="I79" t="inlineStr">
        <is>
          <t>**Job Title:** 
 Software Engineer
**Job Type:** 
 Full\-time, Contractual
**Job Summary:** 
 Join our customer’s team as a Software Engineer, where you will build, optimize, and integrate cutting\-edge AI\-powered applications. This is a unique opportunity to leverage large language models and Retrieval\-Augmented Generation (RAG) while working with frontier AI platforms and secure cloud solutions. Help shape the next era of intelligent software in a collaborative, high\-impact environment.
**Key Responsibilities:** 
* Design, implement, and maintain scalable APIs and backend systems leveraging Python and RESTful services.
* Develop and integrate advanced LLM and RAG solutions, utilizing frameworks like LangGraph and LangChain for agentic, multi\-agent orchestration.
* Work with leading AI platforms including Anthropic for Gov, OpenAI Enterprise, Gemini Enterprise, and Grok Enterprise.
* Deploy, monitor, and optimize solutions on secure cloud infrastructures, such as AWS GovCloud, Google GovCloud, Azure IL5\+, and Vertex AI.
* Build robust data pipelines, manage metadata catalogs, and ensure secure data handling using ETL and MCP methodologies.
* Champion best practices in CI/CD pipelines, SDK integration, and secure coding for scalable codebases.
* Collaborate cross\-functionally, demonstrating exemplary written and verbal communication skills to document and present technical solutions.
**Required Skills and Qualifications:** 
* Proven experience with large language models (LLMs), Retrieval\-Augmented Generation (RAG), and prompt engineering.
* Strong development skills with Python, focusing on backend API development and SDK integration.
* Hands\-on expertise with AWS, particularly AWS GovCloud and AWS Bedrock services.
* Experience with agentic AI tools such as LangGraph, LangChain, and multi\-agent orchestration systems.
* Knowledge of cloud platforms including Google GovCloud, Azure IL5\+, and Vertex AI.
* Solid understanding of data ontologies, metadata management, and building ETL pipelines.
* Exceptional written and verbal communication skills are a must.
**Preferred Qualifications:** 
* Background in secure coding practices for government or regulated environments.
* Direct experience working with enterprise AI solutions such as OpenAI Enterprise or Anthropic for Gov.
* Familiarity with CI/CD automation in complex, hybrid cloud environments.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2026-01-30T21:09:32Z</dcterms:created>
  <dcterms:modified xsi:type="dcterms:W3CDTF">2026-01-30T21:09:32Z</dcterms:modified>
</cp:coreProperties>
</file>