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in-92fea3bd48ddd210</t>
        </is>
      </c>
      <c r="B2" t="inlineStr">
        <is>
          <t>Data Scientist Senior</t>
        </is>
      </c>
      <c r="C2" t="inlineStr">
        <is>
          <t>General Dynamics Information Technology</t>
        </is>
      </c>
      <c r="D2" t="inlineStr">
        <is>
          <t>indeed</t>
        </is>
      </c>
      <c r="E2" t="inlineStr"/>
      <c r="F2" t="inlineStr"/>
      <c r="G2" t="inlineStr">
        <is>
          <t>Colorado Springs, CO, US</t>
        </is>
      </c>
      <c r="H2" s="2" t="n">
        <v>46065</v>
      </c>
      <c r="I2" t="inlineStr">
        <is>
          <t>Your Impact
Own your opportunity to support our nation's defense. Make an impact by connecting and securing critical operations across the globe, keeping our country safe and secure.
Job Description
DATA SCIENTIST SENIOR
YOUR IMPACT
Own your opportunity to work with the largest government agency in the nation. Make an impact by advancing the Department of War’s mission to keep our country safe and secure.
OUR COMPANY
Iron EagleX (IEX), a wholly owned subsidiary of General Dynamics Information Technology (GDIT), delivers agile IT and Intelligence solutions. Combining small\-team flexibility with global scale, IEX leverages emerging technologies to provide innovative, user\-focused solutions that empower organizations and end users to operate smarter, faster, and more securely in dynamic environments.
JOB DESCRIPTION
The Data Scientist will support the Data Stewardship Program in Colorado Springs, CO.
MEANINGFUL WORK AND PERSONAL IMPACT
As a Data Scientist, you will play a critical role in designing, implementing, and maintaining data pipelines that meet highly impactful mission requirements. You will apply your advanced expertise in data science and analytics to analyze and interpret complex structured and unstructured datasets, enabling actionable insights and data\-informed decision\-making. Additionally, you will lead the planning, execution, and management of machine learning projects, leveraging cloud\-native platforms and advanced analytics solutions to drive mission success. Your work will directly contribute to solving some of the most challenging problems in the field, empowering the organization with innovative and data\-driven solutions.
JOB DUTIES (INCLUDE BUT ARE NOT LIMITED TO)* Design, implement, and automate processes to manipulate, analyze, and model structured and unstructured data.
* Research, develop, and implement predictive and prescriptive modeling, natural language processing (NLP), robotic process automation (RPA), and other advanced statistical methods.
* Coordinate research and analysis activities utilizing diverse data sources (structured and unstructured).
* Collaborate with Data Engineers to create robust data environments and enable comprehensive analytics.
* Perform large\-scale data processing using tools like Apache Spark or Hadoop.
* Build and refine statistical models, and create data visualizations using tools like Tableau, Microsoft Power BI, or R Shiny.
* Conduct programming using R, Python (NumPy, SciPy, Pandas), or similar analytical programming languages.
* Develop and implement machine learning and data engineering solutions using cloud\-based platforms such as Databricks, IBM Cloud Pak, Cloudera, or Snowflake.
* Communicate complex data\-driven insights effectively to non\-technical stakeholders through digital storytelling.
REQUIRED SKILLS* Strong proficiency in at least one programming language (e.g., Python, R, Java, C\+\+).
* Experience with distributed SQL programming and relational/non\-relational database queries.
* Hands\-on experience in applying data science methods and machine learning techniques to real\-world problems.
* Expertise in data visualization tools such as Tableau, Microsoft Power BI, or R Shiny.
* Familiarity with advanced data processing frameworks such as Apache Spark or Hadoop.
* Experience with cloud\-based data management and ML platforms like Databricks, IBM Cloud Pak, or Snowflake.
* Background in mathematical modeling, statistics, and advanced analytics.
* Proven ability to communicate technical concepts clearly to non\-technical audiences through presentations or visual media.
WHAT YOU’LL NEED TO SUCCEED
* Clearance: Current Interim Secret clearance (required within 30 days of hire). Top Secret clearance with SCI eligibility preferred.
* Experience: Minimum of 1 year of related experience in a data science, analytics, or comparable role.
* Education: Bachelor’s degree in a STEM field such as Operations Research, Industrial Engineering, Applied Mathematics, Statistics, Physics, or Computer Science (Master’s degree preferred).
* Certifications: None explicitly required, but relevant industry certifications are a plus (e.g., AWS Certified Machine Learning Specialist, Certified Analytics Professional (CAP), etc.).
* Role requirements: 5 days on site.
* Due to US Government Contract Requirements, only US Citizens are eligible for this role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competitive pay and paid time off
* Community: Award\-winning culture of innovation and a military\-friendly workplace
OWN YOUR OPPORTUNITY  
Explore a career at GDIT and you’ll find endless opportunities to grow alongside colleagues who share your passion for the mission and delivering results. \#iexjobs
Equal Opportunity Employer / Individuals with Disabilities / Protected Veterans
\#iexjobs
Work Requirements
Years of Experience
1 \+ years of related experience* may vary based on technical training, certification(s), *or* degree
Certification
Travel Required
Less than 10%
Citizenship
U.S. Citizenship Required
Salary and Benefit Information
The likely salary range for this position is $106,250 \- $143,750\.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3">
      <c r="A3" t="inlineStr">
        <is>
          <t>in-c9e9bbfff7417b5c</t>
        </is>
      </c>
      <c r="B3" t="inlineStr">
        <is>
          <t>Data Scientist</t>
        </is>
      </c>
      <c r="C3" t="inlineStr">
        <is>
          <t>National Capitol Contracting (NCC)</t>
        </is>
      </c>
      <c r="D3" t="inlineStr">
        <is>
          <t>indeed</t>
        </is>
      </c>
      <c r="E3" t="inlineStr"/>
      <c r="F3" t="inlineStr"/>
      <c r="G3" t="inlineStr">
        <is>
          <t>Norfolk, VA, US</t>
        </is>
      </c>
      <c r="H3" s="2" t="n">
        <v>46066</v>
      </c>
      <c r="I3" t="inlineStr">
        <is>
          <t>**Position Summary**
National Capitol Contracting is seeking **Data Scientists of Junior, Senior and SME** **level** to support Naval Sea Systems Command (NAVSEA) and help bring cutting edge data analytics to the Navy Fleet Shipyards.
**Position Locations:** Bremerton, WA \- Kittery, ME \- Norfolk, VA \- Newport News, VA \- Pearl Harbor, HI \- Pascagoula, MS \- Groton, CT \- Bath, ME
**Government Security Clearance** ***REQUIRED***
* Must hold an active Secret clearance at the time of application.
**Key Areas of Responsibility**
* Assist in the stand\-up (both technical and functional) of the Data Analytics Lab located at NAVSEA Naval Shipyards, recommend software/hardware analytics and data management toolsets, and recommend functional responsibilities for the other SMDAL staff members.
* Assist in the development of data procedures and policies, govern data assets, and improve the quality and access to data across the organization.
* Analyze and streamline the processes and technology for using data to manage ship maintenance operations, and draw valuable insights from data through data science and business intelligence.
* Assist in the implementation of industry best practices, selection of enabling tools and technologies, driving innovation, and contributing to new service offerings for our ship maintenance stakeholders.
* Assist in the development of policies and procedures to ensure corporate data systems information protection, data governance, data quality, and data life cycle management.
**Minimum Requirements**
* Requirements may vary per job level and location, however, the candidate should possess the following at the time of application:
* Bachelors degree in Computer Science, Data Science, Computational Science, or related field.
* Experience building and leading data management and analytics projects and initiatives for Federal clients.
* Ability to concisely and convincingly communicate (both verbally and written) with both technical and non\-technical stakeholders.
* Experience using data for descriptive, diagnostic, predictive, and prescriptive analytics.
* Knowledge of big data technology infrastructure and environments.
* Proficient in a broad range of data tools and technologies (e.g., Oracle, SQL, SAP IQ, etc.), visualization/analytics tools (e.g., Tableau, Qlik, MicroStrategy, SAP Business Objects, etc.), as well as machine languages (e.g., Python, R/RStudio, Java, C\#, SQL, etc.)
* Experience in developing machine learning models.
* Results\-driven, creative, and analytical.
* Strong leadership and ability to work within cross\-functional groups.
**Preferred Qualifications (Not Required)**
* Bachelor of Science Degree in Computer Science, Data Science, Computational Science or related field.
**Special Position Requirements**
**Environment/Physical Demands:** Office Setting, sitting for long periods of time, and utilizing computer/screens for long periods of time.
NCC provides reasonable accommodations to qualified individuals with disabilities. If you are an applicant that requires a reasonable accommodation, please email us at recruiting@nccsite.com. Please reference the position in your email.
NCC is an Equal Opportunity Employer. All qualified applicants will receive consideration for employment without regard to race, ethnicity, ancestry, color, sex, religion, creed, age, national origin, citizenship status, disability, medical condition, military and veteran status, marital status, sexual orientation or perceived sexual orientation, gender, gender identity, and gender expression, familial status, political affiliation, genetic information, or any other legally protected status or characteristic. E\-Verify Employer. VEVRAA Federal Contractor.
Job Type: Full\-time
Benefits:
* 401(k)
* Health insurance
* Paid time off
Schedule:
* Monday to Friday
Application Question(s):
* Do you hold an active Secret clearance or higher?
* Please specify which location(s) listed in the job description is more preferable. If not currently located in that area, what is your timeframe for relocation?
* What are your salary expectations for your next role?
Work Location: In person</t>
        </is>
      </c>
    </row>
    <row r="4">
      <c r="A4" t="inlineStr">
        <is>
          <t>in-9a0cafaea8b13c97</t>
        </is>
      </c>
      <c r="B4" t="inlineStr">
        <is>
          <t>Staff Applied Scientist - AI &amp; Robotics</t>
        </is>
      </c>
      <c r="C4" t="inlineStr">
        <is>
          <t>Tata Consultancy Services (TCS)</t>
        </is>
      </c>
      <c r="D4" t="inlineStr">
        <is>
          <t>indeed</t>
        </is>
      </c>
      <c r="E4" t="inlineStr"/>
      <c r="F4" t="inlineStr"/>
      <c r="G4" t="inlineStr">
        <is>
          <t>Mountain View, CA, US</t>
        </is>
      </c>
      <c r="H4" s="2" t="n">
        <v>46065</v>
      </c>
      <c r="I4" t="inlineStr">
        <is>
          <t>Must Have Technical/Functional Skills
* PhD in a relevant STEM field, or Master’s with equivalent industry experience in robotics, robot learning, or embodied AI.
* Proven experience building and deploying machine learning models on robotic systems—including training, evaluation, and real\-world execution or simulation.
* Deep understanding of modern AI architectures (e.g., Transformers, diffusion models, VLM/VLAs, CNNs) with strong experience training models at scale.
* Strong PyTorch implementation skills, including authoring custom modules, batching, debugging, and performance optimization.
* Practical experience with ROS/ROS2 and integrating learned policies into manipulation or motion control workflows.
* Demonstrated impact via robot learning publications, open\-source contributions, or production robotics deployments.
Roles \&amp; Responsibilities
* Design and implement advanced robot learning architectures (e.g., diffusion policies, ACT, VLM/VLA\-guided agents, imitation learning) to support dexterous manipulation, path planning, and autonomous task sequencing.
* Develop end\-to\-end policy training pipelines, integrating multi\-modal sensory data (RGB, depth, proprioception, force/torque, LiDAR, tactile inputs) with control outputs.
* Build policy inference and closed\-loop control that connect perception, planning, and execution on physical robotic platforms.
* Apply and extend large\-scale architectures—LLMs, VLM/VLAs, diffusion models—to embodied tasks, grounding, and sim\-to\-real adaptation.
* Collaborate with cross\-functional teams to deploy robot policies on hardware, ensuring robustness, repeatability, and safety.
* Lead data strategy for demonstrations, teleoperation, simulation pipelines, and evaluation frameworks for manipulation policies.
* Stay current with embodied AI research and share insights internally through discussion, mentorship, and technical presentations
Base Salary Range : $130,000 to $170,000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\#LI\-SV2
\#LI\-KUMARAN
**Location**
Mountain View, CA
**Job Function**
TECHNOLOGY
**Role**
Research Engineer
**Job Id**
396779
**Desired Skills**
Robotics
**Salary Range**
$130,000\-$170,000 \[jobDescription.year]
Desired Candidate Profile
**Qualifications** : BACHELOR OF COMPUTER SCIENCE</t>
        </is>
      </c>
    </row>
    <row r="5">
      <c r="A5" t="inlineStr">
        <is>
          <t>in-8113d82c4b2ec2c5</t>
        </is>
      </c>
      <c r="B5" t="inlineStr">
        <is>
          <t>Senior Research Data Scientist, GenAI Factuality</t>
        </is>
      </c>
      <c r="C5" t="inlineStr">
        <is>
          <t>Google</t>
        </is>
      </c>
      <c r="D5" t="inlineStr">
        <is>
          <t>indeed</t>
        </is>
      </c>
      <c r="E5" t="inlineStr"/>
      <c r="F5" t="inlineStr"/>
      <c r="G5" t="inlineStr">
        <is>
          <t>Mountain View, CA, US</t>
        </is>
      </c>
      <c r="H5" s="2" t="n">
        <v>46065</v>
      </c>
      <c r="I5" t="inlineStr">
        <is>
          <t>### **Minimum qualifications:**
* Master's degree in Statistics, Data Science, Mathematics, Physics, Economics, Operations Research, Engineering, or a related quantitative field.
* 5 years of experience using analytics to solve product or business problems, coding (e.g., Python, R, SQL), querying databases or statistical analysis, or 3 years of experience with a PhD degree.
### **Preferred qualifications:**
* 8 years of experience using analytics to solve product or business problems, coding (e.g., Python, R, SQL), querying databases or statistical analysis, or 6 years of experience with a PhD degree.
* Experience developing human evals and autoraters.
* Experience prompting/training large language models and using agentic large language model workflows.
**About the job**
-----------------
As a Senior Research Data Scientist on the Gemini Factuality team, you will be at the center of this mission, ensuring that when users turn to Gemini for information, they receive answers that are both accurate and incredibly helpful.  
Our team is responsible for Gemini factuality and quality on information seeking prompts. Our goal is to ensure that our models are as accurate as possible without compromising on any other response quality aspect, and ensuring that response structure and organization are maximally helpful.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Collaborate with stakeholders in cross\-projects and team settings to identify and clarify business or product questions to answer. Provide feedback to translate and refine business questions into tractable analysis, evaluation metrics, or mathematical models.
* Conduct data analysis on GenAI: evals, performer evals, training data, user logs.
* Gather information, business goals, priorities, and organizational context around the questions to answer, as well as the existing and upcoming data infrastructure.
* Own the process of gathering, extracting, and compiling data across sources via relevant tools (e.g., SQL, R, Python). Separately format, re\-structure, or validate data to ensure quality, and review the dataset to ensure it is ready for analysis.
* Evaluate development, including metrics: human eval templates, autoraters.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6">
      <c r="A6" t="inlineStr">
        <is>
          <t>in-cfeec4b21717d227</t>
        </is>
      </c>
      <c r="B6" t="inlineStr">
        <is>
          <t>Staff Data Scientist, Research, AI Data Intelligence</t>
        </is>
      </c>
      <c r="C6" t="inlineStr">
        <is>
          <t>Google</t>
        </is>
      </c>
      <c r="D6" t="inlineStr">
        <is>
          <t>indeed</t>
        </is>
      </c>
      <c r="E6" t="inlineStr"/>
      <c r="F6" t="inlineStr"/>
      <c r="G6" t="inlineStr">
        <is>
          <t>Mountain View, CA, US</t>
        </is>
      </c>
      <c r="H6" s="2" t="n">
        <v>46065</v>
      </c>
      <c r="I6" t="inlineStr">
        <is>
          <t>### **Minimum qualifications:**
* Master's degree in Statistics, Data Science, Mathematics, Physics, Economics, Operations Research, Engineering, or a related quantitative field.
* 8 years of experience using analytics to solve product or business problems, coding (e.g., Python, R, SQL), querying databases or statistical analysis, or 6 years of experience with a PhD degree.
### **Preferred qualifications:**
* 10 years of experience using analytics to solve product or business problems, coding (e.g., Python, R, SQL), querying databases or statistical analysis, or 8 years of experience with a PhD degree.
**About the job**
-----------------
Imagine being at the core of the AI revolution, where your expertise directly fuels the most advanced Large Language Models. We are the driving team behind high\-quality data – the essential ingredient for unlocking unprecedented AI breakthroughs. Partner with the brightest minds, define data excellence, and make a tangible impact on the future of intelligent systems.The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Be a distinct contributor, with a particular focus on Human Data Collection for Large Language Models (LLMs) and address complex data science problems.
* Design and deploy novel data acquisition and quality improvement techniques for foundational models.
* Utilize AI models and tools as integral components for evaluating, synthesizing, and understanding complex datasets.
* Act as a critical technical partner, collaborating closely with Research, Engineering, and Product teams (Cloud AI Data and Google DeepMind).
* Develop new methodologies to improve the performance of Google's models through better training data, including data collection, and insights.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7">
      <c r="A7" t="inlineStr">
        <is>
          <t>in-c577e65dfed503fd</t>
        </is>
      </c>
      <c r="B7" t="inlineStr">
        <is>
          <t>Product Data Scientist, YouTube Shopping</t>
        </is>
      </c>
      <c r="C7" t="inlineStr">
        <is>
          <t>Youtube</t>
        </is>
      </c>
      <c r="D7" t="inlineStr">
        <is>
          <t>indeed</t>
        </is>
      </c>
      <c r="E7" t="inlineStr"/>
      <c r="F7" t="inlineStr"/>
      <c r="G7" t="inlineStr">
        <is>
          <t>San Bruno, CA, US</t>
        </is>
      </c>
      <c r="H7" s="2" t="n">
        <v>46065</v>
      </c>
      <c r="I7" t="inlineStr">
        <is>
          <t>### **Minimum qualifications:**
* Bachelor's degree in Statistics, Mathematics, Data Science, Engineering, Physics, Economics, or a related quantitative field.
* 5 years of experience with analysis applications (extracting insights, performing statistical analysis, or solving business problems), and coding (Python, R, SQL) or 2 years work experience with a Master's degree.
### **Preferred qualifications:**
* Master's degree in Statistics, Mathematics, Data Science, Engineering, Physics, Economics, or a related quantitative field.
**About the job**
-----------------
Youtube Data Science influences and informs YouTube’s product and engineering leadership teams. We have a long history of working on projects that are at the heart of the business and have a seat at the table when it comes to the decisions that drive YouTube's continued success. Our mission statement is improving decisions at YouTube with science.
Shopping is a high\-visibility product and a fast\-growing area for YouTube, achieving 5x growth in Gross Merchandise Value (GMV) last year. It is also a complex three\-sided marketplace that operates by simultaneously serving viewers (shoppers), creators, and merchants (brands).  
As a Data Scientist on this team, you will be responsible for building a link between the YouTube Creators who make content and the Brands selling their products. You will build intelligent recommendation and ranking systems that connect creators with the most relevant merchant offers, and vice versa. This is a great opportunity for those who are excited by early stage growth products and building solutions from the ground up.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experiments and methods to measure improvements across all aspects of engineering development to ensure high\-confidence launch decisions (e.g., rater accuracy, ranked recommendations).
* Prototype models to estimate input features like expected earnings and probability of engaging with an offer.
* Use data to uncover headroom opportunities in the current ecosystem.
* Own the process of gathering, extracting, and compiling data across sources via relevant tools (e.g., SQL, R, Python). Format, re\-structure, and validate data to ensure quality.
* Perform analysis by utilizing relevant tools (e.g., SQL, R, Python). Using comprehensive technical knowledge, use custom data infrastructure or existing data models.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
      <c r="A8" t="inlineStr">
        <is>
          <t>in-73feb8d431c82c79</t>
        </is>
      </c>
      <c r="B8" t="inlineStr">
        <is>
          <t>Data Scientist</t>
        </is>
      </c>
      <c r="C8" t="inlineStr">
        <is>
          <t>Booz Allen Hamilton</t>
        </is>
      </c>
      <c r="D8" t="inlineStr">
        <is>
          <t>indeed</t>
        </is>
      </c>
      <c r="E8" t="inlineStr"/>
      <c r="F8" t="inlineStr"/>
      <c r="G8" t="inlineStr">
        <is>
          <t>Arlington, VA, US</t>
        </is>
      </c>
      <c r="H8" s="2" t="n">
        <v>46065</v>
      </c>
      <c r="I8" t="inlineStr">
        <is>
          <t>Data Scientist**The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guide teammates and lead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
Work with us as we use data science for good.
Join us. The world can’t wait.
**You Have:**
* 5\+ years of experience with data exploration, data cleaning, data analysis, data visualization, or data mining
* 5\+ years of experience with statistical and general\-purpose programming languages for data analysis
* 5\+ years of experience analyzing structured and unstructured data sources
* Experience in Modeling and Simulation environments
* Experience developing predictive data models, quantitative analyses and visualization of targeted data sources
* Experience leading the development of solutions to complex problems
* Ability to communicate succinctly at the strategic level to senior leaders while maintaining technical credibility under scrutiny
* TS/SCI clearance
* Bachelor’s degree
**Nice If You Have:**
* Experience working in a joint operational environment and with the interagency
* Experience with Wargaming
* Master's degree in a relevant field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9">
      <c r="A9" t="inlineStr">
        <is>
          <t>in-e626c2941dcb2bcd</t>
        </is>
      </c>
      <c r="B9" t="inlineStr">
        <is>
          <t>Data Scientist</t>
        </is>
      </c>
      <c r="C9" t="inlineStr">
        <is>
          <t>Booz Allen Hamilton</t>
        </is>
      </c>
      <c r="D9" t="inlineStr">
        <is>
          <t>indeed</t>
        </is>
      </c>
      <c r="E9" t="inlineStr"/>
      <c r="F9" t="inlineStr"/>
      <c r="G9" t="inlineStr">
        <is>
          <t>Macdill AFB, FL, US</t>
        </is>
      </c>
      <c r="H9" s="2" t="n">
        <v>46065</v>
      </c>
      <c r="I9" t="inlineStr">
        <is>
          <t>Data Scientist**The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 from fraud detection to cancer research, to national intelligence, we need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guide teammates and lead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
Work with us as we use data science for good.
Join us. The world can’t wait.
**You Have:**
* 5\+ years of experience within data science or machine learning
* Experience with programming languages, including Python, C\+\+, Java, or R
* Experience working with structured, unstructured, or semi\-structured data and conducting analysis
* Experience with data wrangling techniques to cleanse data for data science applications
* Experience building statistical models and developing machine learning algorithms, including supervised, unsupervised, or reinforcement
* Experience designing and executing machine learning models and applications
* Knowledge of the software development life cycle, testing, and version control
* TS/SCI clearance
* Bachelor's degree
**Nice If You Have:**
* Experience with distributed programming languages, including Spark or Scala
* Experience with data orchestration tools, including Airflow
* Experience with data engineering and data science tools, including Databricks, ElasticSearch, Apache NiFi, or StreamSets
* Experience with business intelligence tools, including Tableau or Qlik
* Experience with data lakes, data warehouses, or data lake houses
* Experience with cloud services such as AWS, Azure, or Google Cloud
* Experience with enterprise DataOps, DevSecOps, and MLOps processes to operationalize and monitor data science models
* Experience with Agile development
* Experience with CI/CD, including Git, Jenkins, and Docker
* Ability to quickly learn new skill sets to solve challenging problems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
      <c r="A10" t="inlineStr">
        <is>
          <t>in-75114fbdb424a755</t>
        </is>
      </c>
      <c r="B10" t="inlineStr">
        <is>
          <t>Data Scientist</t>
        </is>
      </c>
      <c r="C10" t="inlineStr">
        <is>
          <t>Booz Allen Hamilton</t>
        </is>
      </c>
      <c r="D10" t="inlineStr">
        <is>
          <t>indeed</t>
        </is>
      </c>
      <c r="E10" t="inlineStr"/>
      <c r="F10" t="inlineStr"/>
      <c r="G10" t="inlineStr">
        <is>
          <t>Scott AFB, IL, US</t>
        </is>
      </c>
      <c r="H10" s="2" t="n">
        <v>46065</v>
      </c>
      <c r="I10" t="inlineStr">
        <is>
          <t>Data Scientist**The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4\+ years of experience in a professional work environment
* Experience with data exploration, cleansing, analysis, visualization, or mining to develop predictive data models, quantitative analyses, and visualizations
* Experience with statistical and general\-purpose programming languages, such as Python, R, or SQL, to analyze structured and unstructured data
* Knowledge of machine learning, artificial intelligence, and natural language processing tools and techniques
* Secret clearance
* HS diploma or GED
 **Nice If You Have:**
* Experience supporting DoW or federal agencies, including analytic support
* Experience with tools such as MapReduce, Hadoop, Hive, Kafka, or Spark, visualization packages such as Plotly or Seaborn, or mathematical concepts such as linear algebra or probability
* Experience supervising teams or leading projects
* Knowledge of DoW analytic tools, such as Advana and Maven Smart Systems
* Knowledge of Agile development practices
* Ability to communicate data science techniques effectively to leadership
* TS/SCI clearance
* Bachelor’s degree in Data Science, Computer Science, Mathematics, Statistics, Engineering, or a similar field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
      <c r="A11" t="inlineStr">
        <is>
          <t>in-cc9c93911cf10646</t>
        </is>
      </c>
      <c r="B11" t="inlineStr">
        <is>
          <t>Data Scientist, Mid</t>
        </is>
      </c>
      <c r="C11" t="inlineStr">
        <is>
          <t>Booz Allen Hamilton</t>
        </is>
      </c>
      <c r="D11" t="inlineStr">
        <is>
          <t>indeed</t>
        </is>
      </c>
      <c r="E11" t="inlineStr"/>
      <c r="F11" t="inlineStr"/>
      <c r="G11" t="inlineStr">
        <is>
          <t>Alexandria, VA, US</t>
        </is>
      </c>
      <c r="H11" s="2" t="n">
        <v>46065</v>
      </c>
      <c r="I11" t="inlineStr">
        <is>
          <t>Data Scientist, Mid**The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 from fraud detection to cancer research, to national intelligence, 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2\+ years of experience with data exploration, data cleaning, data analysis, data visualization, or data mining
* 2\+ years of experience with statistical and general\-purpose programming languages for data analysis
* Experience analyzing structured and unstructured data sources
* Experience developing predictive data models, quantitative analyses, and visualization of targeted data sources
* Knowledge of machine learning, artificial intelligence (AI), or natural language processing (NLP)
* Knowledge of text mining or machine learning techniques
* Secret clearance
* Bachelor’s degree
**Nice If You Have:**
* 2\+ years of experience in the development of algorithms leveraging R, Python, or SQL and NoSQL
* 2\+ years of experience with distributed data or computing tools, including MapReduce, Hadoop, Hive, EMR, Kafka, Spark, Gurobi, or MySQL
* 2\+ years of experience with machine learning, AI, or NLP
* Experience with visualization packages, including Plotly, Seaborn, or ggplot2
* TS/SCI clearance with a polygraph
* Master’s degree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2">
      <c r="A12" t="inlineStr">
        <is>
          <t>in-1b4cfbdc3cd500a4</t>
        </is>
      </c>
      <c r="B12" t="inlineStr">
        <is>
          <t>Data Governance and Metadata Scientist</t>
        </is>
      </c>
      <c r="C12" t="inlineStr">
        <is>
          <t>Booz Allen Hamilton</t>
        </is>
      </c>
      <c r="D12" t="inlineStr">
        <is>
          <t>indeed</t>
        </is>
      </c>
      <c r="E12" t="inlineStr"/>
      <c r="F12" t="inlineStr"/>
      <c r="G12" t="inlineStr">
        <is>
          <t>Doral, FL, US</t>
        </is>
      </c>
      <c r="H12" s="2" t="n">
        <v>46065</v>
      </c>
      <c r="I12" t="inlineStr">
        <is>
          <t>Data Governance and Metadata Scientist**The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guide teammates and lead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
Work with us as we use data science for good.
Join us. The world can’t wait.
**You Have:**
* Experience implementing metadata governance frameworks for structured and unstructured data in cloud\-based environments
* Experience with tracking data lineage and ensuring metadata synchronization across a Data Catalog, ESRI Kubernetes, and enterprise metadata repositories
* Experience with utilizing OpenLineage, Apache Atlas, or tools for metadata and data lineage management
* Experience in enforcing compliance with DoD metadata policies and NSG tradecraft standards for geospatial datasets
* Bachelor’s degree in Data Science, Information Management, or Geographic Information Systems (GIS), or 5\+ years of experience in data governance, metadata management, or geospatial data integration in lieu of a degree
**Nice If You Have:**
* Experience working in DoW or IC environments preferred
* Experience with the RMF or ATO process
* Certified Data Management Professional (CDMP), DAMA Certified Data Governance Professional (DGSP), or ESRI Geospatial Data Management Certification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3">
      <c r="A13" t="inlineStr">
        <is>
          <t>in-66f6d3a1e1a0472d</t>
        </is>
      </c>
      <c r="B13" t="inlineStr">
        <is>
          <t>Data Scientist</t>
        </is>
      </c>
      <c r="C13" t="inlineStr">
        <is>
          <t>Booz Allen Hamilton</t>
        </is>
      </c>
      <c r="D13" t="inlineStr">
        <is>
          <t>indeed</t>
        </is>
      </c>
      <c r="E13" t="inlineStr"/>
      <c r="F13" t="inlineStr"/>
      <c r="G13" t="inlineStr">
        <is>
          <t>Herndon, VA, US</t>
        </is>
      </c>
      <c r="H13" s="2" t="n">
        <v>46065</v>
      </c>
      <c r="I13" t="inlineStr">
        <is>
          <t>Data Scientist**The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guide teammates and lead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
Work with us as we use data science for good.
Join us. The world can’t wait.
**You Have:**
* 3\+ years of experience with using programming languages to manipulate and analyze data, including Python, R, and SQL
* Experience with deploying and maintaining user\-facing or user\-accessible models
* Experience with data cleansing, data analytics, inferential statistics, programming, data visualization, and system integration to provide data solutions
* Experience with developing data visualizations, dashboards, or lightweight web applications to communicate key insights
* Knowledge of research design principles
* Knowledge of analytic methods and methodological tools used in applied mathematics, computer programming, or data visualization
* Ability to apply supervised and unsupervised machine learning algorithms on structured and unstructured datasets
* TS/SCI clearance with a polygraph
* Bachelor’s degree
**Nice If You Have:**
* Experience with project management, project planning, and technical documentation
* Knowledge of psychometric theory and assessment validation methodologies such as Item Response Theory and Factor Analysis
* Knowledge of data strategy and data governance
* Ability to advise clients on the acquisition of data, data management, and data infrastructure
* Ability to execute projects and tasks with minimal guidance and supervision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4">
      <c r="A14" t="inlineStr">
        <is>
          <t>in-33f5f32f369c00e6</t>
        </is>
      </c>
      <c r="B14" t="inlineStr">
        <is>
          <t>Advanced Data Scientist, Senior</t>
        </is>
      </c>
      <c r="C14" t="inlineStr">
        <is>
          <t>Booz Allen Hamilton</t>
        </is>
      </c>
      <c r="D14" t="inlineStr">
        <is>
          <t>indeed</t>
        </is>
      </c>
      <c r="E14" t="inlineStr"/>
      <c r="F14" t="inlineStr"/>
      <c r="G14" t="inlineStr">
        <is>
          <t>Herndon, VA, US</t>
        </is>
      </c>
      <c r="H14" s="2" t="n">
        <v>46065</v>
      </c>
      <c r="I14" t="inlineStr">
        <is>
          <t>Advanced Data Scientist, Senior**The Opportunity:**
As an analytics professional, you’re excited at the prospect of unlocking the secrets held by a data set, and you’re fascinated by the possibilities presented by IoT, machine learning, and artificial intelligence. If you care about moving a mission forward as much as advancing the field of data science, this is the opportunity for you.
Your deep analytics, data science, AI, or machine learning expertise and consulting mindset, coupled with an original approach to your work, will help clients and stakeholders make sense of their data and encourage actionable results. We’re looking for someone like you to lead complex data exploration and analytics projects through your experience with programming languages, operationalizing models, containerization, data architecture, and cloud computing platforms for our intelligence community.
As an advanced data scientist and researcher on our team, you’ll learn and apply innovative AI, machine learning, data engineering, natural language processing (NLP), and data visualization methodologies to make a real\-world impact in support of this community. You’ll grow your skills in data science, AI, machine learning, operationalization process, and predictive modeling, to shape the future of analytics through a variety of means.
We’ll keep you sharp and moving forward in your career, with access to online courses, the latest tools and methods, and opportunities to publish or present at conferences. Whether you’re using AI to impact the climate, improving government efficiency, or providing better services to the public, or improving veterans’ experiences, you’ll guide a team that serves critical missions from end to end.
Join us. The world can’t wait.
**You Have:**
* 3\+ years of experience in data science or analytics
* Experience with the analysis of data and creation of data\-driven visualizations
* Experience in working with artificial intelligence, machine learning, natural language processing, data mining, statistics, and algorithms
* Ability to develop persistent monitoring applications for statistical or machine learning processes using Python and SQL
* Ability to create reports and present findings based on statistical analysis
* TS/SCI clearance with a polygraph
* Bachelor's degree in Computer Science
**Nice If You Have:**
* Experience programming in an AWS cloud environment
* Experience with Tableau
* Possession of strong verbal and written communication skills
* Business Analytics, Data Mining, or Statistical Analysis Certification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5">
      <c r="A15" t="inlineStr">
        <is>
          <t>in-96255e322c5b09ec</t>
        </is>
      </c>
      <c r="B15" t="inlineStr">
        <is>
          <t>Senior Staff Data Scientist</t>
        </is>
      </c>
      <c r="C15" t="inlineStr">
        <is>
          <t>Samsung Electronics</t>
        </is>
      </c>
      <c r="D15" t="inlineStr">
        <is>
          <t>indeed</t>
        </is>
      </c>
      <c r="E15" t="inlineStr"/>
      <c r="F15" t="inlineStr"/>
      <c r="G15" t="inlineStr">
        <is>
          <t>Mountain View, CA, US</t>
        </is>
      </c>
      <c r="H15" s="2" t="n">
        <v>46065</v>
      </c>
      <c r="I15" t="inlineStr">
        <is>
          <t>Position Summary
Position Summary  
Samsung Ads is an advanced advertising technology company in rapid growth that focuses on enabling brands to connect with Samsung TV audiences as they are exposed to digital media by using the industry’s most comprehensive data to build the world’s smartest advertising  
platform. Being part of an international company such as Samsung and doing business around the world means that we get to work on the most challenging projects with stakeholders and teams located around the globe.  
We are proud to have built a world\-class organization grounded in an entrepreneurial and collaborative spirit. Working at Samsung Ads offers one of the best environments in the industry to learn just how fast you can grow, how much you can achieve, and how good you can be. We  
thrive on problem\-solving, breaking new ground, and enjoying every part of the journey.  
We are seeking an experienced Senior Staff Data Scientist to lead our experimentation admeasurement initiatives at Samsung Ads Data Science team. This is a high\-impact technical leadership role where you'll shape how we measure success, optimize our advertising platform,  
and drive data\-informed decision\-making across the organization. You'll work at the intersection of advanced analytics, product strategy, and engineering to build robust frameworks that power  
our advertising ecosystem.  
Location: Mountain View, CA
Role and Responsibilities
Responsibilities  
* Technical Leadership
* Serve as the technical lead for experimentation and measurement initiatives within the data science team of Samsung Ads
* Collaborate closely with Product Managers, ML Engineers, and cross\-functional stakeholders to define and execute high\-impact projects from conception to deployment
* Provide mentorship and technical guidance to data scientists on the team.
* Experimentation and Measurement Framework Scale and enhance our ML A/B testing framework to support sophisticated experimental designs and rapid iteration
* Build comprehensive metrics and measurement frameworks to evaluate machine learning model performance and business impact
* Deploy standardized revenue potential assessment models and sizing methodologies to guide product investment decisions
* Advanced Analytics \&amp; Attribution
* Design and implement comprehensive measurement systems that track operational, product, and ML contributions across our entire advertising platform
* Develop sophisticated causal inference models and multi\-touch attribution frameworks to understand true business drivers
* Create systematic processes and automation pipelines that convert analytical insights into concrete business actions with clear accountability
Experience Requirements:  
* Master's degree with 8\+ years of industry experience, OR PhD with 6\+ years of industry experience
* Degree in Mathematics, Statistics, Economics, Computer Science, or related quantitative field
* Deep understanding and hands\-on experience with:
 Advanced experimentation methodologies and A/B testing frameworks Causal inference techniques and statistical modeling  
 Attribution modeling and multi\-touch attribution systems Machine learning evaluation and measurement frameworks  
* Fluent in SQL and Python for data analysis, modeling, and automation
* Experience with large\-scale data systems and cloud platforms
* Excellent communication skills with proven ability to influence stakeholders and drive cross\-team decisions
* Experience mentoring and leading technical teams
Skills and Qualifications
Preferred Experience Requirements:  
* Prior experience in advertising industry and real\-time bidding (RTB) ecosystem
* Background in econometrics or marketing mix modeling
* Hands\-on experience with production\-grade machine learning solutions and/or software development
Compensation for this role, for candidates based in New York, NY, is expected to be between $240,000 \~ $280,000\. Actual pay will be determined considering factors such as relevant skills and experience, and comparison to other employees in the role.  
Regular full\-time employees (salaried or hourly) have access to benefits including Medical, Dental, Vision, Life Insurance, 401(k), Employee Purchase Program, Tuition Assistance (after 6 months), Paid Time Off, Student Loan Program (after 6 months), Wellness Incentives, and many more.  
At Samsung, we believe that innovation and growth are driven by an inclusive culture and a diverse workforce. We aim to create a global team where everyone belongs and has equal opportunities, inspiring our talent to be their true selves. Together, we are building a better tomorrow for our customers, partners, and communities.* Samsung Electronics America, Inc. and its subsidiaries are committed to employing a diverse workforce, and provide Equal Employment Opportunity for all individuals regardless of race, color, religion, gender, age, national origin, marital status, sexual orientation, gender identity, status as a protected veteran, genetic information, status as a qualified individual with a disability, or any other characteristic protected by law.
Reasonable Accommodations for Qualified Individuals with Disabilities During the Application Process
Samsung Electronics America is committed to providing reasonable accommodations for qualified individuals with disabilities in our job application process. If you have a disability and require a reasonable accommodation in order to participate in the application process, please contact our Reasonable Accommodation Team (855\-557\-3247\) or SEA\_Accommodations\_Ext@sea.samsung.com for assistance. This number is for accommodation requests only and is not intended for general employment inquiries.</t>
        </is>
      </c>
    </row>
    <row r="16">
      <c r="A16" t="inlineStr">
        <is>
          <t>in-19929120cb922556</t>
        </is>
      </c>
      <c r="B16" t="inlineStr">
        <is>
          <t>Senior Data Scientist</t>
        </is>
      </c>
      <c r="C16" t="inlineStr">
        <is>
          <t>General Dynamics Information Technology</t>
        </is>
      </c>
      <c r="D16" t="inlineStr">
        <is>
          <t>indeed</t>
        </is>
      </c>
      <c r="E16" t="inlineStr"/>
      <c r="F16" t="inlineStr"/>
      <c r="G16" t="inlineStr">
        <is>
          <t>IN, US</t>
        </is>
      </c>
      <c r="H16" s="2" t="n">
        <v>46065</v>
      </c>
      <c r="I16" t="inlineStr">
        <is>
          <t>Your Impact
Own your opportunity to work alongside federal civilian agencies. Make an impact by providing services that help the government ensure the well being and support of U.S. citizens.
Job Description
The Senior Data Scientist provides advanced analytical, machine learning, and data engineering support. This role combines deep expertise in predictive modeling, statistical analysis, and scalable data pipeline development to deliver production\-ready solutions that drive data\-informed decision\-making and operational efficiency.
Duties include:
Design, develop, and deploy machine learning models for classification, regression, time series forecasting, and natural language processing applications to solve complex business problems.
* Build and optimize automated, scalable ETL/ELT pipelines using Python, SQL, and cloud\-based tools to integrate, transform, and validate structured and unstructured data from diverse sources.
* Develop and maintain production ML systems including model deployment, monitoring, versioning, and performance tracking in collaboration with AI/ML infrastructure teams.
* Design, develop, and deploy interactive dashboards and data visualizations using Tableau, Power BI, or similar platforms to deliver actionable insights to technical and executive stakeholders.
* Perform end\-to\-end model development including exploratory data analysis, feature engineering, hyperparameter tuning, model validation, and documentation.
* Develop and maintain data pipelines and workflows using tools such as AWS services, Databricks, and GitLab CI/CD to support analytics and ML operations.
* Conduct data mining, cleaning, and manipulation using SQL, Python (Pandas, NumPy), or R to deliver statistical analyses, visualizations, and predictive insights.
* Implement data quality and validation frameworks, leveraging APIs and automated testing to ensure accuracy and completeness across systems.
* Translate complex business requirements into technical solutions, data models, and analytical frameworks that align with long\-term technology strategy.
* Provide technical mentorship to team members on advanced analytics techniques, Python scripting, ML best practices, and workflow automation.
* Create comprehensive documentation including data dictionaries, metadata, technical specifications, and presentations for diverse audiences.
* Respond to urgent and ad\-hoc data requests, compile reports for leadership, and coordinate collaborative research and analysis projects.
* Partner with cross\-functional teams including data engineers, software developers, and federal stakeholders to ensure production readiness and scalability of data solutions.
This position is fully remote and requires a Public Trust (or the ability to obtain it). The candidate may be required to work outside of business hours including weekends based on need.
Education:
Requires BS/BA degree in Data Science, Computer Science, Statistics, Mathematics, Engineering, or a related quantitative field. Master's degree preferred.
Qualifications Required:
* At least 5 years of experience in data science, machine learning, or advanced analytics; 3 years of experience with a Master's degree.
* Demonstrated experience developing and deploying machine learning models using Python libraries (Scikit\-learn, XGBoost, TensorFlow, PyTorch, or HuggingFace).
* Strong proficiency in Python and SQL for data manipulation, analysis, and pipeline development.
* Experience with ETL/ELT pipeline development and data engineering best practices.
* Demonstrated knowledge of data visualization platforms (Tableau, Power BI) and ability to translate technical insights into executive\-level dashboards.
* Experience with cloud platforms (AWS, Databricks) and modern data infrastructure.
* Knowledge of statistical analysis and modeling techniques.
* Understanding of relational and non\-relational databases (Oracle SQL, PostgreSQL, etc.).
* Strong version control and collaboration skills using Git (GitHub, GitLab, BitBucket).
* Exceptional analytical skills with strong attention to detail.
* Strong written and verbal communication skills with ability to present complex findings to non\-technical stakeholders.
* Must be able to work both independently and as part of a collaborative team in a fast\-paced, agile environment.
Preferred:
* Experience with MLOps practices including model monitoring, versioning, and production deployment.
* Experience with CI/CD pipelines (GitLab CI/CD) for data workflows and ML operations.
* Knowledge of time series forecasting, natural language processing, or geospatial analysis, generative AI, or agentic AI.
* Experience with data orchestration and workflow automation tools.
* Familiarity with feature engineering, dimensionality reduction (PCA), cluster analysis, and anomaly detection techniques.
* Experience working with federal government data systems and compliance requirements.
* Background in Agile/Scrum methodologies and project management tools (Jira).
* Experience mentoring junior data professionals and establishing analytics best practices.
Work Requirements
Years of Experience
5 \+ years of related experience* may vary based on technical training, certification(s), *or* degree
Certification
Travel Required
None
Salary and Benefit Information
The likely salary range for this position is $111,350 \- $150,650\.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7">
      <c r="A17" t="inlineStr">
        <is>
          <t>in-38b86f108e54640a</t>
        </is>
      </c>
      <c r="B17" t="inlineStr">
        <is>
          <t>Data Scientist with Python and ML</t>
        </is>
      </c>
      <c r="C17" t="inlineStr">
        <is>
          <t>Tata Consultancy Services (TCS)</t>
        </is>
      </c>
      <c r="D17" t="inlineStr">
        <is>
          <t>indeed</t>
        </is>
      </c>
      <c r="E17" t="inlineStr"/>
      <c r="F17" t="inlineStr"/>
      <c r="G17" t="inlineStr">
        <is>
          <t>Charlotte, NC, US</t>
        </is>
      </c>
      <c r="H17" s="2" t="n">
        <v>46065</v>
      </c>
      <c r="I17" t="inlineStr">
        <is>
          <t>**Must Have Technical/Functional Skills**
* Experience working on high volume applications
* Experience in server side frameworks like spring MVC
* Restful web services experience
* Python Java Data Engineering GenAI LLM
* Performance tuning with hands on knowledge on JVM internals
* Database experience with NoSQL / Cassandra
* Experience in distributed caching frameworks like hazelcast, ignire, redis
* Hands on knowledge in modern JVM languages like groovy, scala
* Experience with open source search engines like SOLR, elasticsearch
* Hand on knowledge on NLP and Machine learning
* GenAI knowledge
* Hands on Python experience
* Working experience on LLMs
* Experience working in Agile teams
**Roles \&amp; Responsibilities**  
Develop code to implement the technical functionality intended for the business Ability to work in dynamic team environment Adapt to the evolving tech stack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 $80,000 \- $128,000 a year
**Location**
Charlotte, NC
**Job Function**
TECHNOLOGY
**Role**
Engineer
**Job Id**
396784
**Desired Skills**
Data Science \| Python
**Salary Range**
$80,000\-$128,000 a year
Desired Candidate Profile
**Qualifications** : BACHELOR OF COMPUTER SCIENCE</t>
        </is>
      </c>
    </row>
    <row r="18">
      <c r="A18" t="inlineStr">
        <is>
          <t>in-b76a8e72c5117850</t>
        </is>
      </c>
      <c r="B18" t="inlineStr">
        <is>
          <t>Data Scientist with Python and ML</t>
        </is>
      </c>
      <c r="C18" t="inlineStr">
        <is>
          <t>Tata Consultancy Services (TCS)</t>
        </is>
      </c>
      <c r="D18" t="inlineStr">
        <is>
          <t>indeed</t>
        </is>
      </c>
      <c r="E18" t="inlineStr"/>
      <c r="F18" t="inlineStr"/>
      <c r="G18" t="inlineStr">
        <is>
          <t>Addison, TX, US</t>
        </is>
      </c>
      <c r="H18" s="2" t="n">
        <v>46065</v>
      </c>
      <c r="I18" t="inlineStr">
        <is>
          <t>**Must Have Technical/Functional Skills**
* Experience working on high volume applications
* Experience in server side frameworks like spring MVC
* Restful web services experience
* Python Java Data Engineering GenAI LLM
* Performance tuning with hands on knowledge on JVM internals
* Database experience with NoSQL / Cassandra
* Experience in distributed caching frameworks like hazelcast, ignire, redis
* Hands on knowledge in modern JVM languages like groovy, scala
* Experience with open source search engines like SOLR, elasticsearch
* Hand on knowledge on NLP and Machine learning
* GenAI knowledge
* Hands on Python experience
* Working experience on LLMs
* Experience working in Agile teams
**Roles \&amp; Responsibilities**  
Develop code to implement the technical functionality intended for the business Ability to work in dynamic team environment Adapt to the evolving tech stack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 $80,000 \- $128,000 a year
**Location**
Addison, TX
**Job Function**
TECHNOLOGY
**Role**
Engineer
**Job Id**
396785
**Desired Skills**
Data Science \| Python
**Salary Range**
$80,000\-$128,000 a year
Desired Candidate Profile
**Qualifications** : BACHELOR OF COMPUTER SCIENCE</t>
        </is>
      </c>
    </row>
    <row r="19">
      <c r="A19" t="inlineStr">
        <is>
          <t>in-b4d60cc87f1cb9b1</t>
        </is>
      </c>
      <c r="B19" t="inlineStr">
        <is>
          <t>Data Scientist</t>
        </is>
      </c>
      <c r="C19" t="inlineStr">
        <is>
          <t>Expel</t>
        </is>
      </c>
      <c r="D19" t="inlineStr">
        <is>
          <t>indeed</t>
        </is>
      </c>
      <c r="E19" t="inlineStr"/>
      <c r="F19" t="inlineStr"/>
      <c r="G19" t="inlineStr">
        <is>
          <t>Herndon, VA, US</t>
        </is>
      </c>
      <c r="H19" s="2" t="n">
        <v>46065</v>
      </c>
      <c r="I19" t="inlineStr">
        <is>
          <t>You are passionate about transforming complex data into actionable insights and tools that make people more efficient. You thrive on the challenge of gathering, cleaning, and analyzing diverse data sources to find the "hidden truth" that drives real customer value. Your ideal role involves using a blend of computer science, statistics, and machine learning to translate information security data into organizational knowledge. While you enjoy research, you get the most energy from seeing your work—from predictive models to Gen AI applications—directly impact cybersecurity outcomes.
Does this sound like you? Great!
We're looking for a Data Scientist who wants to automate routine decisions and empower our humans to be more efficient. You'll work alongside our Detection and Response (D\&amp;R) Engineering and Security Operations Center (SOC) teams to deliver quick, iterative wins that improve how we detect and investigate cybersecurity incidents.
Our team values collaboration and a team\-focused mindset. If you are an adaptable problem\-solver who enjoys working with others to turn noisy data into clear capabilities, we should talk!
**What Expel can do for you**
-----------------------------
* Provide opportunities where the decisions you make have a direct impact on our company and our customers
* Grow through collaborative mentorship and hands\-on stretch assignments
* Challenge you to push the boundaries of our data science, security, and technology vision
* Provide an entertaining, small and highly transparent startup environment
**What you can do for Expel**
-----------------------------
* Support our security analysts by continuously improving alert quality, workflow efficiency, and detection capabilities through advanced analytics, machine learning, and Gen AI.
* Work across our operations, engineering and service delivery teams, ensuring Expel can easily deploy, monitor, and manage all of our machine learning capabilities.
* Drive business decisions by translating data insights into clear, actionable knowledge for the organization.
* Foster an atmosphere of experimentation, continuous learning, and improvement.
* Maintain and enhance our existing models while supporting new data science initiatives.
* Contribute to Expel's external voice through blog posts and conference speaking.
**What you should bring with you**
----------------------------------
* Ability and desire to collaborate and work with teams throughout the organization to foster research and innovation
* Ability to communicate technical data science concepts to various audiences, especially non data science experts
* Passion for finding order and meaning in large, chaotic data sets an amorphous problem domains
* Deep proficiency with Python (pandas, numpy, sklearn) and SQL for model development.
* Knowledge of statistics (distributions, hypothesis testing, probability, etc.)
* Proficiency of a few popular data science and visualization frameworks such at scikit\-learn, plotly, pandas, and numpy, and the underlying statistics that drive them
* Understanding of data engineering and proven experience with cloud deployment best practices
* Prefers 3\+ years of data science experience creating models, analyzing data and drawing conclusions, recommending next steps, and summarizing key results to stakeholders
* A Bachelor's degree in Math, Statistics, or Computer Science (or equivalent experience in AI/ML).
**Additional information**
--------------------------
The base salary for this role is $118,400 \- $171,700 \+ bonus and equity.
At Expel, our employee benefits reflect our commitment to our crew. Unlimited PTO, equity for everyone, work location flexibility, up to 24 weeks of parental leave, and excellent health benefits are some of the ways we care for our Expletives.  
We're only hiring those authorized to work in the United States. We do not currently sponsor immigration visas.  
We're an Equal Opportunity Employer: You'll receive consideration for employment without regard to race, sex, age, color, religion, sexual orientation, gender identity, national origin, protected veteran status, or on the basis of disability.  
We'll ensure that individuals with disabilities are provided reasonable accommodation to participate in the job application or interview process, to perform essential job functions, and to receive other benefits and privileges of employment. Please let us know if you need accommodation of any kind.
\#LI\-Remote</t>
        </is>
      </c>
    </row>
    <row r="20">
      <c r="A20" t="inlineStr">
        <is>
          <t>in-411bd77307b1f41f</t>
        </is>
      </c>
      <c r="B20" t="inlineStr">
        <is>
          <t>Data Scientist</t>
        </is>
      </c>
      <c r="C20" t="inlineStr">
        <is>
          <t>Bombora</t>
        </is>
      </c>
      <c r="D20" t="inlineStr">
        <is>
          <t>indeed</t>
        </is>
      </c>
      <c r="E20" t="inlineStr"/>
      <c r="F20" t="inlineStr"/>
      <c r="G20" t="inlineStr">
        <is>
          <t>New York, NY, US</t>
        </is>
      </c>
      <c r="H20" s="2" t="n">
        <v>46065</v>
      </c>
      <c r="I20" t="inlineStr">
        <is>
          <t>The true B2B data pioneer, Bombora connects the B2B ecosystem in a one\-of\-a kind Data Cooperative—enabling a holistic view of an account's research and consumption behavior. From this data, Bombora derives actionable insights that make it possible for brands, agencies, and publishers to identify, understand, and identify their prospects and customers, throughout the buyer and user experience, across the activation platforms of choice.
Bombora is continually recognized by analyst firms as a leader in Intent data powering GTM data solutions.
As a Bombora Data Scientist:
**You will…**
* Perform analyses of large structured and unstructured datasets to solve complex business problems utilizing advanced statistical techniques and mathematical analyses
* Design and implement modifications to our systems, applications, models, and processes in consultation with higher\-level staff
* Implement and/or maintain portions of a scientific programming project including writing documentation
* Able to present data and results to multiple stakeholders to influence strategies for our products
* Participate in daily stand\-ups, story planning, reviews, retrospectives, and the occasional outing to nearby local cuisine and / or culture
* Learn, grow and participate as a member of a passionate distributed team that strives for knowledge, camaraderie and impact
**You have…**
* Bachelors or Masters in a STEM field; e.g. Mathematics, Statistics, Engineering Science, Data Science, Computer Science, Computer Engineering, etc.
* Masters or 2 years with Bachelor's degrees of work experience with analysis applications (extracting insights, performing statistical analysis, model development, or solving business problems) and coding (Python, SQL)
* Proficiency in Python, SQL, and Git
* Documentation and visualization skills using Jupyter, matplotlib, ggplot etc
* Foundational Knowledge in Probability, Linear Algebra, Machine learning (and deep learning) algorithms, computational data structures and algorithms
* Experience in ML Frameworks / Libraries: Pytorch, Tensorflow, PySpark, scikit\-learn, etc
* Experience with cloud platforms. Experience with Google Cloud Platform technologies such as BigQuery, and Vertex AI is a nice to have
**Bonus points for:**
* Experience with Natural Language Processing algorithms
* Experience with Graph Neural Network algorithms
* Experience with building or utilizing agents
* Algorithms / Data Structures: Design patterns, efficiency, using the right abstraction for the task.
**Perks and Benefits**
* Health / Dental / Vision
* Flexible Spending / Health Spending Accounts
* Flexible Vacation / Paid Holidays / Summer Fridays
* Education / Tuition Assistance / Annual Learning Stipend
* 401K
* Generous Parental Leave (16 weeks primary/12 secondary)
* Commuter Benefits
* Team Lunches / Outings / Events (Yes! We found a way to do it virtually!)
**Compensation Package**
* The salary range for this position is $130,000 to $150,000\. Actual compensation may vary and will be based on a candidate's qualifications, skills, experience, and location.
* Equity
**This position can be hybrid (near our NYC or Reno offices), or can be remote.**
**At Bombora, we embrace diversity because it breeds innovation.** Bombora is an equal opportunity employer and participates in E\-Verify.</t>
        </is>
      </c>
    </row>
    <row r="21">
      <c r="A21" t="inlineStr">
        <is>
          <t>in-ff35b145de3f8512</t>
        </is>
      </c>
      <c r="B21" t="inlineStr">
        <is>
          <t>Senior Data Scientist - Corporate IT (Kansas City)</t>
        </is>
      </c>
      <c r="C21" t="inlineStr">
        <is>
          <t>Burns &amp; McDonnell</t>
        </is>
      </c>
      <c r="D21" t="inlineStr">
        <is>
          <t>indeed</t>
        </is>
      </c>
      <c r="E21" t="inlineStr"/>
      <c r="F21" t="inlineStr"/>
      <c r="G21" t="inlineStr">
        <is>
          <t>Kansas City, MO, US</t>
        </is>
      </c>
      <c r="H21" s="2" t="n">
        <v>46065</v>
      </c>
      <c r="I21" t="inlineStr">
        <is>
          <t>**Description**
The Senior Data Scientist is responsible for leading the processing, cleaning, and analyzing of large volumes of data to develop business solutions for a wide variety of clients and projects. This position leads and oversees tasks utilizing statistics, machine learning, programming, and data modeling to discover information, recognize patterns and trends to address business problems.
* Lead the development and application of data solutions for cleansing data to remove errors and review consistency.
* Oversee the analysis of data to discover information, business value, patterns and trends in support to guide development of assets business solutions.
* Oversee data gathering, finding patterns and relationships and create prediction models to evaluate client assets.
* Conduct research and apply existing data science methods to complex business line problems.
* Responsible for monitoring client assets and perform predictive and root cause analysis to identify adverse trends; choose best fit methods, define algorithms, and validate and deploy models to achieve desired results.
* Oversee the production of reports and visualizations to communicate technical results and interpretation of trends; effectively communicate findings and recommendations to all areas of the business.
* Manage requests for proposals from clients.
* Present to clients and at industry conferences.
* Train and mentor less experienced data scientists. Provide performance feedback to managers.
* Participate in recruitment efforts.
* Performs other duties as assigned.
* Complies with all policies and standards.
**Qualifications**
* Bachelor's degree in analytics, computer science, information systems, statistics, math, or related field from an accredited program and 8 years related experience required.
* Master's degree preferred.
* Related consulting experience preferred.
* Experience working with SQL, R, Java, Python, SAS, SPSS required.
* Experience in leading data mining and advanced analytics.
* Experience in machine learning and advanced statistical algorithms.
* Experience in data visualization.
* Ability to work with team members and clients to assess needs, provide assistance, and resolve problems.
* Strong problem\-solving and analytical skills.
* Strong attention to detail.
* Excellent verbal/written communication, and the ability to present and explain technical concepts to business audiences.
This job posting will remain open a minimum of 72 hours and on an ongoing basis until filled.
EEO/Disabled/Veterans
**Job** Scientific
**Primary Location** US\-MO\-Kansas City
**Schedule:** Full\-time
**Travel:** Yes, 10 % of the Time
**Req ID:** 260753
**Job Hire Type** Experienced \#LI\-STA \#COR</t>
        </is>
      </c>
    </row>
    <row r="22">
      <c r="A22" t="inlineStr">
        <is>
          <t>in-d4ff015c1cc2ea45</t>
        </is>
      </c>
      <c r="B22" t="inlineStr">
        <is>
          <t>Staff Data Scientist, Product</t>
        </is>
      </c>
      <c r="C22" t="inlineStr">
        <is>
          <t>Google</t>
        </is>
      </c>
      <c r="D22" t="inlineStr">
        <is>
          <t>indeed</t>
        </is>
      </c>
      <c r="E22" t="inlineStr"/>
      <c r="F22" t="inlineStr"/>
      <c r="G22" t="inlineStr">
        <is>
          <t>Mountain View, CA, US</t>
        </is>
      </c>
      <c r="H22" s="2" t="n">
        <v>46065</v>
      </c>
      <c r="I2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Mountain View, CA, USA**.### **Minimum qualifications:**
* Bachelor's degree in Statistics, Mathematics, Data Science, Engineering, Physics, Economics, or a related quantitative field.
* 10 years of work experience using analytics to solve product or business problems, performing statistical analysis, and coding (e.g., Python, R, SQL) (or 8 years work experience plus a Master's degree).
### **Preferred qualifications:**
* Master's degree in Statistics, Mathematics, Data Science, Engineering, Physics, Economics, or a related quantitative field.
* 12 years of work experience using analytics to solve product or business problems, performing statistical analysis, and coding (e.g., Python, R, SQL).
**About the job**
-----------------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Perform analysis utilizing relevant tools (e.g., SQL, R, Python). Provide analytical thought leadership through proactive and strategic contributions (e.g., suggests new analyses, infrastructure or experiments to drive improvements in the business).
* Own outcomes for projects by covering problem definition, metrics development, data extraction and manipulation, visualization, creation, and implementation of analytical/statistical models, and presentation to stakeholders.
* Develop solutions, lead, and manage problems that may be ambiguous and lacking clear precedent by framing problems, generating hypotheses, and making recommendations from a perspective that combines both, analytical and product\-specific expertise.
* Oversee the integration of cross\-functional and cross\-organizational project/process timelines, develop process improvements and recommendations, and help define operational goals and objectives.
* Directly or indirectly oversee the contributions of others and develop colleagues’ capabilities in the area of specialization.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3">
      <c r="A23" t="inlineStr">
        <is>
          <t>in-84ad8b86239e08d0</t>
        </is>
      </c>
      <c r="B23" t="inlineStr">
        <is>
          <t>Staff Data Scientist, Product</t>
        </is>
      </c>
      <c r="C23" t="inlineStr">
        <is>
          <t>Google</t>
        </is>
      </c>
      <c r="D23" t="inlineStr">
        <is>
          <t>indeed</t>
        </is>
      </c>
      <c r="E23" t="inlineStr"/>
      <c r="F23" t="inlineStr"/>
      <c r="G23" t="inlineStr">
        <is>
          <t>Kirkland, WA, US</t>
        </is>
      </c>
      <c r="H23" s="2" t="n">
        <v>46065</v>
      </c>
      <c r="I2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Mountain View, CA, USA**.### **Minimum qualifications:**
* Bachelor's degree in Statistics, Mathematics, Data Science, Engineering, Physics, Economics, or a related quantitative field.
* 10 years of work experience using analytics to solve product or business problems, performing statistical analysis, and coding (e.g., Python, R, SQL) (or 8 years work experience plus a Master's degree).
### **Preferred qualifications:**
* Master's degree in Statistics, Mathematics, Data Science, Engineering, Physics, Economics, or a related quantitative field.
* 12 years of work experience using analytics to solve product or business problems, performing statistical analysis, and coding (e.g., Python, R, SQL).
**About the job**
-----------------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Perform analysis utilizing relevant tools (e.g., SQL, R, Python). Provide analytical thought leadership through proactive and strategic contributions (e.g., suggests new analyses, infrastructure or experiments to drive improvements in the business).
* Own outcomes for projects by covering problem definition, metrics development, data extraction and manipulation, visualization, creation, and implementation of analytical/statistical models, and presentation to stakeholders.
* Develop solutions, lead, and manage problems that may be ambiguous and lacking clear precedent by framing problems, generating hypotheses, and making recommendations from a perspective that combines both, analytical and product\-specific expertise.
* Oversee the integration of cross\-functional and cross\-organizational project/process timelines, develop process improvements and recommendations, and help define operational goals and objectives.
* Directly or indirectly oversee the contributions of others and develop colleagues’ capabilities in the area of specialization.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4">
      <c r="A24" t="inlineStr">
        <is>
          <t>in-e90534af1129da47</t>
        </is>
      </c>
      <c r="B24" t="inlineStr">
        <is>
          <t>Senior, Data Scientist - Walmart+ Engagement &amp; Retention</t>
        </is>
      </c>
      <c r="C24" t="inlineStr">
        <is>
          <t>Walmart</t>
        </is>
      </c>
      <c r="D24" t="inlineStr">
        <is>
          <t>indeed</t>
        </is>
      </c>
      <c r="E24" t="inlineStr"/>
      <c r="F24" t="inlineStr"/>
      <c r="G24" t="inlineStr">
        <is>
          <t>Bentonville, AR, US</t>
        </is>
      </c>
      <c r="H24" s="2" t="n">
        <v>46065</v>
      </c>
      <c r="I24" t="inlineStr">
        <is>
          <t>**Position Summary...**
-----------------------
Join Walmart as a Senior Data Scientist and leverage your expertise in data science, machine learning, and advanced analytics to deliver actionable insights that drive strategic business decisions. This role involves identifying and sourcing relevant data, developing and validating analytical models, and deploying scalable solutions to support business objectives. You will collaborate across functions to translate complex data into clear visualizations and recommendations, ensuring data quality and alignment with business priorities. Your contributions will enhance Walmart’s data\-driven capabilities and support continuous improvement in a dynamic environment.**What you'll do...**
---------------------
* Identify and source relevant data from multiple business domains, ensuring data quality and suitability for analysis.
* Develop, test, and deploy advanced analytical models using programming languages such as Python and SQL.
* Perform exploratory data analysis and apply statistical and machine learning techniques to solve complex business problems.
* Collaborate with stakeholders to translate business requirements into data\-driven solutions aligned with strategic objectives.
* Create clear and impactful data visualizations to communicate insights effectively to technical and non\-technical audiences.
* Mentor junior team members on modeling techniques and best practices to enhance team capabilities.
* Support scalability and sustainability of deployed models through continuous evaluation and tuning.
**What you'll bring...**
------------------------
* Extensive experience in data science and advanced analytical modeling techniques, including machine learning and statistical methods.
* Proficiency in Python programming and data visualization tools such as Matplotlib, Plotly, or Tableau to communicate complex insights effectively.
* Strong knowledge of data sources, quality assessment, and database technologies including SQL and NoSQL systems.
* Ability to develop, test, validate, and deploy scalable analytical models aligned with business objectives.
* Solid understanding of business domains to translate requirements into actionable data\-driven solutions.
* Experience mentoring junior associates and collaborating cross\-functionally to drive impactful outcomes.
**About the team:**  
The Data Science team employs advanced analytical and modeling techniques to address complex business challenges. Leveraging expertise in machine learning, Python, SQL, and data visualization, the team develops reliable models and insightful data representations that support strategic decision\-making. Collaborating closely with business stakeholders, the team ensures alignment with organizational objectives and delivers measurable outcomes. Committed to continuous learning, knowledge sharing, and mentoring, the team upholds integrity, clear communication, and a results\-oriented approach to advance Walmart’s mission of providing exceptional value and service to customers.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Bentonville, Arkansas US\-30008: The annual salary range for this position is $90,000\.00 \- $180,000\.00
Hoboken, New Jersey US\-10279: The annual salary range for this position is $108,000\.00 \- $216,000\.00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3 years' experience in an analytics related field. Option 2\- Master’s degree in Statistics, Economics, Analytics, Mathematics, Computer Science, Information Technology, or related field and 1 years' experience in an analytics related field. Option 3 \- 5 years' experience in an analytics or related field.**Preferred Qualifications...**
-------------------------------
*Outlined below are the optional preferred qualifications for this position. If none are listed, there are no preferred qualifications.*
Master's degree in Business, Analytics, or related field, Project Management Certification, Six Sigma certification, Statistical Programming Language**Primary Location...**
-----------------------
1601 SE 10th St,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5">
      <c r="A25" t="inlineStr">
        <is>
          <t>in-7fee6ce6842090a0</t>
        </is>
      </c>
      <c r="B25" t="inlineStr">
        <is>
          <t>Senior, Data Scientist - Walmart+ Acquisition and New Benefits</t>
        </is>
      </c>
      <c r="C25" t="inlineStr">
        <is>
          <t>Walmart</t>
        </is>
      </c>
      <c r="D25" t="inlineStr">
        <is>
          <t>indeed</t>
        </is>
      </c>
      <c r="E25" t="inlineStr"/>
      <c r="F25" t="inlineStr"/>
      <c r="G25" t="inlineStr">
        <is>
          <t>Bentonville, AR, US</t>
        </is>
      </c>
      <c r="H25" s="2" t="n">
        <v>46065</v>
      </c>
      <c r="I25" t="inlineStr">
        <is>
          <t>**Position Summary...**
-----------------------
Join Walmart as a Senior Data Scientist and leverage your expertise in data science, machine learning, and advanced analytics to deliver actionable insights that drive business decisions. This role involves identifying and sourcing relevant data, developing and validating analytical models, and deploying scalable solutions to support strategic initiatives. You will collaborate across functions to translate complex business challenges into data\-driven solutions, utilizing programming and visualization tools to communicate findings effectively. Your contributions will enhance data quality, model performance, and business impact within a dynamic and evolving environment.**What you'll do...**
---------------------
* Identify and source relevant data from multiple business domains, ensuring data quality and suitability for analysis.
* Develop, test, and deploy advanced analytical models using programming languages such as Python and SQL.
* Perform model validation, tuning, and assessment to ensure accuracy, robustness, and scalability in production environments.
* Translate complex business problems into data\-driven solutions aligned with strategic objectives.
* Create clear and impactful data visualizations to communicate insights effectively to stakeholders.
* Mentor junior team members on modeling techniques and best practices.
* Collaborate cross\-functionally to integrate data insights into business decision\-making processes.
**What you'll bring...**
------------------------
* Extensive experience in data science and advanced analytical modeling techniques, including machine learning and statistical methods.
* Proficiency in Python programming and data visualization tools to develop, test, and deploy scalable models.
* Strong knowledge of data sources, quality assessment, and database technologies such as SQL and NoSQL.
* Ability to translate complex business requirements into data\-driven solutions aligned with strategic objectives.
* Expertise in model validation, tuning, and deployment to ensure robust and sustainable analytical outcomes.
* Effective communication skills to present insights and guide stakeholders using clear data visualizations.
**About the team:**  
The Walmart Plus Data Science team excels in advanced analytical modeling, data visualization, and scalable model deployment to deliver impactful business solutions. Utilizing Python and SQL, the team rigorously evaluates models and collaborates with business stakeholders to transform complex data into actionable insights. Focused on continuous improvement and innovation, the team upholds high standards of professionalism and integrity. It fosters a collaborative environment dedicated to driving measurable value through data\-driven strategies and cutting\-edge machine learning techniques, supporting strategic decision\-making across the organization.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Bentonville, Arkansas US\-30008: The annual salary range for this position is $90,000\.00 \- $180,000\.00
Hoboken, New Jersey US\-10279: The annual salary range for this position is $108,000\.00 \- $216,000\.00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3 years' experience in an analytics related field. Option 2\- Master’s degree in Statistics, Economics, Analytics, Mathematics, Computer Science, Information Technology, or related field and 1 years' experience in an analytics related field. Option 3 \- 5 years' experience in an analytics or related field.**Preferred Qualifications...**
-------------------------------
*Outlined below are the optional preferred qualifications for this position. If none are listed, there are no preferred qualifications.*
Data science, machine learning, optimization models, Master’s degree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1601 SE 10th St,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6">
      <c r="A26" t="inlineStr">
        <is>
          <t>in-99151898b1bd010d</t>
        </is>
      </c>
      <c r="B26" t="inlineStr">
        <is>
          <t>Senior AI Data Scientist</t>
        </is>
      </c>
      <c r="C26" t="inlineStr">
        <is>
          <t>mLabs</t>
        </is>
      </c>
      <c r="D26" t="inlineStr">
        <is>
          <t>indeed</t>
        </is>
      </c>
      <c r="E26" t="inlineStr"/>
      <c r="F26" t="inlineStr"/>
      <c r="G26" t="inlineStr">
        <is>
          <t>Remote, US</t>
        </is>
      </c>
      <c r="H26" s="2" t="n">
        <v>46065</v>
      </c>
      <c r="I26" t="inlineStr">
        <is>
          <t>### **Senior AI Data Scientist**
**Location:** Remote \- USA, Europe, Israel
**Compensation:** $130K \- $150K
We are a leading financial technology firm building the infrastructure for safer, more accessible global markets. Our risk management systems, oracles, and AI models secure hundreds of billions in assets and process trillions in transaction volume across major protocols. We recently launched a cutting\-edge financial intelligence platform that transforms complex market data into actionable insights, bringing institutional\-grade intelligence to a global audience.
We are seeking a **Senior AI Data Scientist** to lead the design, evaluation, and evolution of the agentic systems behind our financial intelligence platform. This role sits at the intersection of LLMs, financial data, and decision systems.
You will own the logic behind how our models reason over data, how agents coordinate and make decisions, and how we rigorously measure quality, correctness, and risk in production AI workflows. You’ll work closely with product, engineering, and research teams to move from experimentation to reliable, scalable AI systems that operate under real\-world financial constraints.
**Key Responsibilities:**
* **System Design:** Design and own single and multi\-agent systems that reason, plan, and act over complex financial workflows.
* **Agent Logic:** Define agent behavior, memory, and tool\-use strategies with a strong emphasis on correctness and controllability.
* **Evaluation Frameworks:** Develop and maintain LLM evaluation frameworks covering accuracy, faithfulness, latency, cost, regressions, and edge cases.
* **Production Implementation:** Design structured prompting, schemas, and tool\-calling strategies; build and operate MCP servers including schema design and safety boundaries.
* **Optimization:** Analyze model behavior and failure modes to turn qualitative issues into measurable signals; optimize performance and cost across workflows.
* **Mentorship:** Mentor engineers and data scientists, setting best practices for applied LLM and agentic systems.
**Requirements**
* **Experience:** 6\+ years in data science, applied ML, or AI\-focused software roles, with at least 3\+ years building production AI/ML systems (beyond the experimentation phase).
* **Technical Depth:** Deep hands\-on experience with LLMs, agentic patterns, and tool\-calling systems.
* **Programming:** Strong Python skills and comfort working closely with production systems and APIs.
* **Architecture:** Proven experience with RAG pipelines, embeddings, and vector databases.
* **Analytical Mindset:** Strong intuition for model behavior, trade\-offs, and failure analysis.
**Preferred Qualifications:**
* Experience applying ML or statistical methods to financial data (crypto/DeFi is a major plus).
* A track record of building reusable ML or data abstractions that improve team velocity.
* A strong intuition for how model behavior shifts in production based on data, users, and constraints.
**Benefits**
We offer a competitive package designed to support your professional growth and personal well\-being:
* **Compensation \&amp; Equity:** Competitive package aligned with growth and merit. Salary range: **$130,000 – $150,000** (commensurate with experience).
* **Comprehensive Health:** 100% employer\-paid medical, dental, and vision options for you and your dependents, plus FSA/HSA options.
* **Time Off:** 21 vacation days, 7 sick days, and 8 observed U.S. company holidays.
* **Family Support:** Thoughtful parental leave policy.
* **Wellness:** Access to OneMedical, Teladoc, Talkspace, and Employee Assistance Programs (EAP).
* **Career Growth:** Personalized professional development in a rapidly expanding global company.
* **Commuter Benefits:** Pre\-tax commuter programs.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27">
      <c r="A27" t="inlineStr">
        <is>
          <t>in-918f2ae8f1591e18</t>
        </is>
      </c>
      <c r="B27" t="inlineStr">
        <is>
          <t>Applied Scientist - Pricing, Rider Engagement</t>
        </is>
      </c>
      <c r="C27" t="inlineStr">
        <is>
          <t>Lyft</t>
        </is>
      </c>
      <c r="D27" t="inlineStr">
        <is>
          <t>indeed</t>
        </is>
      </c>
      <c r="E27" t="inlineStr"/>
      <c r="F27" t="inlineStr"/>
      <c r="G27" t="inlineStr">
        <is>
          <t>San Francisco, CA, US</t>
        </is>
      </c>
      <c r="H27" s="2" t="n">
        <v>46065</v>
      </c>
      <c r="I27" t="inlineStr">
        <is>
          <t>At Lyft, our purpose is to serve and connect. We aim to achieve this by cultivating a work environment where all team members belong and have the opportunity to thrive.
The Pricing team is a centerpiece of Lyft's marketplace, determining prices for all rideshare products and supporting new initiatives. Rider Engagement is a fast\-growing team within Pricing, focused on developing rider\-facing engagement levers and optimizing user pricing experience to drive both short term and long term business outcomes.
As an Applied Scientist specializing in Machine Learning and Operational Research on this team, you will develop mathematical models and launch algorithms that power core discounting systems and pricing decisions. You will be hands\-on with building ML and optimization models, productionizing pipelines, building and scaling systems that deal with real\-time data processing, large data storage and critical business problems that have a big impact on the marketplace and customer experience. You will get exposure to diverse problems across optimization, prediction, machine learning, and inference; you will collaborate with teammates and stakeholders to build and scale our systems and enhance algorithms.
We are looking for someone who is excited about working in a fast\-paced, innovative, and impactful environment, and is adept at balancing complexity and efficiency to translate real world business problems into reliable solutions, systems and decisioning frameworks.
**Responsibilities:**
---------------------
* Partner with Data Scientists, Engineers, Product Managers, and Business Partners to frame problems mathematically and within the business context
* Write production quality code. Design, build and deploy production\-grade ML models.
* Perform data analysis and build proof\-of\-concept to explore and propose ML solutions to both new and existing problems.
* Evaluate machine learning systems against business goals. Collaborate with Engineers to implement algorithms in live systems and ensure the robustness of the systems
* Establish metrics and development measurement methodologies to monitor the health of our products, as well as the impacts on user and marketplace outcomes
* Drive collaboration and coordination with cross\-functional teams
**Experience:**
---------------
* M.S. or Ph.D. in Machine Learning, Operations Research, Statistics, Computer Science or other quantitative fields
* 2\+ years of machine learning experience in a technology company setting
* Proficiency with Python and working in a production coding environment
* Passion for solving unstructured and non\-standard mathematical problems, and building impactful machine learning models leveraging expertise in one or multiple fields.
* Strong understanding of machine learning methodologies, with proven experience with building and evaluating optimization or machine learning models
* Strong verbal and written communication skills, and ability to collaborate and communicate with others to solve a problem
**Benefits:**
-------------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$140,800 \- $176,000,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28">
      <c r="A28" t="inlineStr">
        <is>
          <t>in-1df834dbc9cc618a</t>
        </is>
      </c>
      <c r="B28" t="inlineStr">
        <is>
          <t>Applied Scientist - Pricing, Rider Engagement</t>
        </is>
      </c>
      <c r="C28" t="inlineStr">
        <is>
          <t>Lyft</t>
        </is>
      </c>
      <c r="D28" t="inlineStr">
        <is>
          <t>indeed</t>
        </is>
      </c>
      <c r="E28" t="inlineStr"/>
      <c r="F28" t="inlineStr"/>
      <c r="G28" t="inlineStr">
        <is>
          <t>New York, NY, US</t>
        </is>
      </c>
      <c r="H28" s="2" t="n">
        <v>46065</v>
      </c>
      <c r="I28" t="inlineStr">
        <is>
          <t>At Lyft, our purpose is to serve and connect. We aim to achieve this by cultivating a work environment where all team members belong and have the opportunity to thrive.
The Pricing team is a centerpiece of Lyft's marketplace, determining prices for all rideshare products and supporting new initiatives. Rider Engagement is a fast\-growing team within Pricing, focused on developing rider\-facing engagement levers and optimizing user pricing experience to drive both short term and long term business outcomes.
As an Applied Scientist specializing in Machine Learning and Operational Research on this team, you will develop mathematical models and launch algorithms that power core discounting systems and pricing decisions. You will be hands\-on with building ML and optimization models, productionizing pipelines, building and scaling systems that deal with real\-time data processing, large data storage and critical business problems that have a big impact on the marketplace and customer experience. You will get exposure to diverse problems across optimization, prediction, machine learning, and inference; you will collaborate with teammates and stakeholders to build and scale our systems and enhance algorithms.
We are looking for someone who is excited about working in a fast\-paced, innovative, and impactful environment, and is adept at balancing complexity and efficiency to translate real world business problems into reliable solutions, systems and decisioning frameworks.
**Responsibilities:**
---------------------
* Partner with Data Scientists, Engineers, Product Managers, and Business Partners to frame problems mathematically and within the business context
* Write production quality code. Design, build and deploy production\-grade ML models.
* Perform data analysis and build proof\-of\-concept to explore and propose ML solutions to both new and existing problems.
* Evaluate machine learning systems against business goals. Collaborate with Engineers to implement algorithms in live systems and ensure the robustness of the systems
* Establish metrics and development measurement methodologies to monitor the health of our products, as well as the impacts on user and marketplace outcomes
* Drive collaboration and coordination with cross\-functional teams
**Experience:**
---------------
* M.S. or Ph.D. in Machine Learning, Operations Research, Statistics, Computer Science or other quantitative fields
* 2\+ years of machine learning experience in a technology company setting
* Proficiency with Python and working in a production coding environment
* Passion for solving unstructured and non\-standard mathematical problems, and building impactful machine learning models leveraging expertise in one or multiple fields.
* Strong understanding of machine learning methodologies, with proven experience with building and evaluating optimization or machine learning models
* Strong verbal and written communication skills, and ability to collaborate and communicate with others to solve a problem
**Benefits:**
-------------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$140,800 \- $176,000,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29">
      <c r="A29" t="inlineStr">
        <is>
          <t>in-5ce1797ebbe128f9</t>
        </is>
      </c>
      <c r="B29" t="inlineStr">
        <is>
          <t>Senior Data Scientist - Marketing</t>
        </is>
      </c>
      <c r="C29" t="inlineStr">
        <is>
          <t>Bumble</t>
        </is>
      </c>
      <c r="D29" t="inlineStr">
        <is>
          <t>indeed</t>
        </is>
      </c>
      <c r="E29" t="inlineStr"/>
      <c r="F29" t="inlineStr"/>
      <c r="G29" t="inlineStr">
        <is>
          <t>Austin, TX, US</t>
        </is>
      </c>
      <c r="H29" s="2" t="n">
        <v>46065</v>
      </c>
      <c r="I29" t="inlineStr">
        <is>
          <t>Bumble Inc. is seeking an experienced Senior Marketing Data Scientist to lead analytics and measurement across both lower and upper funnel marketing channels. In this role, you won’t just execute analyses, you will set the direction for what should be measured, how it should be measured, and how marketing insights should inform decisions across growth strategy, spend allocation, and creative effectiveness.  
You’ll bring deep, hands\-on expertise in mobile attribution and privacy\-era measurement (including SKAN constraints), channel performance nuance, incrementality testing, MMM, and commercial modelling (including LTV and cohort\-based performance). You’ll work closely with Marketing, Core Data Science, Product, Finance, and Data/Engineering partners to build scalable frameworks and trusted sources of truth.  
Ideally, you’ve worked in a two\-sided marketplace (e.g., dating, rideshare, marketplaces, social platforms) and understand that “growth” isn’t just volume, you optimise for quality users, and long\-term value.
### **KEY ACCOUNTABILITIES**
* Act as the senior analytical authority for Marketing/UA setting measurement strategy, prioritising work, and guiding stakeholders on “what good looks like” across channels and markets.
* Own and evolve best practices and standards for:
* Attribution and measurement across privacy constraints (incl. SKAN)
* Incrementality and experimentation (A/B, geo, holdout designs; test hygiene and interpretation)
* Performance monitoring and outcome reporting
* Budget allocation decision support and learning agendas
* Provide thought leadership \&amp; work with external vendors on modelling approaches such as MMM, cohort\-based LTV modelling, payback/ROI, and quality\-adjusted acquisition metrics (beyond CPI/CAC).
* Partner with Data Engineering / Analytics Engineering to ensure marketing data is reliable, scalable, and supports multiple outputs (dashboards, models, analyses), including governance and clear metric definitions.
* Translate ambiguous stakeholder needs into crisp analytical briefs, proactively shaping scope, asking the right questions, and staying focused on the “so what” and decision impact.
* Mentor analysts and data scientists; raise the bar on critical thinking, commercial acumen, and disciplined execution across the marketing ecosystem.
* Bring an integrated perspective: connect channel performance to business health metrics, downstream conversion, retention, and marketplace quality (supply/demand balance).
### **EXPERIENCE WE ARE LOOKING FOR**
* Significant experience in marketing analytics / growth / UA data science (typically 5\+ years, or equivalent depth), ideally in a high\-scale consumer tech environment.
* Deep knowledge of:
* Mobile attribution and tracking (including SKAN realities and limitations)
* Channel\-level nuance (search, social, display, video, affiliates, ASA, etc.) and measurement pitfalls
* Incrementality testing best practices and causal thinking
* MMM (design, calibration, interpretation, and how to operationalise insights)
* LTV / cohort modelling, payback, ROI, and quality\-adjusted acquisition approaches (not just CPI/CAC)
* Strong Python and SQL skills; ability to build repeatable analytical workflows and robust datasets.
* Strong communication and stakeholder leadership. Able to influence decision\-making up to senior/executive level and align cross\-functional partners on measurement strategy.
* Experience partnering with data engineering on ingestion, warehousing, and data model requirements for automated reporting and measurement.
* Strong commercial judgement: you understand how marketing choices impact revenue, retention, marketplace health, and long\-term growth.
### **NICE TO HAVE**
* Experience in a two\-sided marketplace where acquisition must balance volume and quality (e.g., improving downstream conversion, retention, engagement, and marketplace outcomes).
* Experience with creative effectiveness measurement and experimentation (creative learning agendas, lift tests, structured creative iteration).
* Familiarity with tooling/vendor landscape and opportunities for automation (including GenAI\-enabled workflows) where appropriate.
### **LOCATION**
* This role is based in Austin, and we ask that you’re within a commutable distance to this office, or be willing to relocate within a commutable distance.
* We have a hybrid environment that requires you to be in the office Monday \- Wednesday.
* Please note: We are unable to offer Visa sponsorship or transfer at this time
For base compensation, we set standard ranges for all roles based on function, level, and geographic location. This position is also typically eligible to participate in our short\- and long\-term incentive programs. Benefits include Medical, Dental, Vision, 401(k) match, Unlimited Paid Time Off Policy.  
Maven Fertility: $10,000 lifetime benefit for fertility, adoption, abortion care, and more.
26 Weeks Parental Leave: For both primary and secondary caregivers.
Family \&amp; Compassionate Leave: Inclusive of domestic violence recovery.
Unlimited Paid Time Off: Take the time you need.
Company\-wide Week Off: Annual collective rest for the entire company.
Focus Fridays: No meetings, emails, or deadlines—just deep work.**About Us**
Bumble Inc. is the parent company of Bumble Date, BFF, and Badoo. The Bumble platform enables people to build healthy and equitable relationships, through Kind Connections. Founded by Whitney Wolfe Herd in 2014, Bumble was one of the first dating apps built with women at the center and connects people across dating (Bumble Date) and friendship (BFF). BFF is a friendship app where people in all stages of life can meet people nearby and create meaningful platonic connections and community based on shared interests. Badoo, which was founded in 2006, is one of the pioneers of web and mobile dating products. **Inclusion at Bumble Inc.**  
Bumble Inc. is an equal opportunity employer and we strongly encourage people of all ages, colour, lesbian, gay, bisexual, transgender, queer and non\-binary people, veterans, parents, people with disabilities, and neurodivergent people to apply. We're happy to make any reasonable adjustments that will help you feel more confident throughout the process, please don't hesitate to let us know how we can help.
In your application, please feel free to note which pronouns you use (For example: she/her, he/him, they/them, etc). **AI in Bumble Inc. Hiring**
At Bumble, we may use AI tools to support parts of our recruitment process — such as helping us record, transcribe, and summarize conversations, and supporting job alignment by comparing resumes and job descriptions to highlight skills and potential roles that may be a good match. These tools help us work more efficiently and stay focused on you during our conversations. Importantly, all hiring decisions are made by people. AI is used only to support our team’s efficiency and improve the candidate experience — not to evaluate or decide on your candidacy. Participation in AI\-supported interviews and conversations is completely voluntary and will not impact your candidacy. If you’d prefer to opt out, simply let your recruiter or interviewer know at the start of a call, or anytime during the interview or conversation. Summaries and related data are retained only as long as needed in line with our internal data retention policies. If at any point you’d like a transcription or summary deleted, please contact your recruiter directly.
For further information on how we hold and manage your data, please refer to our Privacy Policy.</t>
        </is>
      </c>
    </row>
    <row r="30">
      <c r="A30" t="inlineStr">
        <is>
          <t>in-f235a562eba63e0a</t>
        </is>
      </c>
      <c r="B30" t="inlineStr">
        <is>
          <t>Data Scientist Senior/UKHC</t>
        </is>
      </c>
      <c r="C30" t="inlineStr">
        <is>
          <t>University of Kentucky</t>
        </is>
      </c>
      <c r="D30" t="inlineStr">
        <is>
          <t>indeed</t>
        </is>
      </c>
      <c r="E30" t="inlineStr"/>
      <c r="F30" t="inlineStr"/>
      <c r="G30" t="inlineStr">
        <is>
          <t>Lexington, KY, US</t>
        </is>
      </c>
      <c r="H30" s="2" t="n">
        <v>46065</v>
      </c>
      <c r="I30" t="inlineStr">
        <is>
          <t>Posting Details
**Job Title** Data Scientist Senior/UKHC
**Requisition Number** RE53252
**Working Title** Data Scientist Senior
**Department Name** H3997:EVPHA Information Technology
**Work Location** Lexington, KY
**Grade Level** 12
**Salary Range** $62,400\-111,634/year
**Type of Position** Staff
**Position Time Status** Full\-Time
**Required Education**
BS
**Click here for more information about equivalencies:** https://hr.uky.edu/employment/working\-uk/equivalencies
**Required Related Experience**
5 yrs
**Required License/Registration/Certification**
None
**Physical Requirements**
The physical requirements of this position include: Mobility to work from several locations depending on business needs; occasionally lifting, pushing, and/or pulling objects up to 50lbs; occasionally standing or walking with objects up to 10lbs; regularly sitting at a computer workstation for extended periods of time with regular repetitive motions (such as typing); occasionally dealing with combative/violent people; and occasional job\-related travel.
**Shift**
Primarily Monday through Friday 8am\-5pm, with evening, night, and weekend requirements per departmental needs.
**Job Summary**
Responsible for developing and applying advanced analytics solutions to support data\-driven decision making and operational improvement. Provides expertise in data science, statistical modeling, and machine learning to solve complex problems and deliver measurable value. Ensures alignment of analytics solutions with organizational priorities through collaboration with business and technology stakeholders. Develops and maintains models, workflows, and reporting to improve outcomes and efficiency. Coordinates with peers and cross\-functional teams to promote best practices and innovation in analytics.  
Essential Functions:  
* Designs, develops, and maintains analytics solutions using statistical models, machine learning, and related techniques.
* Collaborates with business leaders and technical teams to translate organizational needs into data science projects and solutions.
* Conducts advanced analyses to identify trends, forecast outcomes, and generate actionable insights.
* Implements and monitors model performance, ensuring accuracy, reliability, and improvement over time.
* Contributes to the development of departmental best practices, processes, and methodologies for analytics.
* Provides mentorship and guidance to junior data scientists and analysts to support skill development and knowledge sharing.
* Prepares and delivers reports, visualizations, and presentations to communicate findings and recommendations.
* Evaluates new tools, technologies, and methods to enhance analytics capabilities within the department.
* Works with cross\-functional teams to support adoption and integration of analytics solutions.
* Performs other duties as assigned.
Please note: Effective 7/1/2026, this position will be titled Data Scientist Senior and will report through Information Technology Services in Beyond Blue.  
**Skills / Knowledge / Abilities**
5\+ years of experience in statistics, data science, or a relevant area
**Does this position have supervisory responsibilities?** No
**Preferred Education/Experience**
Bachelor’s degree in statistics, data science, computer science or a related field
**Deadline to Apply** 03/01/2026
**Our University Community**
We value the well\-being of each of our employees and are dedicated to creating a healthy place for everyone to work, learn and live. In the interest of maintaining a safe and healthy environment for our students, employees, patients and visitors, the University of Kentucky is a Tobacco \&amp; Drug Free campus.  
The University follows both the federal and state Constitutions as well as all applicable federal and state laws on nondiscrimination. The University provides equal opportunities for qualified persons in all aspects of institutional operations and does not discriminate on the basis of race, color, national origin, ethnic origin, religion, creed, age, physical or mental disability, veteran status, uniformed service, political belief, sex, sexual orientation, gender identity, gender expression, pregnancy, marital status, genetic information or social or economic status.  
Any candidate offered a position may be required to pass pre\-employment screenings as mandated by University of Kentucky Human Resources. These screenings may include a national background check and/or drug screen.</t>
        </is>
      </c>
    </row>
    <row r="31">
      <c r="A31" t="inlineStr">
        <is>
          <t>in-03ab00b0dfe25ae5</t>
        </is>
      </c>
      <c r="B31" t="inlineStr">
        <is>
          <t>Data Scientist III</t>
        </is>
      </c>
      <c r="C31" t="inlineStr">
        <is>
          <t>Indeed</t>
        </is>
      </c>
      <c r="D31" t="inlineStr">
        <is>
          <t>indeed</t>
        </is>
      </c>
      <c r="E31" t="inlineStr"/>
      <c r="F31" t="inlineStr"/>
      <c r="G31" t="inlineStr">
        <is>
          <t>Remote, US</t>
        </is>
      </c>
      <c r="H31" s="2" t="n">
        <v>46065</v>
      </c>
      <c r="I31" t="inlineStr">
        <is>
          <t>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2025\)  
Day to Day  
As a Staff Data Scientist, you will be a team lead on the Marketplace Efficiency \- Job Reach team. Your team will be responsible for maintaining and improving a healthy marketplace for job advertisers. You will own one of the team’s major workstreams, help drive technical direction for the team, and guide other members of the team to achieve product/technical goals. On a daily basis, you will explore data and formulate problem statements, develop and deploy predictive models while monitoring them in production, execute high\-quality experiments, and guide the team on the same. Additionally, you will partner with cross\-functional teams, evangelize your team's work, and stay updated with the latest advancements in the field.  
Responsibilities  
Partner with cross\-functional teams to enhance and optimize search algorithms for improved accuracy, relevance, and overall user experience.  
Experiment with Proof of Concept Machine Learning model improvements, scale them to production, and run iterative A/B experiments to improve our matching technology while partnering with other teams.  
Define and clarify project priorities, deliverables, and success criteria in partnership with cross\-functional teams.  
Act as a bridge between technical and non\-technical collaborators, facilitating effective communication and comprehension of project goals and outcomes.  
Mentor and grow other software engineers, data scientists, and Machine Learning Engineers across teams.  
Break down larger Machine Learning initiatives into pieces that deliver incremental business value and guide the team through implementing them.  
Represent Indeed at major Machine Learning conferences, such as Neural Information Processing Systems (NeurIPS), the International Conference on Machine Learning (ICML), and the International Conference on Learning Representations (ICLR).  
Skills/Competencies  
Bachelor's degree in Computer Science, Mathematics, Statistics  
5\+ years of industry experience as an AI Engineer, Data Scientist, or Machine Learning Engineer  
Prior success in deploying impactful Machine Learning solutions to large\-scale production systems, while partnering across teams  
Solid knowledge of data structures and algorithms  
Sense of ownership and accountability as a key contributor in the technical and product domains  
Knowledge and practical experience working on Deep Learning Libraries (like Torch, Tensorflow, etc.)  
Excellent written and verbal communication in English, effective with technical and business audiences  
Salary Range Transparency  
Austin, Metro Area 164,000 \- 238,000 USD per year  
New York City, Metro Area 179,000 \- 259,000 USD per year  
Seattle, Metro Area 183,000 \- 266,000 USD per year  
San Francisco, Metro Area. 191,000 \- 276,000 USD per year  
US Remote 164,000 \- 238,000 USD per year  
Salary Range Disclaimer  
The base salary range represents the low and high end of the Indeed salary range for this position in the given work location. Actual salaries will vary depending on factors including but not limited to location, experience, and performance. The range(s) listed is just one component of Indeed's total compensation package for employees. Other rewards may include quarterly bonuses, Restricted Stock Units (RSUs), a Paid Time Off policy, and many region\-specific benefits.  
Benefits \- Health, Work/Life Harmony, \&amp; Wellbeing  
We care about what you care about. We have a multitude of benefits to support Indeedians, as well as their pets, kids, and partners including medical, dental, vision, disability and life insurance. Indeedians are able to enroll in our company’s 401k plan, as well as an equity\-based incentive program. Indeedians will also receive open paid time off, 11 paid holidays a year and up to 26 weeks of paid parental leave. For more information, select your country and learn more about our employee benefits, program, \&amp; perks at https://www.indeed.com/careers/benefits!  
Equal Opportunities and Accommodations Statement  
Indeed is deeply committed to building a workplace and global community where inclusion is not only valued, but prioritized. We’re proud to be an equal opportunity employer, seeking to create a welcoming and diverse environment. All qualified applicants will receive consideration for employment without regard to race, color, religion, gender, gender identity or expression, family status, marital status, sexual orientation, national origin, genetics, neuro\-diversity, disability, age, or veteran status, or any other non\-merit based or legally protected grounds.  
Indeed provides reasonable accommodations to qualified individuals with disabilities in the employment application process. To request an accommodation, please visit https://www.indeed.com/careers/accommodations. If you are requesting accommodation for an interview, please reach out at least one week in advance of your interview.  
For more information about our commitment to equal opportunity/affirmative action, please visit our Careers page (https://www.indeed.com/careers).  
Inclusion \&amp; Belonging  
Inclusion and belonging are fundamental to our hiring practices and company culture, forming an integral part of our vision for a better world of work. At Indeed, we’re committed to the wellbeing of our employees and on a mission to make this the best place to work and thrive. We believe that fostering an inclusive environment where every employee feels respected and accepted benefits everyone, fueling innovation and creativity.  
We value diverse experiences, including those who have had prior contact with the criminal legal system. We are committed to providing individuals with criminal records, including formerly incarcerated individuals, a fair chance at employment.  
Those with military experience are encouraged to apply. Equivalent expertise demonstrated through a combination of work experience, training, military experience, or education is welcome.  
Indeed’s Employee Recruiting Privacy Policy  
Like other employers Indeed uses our own technologies to help us find and attract top talent from around the world. In addition to our site’s user and privacy policy found at https://www.indeed.com/legal, we also want to make you aware of our recruitment specific privacy policy found at https://www.indeed.com/legal/indeed\-jobs.  
Agency Disclaimer  
Indeed does not pay placement fees for unsolicited resumes or referrals from non\-candidates, including search firms, staffing agencies, professional recruiters, fee\-based referral services, and recruiting agencies (each individually, an "Agency"), subject to local laws. An Agency seeking a placement fee must obtain advance written approval from Indeed's internal Talent Acquisition team and execute a fee agreement with Indeed for each job opening before making a referral or submitting a resume for that opening.  
AI Notice  
Indeed is committed to ensuring fairness and transparency throughout our hiring process. We use artificial intelligence (AI) tools to assist in the screening, assessment, and selection of applicants for this position by analyzing information provided in resumes and applications. Our use of AI does not replace human decision\-making.  
Unless otherwise notified, Indeed does not use AI constituting an AEDT or an ADMT as those tools are defined in applicable laws.  
Reference ID: 46583  
The deadline to apply to this position is 2/20\. Job postings may be extended at the hiring team’s discretion based on applicant volume.  
It is unlawful in Massachusetts to require or administer a lie detector test as a condition of employment or continued employment. An employer who violates this law shall be subject to criminal penalties and civil liability.  
Reference ID: 46583</t>
        </is>
      </c>
    </row>
    <row r="32">
      <c r="A32" t="inlineStr">
        <is>
          <t>in-76cb240fcab157c0</t>
        </is>
      </c>
      <c r="B32" t="inlineStr">
        <is>
          <t>Data Scientist</t>
        </is>
      </c>
      <c r="C32" t="inlineStr">
        <is>
          <t>Westat</t>
        </is>
      </c>
      <c r="D32" t="inlineStr">
        <is>
          <t>indeed</t>
        </is>
      </c>
      <c r="E32" t="inlineStr"/>
      <c r="F32" t="inlineStr"/>
      <c r="G32" t="inlineStr">
        <is>
          <t>Bethesda, MD, US</t>
        </is>
      </c>
      <c r="H32" s="2" t="n">
        <v>46065</v>
      </c>
      <c r="I32" t="inlineStr">
        <is>
          <t>Westat is a leader in research, data collection and analysis, technical assistance, evaluation, and communications. Our evidence\-based findings help clients in government and the private sector accelerate advancements in health, education, transportation, and social and economic policy. Our dedication to improving lives through research and our approach to projects grounded in investigative curiosity, statistical and data rigor, adaptive methods, and advanced technology are why clients find exceptional value in our work.  
**Job Summary**  
Westat is seeking a Data Scientist to join our Statistics and Data Science team. The position involves programing in R, Python, and SQL; applying data science and artificial intelligence (AI) methods (e.g., natural language processing, machine learning, and large language models) to structured and unstructured data; data analytics, data visualization, and dashboard development with minimal oversight and supervision.  
This role is based out of our Bethesda, Maryland office and will be eligible for a hybrid work arrangement requiring 1\-2 days onsite each week.  
**Job Responsibilities**  
* Develop and test R and Python to collect, process, link, and analyze data in various formats.
* Develop SQL code to query, process, and manage large data files in databases.
* Apply supervised and unsupervised machine learning frameworks to data collected from a variety of sources.
* Use natural language processing methods and large language models to clean, parse, link, summarize and analyze large and unstructured data.
* Collect/acquire data from a variety of sources including websites using Application Programming Interface (API) and web\-scraping.
* Develop data visualizations and dashboards using open\-source libraries in R and Python and proprietary software such as Tableau and PowerBI.
* Develop and maintain code documentation using Git, implement coding standards, and apply best practices.
* Present to internal and external clients.
* Engage in thought leadership via publications and conference presentations.
**Basic Qualifications**  
* Ability to obtain a Public Trust clearance, requiring consistent U.S. residency for the majority of the last five years.
* A bachelor’s degree in data science, statistics, computer science, mathematics or other related quantitative field..
* 3\-5 years of experience in data science or related projects.
* Proficiency in R, Python, SQL, and demonstrated experience in data visualization tools (e.g., Tableau and PowerBI).
* Demonstrated experience developing machine learning and natural language processing methods.
* Developed, queried, and managed large data files in databases.
* Proven experience using Git as version control system.
**Preferred Qualifications**  
* Current or recent Public Trust Clearance is preferred.
* Master’s degree in data science, statistics, computer science, mathematics or other related quantitative field preferred.
* Experience working in a professional services research environment.
* Knowledge of industry best practices and emerging technologies.
* Strong problem\-solving abilities and experience in developing actionable insights from complex data.
* Excellent oral and written communication skills for presenting technical concepts to non\-technical stakeholders.
* Strong organizational skills, including time management, and the ability to handle multiple tasks simultaneously, and work both independently and in a team environment.
Westat offers a well\-rounded and comprehensive benefits program focused on wellness and work/life balance. Subject to plan requirements, employees may participate in:* Employee Stock Ownership Plan
* 401(k) Retirement Plan
* Paid Parental Leave
* Vacation Leave (15 days per year)
* Sick Leave (9 days per year)
* Holiday Leave (7 Government Holidays and 2 Floating Holidays)
* Professional Development
* Health Advocate
* Employee Assistance Program
* Travel Accident Insurance
* Medical Insurance
* Dental Insurance
* Vision Insurance
* Short Term Disability Insurance
* Long Term Disability Insurance
* Life and AD\&amp;D Insurance
* Critical Illness Insurance
* Supplemental Life Insurance
* Flexible Spending Account
* Health Savings Account
Any offer of employment may be contingent upon receipt of acceptable results from a post\-offer background screening, if required for the specific position, which may include, for example, identity verification, employment history, motor vehicle driving record history, and criminal or sexual offender records history. Any background screening results will be evaluated through an individualized assessment based on the individual’s specific record and the duties and requirements of the position.
This opportunity will be posted for a minimum of 5 days and applications will be accepted on an ongoing basis.
Westat is an Equal Opportunity Employer and does not discriminate on the basis of race, creed, color, religion, sex, national origin, age, veteran status, disability, marital status, sexual orientation, citizenship status, genetic information, or any other protected status under applicable law. It is unlawful in Massachusetts to require or administer a lie detector test as a condition of employment or continued employment. An employer who violates this law shall be subject to criminal penalties and civil liability.  
\#LI\-WST1
**Career Area**
Research \- Statistics
**Pay Range**
The anticipated salary range for this role is between $75,000 \- $82,000 and will commensurate with experience.
**Bonus Eligibility**
No</t>
        </is>
      </c>
    </row>
    <row r="33">
      <c r="A33" t="inlineStr">
        <is>
          <t>in-9219dc68f4de2da3</t>
        </is>
      </c>
      <c r="B33" t="inlineStr">
        <is>
          <t>Data Scientist - Hardware Acoustics</t>
        </is>
      </c>
      <c r="C33" t="inlineStr">
        <is>
          <t>Apple</t>
        </is>
      </c>
      <c r="D33" t="inlineStr">
        <is>
          <t>indeed</t>
        </is>
      </c>
      <c r="E33" t="inlineStr"/>
      <c r="F33" t="inlineStr"/>
      <c r="G33" t="inlineStr">
        <is>
          <t>Boulder, CO, US</t>
        </is>
      </c>
      <c r="H33" s="2" t="n">
        <v>46065</v>
      </c>
      <c r="I33" t="inlineStr">
        <is>
          <t>The Hardware Acoustic organization at Apple is dedicated to delivering industry\-leading audio experiences across all our products. We are a multidisciplinary team of acoustic engineers, researchers, and machine learning experts who push the boundaries of sound quality, noise cancellation, and user interaction.  
Our Machine Learning Data team is the foundational backbone for these efforts. We are responsible for building the robust data infrastructure, pipelines, and analytical tools that enable the development, training, and evaluation of cutting\-edge machine learning models for acoustic applications. We work with vast, complex datasets, ensuring their quality, accessibility, and utility for our ML scientists and engineers.  
**Description**  
We are seeking a highly motivated and skilled Data Scientist/Engineer to join our Machine Learning Data team within Hardware Acoustics. This role sits at the intersection of data engineering, data science, and machine learning, with a specific focus on acoustic and sensor data.  
You will be instrumental in designing, developing, and maintaining scalable data pipelines, ensuring data quality, and preparing complex datasets that power machine learning models enhancing Apple's hardware acoustic performance. You will collaborate closely with ML engineers, acoustic scientists, and hardware engineers to understand their data needs and deliver impactful, data\-driven solutions.","responsibilities":"Design, develop, and maintain robust and scalable data pipelines for collecting, processing, and transforming large volumes of acoustic, sensor, and related metadata.  
Collaborate with acoustic engineers and ML scientists to identify, extract, and engineer features from raw acoustic data for machine learning models.  
Implement rigorous data quality checks, monitoring, and anomaly detection to ensure the integrity, reliability, and privacy of data used for ML.  
Develop tools and frameworks to automate data ingestion, validation, preparation, and labeling processes.  
Perform exploratory data analysis (EDA) and data visualization to uncover insights, identify trends, and communicate findings to cross\-functional teams.  
Contribute to the definition of data schemas, data governance, and best practices for data management within the Hardware Acoustic organization.  
Support the deployment and monitoring of ML models by ensuring data consistency between training and inference environments.  
Optimize data storage, access patterns, and query performance for large\-scale datasets.  
Thoroughly document data pipelines, schemas, processing logic, and data dictionaries.  
**Preferred Qualifications**  
Experience working with acoustic data, audio signal processing, or sensor data.  
Familiarity with machine learning concepts and experience using ML libraries (e.g., scikit\-learn, TensorFlow, PyTorch).  
Experience with MLOps principles and practices for managing the ML lifecycle.  
Knowledge of data visualization tools (e.g., Tableau, Power BI, matplotlib, seaborn).  
Experience with real\-time data processing or streaming technologies.  
Excellent problem\-solving, analytical, and communication skills, with the ability to explain complex data concepts to diverse audiences.  
Familiarity with web front/back end.  
Familiarity with large\-scale data platforms and services (e.g., cloud\-based data warehouses/lakes or similar internal infrastructure).  
**Minimum Qualifications**  
Bachelor's or Master's degree in Computer Science, Electrical Engineering, Data Science, or a related quantitative field.  
3\+ years of professional experience in data engineering, data science, or machine learning engineering roles, with a strong focus on data pipelines and data preparation.  
Expert proficiency in Python for data manipulation, scripting, and automation.  
Strong SQL skills for complex data querying, analysis, and database management.  
Experience with distributed data processing frameworks (e.g., Apache Spark, Hadoop).  
Solid understanding of data warehousing concepts, data modeling, and ETL/ELT principles.  
Experience with version control systems (e.g., Git).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$154,600 and $232,900,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34">
      <c r="A34" t="inlineStr">
        <is>
          <t>in-0bfffdf4cdd11358</t>
        </is>
      </c>
      <c r="B34" t="inlineStr">
        <is>
          <t>Data Scientist</t>
        </is>
      </c>
      <c r="C34" t="inlineStr">
        <is>
          <t>NextEra Energy</t>
        </is>
      </c>
      <c r="D34" t="inlineStr">
        <is>
          <t>indeed</t>
        </is>
      </c>
      <c r="E34" t="inlineStr"/>
      <c r="F34" t="inlineStr"/>
      <c r="G34" t="inlineStr">
        <is>
          <t>Juno Beach, FL, US</t>
        </is>
      </c>
      <c r="H34" s="2" t="n">
        <v>46065</v>
      </c>
      <c r="I34" t="inlineStr">
        <is>
          <t>NextEra Analytics offers energy consulting services using industry\-leading scientific analysis for planning, siting, forecasting and optimizing all forms of energy projects. Our optimization and analytics platforms integrate open\-source technologies to leverage massive, diverse sets of utility operating data. This enables rapid development of operational solutions. Applying expertise in advanced mathematics, data and physical sciences, we solve some of the hardest problems facing the energy industry.
 **Position Specific Description**
As a Data Scientist supporting Nuclear AI initiatives, you'll spend your days collaborating directly with nuclear stakeholders to validate model performance and agentic deliverables against real\-world operational data and deliverables, iterate rapidly through experiments to prove value, and ensure your solutions meet the rigorous standards required in nuclear environments. Your technical work will involve everything from anomaly detection algorithms, natural language processing, and general process improvement consulting while balancing the need for cutting\-edge AI capabilities with the strict validation requirements of nuclear operations.
**Job Overview**
----------------
This position is responsible for developing algorithms, modeling techniques, and optimization methods that support many aspects of NextEra and FPL business. Employees in this role use knowledge of machine learning, optimization, statistics, and applied mathematics along with abilities in software engineering with a focus on distributed computing and data storage infrastructure (e.g. “Big Data”).
**Job Duties \&amp; Responsibilities**
----------------------------------
* Develops machine learning, optimization and other modeling solutions
* Prepares comprehensive documented observations, analyses and interpretations of results including technical reports, summaries, protocols and quantitative analyses
* Works with a variety of datasets, including timeseries data and “big data” requiring analysis on distributed computing platforms
* Writes software in R, Python or similar languages and contributes code to product development teams
* Performs other job\-related duties as assigned
**Required Qualifications**
---------------------------
* Bachelor’s Degree
* Experience: 2\+ years
**Preferred Qualifications**
----------------------------
* Master’s Degree
* Doctoral Degree
NextEra Energy offers a wide range of benefits to support our employees and their eligible family members. Click **here** to learn more.
 **Employee Group:** Exempt  
**Employee Type:** Full Time  
**Job Category:** Science, Research, and Technology  
**Organization:** NextEra Analytics, Inc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providing your name, telephone number and the best time for us to reach you.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Please see our policy for more information.</t>
        </is>
      </c>
    </row>
    <row r="35">
      <c r="A35" t="inlineStr">
        <is>
          <t>in-4df131ca679dae32</t>
        </is>
      </c>
      <c r="B35" t="inlineStr">
        <is>
          <t>Data Scientist</t>
        </is>
      </c>
      <c r="C35" t="inlineStr">
        <is>
          <t>Trident Systems Inc</t>
        </is>
      </c>
      <c r="D35" t="inlineStr">
        <is>
          <t>indeed</t>
        </is>
      </c>
      <c r="E35" t="inlineStr"/>
      <c r="F35" t="inlineStr"/>
      <c r="G35" t="inlineStr">
        <is>
          <t>Fairfax, VA, US</t>
        </is>
      </c>
      <c r="H35" s="2" t="n">
        <v>46065</v>
      </c>
      <c r="I35" t="inlineStr">
        <is>
          <t>**Position Title:** Data Scientist  
**Requisition ID:** 1704  
**Position Location:** Fairfax, VA  
**Position Reports To:** Associate Data Science Manager  
**Supervises Others:** No
Trident has built a reputation as a trusted provider of aerospace and defense electronics \&amp; processing systems including digital RF \&amp; Optical command and control solutions and atmospheric \&amp; airborne sensors. Our three operating units: Space Electronic Systems (SES), Integrated C4ISR Systems (ICS) and Optical Precision Systems (OPS), develop within the agile framework which enables us to produce proven, purpose\-built systems that solve our customers’ mission critical challenges across space, air, land, and sea.
Trident’s Integrated C4ISR Systems (ICS) specializes in products and services which improve the safety and survivability of our armed forces. We develop solutions for a wide range of demanding missions and environments, including tactical communications systems for multi\-national interoperability, autonomous predictive maintenance and logistics solutions, and scalable, responsive, all\-domain surveillance systems. Trident's integrated systems support the protection of the National Capital Region and various military installations both domestic and abroad. We can deliver innovative, high\-performance solutions that meet our customers' evolving requirements by integrating our specialized knowledge in electronic systems with appropriately scaled development methodologies.
**Position Summary**
This position will be part of the Predictive Maintenance and Logistics Team supporting Department of Defense (DoD) customers on projects that leverage advanced technologies including machine learning, artificial intelligence (ML/AI), and cloud infrastructure. The Data Scientist II will contribute to the development, evaluation, and deployment of data\-driven models focused on time\-series telemetry and operational system data.
The role emphasizes hands\-on Python development using modern machine learning frameworks, working with real\-world sensor and telemetry data to build models that support health monitoring, anomaly detection, forecasting, and decision support. The Data Scientist II will collaborate closely with engineers, data visualization specialists, and program leadership to transition analytical solutions from research into operational environments. U.S. citizenship and the ability to obtain a security clearance are required.
**Duties and Responsibilities**
* Develop and evaluate machine learning models using Python to analyze time\-series and telemetry data.
* Perform data exploration, feature engineering, and preprocessing on structured and semi\-structured datasets.
* Develop Physics\-informed models based on the known relationships of signals for systems with low historical data available.
* Implement algorithms for anomaly detection, predictive modeling, and trend analysis in operational data.
* Support model validation, performance evaluation, and documentation.
* Contribute to the deployment of models into production and embedded environments in coordination with engineering teams.
* Collaborate with data visualization and software teams to integrate model outputs into dashboards and decision\-support tools.
* Document methodologies, assumptions, and results for technical and non\-technical stakeholders.
* Stay current with emerging machine learning techniques and apply best practices to ongoing projects.
* Perform other duties as assigned.
**Required Qualifications**
* Master’s degree in Data Science, Computer Science, Engineering, Applied Mathematics, or a related field with 0 years of experience, or Bachelor’s degree in a related field with 2\+ years of relevant experience (or equivalent experience in lieu of a degree).
* Proficiency in Python for data analysis and machine learning.
* Experience with common machine learning libraries (e.g., scikit\-learn, PyTorch, TensorFlow, or similar).
* Familiarity with time\-series data, telemetry, or sensor\-based datasets.
* Working knowledge of data analysis tools such as NumPy, Pandas, and SciPy.
* Ability to communicate technical concepts clearly in both written and verbal form.
* Strong analytical thinking and problem\-solving skills.
* Must be a U.S. Citizen with the ability to obtain and maintain a security clearance.
**Preferred Qualifications**
* Experience applying machine learning to predictive maintenance, health monitoring, or operational analytics on time\-series data systems.
* Exposure to model deployment concepts (e.g., batch pipelines, APIs, or edge/embedded environments).
* Familiarity with cloud platforms or big data environments.
* Experience working in a government or DoD context.
* Familiarity with the relationship between engine signals and performance.
* Knowledge of version control (e.g., Git) and collaborative development workflows.
 **Benefits**
Hired applicants may be eligible for benefits including but not limited to:
* Health benefits
* Medical
* Dental
* Vision
* Basic life with AD\&amp;D
* Short term disability
* Long term disability
* Ancillary (Voluntary life with AD\&amp;D, accident, critical illness, hospital, and pet)
* Spending accounts (HSA, FSA, and DCFSA)
* Paid time off
* Holidays
* 401(k) (including automatic company contribution)
* Tuition reimbursement
* Leaves (Parental, pregnancy, and military)
* Potential annual bonus
 *Trident Systems reserves the right to change or assign other duties to this position.*
*Trident Systems is an affirmative action and equal opportunity employer.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To request reasonable accommodation to participate in the job application or interview process, please contact* *recruiting@tridsys.com**.*
*Pay Transparency: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36">
      <c r="A36" t="inlineStr">
        <is>
          <t>in-ceef83b8b8891d4c</t>
        </is>
      </c>
      <c r="B36" t="inlineStr">
        <is>
          <t>Data Scientist Senior - AI/ ML</t>
        </is>
      </c>
      <c r="C36" t="inlineStr">
        <is>
          <t>USAA</t>
        </is>
      </c>
      <c r="D36" t="inlineStr">
        <is>
          <t>indeed</t>
        </is>
      </c>
      <c r="E36" t="inlineStr"/>
      <c r="F36" t="inlineStr"/>
      <c r="G36" t="inlineStr">
        <is>
          <t>San Antonio, TX, US</t>
        </is>
      </c>
      <c r="H36" s="2" t="n">
        <v>46064</v>
      </c>
      <c r="I36"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The Bank AI/ML team is looking to fill several Senior Data Science positions. Candidates with backgrounds in model development for credit risk, marketing, or everyday banking are preferred.
As a dedicated Data Scientist Senior you will translate business problems into applied statistical, machine learning, simulation, and optimization solutions to advise actionable business insights and drive business value through automation, revenue generation, and expense and risk reduction. In collaboration with engineering partners, delivers solutions at scale, and enables customer\-facing applications. Leverages database, cloud, and programming knowledge to build analytical modeling solutions using statistical and machine learning techniques. Collaborates with other data scientists to improve USAA’s tooling, growing the company’s library of internal packages and applications. Works with model risk management to validate the results and stability of models before being pushed to production at scale.
We offer a flexible work environment that requires an individual to be **in the office 4 days per week.** This position can be based in one of the following locations: San Antonio, TX, Plano, TX, Phoenix, AZ, Colorado Springs, CO, Charlotte, NC, or Tampa, FL.
Relocation assistance is available for this position.
**What you'll do:**
-------------------
* Gathers, interprets, and manipulates structured and unstructured data to enable advanced analytical solutions for the business.
* Develops scalable, automated solutions using machine learning, simulation, and optimization to deliver business insights and business value.
* Selects the appropriate modeling technique and/or technology with consideration to data limitations, application, and business needs.
* Develops and deploys models within the Model Development Control (MDC) and Model Risk Management (MRM) framework.
* Composes, and assists peers with composing, technical documents for knowledge persistence, risk management, and technical review audiences.
* Assesses business needs to propose/recommend analytical and modeling projects to add business value. Works with business and analytics leaders to prioritize analytics and modeling problems/research efforts.
* Builds and maintains a robust library of reusable, production\-quality algorithms and supporting code, to ensure model development and research efforts are transparent and based on the highest quality data.
* Translates complex business request(s) into specific analytical questions, executes on the analysis and/or modeling, and then communicates outcomes to non\-technical business colleagues with focus on business action and recommendations.
* Manages project milestones, risks, and impediments. Escalates potential issues that could limit project success or implementation.
* Develops best practices for engaging with Data Engineering and IT to deploy production\-ready analytical assets consistent with modeling best practices and model risk management standards.
* Maintains expertise and awareness of cutting\-edge techniques. Actively seeks opportunities and materials to learn new techniques, technologies, and methodologies.
* Serves as a mentor to junior data scientists in modeling, analytics, and computer science tasks.
* Participates in internal communities that drive the maintenance and transformation of data science technologies and culture.
* Ensures risks associated with business activities are effectively identified, measured, monitored, and controlled in accordance with risk and compliance policies and procedures.
**What you have:**
* Bachelor’s degree in mathematics, computer science, statistics, economics, finance, actuarial sciences, science and engineering, or other similar quantitative discipline; OR 4 years of experience in statistics, mathematics, quantitative analytics, or related experience (in addition to the minimum years of experience required) may be substituted in lieu of degree.
* 6 years of experience in a predictive analytics or data analysis OR Advanced Degree (e.g., Master’s, PhD) in mathematics, computer science, statistics, economics, finance, actuarial sciences, science and engineering, or other similar quantitative discipline and 4 years of experience in predictive analytics or data analysis.
* 4 years of experience in training and validating statistical, physical, machine learning, and other advanced analytics models.
* 4 years of experience in one or more dynamic scripted language (such as Python, R, etc.) for performing statistical analyses and/or building and scoring AI/ML models.
* Proven experience writing code that is easy to follow, well documented, and commented where necessary to explain logic (high code transparency).
* Strong experience in querying and preprocessing data from structured and/or unstructured databases using query languages such as SQL, HQL, NoSQL, etc.
* Strong experience in working with structured, semi\-structured, and unstructured data files such as delimited numeric data files, JSON/XML files, and/or text documents, images, etc.
* Demonstrated skill in performing ad\-hoc analytics using descriptive, diagnostic, and inferential statistics.
* Ability to assess and articulate regulatory implications and expectations of distinct modeling efforts.
* Advanced experience with the concepts and technologies associated with classical supervised modeling for prediction such as linear/logistic regression, discriminant analysis, support vector machines, decision trees, forest models, etc.
* Advanced experience with the concepts and technologies associated with unsupervised modeling such as k\-means clustering, hierarchical/agglomerative clustering, neighbors algorithms, DBSCAN, etc.
* Experience guiding and mentoring junior technical staff in business interactions and model building.
* Experience communicating analytical and modeling results to non\-technical business partners with emphasis on business recommendations and actionable applications of results.
**What sets you apart:**
* Medium or large bank experience.
* Strong knowledge of Python and/or SAS.
* Control partner collaboration experience.
* Knowledge of Model Risk Management, Model Governance, and Regulatory requirements.
**Compensation range:** The salary range for this position is: $143,320 \- $273,930**.**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37">
      <c r="A37" t="inlineStr">
        <is>
          <t>in-cec70ca148820506</t>
        </is>
      </c>
      <c r="B37" t="inlineStr">
        <is>
          <t>Data Scientist Lead - AI / ML</t>
        </is>
      </c>
      <c r="C37" t="inlineStr">
        <is>
          <t>USAA</t>
        </is>
      </c>
      <c r="D37" t="inlineStr">
        <is>
          <t>indeed</t>
        </is>
      </c>
      <c r="E37" t="inlineStr"/>
      <c r="F37" t="inlineStr"/>
      <c r="G37" t="inlineStr">
        <is>
          <t>San Antonio, TX, US</t>
        </is>
      </c>
      <c r="H37" s="2" t="n">
        <v>46064</v>
      </c>
      <c r="I37"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The Data Scientist Lead will work closely with the Data Science Director to ensure that AI/ML modeling solutions are successfully developed and implemented. This will involve supervising multiple projects/initiatives, providing technical expertise, ensuring quality results, and mentor and leading Senior and Junior Data Scientists.
Through cross\-team collaboration, the lead works to understand business problems to formulate and coordinate AI/ML solutions in the Consumer Lending, Bank Operations, and Automation space. A Lead Data Scientist is expected to have a consulting mentality and be a subject matter expert in model building, communication, and leadership.
We offer a flexible work environment that requires an individual to be **in the office 4 days per week.** This position can be based in one of the following locations: San Antonio, TX, Plano, TX, Phoenix, AZ, Colorado Springs, CO, Charlotte, NC or Tampa, FL.
 Relocation assistance is available for this position.
**What you'll do:**
-------------------
* Gathers, interprets, and manipulates complex structured and unstructured data to enable advanced analytical solutions for the business.
* Leads and conducts advanced analytics leveraging machine learning, simulation, and optimization to deliver business insights and achieve business objectives.
* Guides team on selecting the appropriate modeling technique and/or technology with consideration to data limitations, application, and business needs.
* Develops and deploys models within the Model Development Control (MDC) and Model Risk Management (MRM) framework.
* Composes and peer reviews technical documents for knowledge persistence, risk management, and technical review audiences.
* Partners with business leaders from across the organization to proactively identify business needs and proposes/recommends analytical and modeling projects to generate business value. Works with business and analytics leaders to prioritize analytics and highly complex modeling. problems/research efforts.
* Leads efforts to build and maintain a robust library of reusable, production\-quality algorithms and supporting code, to ensure model development and research efforts are transparent and based on the highest quality data.
* Assists team with translating business request(s) into specific analytical questions, executing analysis and/or modeling, and communicating outcomes to non\-technical business colleagues with a focus on business action and recommendations.
* Manages project portfolio milestones, risks, and impediments. Anticipates potential issues that could limit project success or implementation and escalates as needed.
* Establishes and maintains best practices for engaging with Data Engineering and IT to deploy production\-ready analytical assets consistent with modeling best practices and model risk management standards.
* Interacts with internal and external peers and management to maintain expertise and awareness of cutting\-edge techniques. Actively seeks opportunities and materials to learn new techniques, technologies, and methodologies.
* Serves as a mentor to data scientists in modeling, analytics, computer science, business acumen, and other interpersonal skills.
* Participates in enterprise\-level efforts to drive the maintenance and transformation of data science technologies and culture.
* Ensures risks associated with business activities are effectively identified, measured, monitored, and controlled in accordance with risk and compliance policies and procedures.
**What you have:**
* Bachelor’s degree in mathematics, computer science, statistics, economics, finance, actuarial sciences, science and engineering, or other similar quantitative discipline; OR 4 years of experience in statistics, mathematics, quantitative analytics, or related experience (in addition to the minimum years of experience required) may be substituted in lieu of degree.
* 8 years of experience in a predictive analytics or data analysis OR Advanced Degree (e.g., Master’s, PhD) in mathematics, computer science, statistics, economics, finance, actuarial sciences, science and engineering, or other similar quantitative discipline and 6 years of experience in predictive analytics or data analysis.
* 6 years of experience in training and validating statistical, physical, machine learning, and other advanced analytics models.
* 4 years of experience in one or more dynamic scripted language (such as Python, R, etc.) for performing statistical analyses and/or building and scoring AI/ML models.
* Expert ability to write code that is easy to follow, well documented, and commented where necessary to explain logic (high code transparency).
* Strong experience in querying and preprocessing data from structured and/or unstructured databases using query languages such as SQL, HQL, NoSQL, etc.
* Strong experience in working with structured, semi\-structured, and unstructured data files such as delimited numeric data files, JSON/XML files, and/or text documents, images, etc.
* Excellent demonstrated skill in performing ad\-hoc analytics using descriptive, diagnostic, and inferential statistics.
* Proven ability to assess and articulate regulatory implications and expectations of distinct modeling efforts.
* Project management experience that demonstrates the ability to anticipate and appropriately manage project milestones, risks, and impediments. Demonstrated history of appropriately communicating potential issues that could limit project success or implementation.
* Expert level experience with the concepts and technologies associated with classical supervised modeling for prediction such as linear/logistic models, discriminant analysis, support vector machines, decision trees, forest models, etc.
* Expert level experience with the concepts and technologies associated with unsupervised modeling such as k\-means clustering, hierarchical/agglomerative clustering, neighbors algorithms, DBSCAN, etc.
* Demonstrated experience in guiding and mentoring junior technical staff in business interactions and model building.
* Demonstrated ability to communicate ideas with team members and/or business leaders to convey and present very technical information to an audience that may have little or no understanding of technical concepts in data science.
* A strong track record of communicating results, insights, and technical solutions to Senior Executive Management (or equivalent).
* Extensive technical skills, consulting experience, and business savvy to interface with all levels and disciplines within the organization.
**What sets you apart:**
* Extensive model building experience (preferably in banking) covering a variety of AI/ML and traditional statistical modeling approaches.
* Extensive hands\-on experience preparing data and code for modeling.
* Experience with the entire model lifecycle, including conceptualization, development, implementation, validation, and ongoing performance monitoring.
* Experience working directly with clients, customers, or internal business partners.
* Experience leading client or customer relationships and expectations, including senior leadership.
**Compensation range:** The salary range for this position is: $164,780 \- $314,960**.**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38">
      <c r="A38" t="inlineStr">
        <is>
          <t>in-872c55103db0e4b9</t>
        </is>
      </c>
      <c r="B38" t="inlineStr">
        <is>
          <t>Data Scientist - Epidemiologic Research, Python R SQL (Durational with Full Benefits)</t>
        </is>
      </c>
      <c r="C38" t="inlineStr">
        <is>
          <t>Kaiser Permanente</t>
        </is>
      </c>
      <c r="D38" t="inlineStr">
        <is>
          <t>indeed</t>
        </is>
      </c>
      <c r="E38" t="inlineStr"/>
      <c r="F38" t="inlineStr"/>
      <c r="G38" t="inlineStr">
        <is>
          <t>Pasadena, CA, US</t>
        </is>
      </c>
      <c r="H38" s="2" t="n">
        <v>46064</v>
      </c>
      <c r="I38" t="inlineStr">
        <is>
          <t>**Job Summary:**
In addition to the responsibilities listed below, this position is also responsible for programming in analytical programming languages (may include SAS, SQL, SPSS, R, Python, etc.), data management, quality control, and reporting for projects as appropriate; extracting, manipulating, and merging large databases to create analytical datasets; performing simple analytical tasks using SAS or other analytical tools; maintaining and troubleshooting software and programs; and implementing automated reporting and data loading schemes.  
**Essential Responsibilities:**  
* Pursues self\-development and effective relationships with others by sharing resources, information, and knowledge with coworkers and customers; listening, responding to, and seeking performance feedback; acknowledging strengths and weaknesses; assessing and responding to the needs of others; and adapting to and learning from change, difficulties, and feedback.
* Completes work assignments by applying up\-to\-date knowledge in subject area to meet deadlines; following procedures and policies and applying data, and resources to support projects or initiatives; collaborating with others, often cross\-functionally, to solve business problems; supporting the completion of priorities, deadlines, and expectations; communicating progress and information; identifying and recommending ways to address improvement opportunities when possible; and escalating issues or risks as appropriate.
* Assists with data analysis interpretation by organizing and editing reports and presentations telling a compelling story to stakeholders to enable and influence decision making.
* Supports data\-informed decisions under the guidance of more senior employees by working with clients to identify and clarify key business needs; assisting in the development of outcomes and process measures; translating business requirements; informing data/information needs and data collection methods; measuring the impact of business decisions on clients, customers, and/or members; working with clients and staff to identify opportunities and methods to improve efficiencies with analysis; supporting end\-users; and documenting processes and deliverables.
* Assists with data and information gathering for targeted variables in an established systematic fashion by cleaning and organizing data; querying, merging, and extracting data across sources; completing routine data refresh and update; and providing user support and documentation.
* Supports data preparation for analytic efforts under the guidance of more senior employees by cleaning data to ensure quality and accuracy based on provided guidelines; and consolidating data.
* Assists with the execution of creative data analytic approaches leading to actionable outcomes by organizing metrics to be analyzed and calculating algorithms and conducting basic analyses under the guidance of more senior employees, including descriptive statistics.
* Assists with the development, implementation, and automation of business and reporting solutions by creating summary statistics; organizing data reports, visualizations, and/or interactive Business Intelligence (BI) reports; identifying opportunities to improve exiting reporting solutions; and preparing documentation as appropriate.
**Minimum Qualifications:**  
* Minimum one (1\) year experience programming with SAS, SQL, R or other similar analytical programming language.
* Bachelors degree in Mathematics, Statistics, Engineering, Social/Physical/Life Science, Business, or related field OR Minimum two (2\) years experience in data analytics or a directly related field.
**Additional Requirements:**  
* Knowledge, Skills, and Abilities (KSAs): SAS Tools; SQL/SAS; Data Extraction; Data Mining; Data Visualization Tools; Statistical Programming Language; Relational Database Management; Project Management; Written Communication
**Preferred Qualifications:*** One (1\) year relational database experience.
* One (1\) year experience working with data visualization tools.
* One (1\) year experience working with SQL.
* One (1\) year experience working with Open Source Tools (e g , R, Python).
PrimaryLocation : California,Pasadena,S. Los Robles Administration  
HoursPerWeek : 40  
Shift : Day  
Workdays : Mon, Tue, Wed, Thu, Fri  
WorkingHoursStart : 08:00 AM  
WorkingHoursEnd : 05:00 PM  
Job Schedule : Full\-time  
Job Type : Standard  
Employee Status : Regular  
Employee Group/Union Affiliation : NUE\-SCAL\-01\|NUE\|Non Union Employee  
Job Level : Individual Contributor  
Job Category : Data Analytics  
Department : Department of Research and Evaluation  
Travel : Yes, 5 % of the Time  
Kaiser Permanente is an equal opportunity employer committed to fair, respectful, and inclusive workplaces. Applicants will be considered for employment without regard to race, religion, sex, age, national origin, disability, veteran status, or any other protected characteristic or status.  
For jobs where work will be performed in unincorporated LA County, the employer provides the following statement in accordance with the Los Angeles County Fair Chance Ordinance. Criminal history may have a direct, adverse, and negative relationship on the following job duties, potentially resulting in the withdrawal of the conditional offer of employment:  
* Consistently supports compliance and the Principles of Responsibility (Kaiser Permanente's Code of Conduct) by maintaining the privacy and confidentiality of information, protecting the assets of the organization, acting with ethics and integrity, reporting non\-compliance, and adhering to applicable federal, state, and local laws and regulations, accreditation, and licensure requirements (where applicable), and Kaiser Permanente's policies and procedures.
* Models and reinforces ethical behavior in self and others in accordance with the Principles of Responsibility, adheres to organizational policies and guidelines; supports compliance initiatives; maintains confidences; admits mistakes; conducts business with honesty, shows consistency in words and actions; follows through on commitments.
* Job duties with at least occasional or possible access to: (1\) patients, the general public, or other employees; (2\) confidential protected health information and other confidential KP information (including employee, proprietary, financial or trade secret information); (3\) KP property and assets, for example, electronic assets, medical instruments, or devices; (4\) controlled substances regulated by federal law or potentially subject to diversion.</t>
        </is>
      </c>
    </row>
    <row r="39">
      <c r="A39" t="inlineStr">
        <is>
          <t>in-60657597d8e87ebe</t>
        </is>
      </c>
      <c r="B39" t="inlineStr">
        <is>
          <t>Principal Applied Scientist</t>
        </is>
      </c>
      <c r="C39" t="inlineStr">
        <is>
          <t>Microsoft</t>
        </is>
      </c>
      <c r="D39" t="inlineStr">
        <is>
          <t>indeed</t>
        </is>
      </c>
      <c r="E39" t="inlineStr"/>
      <c r="F39" t="inlineStr"/>
      <c r="G39" t="inlineStr">
        <is>
          <t>Reston, VA, US</t>
        </is>
      </c>
      <c r="H39" s="2" t="n">
        <v>46058</v>
      </c>
      <c r="I39" t="inlineStr">
        <is>
          <t>**Overview**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Microsoft’s **Cloud Operations \&amp; Innovation (CO\+I)** team is the engine that powers our cloud services. **CO\+I** delivers and operates the safest, most available and secure cloud in the industry. **CO\+I Engineering (CO\+IE)** is the software team that delivers tools, automation, and AI to enable fast, predictable delivery of datacenter capacity, and safe, reliable, and efficient execution of the processes associated with the full life cycle of datacenter management and operations.
We are looking for a **Principal Applied Scientist** to build production\-facing optimization models to minimize waste across our supply chain and data center resources. This role is a leadership lynchpin in the delivery of business value across **CO\+I**, as well as upstream and downstream partner organizations. Working closely with business leaders, the role owns the technical strategy, definition, and delivery of optimization models, coupled with algorithmic support for various production processes. In the coming agentic environment, this role can create the future, applying emerging ideas and technologies toward efficiency, availability, and scale.
This leader will be responsible for creating and sustaining an environment focused on outcomes and accountability, building and owning a broad set of systems and processes, and partnering with cross‑functional leaders to deliver value for the company. The scope of responsibility is wide, supporting capacity planning efforts that guide billions of dollars in spend and serve as a key driver of overall company growth. This leader will be expected to deliver outcomes amid ambiguity and significant change, and to bring experience leading global, business‑critical organizations through periods of transformation.
In alignment with our Microsoft values, we are committed to cultivating an inclusive work environment for all employees to positively impact our culture every day. As a group, **CO\+I** is focused on personal and professional development for all employees and offers training and growth opportunities including Diversity \&amp; Inclusion trainings and events, and professional certifications.
 **Responsibilities**  
* Formulate a vision and execute a strategy to develop, support, and continuously improve scientific models that optimize datacenter capacity delivery and operation.
* Embrace AI to create operational efficiencies. Work closely with process experts and customers to refine existing processes, applying science and AI toward maximum efficiency.
* Collaborate with CO\+I leaders and teams to identify the highest value application of optimization capabilities, working with communities and key stakeholders to ensure alignment.
* Lead the team with customer\-first operational excellence, ownership, and continuous improvement that meet the scaling and other challenges of cloud delivery and operations. Set a great example as an inclusive leader while creating engagement, impact, and success across teams and individuals.
**Qualifications** **Required/minimum qualifications**
* Bachelor's Degree in Statistics, Econometrics, Computer Science, Electrical or Computer Engineering, or related field AND 8\+ years related experience (e.g., statistics, predictive analytics, research)
	+ OR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5\+ years related experience (e.g., statistics, predictive analytics, research)
	+ OR equivalent experience.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Master's Degree in Statistics, Econometrics, Computer Science, Electrical or Computer Engineering, or related field AND 12\+ years related experience (e.g., statistics, predictive analytics, research)
	+ OR Doctorate in Statistics, Econometrics, Computer Science, Electrical or Computer Engineering, or related field AND 8\+ years related experience (e.g., statistics, predictive analytics, research)
	+ OR equivalent experience.
* 3\+ years experience presenting at conferences or other events in the outside research/industry community as an invited speaker.
* 7\+ years experience conducting research as part of a research program (in academic or industry settings).
* 5\+ years experience developing and deploying live production systems, as part of a product team.
* 7\+ years experience developing and deploying products or systems at multiple points in the product cycle from ideation to shipping.
\#COICareers
Applied Sciences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0">
      <c r="A40" t="inlineStr">
        <is>
          <t>in-a68760d10e3bb614</t>
        </is>
      </c>
      <c r="B40" t="inlineStr">
        <is>
          <t>Data Scientist Manager</t>
        </is>
      </c>
      <c r="C40" t="inlineStr">
        <is>
          <t>Ameriprise Financial</t>
        </is>
      </c>
      <c r="D40" t="inlineStr">
        <is>
          <t>indeed</t>
        </is>
      </c>
      <c r="E40" t="inlineStr"/>
      <c r="F40" t="inlineStr"/>
      <c r="G40" t="inlineStr">
        <is>
          <t>Minneapolis, MN, US</t>
        </is>
      </c>
      <c r="H40" s="2" t="n">
        <v>46057</v>
      </c>
      <c r="I40" t="inlineStr">
        <is>
          <t>Ameriprise Financial is looking to add a Data Scientist Manager to the team! The individual in this role will play an integral role in supporting modeling and data analysis, campaign execution, and database needs for assigned line of business. Manage the creation and/or usage of large data sets, providing information\-based decision logic and predictive modeling solutions, and translates modeling/analytic output into understandable/actionable business knowledge, insight and applications. Demonstrate strong technical/problem solving skills. Support multiple projects collaboratively.**Key Responsibilities**
* Identify, develop and implement complex analytical solutions leveraging tools such as predictive modeling, advanced machine learning techniques, simulation, optimization solutions, etc., with respect to credit card, lending and cash products for marketing and risk management purposes.
* Manage dataset creation including data extraction, derived and dependent variable creation, and data quality control processes for analytics, model development, and validation. May monitor execution of analytical solutions, including criteria specification, data sourcing, segmentation, analytics, selection, delivery, and back\-end data capture results.
* Consult and coordinate campaign execution for direct to client campaigns. Identify and execute targeting and optimization opportunities.
* Under direction of the Sr. Leader, collaborate with business leaders and/or analysts to provide analytical thought leadership and support for business problems. Identify and interpret business needs, define high\-level business requirements, strategy, technical risks, and scope. Develop, document, and communicate business\-driven analytic solutions and capabilities, translating modeling and analytic output into understandable and actionable business knowledge.
* Embed analytic programs and tools. Ensure continued accuracy, relevancy, and effectiveness and track process improvements once deployed.
* Ensure adherence to data and model governance standards that are set and enforced by industry standards and/or enterprise and business unit data governance polices and leaders.
* Contribute to ongoing expansion of data science expertise and credentials by keeping up with industry best practices, developing new skills, and knowledge sharing. Work cross functionally to develop standardized/automated solutions and adopt best practices.
 **Required Qualifications**
* Master's degree or equivalent Quantitative Discipline (i.e. Finance, Statistics, Computer Science, Actuarial Science, Economics, Engineering, etc.)
* 3 \- 5 years relevant experience required
* Knowledge of advanced statistical concepts and techniques; skilled in linear algebra.
* Experience conducting hands\-on analytics projects using advanced statistical methods such as generalized regression models, Bayesian methods, random forest, gradient boosting, neural networks, machine learning, clustering, or similar methodologies.
* Experience with statistical programming (SAS, R, Python, SQL etc.) \&amp; data visualization software in a data\-rich environment.
* Proven ability to present/communicate complex, technical materials in a way that facilitates decision making and drives outcomes; ability to communicate to less technical partners.
* Proven ability to apply both strategic and analytic techniques to provide business solutions and recommendations.
* Ability to work effectively in a collaborative team environment.
 **Preferred Qualifications**
* Ph.D
* 3\+ years of experience in statistical modeling and the collating processes necessary to create modeling data.
* Experience with big data technologies which may include Hadoop, Cloud Computing Environments (including container creation, management \&amp; deployment), Spark, Dataiku, Amazon SageMaker etc..
* Self\-starter with the ability to work effectively in a matrix environment while (at times) working autonomously.
* Proven flexibility and adaptability in effectively driving results in an environment of changing priorities.
* Knowledge of credit risk analytics.
* Background in banking \- lending, credit card and mortgage.
* Background in financial services.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$96,300 \- $169,200/year.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Data**Line of Business**
CSIRM Information Management</t>
        </is>
      </c>
    </row>
    <row r="41">
      <c r="A41" t="inlineStr">
        <is>
          <t>in-1f194991b7bff074</t>
        </is>
      </c>
      <c r="B41" t="inlineStr">
        <is>
          <t>Data Scientist Manager</t>
        </is>
      </c>
      <c r="C41" t="inlineStr">
        <is>
          <t>Ameriprise Financial</t>
        </is>
      </c>
      <c r="D41" t="inlineStr">
        <is>
          <t>indeed</t>
        </is>
      </c>
      <c r="E41" t="inlineStr"/>
      <c r="F41" t="inlineStr"/>
      <c r="G41" t="inlineStr">
        <is>
          <t>Charlotte, NC, US</t>
        </is>
      </c>
      <c r="H41" s="2" t="n">
        <v>46057</v>
      </c>
      <c r="I41" t="inlineStr">
        <is>
          <t>Ameriprise Financial is looking to add a Data Scientist Manager to the team! The individual in this role will play an integral role in supporting modeling and data analysis, campaign execution, and database needs for assigned line of business. Manage the creation and/or usage of large data sets, providing information\-based decision logic and predictive modeling solutions, and translates modeling/analytic output into understandable/actionable business knowledge, insight and applications. Demonstrate strong technical/problem solving skills. Support multiple projects collaboratively.**Key Responsibilities**
* Identify, develop and implement complex analytical solutions leveraging tools such as predictive modeling, advanced machine learning techniques, simulation, optimization solutions, etc., with respect to credit card, lending and cash products for marketing and risk management purposes.
* Manage dataset creation including data extraction, derived and dependent variable creation, and data quality control processes for analytics, model development, and validation. May monitor execution of analytical solutions, including criteria specification, data sourcing, segmentation, analytics, selection, delivery, and back\-end data capture results.
* Consult and coordinate campaign execution for direct to client campaigns. Identify and execute targeting and optimization opportunities.
* Under direction of the Sr. Leader, collaborate with business leaders and/or analysts to provide analytical thought leadership and support for business problems. Identify and interpret business needs, define high\-level business requirements, strategy, technical risks, and scope. Develop, document, and communicate business\-driven analytic solutions and capabilities, translating modeling and analytic output into understandable and actionable business knowledge.
* Embed analytic programs and tools. Ensure continued accuracy, relevancy, and effectiveness and track process improvements once deployed.
* Ensure adherence to data and model governance standards that are set and enforced by industry standards and/or enterprise and business unit data governance polices and leaders.
* Contribute to ongoing expansion of data science expertise and credentials by keeping up with industry best practices, developing new skills, and knowledge sharing. Work cross functionally to develop standardized/automated solutions and adopt best practices.
 **Required Qualifications**
* Master's degree or equivalent Quantitative Discipline (i.e. Finance, Statistics, Computer Science, Actuarial Science, Economics, Engineering, etc.)
* 3 \- 5 years relevant experience required
* Knowledge of advanced statistical concepts and techniques; skilled in linear algebra.
* Experience conducting hands\-on analytics projects using advanced statistical methods such as generalized regression models, Bayesian methods, random forest, gradient boosting, neural networks, machine learning, clustering, or similar methodologies.
* Experience with statistical programming (SAS, R, Python, SQL etc.) \&amp; data visualization software in a data\-rich environment.
* Proven ability to present/communicate complex, technical materials in a way that facilitates decision making and drives outcomes; ability to communicate to less technical partners.
* Proven ability to apply both strategic and analytic techniques to provide business solutions and recommendations.
* Ability to work effectively in a collaborative team environment.
 **Preferred Qualifications**
* Ph.D
* 3\+ years of experience in statistical modeling and the collating processes necessary to create modeling data.
* Experience with big data technologies which may include Hadoop, Cloud Computing Environments (including container creation, management \&amp; deployment), Spark, Dataiku, Amazon SageMaker etc..
* Self\-starter with the ability to work effectively in a matrix environment while (at times) working autonomously.
* Proven flexibility and adaptability in effectively driving results in an environment of changing priorities.
* Knowledge of credit risk analytics.
* Background in banking \- lending, credit card and mortgage.
* Background in financial services.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$96,300 \- $169,200/year.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Data**Line of Business**
CSIRM Information Management</t>
        </is>
      </c>
    </row>
    <row r="42">
      <c r="A42" t="inlineStr">
        <is>
          <t>in-2622225ce71abd73</t>
        </is>
      </c>
      <c r="B42" t="inlineStr">
        <is>
          <t>Data Scientist Lead</t>
        </is>
      </c>
      <c r="C42" t="inlineStr">
        <is>
          <t>Auto Club Services</t>
        </is>
      </c>
      <c r="D42" t="inlineStr">
        <is>
          <t>indeed</t>
        </is>
      </c>
      <c r="E42">
        <f>HYPERLINK("https://www.indeed.com/viewjob?jk=2622225ce71abd73", "https://www.indeed.com/viewjob?jk=2622225ce71abd73")</f>
        <v/>
      </c>
      <c r="F42">
        <f>HYPERLINK("https://careers.ace.aaa.com/us/en/job/ACOSUSJR202526613EXTERNALENUS/Data-Scientist-Lead?utm_source=indeed&amp;utm_medium=phenom-feeds", "https://careers.ace.aaa.com/us/en/job/ACOSUSJR202526613EXTERNALENUS/Data-Scientist-Lead?utm_source=indeed&amp;utm_medium=phenom-feeds")</f>
        <v/>
      </c>
      <c r="G42" t="inlineStr">
        <is>
          <t>Independence, OH, US</t>
        </is>
      </c>
      <c r="H42" s="3" t="n">
        <v>46065</v>
      </c>
      <c r="I42" t="inlineStr">
        <is>
          <t>As our Lead Data Scientist, you will act as an internal business consultant to help optimize every facet of this organization. You will solve problems and answer questions – using data – for other departments to help us reduce costs, reduce errors, and be a better organization for our 17 million members.
What You’ll Do
Every day, you will help solve business problems presented to us by stakeholders using data. You will get a scenario or problem, such as, “We need to reduce cycle times,” and then pull, analyze, and interpret data relevant to that scenario.
You will pull data from SQL databases. You will analyze and interpret data using Python, R, or other tools. You will determine patterns or trends and their statistical significance to the problem. To visualize the data, you will use Tableau.
Once you have done your analysis, paired with a data engineer, you will present your findings to the stakeholder and confirm, refute or simply acknowledge a hypothesis. Your work may be implemented or may develop into something else. This role is remote, but you must be able to report to the Independence, OH office for regular collaboration days.
What You’ll Need
To thrive in this role, you must have a solid foundation of statistics and data analysis. You must be able to describe a project where you pulled data, analyzed it, identified trends or patterns, determined significance, and delivered insights or recommendations to the business. What was your approach? What tools did you use and why? Did you get to the root cause of the issue? Did you confirm or refute a hypothesis? You must be able to speak to your involvement and decisions at each stage.
For pulling data, we use SQL so you must be proficient with this tool. To curate and analyze data, we use a variety of languages and programs: Python, R, and even Excel. You can choose whatever tool helps you best, but you must be proficient in either Python or R.
Excellent communication skills and an attitude of flexibility are a must. Very often, we get into the data and some aspect takes longer than we thought, or we have to pivot and change how we approach a problem. A dashboard works better than a model, perhaps. Then you have to explain to the stakeholder or the team why you made that change or why the deliverable is taking longer than expected. It’s all about being creative in your approach and communicating that frequently and clearly to people who may be less tech or data\-savvy than you.
You have worked previously with an Agile team or understand these concepts. You expect to participate in daily standup meetings, you’ll complete your projects or stories during our bimonthly sprints, and you’re ready to meet frequent deployment deadlines.
\#LI\-SJ1
**Remarkable benefits:**  
* Health coverage for medical, dental, vision
* 401(K) saving plans with company match AND Pension
* Tuition assistance
* Floating holidays and PTO for community volunteer programs
* Paid parental leave
* Wellness programs
* Employee discounts (membership, insurance,
travel, entertainment, services and more!) Auto Club Enterprises is the largest federation of AAA clubs in the nation. We have 14,000 employees in 21 states helping 17 million members. The strength of our organization is our employees. Bringing together and supporting different cultures, backgrounds, personalities, and strengths creates a team capable of delivering legendary, lifetime service to our members. When we embrace our diversity – we win. All of Us! With our national brand recognition, long\-standing reputation since 1902, and constantly growing membership, we are seeking career\-minded, service\-driven professionals to join our team.
"Through dedicated employees we proudly deliver legendary service and beneficial products that provide members peace of mind and value.”
AAA is an Equal Opportunity Employer</t>
        </is>
      </c>
    </row>
    <row r="43">
      <c r="A43" t="inlineStr">
        <is>
          <t>in-9d87cea7927a428d</t>
        </is>
      </c>
      <c r="B43" t="inlineStr">
        <is>
          <t>Data Scientist</t>
        </is>
      </c>
      <c r="C43" t="inlineStr">
        <is>
          <t>United States Secret Service</t>
        </is>
      </c>
      <c r="D43" t="inlineStr">
        <is>
          <t>indeed</t>
        </is>
      </c>
      <c r="E43">
        <f>HYPERLINK("https://www.indeed.com/viewjob?jk=9d87cea7927a428d", "https://www.indeed.com/viewjob?jk=9d87cea7927a428d")</f>
        <v/>
      </c>
      <c r="F43">
        <f>HYPERLINK("https://www.usajobs.gov:443/job/857711800", "https://www.usajobs.gov:443/job/857711800")</f>
        <v/>
      </c>
      <c r="G43" t="inlineStr">
        <is>
          <t>Washington, DC, US</t>
        </is>
      </c>
      <c r="H43" s="3" t="n">
        <v>46065</v>
      </c>
      <c r="I43" t="inlineStr">
        <is>
          <t>**Summary**
-----------
Joining the Secret Service, Office of Strategy, Planning, and Innovation will allow you to apply data science and related information management principles to promote effective data use for informed decision\-making, and to drive positive transformation in programs and organizational units with advanced analytic, modeling, and evaluation support.  
For definitions of terms found in this announcement, please click here.
**This job is open to**
-----------------------
### **The public**
U.S. Citizens, Nationals or those who owe allegiance to the U.S.
### **Career transition (CTAP, ICTAP, RPL)**
Federal employees whose job, agency or department was eliminated and are eligible for priority over other applicants.
### **Clarification from the agency**
U.S. Citizens, lnteragency Career Transition Assistance Program (ICTAP) eligibles and Agency Career Transition Assistance Program (CTAP) employees.
**Duties**
----------
The selectee will serve as a Data Scientist in the Office of Strategy, Planning, and Innovation. Typical work assignments include:
* Analyzes and evaluates the effectiveness of data science projects, models, and Operations; and collaborates with interdisciplinary teams to develop data tags and electronic records metadata, products, and definitions.
* Leads the creation and implementation of statistically valid data collection tools and systems and analyzes agency operations to define data and reporting requirements.
* Collaborates with intra\-agency partners to build and maintain data models, reporting systems, automation, and dashboards using multiple data sources, demonstrating expertise in at least two areas such as cloud platforms, generative Artificial Intelligence (AI), programming, Machine Learning Operations (MLOps), or relevant certifications.
* Translates complex concepts, findings, and limitations into clear, audience\-specific language, and develops presentations and interpretations of analytical results\-utilizing interactivity and storytelling as needed\-to make specialized data more understandable for senior agency officials.
* Presents analytical findings to policymakers and non\-technical audiences, responds to questions with precision and tact, and provides guidance and recommendations to senior officials on advanced projects while resolving critical issues efficiently.
Apply for this exciting opportunity to enhance the effectiveness and efficiency with which the Secret Service fulfills its assigned functions and responsibilities. This Data Scientist position starts at a salary of $102,415\.00, GS\-12, step 1, with promotion potential to $158,322\.00, GS\-13 step 10\.
**Requirements**
----------------
### **Conditions of employment**
* U.S. Citizenship is required.
* Males born after 12/31/1959 must be registered for Selective Service.
If selected for this position, you will be required to:
* Obtain and maintain a top\-secret Tier 5 clearance. For more information visit OPM Mythbuster Page.
* Submit to a drug test prior to your appointment and random drug testing while you occupy the position.
* Submit a credit check after a conditional offer of employment has been accepted.
As a condition of employment for accepting this position, you will be required to serve a 1\-year probationary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probationary period your employment will be terminated unless you receive certification, in writing, that your continued employment advances the public interest.
### **Qualifications**
**To be considered qualified for this position you must meet the following qualification requirements for the respective grade level in which you are applying.**  
Applicants must demonstrate that they meet the Basic Requirements AND Minimum Qualification requirements as listed below:  
**BASIC REQUIREMENTS:**  
**A.** Degree: Mathematics, statistics, computer science, data science or field directly related to the position. The degree must be in a major field of study (at least at the baccalaureate level) that is appropriate for the position.  
**OR**  
**B.** Combination of education and experience: Courses equivalent to a major field of study (30 semester hours) as shown in paragraph A above, plus additional education or appropriate experience.
**IN ADDITION TO MEETING THE BASIC REQUIREMENTS ABOVE, YOU MUST ALSO MEET THE FOLLOWING MINIMUM QUALIFICATIONS:**  
You qualify for the GS\-12 level (starting salary$102,415\.00\) if you possess one year of specialized experience equivalent to the GS\-11 level performing duties such as:
* Analyzing and evaluating data science projects, models and operations;
* Conducting analysis using software and/or programming or statistical software tools;
* Assisting with the automation of the collection and management of data and electronic records from varying sources and formats, including Cloud platforms such as Azure Machine Learning, Azure Databricks, Microsoft Foundry;
* Performing data combing with data sets in preparation for analysis.
**The qualification requirements listed above must be met by the closing date of this announcement.**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Office of Personnel Management (OPM) must authorize employment offers made to current or former political appointees. If you are currently, or have been within the last 5 years, a political Schedule A, Schedule C, Non\-career SES or Presidential Appointee employee in the Executive Branch, you must disclose this information to the Human Resources Office.
### **Education**
For positions with an education requirement, or if you are qualifying for a position by substituting education or training for experience, you MUST submit a copy of your transcripts or equivalent. Unofficial transcripts will be accepted that includes your name, the name of the educational institution, course title(s), number of credits, grade, and date of completion. An official transcript will be required if you are selected.
### **Additional information**
DHS uses E\-Verify, an Internet\-based system, to confirm the eligibility of all newly hired employees to work in the United States. Learn more about E\-Verify, including your rights and responsibilities.
If you receive a conditional offer of employment for this position, you will be required to complete an Optional Form 306, Declaration for Federal Employment, and to sign and certify the accuracy of all information in your application, prior to entry on duty. False statements on any part of the application may result in withdrawal of offer of employment, dismissal after beginning work, fine, or imprisonment.  
The Fair Chance to Compete for Jobs Act prohibits the Department of Homeland Security and its Components from requesting an applicant's criminal history record before that individual receives a conditional offer of employment. In accordance with 5 U.S. Code § 9202(c) and 5 C.F.R § 920\.201 certain positions are exempt from the provisions of the Fair Chance to Compete Act. Applicants who believe they have been subjected to a violation of the Fair Chance to Compete for Jobs Act, may submit a written complaint to HRsupport@usss.dhs.gov.
More than one selection may be made from this announcement if additional identical vacancies in the same title, series, grade and unit occur.  
Applying to this announcement certifies that you give permission for DHS to share your application with others in DHS for similar positions.
The Department of Homeland Security encourages persons with disabilities to apply, to include persons with intellectual, severe physical or psychiatric disabilities, as defined by 5 CFR § 213\.3102(u), and/or Disabled Veterans with a compensable service\-connected disability of 30 percent or more as defined by 5 CFR § 315\.707\. Veterans, Peace Corps/VISTA volunteers, and persons with disabilities possess a wealth of unique talents, experiences, and competencies that can be invaluable to the DHS mission. If you are a member of one of these groups, you may not have to compete with the public for federal jobs. To determine your eligibility for non\-competitive appointment and to understand the required documentation, click on the links above or contact the Servicing Human Resources Office listed at the bottom of this announcement.  
The Secret Service prohibits employees from having visible body markings (including but not limited to tattoos, body art, and branding) on the head, face, neck, hand and fingers (any area below the wrist bone) (exception: a single conservative and unobtrusive tattoo in the form of a ring is authorized on one finger).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DHS offers competitive salaries and an attractive benefits package, including health, dental, vision, life, and long\-term care insurance; retirement plan; Thrift Savings Plan \[similar to a 401(k)]; Flexible Spending Account; Employee Assistance Program; personal leave days; and paid federal holidays.  
Other benefits may include flexible work schedules; telework; tuition reimbursement; transportation subsidies; uniform allowance; health and wellness programs; and fitness centers. DHS is committed to employee development and offers a variety of employee training and developmental opportunities. For more information, go to the DHS Careers website and select "Benefits." Disabled veteran leave will be available to any federal employee hired on or after November 5, 2016, who is a veteran with a service\-connected disability rating of 30 percent or more.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**This announcement is being filled using the Office of Personnel Management (OPM) Direct\-Hire Authority. Agencies may appoint candidates directly to jobs, without regard to the provisions of Title 5 U.S.C.3309 through 3318\. Therefore, Veterans' preference does not apply when appointing individuals.** For more information on Direct Hire Authority please visit: Direct Hire Authority.  
**Applicants who meet the basic requirement and specialized experience for the position will be referred to the selecting official for further consideration. Traditional rating and ranking of applicants do not apply to the announcement.**  
**Veterans:** Although the Direct Hire Authority permits hiring without regard to Veterans Preference, applicants who are eligible for Veterans Preference are encouraged to include that information in their application and submit supporting documentation (See Required Documents section for information on substantiating documents).  
Upon review, your resume and/or supporting documents need to support your answer choices to the assessment questionnaire. Your resume must also reflect the one year of specialized experience requirement, in order to be considered. If the one year of specialized experience, equivalent to the next lower grade level cannot be identified in your resume, you will be considered not qualified. The competencies or knowledge, skills, and abilities needed to perform this job are:
* Data Analysis
* Data Management
* Oral Communication
* Research
* Technical Competence
**Interagency Career Transition Assistance Program (ICTAP) Eligibles:** If you have never worked for the Federal government, you are not ICTAP eligible. View information about ICTAP eligibility on OPM's Career Transition Resources website. To be considered eligible under ICTAP, you must be placed in the well\-qualified category for this position, as described above. In addition, you must submit the supporting documents listed under the required documents section of this announcement.  
An interview may be required for this position. If an interview is required, failure to complete the interview may result in removal from further consideration.  
Any offers of employment made pursuant to this announcement will be consistent with all applicable authorities, including Presidential Memoranda, Executive Orders, interpretive U.S. Office of Management and Budget (OMB) and U.S. Office of Personnel Management (OPM) guidance, and Office of Management and Budget plans and policies concerning hiring. These authorities are subject to change.
**Required Documents**
----------------------
In addition to addressing the vacancy specific questions, you must also submit the following documentation:
* **Resume** \- **Limit your resume to no more than two pages. The USAJOBS database will not allow an applicant to submit an application that includes a resume over two pages.** In order to receive credit for experience contained in an uploaded resume, your employment history should show work experience in month/year format (MM/YYYY), reflecting starting date and ending date, and include the number of hours worked per week. To learn how to format and submit a two\-page resume, please visit the USAJOBS Help Center.
* **This position has an education requirement.** Submit a copy of your college/university transcript (unofficial is acceptable) it must show school name, student's name, credit earned, degree, and date awarded. Education must be obtained from an accredited institution recognized by the U.S. Department of Education. Education completed in foreign colleges or universities may be used to meet Federal qualification requirements if you can show that your foreign education is comparable to education received in accredited educational institutions in the United States. For example, specific courses accepted for college\-level credit by an accredited U.S. college or university, or foreign education evaluated by an organization recognized for accreditation by the Department of Education as education equivalent to that gained in an accredited U.S. college or university. It is your responsibility to provide such evidence with your application. See Recognition of Foreign Qualifications for more information.
* **Are you claiming special priority selection rights under the Interagency Career Transition Assistance Program (ICTAP)?** Submit a copy of your agency notice, copy of your most recent performance appraisal (with at least a satisfactory rating), and your most current SF\-50 noting position, grade level, and duty location.
* **Are you a veteran?** Veterans' preference does not apply to selections made using Direct Hiring Authority however, if you would like to submit your military records for benefits you may receive after selection, please submit the following: a copy of your DD\-214, Certificate of Release or Discharge from Active Duty (Member Copy 4\). If a DD\-214, Certificate of Release or Discharge from Active Duty (Member Copy 4\) is not available, other documentation listing the beginning and ending dates of active service and the type of discharge must be submitted to verify eligibility. If claiming 10\-point preference, you will need to submit a Standard Form (SF\-15\), "Application for 10\-point Veterans' Preference." For more information view Veteran Information.
* **Are you a current or former political Schedule A, Schedule C, Non\-career SES or Presidential Appointee employee?** Submit a copy of your applicable SF\-50, Notification of Personnel Action, along with a statement that provides the following information regarding your most recent political appointment: Position title, Type of appointment (Schedule A, Schedule C, Non\-career SES or Presidential Appointee) Agency, Beginning and ending dates of appointment.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To apply for this position, you must complete the initial online application, to include submission of the documentation specified in the Required Documents section above. **PLEASE NOTE:** **Only resumes up to a total of two pages will be accepted. Applicants with resumes exceeding two pages will be removed from consideration.** The complete application package must be submitted by 11:59 PM (ET) on 02/27/2026 to receive consideration. The application process is as follows:
* To begin your online application, click the **Apply Online** button and follow the prompts to register or sign into USAJOBS,
* Complete the online questionnaire and submit the required documents. See **Required Documents** section for more detail.
* You must complete the application process and submit any required documents no later than 11:59 p.m. Eastern Standard Time (EST) on 02/27/2026\.
To preview the questionnaire, please click the link https://apply.usastaffing.gov/ViewQuestionnaire/12882277\.
To update your application at any time during the announcement open period, return to your USAJOBS account. There you will find a record of your application, the application status, and an option to Update Application. This option will no longer be available once the announcement has closed.  
To verify the status of your application both during and after the announcement open period, log into your USAJOBS account. All of your applications will appear on the Welcome page. The application record in your USAJOBS account provides the Announcement Status and a "You applied on" date. This information does not confirm the agency application status. Use the "Track this Application" link for additional information regarding the agency application status, the documentation you submitted, and any correspondence sent related to this application. The Announcement Status will appear along with the date your application was last updated. For information on what each Announcement Status means, visit: https://www.usajobs.gov/Help/how\-to/application/status/.  
It is your responsibility to verify that any information entered or uploaded is received and is accurate. Human Resources will not modify or change any part of your application. Determining your eligibility and qualifications is dependent on the supporting documentation and information provided, which may impact your referral for further consideration. If a document is not legible, you will not be able to view it in your application.  
We strongly encourage you to apply online. If you cannot apply online, you may contact the APT Talent Management Division at HRSupport@usss.dhs.gov OR by calling (202\) 406\-6420 between the hours of 9:00 am and 5:30 pm EST (excluding Federal holidays) prior to the closing date of this announcement to receive assistance.  
The Secret Service provides reasonable accommodation to applicants with disabilities, on a case\-by\-case basis. Please contact us if you require this for any part of the application and hiring process.
### **Agency contact information**
APT Talent Management Division
Email
HRSupport@usss.dhs.gov
### **Next steps**
Once your complete application is received, we will conduct an evaluation of your qualifications and determine your eligibility. Best\-qualified applicants will be referred for further consideration and possible interview. We expect to make a selection within 45 days of the closing date of this announcement. If you are selected, we will conduct a suitability/security background investigation. We will notify you by email after each of these steps has been completed. Your status will also be updated on USAJOBS throughout the process. For more information on applying for Federal employment, please click here.
**Overview**
------------
Accepting applications
Open \&amp; closing dates
02/13/2026 to 02/27/2026
This job will close when we have received **125 applications** which may be sooner than the closing date. Learn more
Salary
$102,415 to \- $133,142 per year
Salary listed includes applicable locality pay.
Pay scale \&amp; grade
GS 12
Location
Many vacancies in the following location:
Washington, DC
Remote job
No
Telework eligible
No
Travel Required
Occasional travel \- You may be expected to travel for this position.
Relocation expenses reimbursed
No
Appointment type
Permanent
Work schedule
Full\-time
Service
Competitive
Promotion potential
13
Job family (Series)
* 1560 Data Science Series
Supervisory status
No
Security clearance
Top Secret
Drug test
Yes
Position sensitivity and risk
Critical\-Sensitive (CS)/High Risk
Trust determination process
* Credentialing
* Suitability/Fitness
* National security
Financial disclosure
No
Bargaining unit status
No
Announcement number
OSP\-KG\-12882277\-26\-DH
Control number
857711800</t>
        </is>
      </c>
    </row>
    <row r="44">
      <c r="A44" t="inlineStr">
        <is>
          <t>in-ed56d93319e03766</t>
        </is>
      </c>
      <c r="B44" t="inlineStr">
        <is>
          <t>Data Scientist 1</t>
        </is>
      </c>
      <c r="C44" t="inlineStr">
        <is>
          <t>University of New Mexico</t>
        </is>
      </c>
      <c r="D44" t="inlineStr">
        <is>
          <t>indeed</t>
        </is>
      </c>
      <c r="E44">
        <f>HYPERLINK("https://www.indeed.com/viewjob?jk=ed56d93319e03766", "https://www.indeed.com/viewjob?jk=ed56d93319e03766")</f>
        <v/>
      </c>
      <c r="F44">
        <f>HYPERLINK("https://unm.csod.com/ux/ats/careersite/18/home/requisition/35899?c=unm", "https://unm.csod.com/ux/ats/careersite/18/home/requisition/35899?c=unm")</f>
        <v/>
      </c>
      <c r="G44" t="inlineStr">
        <is>
          <t>Albuquerque, NM, US</t>
        </is>
      </c>
      <c r="H44" s="3" t="n">
        <v>46065</v>
      </c>
      <c r="I44" t="inlineStr">
        <is>
          <t>**Data Scientist 1**
--------------------
**Requisition ID** req35899
**Working Title** Data Scientist 1
**Position Grade** 14
**Position Summary**
The Data Scientist 1 supports Cancer Center investigators by applying advanced analytical methods to biological and clinical research datasets. Primary responsibilities include analyzing bulk RNA\-seq, single\-cell RNA\-seq, and spatial transcriptomics data; developing and maintaining reproducible workflows; performing quality control, and visualization; and communicating results through written reports and PowerPoint presentations. The individual will work closely with principal investigators (PIs) and research teams to help answer biological questions by applying computing and data science tools to large data sets, and iterate efficiently to deliver reproducible, publication\-quality results.
**Essential Duties and Responsibilities**
* Analyze bulk RNA\-seq datasets for Cancer Center PI projects, including quality control, normalization, differential expression, pathway/enrichment analyses, and biological interpretation.
* Analyze single\-cell RNA\-seq datasets, including QC, normalization, integration/batch correction when appropriate, clustering, cell type/state annotation, differential expression/abundance analyses, and figure generation.
* Analyze spatial transcriptomics datasets, including QC, spatial feature detection, region\-based analyses, spatially varying gene identification, cell type mapping/deconvolution (as applicable), and spatial interaction/neighborhood analyses.
* Work collaboratively with Cancer Center PIs and research teams to refine scientific questions, define analysis plans, and iterate on methods and results until the biological objectives are addressed.
* Communicate analytical results clearly to technical and non\-technical audiences through oral presentations, collaborative working sessions, and well\-structured written reports. Contribute written sections suitable for manuscripts, grants, and presentations.
* Develop, maintain, and document reproducible analysis workflows using R and Python; apply version control and best practices for reproducibility and transparency.
* Use established bioinformatics software and toolchains to support RNA\-seq, single\-cell, and spatial analyses; select and justify methods appropriate to each study design and dataset.
* Operate effectively in high\-performance computing (HPC) environments, including Linux command\-line workflows, secure data transfer, job scheduling, and resource\-aware computation for large datasets.
* Maintain data integrity and provenance by validating inputs/metadata, documenting assumptions and parameters, and ensuring repeatable analytic outputs.
* Contribute to team knowledge\-sharing through SOPs, documentation, and internal training on analysis methods and computational workflows, as needed.
**Minimum Qualifications**
* Bachelor’s degree in Biology, Computer Science, Bioinformatics, Biostatistics, Data Science, or a closely related field.
* Relevant experience performing data analysis and/or bioinformatics workflows.
* Working proficiency in R and Python for data analysis, visualization, and workflow development.
* Ability to work in Linux and HPC environments (command line, remote systems, batch jobs) and to manage large datasets efficiently.
* Strong written and verbal communication skills, including the ability to explain analytical results and limitations to biomedical researchers and to produce clear, actionable reports.
* Demonstrated ability to work collaboratively with investigators and project teams, manage priorities across multiple projects, and meet deadlines.
**Knowledge, Skills, and Abilities**
* Strong analytical reasoning, statistical thinking, and structured problem\-solving for complex, ambiguous research questions.
* Ability to design and implement integrated analytical solutions; sound judgment in method selection and interpretation.
* Ability to create clear, publication\-quality visualizations and to communicate results and caveats effectively.
* Familiarity with common bioinformatics data formats and software ecosystems used for RNA\-seq, single\-cell, and spatial analyses.
* Proficiency in programming and scripting; ability to write maintainable, well\-documented code and to troubleshoot effectively.
* Ability to work effectively with diverse stakeholders and maintain productive, consultative relationships with PIs and research staff.
* Organizational skills to manage multiple concurrent projects and maintain reproducible records of analyses, parameters, and deliverables.
The University of New Mexico Comprehensive Cancer Center is the Official Cancer Center of New Mexico and the only National Cancer Institute\-designated Cancer Center in a 500\-mile radius. Its 136 board\-certified oncology specialty physicians include cancer surgeons in every specialty (abdominal, thoracic, bone and soft tissue, neurosurgery, genitourinary, gynecology, and head and neck cancers), adult and pediatric hematologists/medical oncologists, gynecologic oncologists, and radiation oncologists. They, along with more than 600 other cancer healthcare professionals (nurses, pharmacists, nutritionists, navigators, psychologists and social workers), provide treatment to 65% of New Mexico’s cancer patients from all across the state. And they partner with community health systems statewide to provide cancer care closer to home. In 2024 they treated more than 15,000 patients in almost 105,000 ambulatory clinic visits in addition to in\-patient hospitalizations at UNM Hospital. A total of 2,075 patients participated in cancer clinical trials to study new cancer treatments that include tests of novel cancer prevention strategies and cancer genome sequencing. The more than 123 cancer research scientists affiliated with the UNM Cancer Center were awarded $38\.3 million in federal and private grants and contracts for cancer research projects. Since 2015, the physicians, scientists and staff have provided education and training experiences to more than 750 high school, undergraduate, graduate, and postdoctoral fellowship students in cancer research and cancer health care delivery.
Website: unmhealth.org/cancer
See the Position Description for additional information.
**Conditions of Employment**
* Employees who provide services or work in patient care or clinical areas are required to be in compliance with the University's influenza vaccination requirement.
**Minimum Qualifications**
Bachelor's degree in a relevant field; at least 3 years of experience directly related to the duties and responsibilities specified.
Completed degree(s) from an accredited institution that are above the minimum education requirement may be substituted for experience on a year for year basis.
**Preferred Qualifications**
* Master’s degree in a relevant field (preferred).
* Demonstrated experience in bioinformatics, particularly transcriptomics and/or cancer biology.
* Hands\-on experience delivering end\-to\-end analyses for one or more of: bulk RNA\-seq, single\-cell RNA\-seq, spatial transcriptomics.
* Experience with reproducible research practices (e.g., Git\-based workflows, containers, workflow tools), and preparing analysis outputs for publication.
* Experience supporting multiple investigators and translating scientific questions into practical analysis plans with iterative stakeholder feedback.
**Additional Requirements** Finalists should be prepared to provide official educational transcripts if selected for hire.
Applicants must provide names of 3 professional references that the hiring official can contact.
**Campus** Health Sciences Center (HSC) \- Albuquerque, NM
**Department** CRTC Shared Facilities (099J)
**Employment Type** Staff
**Staff Type** Term \- Full\-Time
**Term End Date** 1 year from date of hire
**Status** Exempt
**Pay** $4,875\.87 \- $6,976\.67
**Benefits Eligible** This is a benefits eligible position. The University of New Mexico provides a comprehensive package of benefits including medical, dental, vision, and life insurance. In addition, UNM offers educational benefits through the tuition remission and dependent education programs. See the Benefits home page for a more information.
**ERB Statement** As a condition of employment, eligible employees working greater than .25 FTE as determined by the New Mexico Education Retirement Act must make mandatory retirement contributions. For more information, review the Benefits Eligibility at a Glance grid.
**Background Check Required** Yes
**For Best Consideration Date** 2/23/2026
**Eligible for Remote Work**
**Eligible for Remote Work Statement**
**Application Instructions**
Only applications submitted through the official UNMJobs site will be accepted. If you are viewing this job advertisement on a 3rd party site, please visit UNMJobs to submit an application.
APPLICANT: Please complete the official application; making sure to include all prior work experience and average hours worked per week. Attach your Current Resume; listing three Professional References. Attach your Cover Letter that details how your experience matches the position as described above; including any Preferred Qualifications.  
**Positions posted with a Staff Type of** ***Regular*** **or** ***Term*** **are eligible for the Veteran Preference Program. See the** **Veteran Preference Program webpage** **for additional details.**
The University of New Mexico is committed to hiring and retaining a diverse workforce. We are an Equal Opportunity Employer, making decisions without regard to race, color, religion, sex, sexual orientation, gender identity, national origin, age, veteran status, disability, or any other protected class.
The University of New Mexico requires all regular staff positions successfully pass a pre\-employment background check. This may include, but is not limited to, a criminal history background check, New Mexico Department of Health fingerprint screening, New Mexico Children, Youth, and Families Department fingerprint screening, verification of education credentials, and/or verification of prior employment. For more information about background checks, visit https://policy.unm.edu/university\-policies/3000/3280\.html. Refer to https://policy.unm.edu/university\-policies/3000/3200\.html for a definition of Regular Staff.</t>
        </is>
      </c>
    </row>
    <row r="45">
      <c r="A45" t="inlineStr">
        <is>
          <t>in-841c839701db1967</t>
        </is>
      </c>
      <c r="B45" t="inlineStr">
        <is>
          <t>Data Scientist</t>
        </is>
      </c>
      <c r="C45" t="inlineStr">
        <is>
          <t>Fusion92</t>
        </is>
      </c>
      <c r="D45" t="inlineStr">
        <is>
          <t>indeed</t>
        </is>
      </c>
      <c r="E45">
        <f>HYPERLINK("https://www.indeed.com/viewjob?jk=841c839701db1967", "https://www.indeed.com/viewjob?jk=841c839701db1967")</f>
        <v/>
      </c>
      <c r="F45">
        <f>HYPERLINK("https://www.comeet.com/jobs/fusion92/C8.00F/data-scientist/31.668?coref=1.11.p00_C919", "https://www.comeet.com/jobs/fusion92/C8.00F/data-scientist/31.668?coref=1.11.p00_C919")</f>
        <v/>
      </c>
      <c r="G45" t="inlineStr">
        <is>
          <t>Chicago, IL, US</t>
        </is>
      </c>
      <c r="H45" s="3" t="n">
        <v>46065</v>
      </c>
      <c r="I45" t="inlineStr">
        <is>
          <t>**About Fusion92**
Fusion92 is a Marketing Transformation Partner built for what’s next. We help brands solve complex business problems through a connected ecosystem of data, technology, media, and creativity—designed to drive measurable growth at scale.
Powered by proprietary tools, AI\-enabled intelligence, and fearless thinking, we don’t just execute marketing—we transform how marketing works.
Fusion92 operates through hybrid hubs in Chicago and Detroit, with remote teams in Austin, Denver, and across the U.S. This flexible, hybrid\-first model allows us to build teams around the work—not the walls—connecting the right talent to the right challenges at the right time.
**Built by Bold People**
Our difference isn’t just what we do—it’s how we do it and who we do it with. Fusion92 is built by people who are relentlessly curious, unafraid to challenge convention, and committed to doing work that matters.
We bring together strategists, data scientists, technologists, media experts, creatives, consultants, operators, and innovators who thrive at the intersection of insight and execution. From launching new products to developing patented innovations and award\-winning ideas, we help clients move forward with confidence and precision.
**A Culture Designed for Growth**
At Fusion92, we believe great work happens when friction is removed and people are trusted to lead. Our culture is grounded in values that show up in our work, our decisions and our teams:
* Curious – We challenge assumptions and ask better questions
* Fearless – We take smart risks and lead through change
* Team\-Focused – We win together across disciplines and time zones
* Leaders at Every Level – Ownership and initiative matter more than titles
**Why Join Us**
Fusion92 is for people who want to build, not just belong. You’ll work on meaningful challenges, collaborate with smart, driven teammates, and have the autonomy to shape how work gets done.
If you’re excited by complexity, motivated by impact, and looking for an environment where curiosity is fueled and leadership is expected—there’s a place for you here.
Our people power our transformation.
That’s where you come in.
**DATA SCIENTIST**
**Overview**
The Data Scientist designs and delivers advanced analytical solutions that power strategic decision\-making across the organization. This role transforms complex data into actionable insights, predictive models, and scalable machine learning solutions that drive marketing performance, deepen customer understanding, and improve business outcomes.
Working cross\-functionally with strategy, media, client services, and engineering teams, the Data Scientist translates business challenges into data science initiatives and communicates results clearly to both technical and non\-technical stakeholders. This role plays a critical part in elevating analytical rigor, innovation, and impact across the organization.
**What You’ll Do**
* Design, develop, and deploy predictive models, segmentation frameworks, and machine learning solutions to support marketing performance, targeting, and customer analytics.
* Analyze large, complex datasets to uncover insights that inform strategic and tactical business decisions.
* Build and maintain robust data pipelines to ensure clean, reliable, and well\-structured data for analysis and modeling.
* Ensure model integrity and performance through validation, QA processes, documentation, and ongoing monitoring.
* Design and execute experiments (including A/B and multivariate tests) to evaluate campaign effectiveness and optimize outcomes.
* Partner with strategy, media, and client services teams to translate business needs into scalable, data\-driven solutions.
* Present findings and recommendations through clear storytelling, visualizations, and executive\-ready materials.
* Contribute to team development through collaboration, peer review, knowledge sharing, and cross\-training.
* Stay current with emerging data science tools, techniques, and best practices, helping evolve the team’s capabilities and standards.
Requirements:  
**KNOWLEDGE/SKILLS/ATTRIBUTES REQUIRED:**
* 3–5\+ years of applied data science experience, ideally in marketing, media, or customer analytics environments.
* Advanced proficiency in SQL for complex querying and data manipulation.
* Strong Python skills for data analysis, modeling, automation, API integration, and production workflows.
* Hands\-on experience with machine learning frameworks (e.g., scikit\-learn, XGBoost) and cloud/data platforms (e.g., AWS, Azure, Snowflake).
* Strong foundation in statistics, experimental design, and computer science principles.
* Experience building and deploying models in production environments.
* Familiarity with marketing use cases such as audience segmentation, attribution modeling, audience creation, and trade area analysis.
* Experience with Alteryx is a strong plus.
* Experience with visualization tools such as Tableau (or similar BI tools) is a plus.
* Strong problem\-solving skills, attention to detail, and the ability to work independently and collaboratively.
* Excellent communication skills with the ability to simplify complex analyses for diverse audiences.
* Understanding of data privacy regulations and ethical considerations in modeling.
 **Equal Opportunity Employer**
Fusion92 is proud to be an Equal Opportunity Employer. We are committed to building a diverse and inclusive workplace and do not discriminate on the basis of race, color, religion, sex (including pregnancy), gender identity or expression, sexual orientation, national origin, age, disability, veteran status, genetic information, or any other status protected by applicable federal, state, or local laws.
We encourage individuals from all backgrounds to apply and are committed to providing reasonable accommodations throughout the hiring process.
In compliance with applicable pay transparency laws, the salary range for this role is \[**$75,000 – $95,000**], which represents the minimum and maximum base salary we reasonably expect to pay for this position at the time of posting. Actual compensation will be determined based on factors such as experience, skills, qualifications, internal equity, and geographic location. This role may also be eligible for additional compensation, including bonuses and benefits.
Fusion92 is committed to providing reasonable accommodations throughout the hiring process. If you require an accommodation, please let us know.</t>
        </is>
      </c>
    </row>
    <row r="46">
      <c r="A46" t="inlineStr">
        <is>
          <t>in-6fd0d806d111523f</t>
        </is>
      </c>
      <c r="B46" t="inlineStr">
        <is>
          <t>AI Data Scientist</t>
        </is>
      </c>
      <c r="C46" t="inlineStr">
        <is>
          <t>HP</t>
        </is>
      </c>
      <c r="D46" t="inlineStr">
        <is>
          <t>indeed</t>
        </is>
      </c>
      <c r="E46">
        <f>HYPERLINK("https://www.indeed.com/viewjob?jk=6fd0d806d111523f", "https://www.indeed.com/viewjob?jk=6fd0d806d111523f")</f>
        <v/>
      </c>
      <c r="F46">
        <f>HYPERLINK("https://hp.wd5.myworkdayjobs.com/en-US/ExternalCareerSite/job/Spring-Texas-United-States-of-America/AI-Data-Scientist_3151305-2", "https://hp.wd5.myworkdayjobs.com/en-US/ExternalCareerSite/job/Spring-Texas-United-States-of-America/AI-Data-Scientist_3151305-2")</f>
        <v/>
      </c>
      <c r="G46" t="inlineStr">
        <is>
          <t>Spring, TX, US</t>
        </is>
      </c>
      <c r="H46" s="3" t="n">
        <v>46065</v>
      </c>
      <c r="I46" t="inlineStr">
        <is>
          <t>**Description \-**
**About the Position**  
The HP Enterprise AI \&amp; Machine Learning organization is a centralized team of data scientists and machine learning engineers building GenAI\-based tools and digital products that enable increased productivity for 50,000\+ employees and improve the effectiveness of hundreds of critical business processes. We collaborate closely with business stakeholders across HP to scope, prototype, and develop models and products in the cloud and on the edge. We also serve as HP’s AI Center of Excellence, providing consulting assistance, reuseable components and frameworks, and training to other teams across the company.
As a Data Scientist focused on Generative AI, you will work across multiple HP projects involving large language and multi\-model models and other cutting\-edge Generative AI capabilities for deployment on the cloud or edge. In addition to working with our core technical team, you’ll collaborate with business stakeholders and across various units to develop and deploy solutions at scale. Your primary focus and mindset will be on delivering real business value to our internal customers. Please note, this is not a research role.  
**Responsibilities**
* Delivers Generative AI\-based models of high complexity to surface insights; drives action, defines success measures and tracks performance of models.
* Develops monitoring metrics to reflect real\-world model performance and makes recommendations to shape the future direction of models and digital solutions.
* Strategizes models to uncover patterns and predictions creating business value and innovation.
* Manages relationships with business partners to evaluate and foster data driven innovation, provides domain\-specific expertise in cross\-organization projects/initiatives.
* Ties insights into effective visualizations communicating business value and innovation potential.
* Works with development teams and business units to ensure models are scalable and can be implemented as part of the delivered solution.
* Leads project team(s) of data science professionals, assuring insights are communicated regularly and effectively, reviewing designs, models and data compliance.
* Represents the data science team for all phases of larger and more\-complex development projects.
* Provides guidance, training and mentoring to less experienced staff members.
**Education \&amp; Experience** Recommended
PhD related to AI or a Master’s degree in computer science or a related field and 5\+ years of experience with GenAI and related technologies including machine learning. data analytics, and statistical modeling.  
* 
**Preferred Certifications**  
* Programming Language/s Certification (SQL, Python, or similar)
**Knowledge \&amp; Skills*** Strong foundation in data science and core machine learning concepts.
* Experience with large language models, multi\-modal modals, prompt engineering, vector databases, Retrieval\-Augmented Generation (RAG), and search engines.
* Solid technical background. Experience working on software development teams, especially in cloud\-based business applications, is a strong plus.
* Familiarity with tools such as Azure Machine Learning, Azure Prompt Flow, Python, LangChain, Streamlit, and Docker.
* Experience working in distributed, diverse teams, with bonus points for time spent in small fast\-paced start\-ups.
* Comfortable representing the team in meetings with multiple stakeholders and driving discussions clearly and respectfully. Mastery of English is required.
* Able to explain technical concepts (e.g., LLMs) to non\-technical audiences.
* You suggest pragmatic solutions that are as simple as possible—even if that means no AI is required.
The base pay range for this role is $130,700 to $205,200 annually with additional opportunities for pay in the form of bonus and/or equity (applies to US candidates only). Pay varies by work location, job\-related knowledge, skills, and experience.
**Benefits:**
HP offers a comprehensive benefits package for this position, including:
Health insurance
Dental insurance
Vision insurance
Long term/short term disability insurance
Employee assistance program
Flexible spending account
Life insurance
Generous time off policies, including;
* 4\-12 weeks fully paid parental leave based on tenure
* 11 paid holidays
* Additional flexible paid vacation and sick leave ( US benefits overview )
The compensation and benefits information is accurate as of the date of this posting. The Company reserves the right to modify this information at any time, with or without notice, subject to applicable law.
**Job \-**
Data \&amp; Information Technology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row r="47">
      <c r="A47" t="inlineStr">
        <is>
          <t>in-de8f501311101779</t>
        </is>
      </c>
      <c r="B47" t="inlineStr">
        <is>
          <t>Senior Data Scientist (PhD) - Boston (2026 Start Date)</t>
        </is>
      </c>
      <c r="C47" t="inlineStr">
        <is>
          <t>Analysis Group</t>
        </is>
      </c>
      <c r="D47" t="inlineStr">
        <is>
          <t>indeed</t>
        </is>
      </c>
      <c r="E47">
        <f>HYPERLINK("https://www.indeed.com/viewjob?jk=de8f501311101779", "https://www.indeed.com/viewjob?jk=de8f501311101779")</f>
        <v/>
      </c>
      <c r="F47">
        <f>HYPERLINK("https://datasciencecareers-analysisgroup.icims.com/jobs/2732/job?utm_source=indeed_integration&amp;iis=Job%20Board&amp;iisn=Indeed&amp;indeed-apply-token=73a2d2b2a8d6d5c0a62696875eaebd669103652d3f0c2cd5445d3e66b1592b0f", "https://datasciencecareers-analysisgroup.icims.com/jobs/2732/job?utm_source=indeed_integration&amp;iis=Job%20Board&amp;iisn=Indeed&amp;indeed-apply-token=73a2d2b2a8d6d5c0a62696875eaebd669103652d3f0c2cd5445d3e66b1592b0f")</f>
        <v/>
      </c>
      <c r="G47" t="inlineStr">
        <is>
          <t>Boston, MA, US</t>
        </is>
      </c>
      <c r="H47" s="3" t="n">
        <v>46065</v>
      </c>
      <c r="I47" t="inlineStr">
        <is>
          <t>Overview:
Make an impact at Analysis Group, where we provide our clients with thoughtful, pragmatic solutions to their most challenging business and litigation problems. Analysis Group is one of the largest economics consulting firms, with more than 1,500 professionals across 15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**About the Senior Data Scientist position:**
Senior Data Scientists at Analysis Group help design, implement and maintain creative solutions to high\-profile business challenges in finance, economics and health care across multiple industries. To this end, Data Scientists are responsible for staying abreast of new developments in technology and data science, and communicating within the firm to help identify opportunities for cutting\-edge tools, applications and data sources. Career development at Analysis Group includes opportunities for growth in technical skills as well as in project management, analytical strategy and collaborative business development, depending on individual skills and interests, and with support and mentorship from senior staff.
**Key Responsibilities**
* Working with project teams to address data science and computing challenges
* Identifying opportunities for technology to enhance service offerings
* Acting as a resource and participating in client engagements and research as part of the project team
* Maintaining up\-to\-date knowledge of computing tools, providing technical training and helping to grow the in\-house knowledge base of the data science landscape
 **Activities:**
* Conducting advanced statistical and mathematical analyses to address complex research questions to derive actionable insights that support client decision\-making
* Developing data engineering and machine learning production systems for full stack data science projects
* Using natural language processing methodologies to work with EMR data, social media data and other unstructured data
* Optimizing procedures for managing and accessing large databases (e.g., insurance claims, electronic health records, financial transactions)
* Creating interactive analytics portals and data visualizations (e.g., using R/Shiny, Python/Flask, D3\)
* Leveraging on grid and cloud computing environments, and developing software packages in R, Python, and other object\-oriented languages
* Establishing optimized procedures for repetitive or computationally intensive tasks (C, C\+\+, Cuda\-C)
 **Qualifications:**
* PhD ideally in Computer Science, Mathematics, Statistics, Economics or other relevant scientific degree
* Proven ability to independently apply advanced statistical and mathematical methods to tackle complex research questions and drive meaningful insights
* Strong credentials and experience in working with both structured and unstructured data, along with data visualization skills, are required
* Proficiency in Python and/or R is required, with project experience in either language
* Familiarity with online/cloud computing and storage platforms (e.g., Azure, AWS) is preferred, along with experience working within an HPC environment
* Experience working within a Linux environment is a plus, as well as experience with Docker and front\-end development using a JavaScript framework (e.g., Vue.js, Angular)
* Eagerness and ability to quickly learn new skills, analytical methodologies, and technologies to effectively support and contribute to project teams
* Demonstrated experience working on project teams and collaborating with others
* Strong interpersonal, written, and oral communication skills
Except in exceptional circumstances, candidates who will require future visa sponsorship must have a STEM\-eligible degree and at least 36 months of valid post\-graduation work authorization, such as F\-1 OPT or J\-1 Academic Training, to join the firm. For such individuals, Analysis Group will provide post\-hire immigration support, as appropriate under prevailing immigration policy.
Analysis Group embraces equal opportunity. We are committed to building teams that bring a variety of backgrounds, perspectives, and skills, as we believe that a strong and inclusive workforce directly supports our goal of providing the highest\-quality work. All qualified applicants will receive consideration for employment without regard to race, color, religion, sex, sexual orientation, gender identity, national origin, or any other class protected under applicable federal, state, or local law, and we encourage candidates of all backgrounds to apply.
 **How to Apply:**
When submitting your application, please include a resume and cover letter.  
Privacy Notice:
For information about Analysis Group’s privacy practices, please refer to the applicable Analysis Group privacy policy.
OFCCP:
* Equal Opportunity Employer/Protected Veterans/Individuals with Disabilities.
* Please view the EEOC’s “Know Your Rights” poster here.</t>
        </is>
      </c>
    </row>
    <row r="48">
      <c r="A48" t="inlineStr">
        <is>
          <t>in-aa2c8aef29c04032</t>
        </is>
      </c>
      <c r="B48" t="inlineStr">
        <is>
          <t>Data Scientist</t>
        </is>
      </c>
      <c r="C48" t="inlineStr">
        <is>
          <t>Booz Allen Hamilton</t>
        </is>
      </c>
      <c r="D48" t="inlineStr">
        <is>
          <t>indeed</t>
        </is>
      </c>
      <c r="E48">
        <f>HYPERLINK("https://www.indeed.com/viewjob?jk=aa2c8aef29c04032", "https://www.indeed.com/viewjob?jk=aa2c8aef29c04032")</f>
        <v/>
      </c>
      <c r="F48">
        <f>HYPERLINK("https://careers.boozallen.com/careers/JobDetail?jobId=120783", "https://careers.boozallen.com/careers/JobDetail?jobId=120783")</f>
        <v/>
      </c>
      <c r="G48" t="inlineStr">
        <is>
          <t>Springfield, VA, US</t>
        </is>
      </c>
      <c r="H48" s="3" t="n">
        <v>46065</v>
      </c>
      <c r="I48" t="inlineStr">
        <is>
          <t>Data Scientist**The Opportunity:**
Provide statistical and mathematical support to analyze and interpret a wide range of data to help leadership understand the value of anomalies and support strategic decisions. Interpret and analyze leadership information needs, and design and implement data analysis projects to address those needs by incorporating best practices, appropriate data, and proven techniques from experience or research methods. Leverage wide\-ranging data sources to develop and communicate an understanding of phenomena and trends. Provide insights through repeatable, transparent analysis that will be used to inform division strategy and decisions. Assist in the construction of data sets and data views to utilize and communicate complex data sets meaningfully and appropriately. Assist with the implementation of statistical analysis process improvements and the incorporation of statistical research into new analytical products and methods. Generate and maintain reports, schematics, and other documentation sufficient to maintain awareness of data ingestion, conditioning, and visualization processes on a regular basis and modify them as required. Provide continuous feedback and recommendations to leadership. Develop performance metrics to assess business analytics maturity level.
**You Have:**
* 11\+ years of experience in data science, mathematics, or a scientific field
* Experience with data mining
* Experience using software packages used for advanced statistical analysis of operational data and tools for data visualization
* Ability to develop mathematical algorithms and applications in response to complex requirements
* Ability to identify systems enhancements and new capabilities, concept demonstrators, and capability business cases
* Ability to provide training as new systems and capabilities move into operational use
* Ability to work independently in a fast\-paced, constantly changing environment
* Ability to interact and work in a team environment
* Active TS/SCI clearance; willingness to take a polygraph exam
* Bachelor's degree in Statistics, Mathematics, Image Science, Remote Sensing, Earth Science, or Physical Science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9">
      <c r="A49" t="inlineStr">
        <is>
          <t>in-9ea608e013182a3b</t>
        </is>
      </c>
      <c r="B49" t="inlineStr">
        <is>
          <t>Senior Data Scientist , Agents</t>
        </is>
      </c>
      <c r="C49" t="inlineStr">
        <is>
          <t>Verily</t>
        </is>
      </c>
      <c r="D49" t="inlineStr">
        <is>
          <t>indeed</t>
        </is>
      </c>
      <c r="E49">
        <f>HYPERLINK("https://www.indeed.com/viewjob?jk=9ea608e013182a3b", "https://www.indeed.com/viewjob?jk=9ea608e013182a3b")</f>
        <v/>
      </c>
      <c r="F49">
        <f>HYPERLINK("https://verily.wd1.myworkdayjobs.com/en-US/Verily_Careers/job/San-Bruno-California/Senior-Data-Scientist---Agents_REQ-723", "https://verily.wd1.myworkdayjobs.com/en-US/Verily_Careers/job/San-Bruno-California/Senior-Data-Scientist---Agents_REQ-723")</f>
        <v/>
      </c>
      <c r="G49" t="inlineStr">
        <is>
          <t>San Bruno, CA, US</t>
        </is>
      </c>
      <c r="H49" s="3" t="n">
        <v>46065</v>
      </c>
      <c r="I49"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As an AI and Data Scientist at Verily, you will be supporting our core mission to build advanced data and AI capabilities for Verily's portfolio of products, which serve both consumer and business audiences. You will help drive innovation in data\-driven healthcare by developing and deploying sophisticated models into our products. This role requires a blend of applied science and product\-focused creativity; you should expect to conduct research and innovate on new methods to directly support and enhance our product offerings. Using cutting\-edge techniques, you will analyze complex datasets to build robust solutions and collaborate with a diverse cross\-functional team to build reusable and scalable tools that unlock information from structured and unstructured clinical data
Responsibilities* Collaborate with cross\-functional teams to conceptualize, develop, and implement AI solutions tailored to diverse healthcare applications.
* Architect and implement foundational models and large language model (LLM) based agents to achieve optimal performance and efficiency.
* Conduct cutting\-edge research and stay informed on emerging advancements in LLMs, medical foundational models, and AI agents.
* Effectively communicate complex technical methodologies and results through clear, well\-structured reports and presentations for both technical and non\-technical audiences.
Qualifications
Minimum Qualifications* Advanced degree in a quantitative discipline (e.g., statistics, computer science, applied mathematics, or similar) or equivalent practical experience.
* Experience with applying ML in digital health applications.
* Direct experience working with LLM and familiar with various prompt optimization technologies.
Preferred Qualifications* Ph.D. in Computer Science or Engineering.
* Experience with LLM models, including prompting, fine\-tuning and retrieval augmented generation (RAG).
* Familiarity with software engineering principles and experience deploying algorithms in production environments.
* Experience developing transformer based deep learning algorithms using TensorFlow or PyTorch, and knowledge of latest architectures.
This role is eligible for Verily\-sponsored immigration support.
The US base salary range for this full\-time position is $164,000 \- $246,000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If you have a need that requires accommodation, please let us know by completing our Accommodations for Applicants form.</t>
        </is>
      </c>
    </row>
    <row r="50">
      <c r="A50" t="inlineStr">
        <is>
          <t>in-70aee8b295d178e3</t>
        </is>
      </c>
      <c r="B50" t="inlineStr">
        <is>
          <t>Staff Data Scientist</t>
        </is>
      </c>
      <c r="C50" t="inlineStr">
        <is>
          <t>Paylocity</t>
        </is>
      </c>
      <c r="D50" t="inlineStr">
        <is>
          <t>indeed</t>
        </is>
      </c>
      <c r="E50">
        <f>HYPERLINK("https://www.indeed.com/viewjob?jk=70aee8b295d178e3", "https://www.indeed.com/viewjob?jk=70aee8b295d178e3")</f>
        <v/>
      </c>
      <c r="F50">
        <f>HYPERLINK("https://2000recruiting.paylocity.com/recruiting/jobs/Details/40216/PAYLOCITY-CORPORATION/Staff-Data-Scientist?source=Indeed_Feed", "https://2000recruiting.paylocity.com/recruiting/jobs/Details/40216/PAYLOCITY-CORPORATION/Staff-Data-Scientist?source=Indeed_Feed")</f>
        <v/>
      </c>
      <c r="G50" t="inlineStr">
        <is>
          <t>US</t>
        </is>
      </c>
      <c r="H50" s="3" t="n">
        <v>46065</v>
      </c>
      <c r="I50" t="inlineStr">
        <is>
          <t>**Staff Data Scientist**
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 disability, and a 401(k) match, as well as perks that support you, your family, and your finances. And if it’s career development you desire, we provide that, too! At Paylocity, people matter most and have always been at the heart of our business.
Help Paylocity enhance communication and enable employees to connect, collaborate, and create from anywhere with a position in Product \&amp; Technology!
Want to develop the strategies and principles needed to deliver compelling software? Join our team and help us enhance our all\-in\-one software platform, elevate our one\-of\-a\-kind technology, and improve the employee experience?
Take your career to the next level at one of G2's Top 100 Software Companies. Explore our Product \&amp; Technology positions to see where you fit!
This is a fully remote position, allowing you to work from home or location of record within the U.S. with no in\-office requirements.? You must be available five days per week during designated work hours.? The work arrangement for this role is subject to change based on business needs and individual performance. This may include adjustments to on\-site requirements
**Position Overview**
Our data science team is responsible for developing AI and machine learning solutions to meet client needs in domains ranging from NLP and supervised learning to time series forecasting and anomaly detection. The team is focused on building high impact software solutions that deliver automation, insights, and assistance to millions of users every day. You can learn more about the type of work we do on our Paylocity AI page(https://www.paylocity.com/our\-products/ai/).
As a Staff Data Scientist, you will help Paylocity discover the information hidden in vast amounts of data, to help our customers make smarter human capital decisions that drive organizational success. Your primary focus will be to apply knowledge of statistics, machine learning, programming, data modeling, to recognize patterns, identify opportunities, pose business questions, and make valuable discoveries leading to prototype development and product improvement.
**Primary Responsibilities**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Select features, build, and optimize models using machine learning techniques such as time series methods, regression, random forests, gradient boosting, and neural networks
* Leverage cutting edge big data technologies on AWS and Microsoft Azure utilizing Databricks and Spark
* Collaborate with Product Managers, Enterprise Architects, Software Development Managers, and other leaders to translate complex human capital management challenges into data science projects
* Create automated data and modeling pipelines and develop custom performance tracking
* Independently build proof\-of\-concepts and take those concepts from ideation to productization
* Work closely with full stack software engineers in an agile product development environment to deliver machine learning software features
* Conduct ad\-hoc analyses and present results in a clear manner
**Education and Experience**
* Advanced degree (Master’s or Phd) preferred in computer science, industrial engineering, statistics, industrial organizational psychology, neurology, public policy, linguistics or another quantitative field. Bachelor’s degree required.
* 6\+ years of data science success at software companies
* Experience in writing production grade machine learning models in Python
* Experience with cloud infrastructure on AWS or Azure
* Demonstrated ability to leverage data science to drive business results
* Skilled at translating business problems into data science problems and communicating the results to non\-technical audiences
* Able to work in a collaborative environment with a desire to share your ideas
* Able to work independently and complete tasks with high quality, but unafraid to seek out suggestions from other team members
* Self\-motivated, adaptable, and highly detail oriented
**Preferred Skills:**
* Professional or academic experience in HR, social science or psychology
* Significant experience with cloud development and infrastructure\-as\-code tools
* Be invested in staying current in data science by applying new technologies and practices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equal\-opportunity employer.** Paylocity is committed to the full inclusion of all individuals.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accessibility@paylocity.com. This email address is exclusively designated for such requests, aligning with federal and state disability laws. Please do not send resumes to this email address, as they will be removed.
The base pay range for this position is $140,700 \- $261,300 /yr; however, base pay offered may vary depending on job\-related knowledge, skills, and experience. This position is eligible for an annual bonus and restricted stock unit grant based on individual performance in addition to a full range of benefits . This information is provided per the relevant state and local pay transparency laws for the location in which this position will be performed. Base pay information is based on market location. Applicants should apply via www.paylocity.com/careers.
**\#LI\-Tech \#LI\-Remote**</t>
        </is>
      </c>
    </row>
    <row r="51">
      <c r="A51" t="inlineStr">
        <is>
          <t>in-3b2c3f9dd7eee807</t>
        </is>
      </c>
      <c r="B51" t="inlineStr">
        <is>
          <t>B4 LEAD DATA SCIENTIST (GENAI)</t>
        </is>
      </c>
      <c r="C51" t="inlineStr">
        <is>
          <t>Norfolk Southern</t>
        </is>
      </c>
      <c r="D51" t="inlineStr">
        <is>
          <t>indeed</t>
        </is>
      </c>
      <c r="E51">
        <f>HYPERLINK("https://www.indeed.com/viewjob?jk=3b2c3f9dd7eee807", "https://www.indeed.com/viewjob?jk=3b2c3f9dd7eee807")</f>
        <v/>
      </c>
      <c r="F51">
        <f>HYPERLINK("https://jobs.nscorp.com/job/Atlanta-B4-Lead-Data-Scientist-%28GenAI%29-GA-30308/1364943100/", "https://jobs.nscorp.com/job/Atlanta-B4-Lead-Data-Scientist-%28GenAI%29-GA-30308/1364943100/")</f>
        <v/>
      </c>
      <c r="G51" t="inlineStr">
        <is>
          <t>Atlanta, GA, US</t>
        </is>
      </c>
      <c r="H51" s="3" t="n">
        <v>46065</v>
      </c>
      <c r="I51" t="inlineStr">
        <is>
          <t>**Date:** Feb 13, 2026
**Location:** Atlanta, GA, US, 30308
**Company:** Norfolk Southern Corp.
Requisition 39619: B4 Lead Data Scientist (GenAI)
***A resume helps you stand out to hiring managers and recruiters; your resume communicates your experience and your brand. While it is not required, we encourage you to include an up\-to\-date resume along with a completed job application to give you the best opportunity to be considered. A complete resume helps us to better understand your unique background, relevant experiences, and passions. We look forward to learning about you.***
Norfolk Southern offers a unique opportunity to be part of our proud legacy that spans nearly 200 years. We are a customer\-centric, operations\-driven team dedicated to advancing safety, serving communities, and driving innovation for tomorrow's rail. As part of Norfolk Southern, you’ll join a collaborative team where there are opportunities for growth across the organization. We are building a culture where everyone can thrive by owning and driving exceptional results, being humble and leading with trust, serving our customers with excellence, and collaborating and coaching to win.
**Job Description**  
**Who we are and what we do:**  
Norfolk Southern Corporation is seeking a Lead Data Scientist (GenAI) to join our enterprise AI team. This role focuses on developing, optimizing, and enhancing intelligent solutions using Generative AI technologies, including Large Language Models (LLMs), Retrieval\-Augmented Generation (RAG), and Model Context Protocol (MCP) servers. The ideal candidate will partner with technical and business leaders across the enterprise to deliver scalable, secure, and high\-performing AI capabilities that drive business value. The position involves working with cloud\-based platforms, modern AI/ML frameworks, and collaborating across business units to solve complex problems.  
**What kind of problems do we solve:**  
* **Document Intelligence:** Analyze and extract insights from thousands of corporate documents, reports, and operational data using advanced NLP techniques.
* **Conversational AI:** Build intelligent chat systems that help employees retrieve information and interact with enterprise data.
* **GenAI Solutions:** Creating and deploying Generative AI models for document processing, visual data analysis, and natural language understanding.
* **Model Context Protocol (MCP):** Enhance AI agent capabilities through custom tool integrations and context\-aware servers.
**Responsibilities*** Lead design and architecture of enterprise GenAI solutions tailored to business use cases.
* Design modular, framework‑agnostic LLM pipelines using libraries such as LangChain, LlamaIndex, or similar
* Define prompting strategies, agent patterns, and RAG architectures. Ensure approaches are scalable, reusable company‑wide and drive adoption across teams.
* Oversee lifecycle of usecases: Development to Deployment to Production and MLops.
* Ensure responsible AI practices, including explainability, governance, and compliance.
* Evaluate emerging AI trends and help guide the adoption of high value innovations.
* Collaborate with cross\-functional teams to understand business needs and deliver configurable, scalable solutions.
**Education Required*** Bachelor’s in computer science, data science, machine learning, NLP, AI, linguistics, or related field required.
**Skills Required:**  
* 4\-7\+ years of experience in Data Science, Machine Learning, NLP or AI positions.
* Extensive background in building, finetuning and operationalizing large language models (LLMs) in production environment.
* Proficiency in Python, including libraries such as Scikit\-learn, PyTorch, Pandas, NumPy, spaCy, NLTK, and Matplotlib.
* Skilled in SQL, NoSQL, Milvus, Pinecone, PGVector databases
**Skills Preferred:**  
* Advanced degree, e.g., Ph.D. or M.S. computer science, data science, machine learning, NLP, AI, linguistics, or related field preferred.
* Highly experienced in creating Agentic LLMs and knowledge of orchestration frameworks such as LangGraph.
* NLP and AI/ML Frameworks: Experience with training NLP models from scratch, working with Large Language Models, and using libraries such as spaCy, NLTK, and Transformers.
* Highly experienced with cloud platforms, preferably AWS (ECS, S3, Lambda, Bedrock, OpenSearch), Databricks, and Datadog.
* DevOps knowledge: Docker, Kubernetes, CI/CD, Git, Terraform.
**Work Conditions**  
Environment: Hybrid 3 days on\-site and remote work 2 days per week.  
Shift Work: No  
On\-Call: No  
Weekend Work: No**Company Overview**
Since 1827, Norfolk Southern Corporation (NYSE: NSC) and its predecessor companies have safely moved the goods and materials that drive the U.S. economy. Today, it operates a customer\-centric and operations\-driven freight transportation network. Committed to furthering sustainability, Norfolk Southern helps its customers avoid 15 million tons of yearly carbon emissions by shipping via rail. Its dedicated team members deliver more than 7 million carloads annually, from agriculture to consumer goods, and is the largest rail shipper of auto products and metals in North America. Norfolk Southern also has the most extensive intermodal network in the eastern U.S., serving a majority of the country’s population and manufacturing base, with connections to every major container port on the Atlantic coast as well as the Gulf of Mexico and Great Lakes. Learn more by visiting www.NorfolkSouthern.com.  
At Norfolk Southern, we believe in celebrating our individuality. By leveraging the unique backgrounds and viewpoints of our employees, we can create a culture of innovation, respect, and inclusion. We know that employees thrive in a workplace where differing viewpoints, ideas, and experiences are freely shared and valued. As such, we encourage all employees to contribute their distinctive skills and capabilities to our organization.  
**Equal employment opportunities are available to all applicants regardless of race, color, religion, age, sex, national origin, disability status, genetic information, veteran status, sexual orientation, and gender identity. Together, we power progress.**</t>
        </is>
      </c>
    </row>
    <row r="52">
      <c r="A52" t="inlineStr">
        <is>
          <t>in-a7389de5fcf585c6</t>
        </is>
      </c>
      <c r="B52" t="inlineStr">
        <is>
          <t>Senior Data Scientist</t>
        </is>
      </c>
      <c r="C52" t="inlineStr">
        <is>
          <t>Arrive Logistics</t>
        </is>
      </c>
      <c r="D52" t="inlineStr">
        <is>
          <t>indeed</t>
        </is>
      </c>
      <c r="E52">
        <f>HYPERLINK("https://www.indeed.com/viewjob?jk=a7389de5fcf585c6", "https://www.indeed.com/viewjob?jk=a7389de5fcf585c6")</f>
        <v/>
      </c>
      <c r="F52">
        <f>HYPERLINK("https://jobs.lever.co/arrivelogistics/a1660593-754c-48c1-8681-0155ad9f5ff0?lever-source=Indeed", "https://jobs.lever.co/arrivelogistics/a1660593-754c-48c1-8681-0155ad9f5ff0?lever-source=Indeed")</f>
        <v/>
      </c>
      <c r="G52" t="inlineStr">
        <is>
          <t>Chicago, IL, US</t>
        </is>
      </c>
      <c r="H52" s="3" t="n">
        <v>46065</v>
      </c>
      <c r="I52" t="inlineStr">
        <is>
          <t>**Who We Are**
Arrive Logistics is a leading transportation and technology company in North America with plans to grow significantly year over year. Our success is a testament to our remarkable team and what we’re building together. We’re committed to providing employees with a meaningful work experience and have established an award\-winning culture that supports personal and career development in a fun, casual, and collaborative environment. **Who We Want**
The Senior Data Scientist will work closely with Product and Engineering to translate business needs into data and modeling solutions that contribute to a positive business impact. This position requires an experienced professional who provides technical leadership to their team and oversees the production of machine\-learning systems.
### **What You'll Do**
* Own the design, development, and iteration of production machine\-learning systems that drive operational and business outcomes.
* Lead modeling, feature engineering, and dataset development for predictive and decisioning use cases.
* Design and maintain evaluation frameworks that reflect real\-world behavior and business impact.
* Build and evolve LLM\- and NLP\-based pipelines to transform unstructured data into reliable operational datasets.
* Define and monitor quality, coverage, and reliability of ML and LLM/NLP systems at scale.
* Perform deep analysis of model and system performance to identify bias, data gaps, and systematic failure modes.
* Partner closely with Product and Engineering to translate business needs into data and modeling solutions, and to support productionization and ongoing iteration.
* Contribute to and define monitoring for model performance, data quality, and downstream business impact.
* Act as a senior technical owner and reviewer for data science work across the team.
### **Qualifications**
* Master’s degree or PhD in a quantitative field and 5\+ years of industry experience building and owning production data science or machine learning systems.
* Experience developing predictive or decisioning models used in operational or real\-time settings.
* Demonstrated experience working with complex, multi\-source datasets, including feature development and data quality challenges.
* Experience building, deploying, and evaluating NLP or LLM\-based systems in production.
* Strong proficiency in Python and SQL in production analytics or machine learning environments.
* Proven ability to partner with engineering teams to deploy, monitor, and iterate on models and data pipelines.
* Ability to independently scope and drive ambiguous data science problems from problem definition through production impact.
* Experience with explainability, model diagnostics, and stakeholder\-facing performance reporting is a plus.
* Transportation logistics industry experience is a plus.
### **The Perks of Working With Us**
* Take advantage of excellent benefits, including medical, dental, vision, life, and disability coverage.
* Invest in your future with our matching 401(k) program.
* Build relationships and take part in learning opportunities through our Employee Resource Groups.
* Enjoy office wide engagement activities, team events, happy hours and more!
* Leave the suit and tie at home; our dress code is casual.
* Work in the heart of downtown Chicago, IL!
* There are CTA and L train stops walking distance from the office and you can store your bike safely inside of the building.
* Sweat it out at the LifeStart gym in our office building that includes brand new Peloton bikes, top\-of\-the\-line equipment and personal training options.
* Maximize your wellness with free counseling sessions through our Employee Assistance Program
* Get paid to work with your friends through our Referral Program!
* Take time to manage your physical and mental health \- we offer company paid holidays, paid vacation time and wellness days.
* Receive 100% paid parental leave when you become a new parent.
* Get relocation assistance! If you are not local to the area, we offer relocation packages.
*The base salary range for this position is $155,000 \- $194,000, plus bonus and benefits. The range displayed on each job posting reflects the pay range for the position across all locations. Within the range, individual pay is determined based on work location, job\-related skills, experience, relevant education or training.***Your Arrive Experience**
When we say “award\-winning culture,” we mean it. We’ve been recognized as a top workplace by Inc. Fast Company, Fortune, and earned Top Workplaces and Great Place to Work, to name a few. We intend on topping many more of those lists in the years to come, but we’re not in it for the trophies. We’re committed to culture because it keeps us connected to each other and invested in our shared success while having a blast along the way. Our employee\-founded resource groups create communities within Arrive’s walls, including Women in Logistics, Emerging Professionals, Prisms, Black Logistics Group, Salute and Unidos. ***Notice:****To ensure a safe and transparent interview process, we want to note that Arrive Logistics adheres to strict recruitment practices. Candidates undergo an interview process, and Arrive Logistics does not provide unsolicited job offers. If you have concerns about receiving a fraudulent offer, please contact talentacquisition@arrivelogistics.com for verification.*</t>
        </is>
      </c>
    </row>
    <row r="53">
      <c r="A53" t="inlineStr">
        <is>
          <t>in-1ecef73ef0fa5409</t>
        </is>
      </c>
      <c r="B53" t="inlineStr">
        <is>
          <t>Senior Data Scientist</t>
        </is>
      </c>
      <c r="C53" t="inlineStr">
        <is>
          <t>Arrive Logistics</t>
        </is>
      </c>
      <c r="D53" t="inlineStr">
        <is>
          <t>indeed</t>
        </is>
      </c>
      <c r="E53">
        <f>HYPERLINK("https://www.indeed.com/viewjob?jk=1ecef73ef0fa5409", "https://www.indeed.com/viewjob?jk=1ecef73ef0fa5409")</f>
        <v/>
      </c>
      <c r="F53">
        <f>HYPERLINK("https://jobs.lever.co/arrivelogistics/aeaef645-06c2-4ad3-b07e-488cf31f3819?lever-source=Indeed", "https://jobs.lever.co/arrivelogistics/aeaef645-06c2-4ad3-b07e-488cf31f3819?lever-source=Indeed")</f>
        <v/>
      </c>
      <c r="G53" t="inlineStr">
        <is>
          <t>Austin, TX, US</t>
        </is>
      </c>
      <c r="H53" s="3" t="n">
        <v>46065</v>
      </c>
      <c r="I53" t="inlineStr">
        <is>
          <t>**Who We Are**
Arrive Logistics is a leading transportation and technology company in North America with plans to grow significantly year over year. Our success is a testament to our remarkable team and what we’re building together. We’re committed to providing employees with a meaningful work experience and have established an award\-winning culture that supports personal and career development in a fun, casual, and collaborative environment. **Who We Want**
The Senior Data Scientist will work closely with Product and Engineering to translate business needs into data and modeling solutions that contribute to a positive business impact. This position requires an experienced professional who provides technical leadership to their team and oversees the production of machine\-learning systems.
### **What You'll Do**
* Own the design, development, and iteration of production machine\-learning systems that drive operational and business outcomes.
* Lead modeling, feature engineering, and dataset development for predictive and decisioning use cases.
* Design and maintain evaluation frameworks that reflect real\-world behavior and business impact.
* Build and evolve LLM\- and NLP\-based pipelines to transform unstructured data into reliable operational datasets.
* Define and monitor quality, coverage, and reliability of ML and LLM/NLP systems at scale.
* Perform deep analysis of model and system performance to identify bias, data gaps, and systematic failure modes.
* Partner closely with Product and Engineering to translate business needs into data and modeling solutions, and to support productionization and ongoing iteration.
* Contribute to and define monitoring for model performance, data quality, and downstream business impact.
* Act as a senior technical owner and reviewer for data science work across the team.
### **Qualifications**
* Master’s degree or PhD in a quantitative field and 5\+ years of industry experience building and owning production data science or machine learning systems.
* Experience developing predictive or decisioning models used in operational or real\-time settings.
* Demonstrated experience working with complex, multi\-source datasets, including feature development and data quality challenges.
* Experience building, deploying, and evaluating NLP or LLM\-based systems in production.
* Strong proficiency in Python and SQL in production analytics or machine learning environments.
* Proven ability to partner with engineering teams to deploy, monitor, and iterate on models and data pipelines.
* Ability to independently scope and drive ambiguous data science problems from problem definition through production impact.
* Experience with explainability, model diagnostics, and stakeholder\-facing performance reporting is a plus.
* Transportation logistics industry experience is a plus.
### **The Perks of Working With Us**
* Take advantage of our comprehensive benefits package, including medical, dental, vision, life, disability, and supplemental coverage.
* Invest in your future with our matching 401(k) program.
* Build relationships and find your home at Arrive through our Employee Resource Groups.
* Enjoy office wide engagement activities, team events, happy hours and more!
* Leave the suit and tie at home; our dress code is casual.
* Work in the booming city of Austin, TX – we are in a convenient location close to the airport and downtown.
* Park your car for free on site!
* Start your morning with a specialty drink from our fully stocked coffee bar, Broker’s Brew.
* Sweat it out with the team at our onsite gym.
* Maximize your wellness with free counseling sessions through our Employee Assistance Program
* Take time to manage your physical and mental health \- we offer company paid holidays, paid vacation time and wellness days.
* Receive 100% paid parental leave when you become a new parent.
* Get paid to work with your friends through our Referral Program!
* Get relocation assistance! If you are not local to the area, we offer relocation packages.
**Your Arrive Experience**
When we say “award\-winning culture,” we mean it. We’ve been recognized as a top workplace by Inc. Fast Company, Fortune, and earned Top Workplaces and Great Place to Work, to name a few. We intend on topping many more of those lists in the years to come, but we’re not in it for the trophies. We’re committed to culture because it keeps us connected to each other and invested in our shared success while having a blast along the way. Our employee\-founded resource groups create communities within Arrive’s walls, including Women in Logistics, Emerging Professionals, Prisms, Black Logistics Group, Salute and Unidos. ***Notice:****To ensure a safe and transparent interview process, we want to note that Arrive Logistics adheres to strict recruitment practices. Candidates undergo an interview process, and Arrive Logistics does not provide unsolicited job offers. If you have concerns about receiving a fraudulent offer, please contact talentacquisition@arrivelogistics.com for verification.*</t>
        </is>
      </c>
    </row>
    <row r="54">
      <c r="A54" t="inlineStr">
        <is>
          <t>in-cbb7944d07cf62b5</t>
        </is>
      </c>
      <c r="B54" t="inlineStr">
        <is>
          <t>Data Scientist, Consumer Markets</t>
        </is>
      </c>
      <c r="C54" t="inlineStr">
        <is>
          <t>McKesson</t>
        </is>
      </c>
      <c r="D54" t="inlineStr">
        <is>
          <t>indeed</t>
        </is>
      </c>
      <c r="E54">
        <f>HYPERLINK("https://www.indeed.com/viewjob?jk=cbb7944d07cf62b5", "https://www.indeed.com/viewjob?jk=cbb7944d07cf62b5")</f>
        <v/>
      </c>
      <c r="F54">
        <f>HYPERLINK("https://careers.mckesson.com/en/job/-/-/733/91668688528", "https://careers.mckesson.com/en/job/-/-/733/91668688528")</f>
        <v/>
      </c>
      <c r="G54" t="inlineStr">
        <is>
          <t>Richmond, VA, US</t>
        </is>
      </c>
      <c r="H54" s="3" t="n">
        <v>46064</v>
      </c>
      <c r="I54"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McKesson is looking for a Data Scientist to join the **Consumer Markets (eCommerce) Data Science \&amp; Analytics** team, playing a key role in developing next‑generation, AI‑powered solutions that drive strategic decisions across the organization! This role blends advanced machine learning expertise with strong business acumen to build tools, models, and cloud‑based systems that deliver real business value.
Our ideal candidate is someone currently living in or near Richmond, VA and who thrives on end‑to‑end ownership—from understanding what data is required to making the right modeling decisions to presenting insights in a way that inspires confidence and drives action. If you enjoy building the backend systems that power ML models, innovating with GenAI, and translating complex ideas into clear stories that resonate with business leaders, this role is for you.
**Key Responsibilities**
* Leverage Consumer Markets’ data infrastructure to develop next‑generation models aligned with strategic priorities.
* Analyze qualitative and quantitative data to develop hypotheses, pilot solutions, and deploy scalable ML models.
* Apply AI/ML techniques to uncover market trends, process inefficiencies, and strategic opportunities.
* Design and implement GenAI and Agentic AI tools to enhance operational workflows.
* Build backend components and **cloud\-based pipelines** that support machine learning models.
* Develop Python and cloud APIs to enable seamless model deployment in web applications.
* Break down complex problems into scalable workstreams and socialize solutions across technical and non\-technical teams.
* Collaborate with cross\-functional partners—including Category Management, Marketing, Pricing, Business Development, and Sales—to align on goals and ensure successful adoption of solutions.
**Minimum Requirements**
* 4\+ years of relevant experience.
* **Critical Skills**
* **Expertise in building backend systems that support machine learning models**, including data sourcing, preparation, feature engineering, and orchestration.
* **Strong understanding of what data is required** for model execution and the ability to identify, access, and prepare the right datasets.
* **Python expertise (4\+ years)** including Pandas and modern ML/AI frameworks.
* **SQL proficiency (4\+ years)** with hands\-on experience in **Google BigQuery**, Snowflake, and large\-scale data environments.
* Experience with **Google Cloud Platform (GCP), Microsoft Azure, and Databricks**, including pipeline design and model deployment.
* Deep experience with core ML techniques, such as:
	+ Statistical tests (t\-tests, Poisson processes)
	+ Clustering and segmentation
	+ Predictive modeling (e.g., logistic/linear regression)
	+ Time series analysis
	+ Machine learning methods (Random Forest, SVM, ensemble models)
	+ Optimization techniques (e.g., linear programming)
* Experience developing or integrating **GenAI and Agentic AI** solutions.
* Strong ability to translate complex technical concepts into clear, compelling business insights.
**Education:**
* Bachelor of Science or graduate degree.
**Work Environment \&amp; Travel**
* **Hybrid role** with the majority of work performed from home.
* Team members may be asked to come into the **Richmond, VA office (Mayland Drive)** for quarterly meetings or company events.
* Position may require **up to two trips per year** for major business meetings or conferences.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$104,600 \- $174,400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li-4120824512</t>
        </is>
      </c>
      <c r="B2" t="inlineStr">
        <is>
          <t>Data Scientist, Product Analytics</t>
        </is>
      </c>
      <c r="C2" t="inlineStr">
        <is>
          <t>Meta</t>
        </is>
      </c>
      <c r="D2" t="inlineStr">
        <is>
          <t>linkedin</t>
        </is>
      </c>
      <c r="E2" t="inlineStr"/>
      <c r="F2" t="inlineStr"/>
      <c r="G2" t="inlineStr">
        <is>
          <t>San Francisco, CA</t>
        </is>
      </c>
      <c r="H2" t="inlineStr"/>
      <c r="I2"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
      <c r="A3" t="inlineStr">
        <is>
          <t>li-4372737182</t>
        </is>
      </c>
      <c r="B3" t="inlineStr">
        <is>
          <t>Entry Level - Data Scientist- Gen Ai - ML</t>
        </is>
      </c>
      <c r="C3" t="inlineStr">
        <is>
          <t>Capgemini</t>
        </is>
      </c>
      <c r="D3" t="inlineStr">
        <is>
          <t>linkedin</t>
        </is>
      </c>
      <c r="E3" t="inlineStr"/>
      <c r="F3" t="inlineStr"/>
      <c r="G3" t="inlineStr">
        <is>
          <t>Seattle, WA</t>
        </is>
      </c>
      <c r="H3" t="inlineStr"/>
      <c r="I3"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**About the job you’re considering** 
 :
 The Data Scientist / ML Engineer will demonstrate excellent knowledge of ML algorithms (e.g., Linear Regression, Logistic Regression, Clustering/Segmentation, Decision Tree, Random Forest, GBM, DNN, Naive Bayes, Support Vector Machine, etc.) to lead efforts, teams, projects, and engage with customers.
**About The Role**
* Responsible for developing and implementing AI\-assisted marketing analytics solutions that address customer needs using data science and machine learning.
* Work closely with multi\-functional teams to deliver innovative solutions that drive business growth and improve customer engagement.
**Job Description \- Grade Specific**
**Your Roles \&amp; Responsibilities:**
* Design, implement, and optimize machine learning models (supervised, unsupervised, and reinforcement learning).
* Work on projects involving NLP, computer vision, recommendation systems, and predictive analytics.
* Perform feature engineering, data preprocessing, and model selection.
* Collaborate with Data Engineers to acquire and preprocess large datasets.
* Build and maintain data pipelines to support model training, testing, and deployment.
* Ensure data quality, consistency, and reliability.
* Deploy ML models into production environments using CI/CD and MLOps practices.
* Monitor model performance, retrain models, and manage model versioning.
* Optimize inference performance and resource utilization.
* Stay current with emerging ML/AI technologies, frameworks, and research.
* Evaluate new algorithms, tools, and libraries to improve model performance.
* Experiment with novel approaches to solve complex business problems.
* Work with software engineers, data scientists, and product managers to integrate ML solutions into applications.
* Mentor junior engineers and share best practices in ML development and deployment.
 The base compensation range for this role in the posted location is:$120,000 TO $145,000\.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4">
      <c r="A4" t="inlineStr">
        <is>
          <t>li-4327061575</t>
        </is>
      </c>
      <c r="B4" t="inlineStr">
        <is>
          <t>Data Scientist, Product Analytics</t>
        </is>
      </c>
      <c r="C4" t="inlineStr">
        <is>
          <t>Whatnot</t>
        </is>
      </c>
      <c r="D4" t="inlineStr">
        <is>
          <t>linkedin</t>
        </is>
      </c>
      <c r="E4" t="inlineStr"/>
      <c r="F4" t="inlineStr"/>
      <c r="G4" t="inlineStr">
        <is>
          <t>San Francisco, CA</t>
        </is>
      </c>
      <c r="H4" t="inlineStr"/>
      <c r="I4"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As Whatnot rapidly scales, data is central to shaping our product strategy and helping us build delightful, high\-performing experiences for both buyers and sellers. We’re looking for a
 **Product Data Scientist** 
 who will partner closely with Product, Engineering, Design, and Operations to drive insights, experimentation, and decision\-making across the company.
**In This Role, You Will**
**🔍 Generate Insights \&amp; Shape Product Direction**
* Define and own the KPIs that measure product health, user engagement, and marketplace performance.
* Analyze user behavior, product usage patterns, and marketplace dynamics to identify opportunities and inform product priorities.
* Translate complex data into actionable recommendations for product and leadership teams.
**🧪 Drive Experimentation \&amp; Measurement**
* Partner with product managers and engineers to design, implement, and evaluate A/B tests and feature rollouts.
* Develop frameworks for causal inference, impact measurement, and long\-term product evaluation.
* Build scalable methodologies to understand feature performance and guide iteration.
**🛠 Build Data Products \&amp; Tools**
* Use our modern data stack to build dashboards, data pipelines, and self\-serve tools that empower teams across Whatnot.
* Partner with engineers to improve data accessibility, ensure data quality, and support instrumentation for new product features.
**🤝 Lead Cross\-Functional Collaboration**
* Advocate for data\-driven decision\-making and foster a culture of measurement across the product organization.
* Communicate insights clearly to both technical and non\-technical audiences, influencing roadmaps and strategic decisions.
* Serve as a thought partner to product leads, shaping how we build, launch, and iterate on experiences across the platform.
**US Based**
**We offer flexibility to work from home or from one of our global office hubs, and we value in\-person time for planning, problem\-solving, and connection. Team members in this role must live within commuting distance of our New York, Seattle, Los Angeles, and San Francisco hubs.**
**👋 You**
 Curious about who thrives at Whatnot? We’ve found that embodying a low ego, growth mindset, and high\-impact drive goes a long way here.
**🎓 Experience \&amp; Expertise**
 As our next
 **Product Data Scientist** 
 , you bring:
* 3\+ years of experience in Data Science, Decision Science, or Analytics within a product\-focused organization.
* A bachelor’s degree in Computer Science, Economics, Statistics, or a related quantitative field or equivalent experience.
* Proven experience applying statistical and analytical methods to real\-world product problems.
**🧠 Technical Skills**
* Advanced SQL skills and experience with modern data warehouses (Snowflake, BigQuery, Redshift) and tools like Spark or DBT.
* Proficiency with Python or R for data analysis, modeling, and experimentation.
* Experience designing and analyzing A/B tests and understanding causal inference techniques.
* Strong data visualization skills and familiarity with BI tools for building interactive dashboards.
**🗣 Collaboration \&amp; Leadership**
* Ability to communicate complex ideas clearly, concisely, and impactfully across diverse stakeholders.
* Experience leading cross\-functional projects and influencing product strategy with data.
* Comfortable working in fast\-paced, ambiguous environments with a high degree of ownership.
**💰Compensation**
**For Full\-Time (Salary) US based applicants:** 
 $185,000/year to $240,000/year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$185K \- $240K</t>
        </is>
      </c>
    </row>
    <row r="5">
      <c r="A5" t="inlineStr">
        <is>
          <t>li-4241069075</t>
        </is>
      </c>
      <c r="B5" t="inlineStr">
        <is>
          <t>Data Scientist (USA-Remote)</t>
        </is>
      </c>
      <c r="C5" t="inlineStr">
        <is>
          <t>The Voleon Group</t>
        </is>
      </c>
      <c r="D5" t="inlineStr">
        <is>
          <t>linkedin</t>
        </is>
      </c>
      <c r="E5" t="inlineStr"/>
      <c r="F5" t="inlineStr"/>
      <c r="G5" t="inlineStr"/>
      <c r="H5" t="inlineStr"/>
      <c r="I5" t="inlineStr">
        <is>
          <t>Voleon is a technology company that applies state\-of\-the\-art AI and machine learning techniques to real\-world problems in finance. For nearly two decades, we have led our industry and worked at the frontier of applying AI/ML to investment management. We have become a multibillion\-dollar asset manager, and we have ambitious goals for the future.
 Your colleagues will include internationally recognized experts in artificial intelligence and machine learning research as well as highly experienced finance and technology professionals.
 In addition to our enriching and collegial working environment, we offer highly competitive compensation and benefits packages, technology talks by our experts, a beautiful modern office, daily catered lunches, and more.
 The Voleon Group is forming a new team to help advance our data\-driven investment initiatives. As a Data Scientist, you will be responsible for harvesting insights from a complex array of data. Your role will involve data curation, analysis, interpretation, visualization, and communication of your findings to members of the research staff and executive leadership. This role is a means to make a difference: as a machine learning company, data insights are essential to our business.
**Responsibilities**
* Design and implement systems to ensure data correctness and monitor data health in data stores and live feeds
* Proactively identify abnormal production behavior and communicate them clearly to relevant stakeholders
* Perform extemporaneous analyses on research and production trading systems with leadership
* Harness financial expertise and statistical analysis to gain actionable insights into our production trading and research systems
* Design and implement analysis pipelines that automate those analyses found to be valuable for ongoing monitoring
**Requirements**
* 1\+ years of applied end\-to\-end industry experience, including internships working with complex datasets, including curation, querying, aggregation, exploratory data analysis, and visualization
* Experience using statistical methods to analyze data, identify patterns, conduct root cause analysis, discover insights, and recommend solutions
* Ability to frame and answer questions mathematically
* Ability to infer useful forward\-looking directions from results of retrospective analysis
* Fluency in managing, processing, and visualizing tabular data using a combination of SQL, Pandas, and R
* Basic software development skills and experience with bash, linux/unix, and git
* Ability to refine requirements from ambiguous requests to produce reports demonstrating excellence in communication
* Bachelor’s degree in a quantitative discipline (statistics, biostatistics, data science, computer science, or a related field)
**Preferred**
* Master’s degree in a quantitative discipline
* Prior industry experience or displayed interest in finance, such as related academic projects, coursework in financial engineering, or industry internships
* Experience developing in a production\-facing environment and familiarity with standard concepts and tooling, e.g., CI/CD, git, Airflow
**Compensation**
 The base salary range for this position is $150,000 to $190,000 in the location(s) of this posting. Individual salaries are determined through a variety of factors, including, but not limited to, education, experience, knowledge, skills, and geography. Base salary does not include other forms of total compensation, such as bonus compensation and other benefits. Our benefits package includes medical, dental, and vision coverage, life and AD\&amp;D insurance, 20 days of paid time off, 9 sick days, and a 401(k) plan with a company match.
**“Friends of Voleon” Candidate Referral Program**
 If you have a great candidate in mind for this role and would like to have the potential to earn $7,500 if your referred candidate is successfully hired and employed by The Voleon Group, please use this form to submit your referral. For more details regarding eligibility, terms, and conditions, please make sure to review the Voleon Referral Bonus Program .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
 We may use artificial intelligence (AI) tools to support parts of the hiring process. These tools assist our recruitment team but do not replace human judgement. Final hiring decisions are ultimately made by humans. If you would like more information about how your data is processed, please contact us.</t>
        </is>
      </c>
    </row>
    <row r="6">
      <c r="A6" t="inlineStr">
        <is>
          <t>li-4364194457</t>
        </is>
      </c>
      <c r="B6" t="inlineStr">
        <is>
          <t>AI-First Data Scientist</t>
        </is>
      </c>
      <c r="C6" t="inlineStr">
        <is>
          <t>ChatGPT Jobs</t>
        </is>
      </c>
      <c r="D6" t="inlineStr">
        <is>
          <t>linkedin</t>
        </is>
      </c>
      <c r="E6" t="inlineStr"/>
      <c r="F6" t="inlineStr"/>
      <c r="G6" t="inlineStr"/>
      <c r="H6" t="inlineStr"/>
      <c r="I6" t="inlineStr">
        <is>
          <t>**Job Description**
 AI\-First Data Scientist
 CSC Generation
 Remote Nationwide
 Full\-Time
**Job Description**
 CSC Generation is building an AI\-driven retail operating system. Our brands—including Sur La Table, One Kings Lane, and Backcountry—rely on intelligent decision\-making rooted in data. We're hiring an AI\-First Data Analyst who combines statistical know\-how with AI tooling and automation instincts.
 This is a technical, hands\-on role. You’ll build causal models, apply advanced machine learning techniques (e.g., Double ML), and develop internal data tools.
**What You Get To Do Every Day:**
* Conduct causal analysis and treatment effect estimation to guide high\-stakes decisions.
* Build AI\-powered internal tools that automate analytical tasks and surface insights.
* Develop and own dashboards and data pipelines.
* Partner directly with business leaders to translate questions into testable hypotheses.
* Identify opportunities to automate recurring analyses via custom GPTs, scripts, or workflow platforms like n8n.
* Work closely with engineering and data platform teams to improve data cleanliness, accessibility, and documentation.
**What You Bring To The Role:**
* 1–3 years of experience in data science, quantitative analysis, or machine learning.
* Bachelor’s or Master’s degree in Statistics, Economics, Computer Science, Data Science, or a related quantitative field.
* Expertise in causal inference frameworks—especially Double ML, A/B testing, and other counterfactual methods.
* Strong coding skills in Python or R; experience with SQL, Jupyter, and version control (Git).
* Comfortable building data pipelines and working with large datasets.
* Proficiency with AI tools such as ChatGPT, Claude, or custom GPTs.
* Curious, fast\-learning, and deeply motivated to solve business problems through analysis and automation.
* Experience with workflow automation (e.g., n8n, Make, Zapier) is a plus.
 What’s in it for you?
* Executive Access: Work directly with brand CEOs and senior leadership.
* AI\-First Skill Building:Get hands\-on with the most advanced AI tools in the market.
* Accelerated Career Path:High performers are quickly entrusted with greater responsibility.
* Competitive benefits:Paid time off policies, 401(k)/RRSP match, medical/dental/vision, and employee discounts.
 For US\-based candidates, this posting is intended for candidates that reside in the following states: AZ, DE, FL, GA, IN, LA, MI, MS, MO, NV, NC, OK, OR, PA, TN, TX, UT, VA, WV, WI, and WY.</t>
        </is>
      </c>
    </row>
    <row r="7">
      <c r="A7" t="inlineStr">
        <is>
          <t>li-4372711997</t>
        </is>
      </c>
      <c r="B7" t="inlineStr">
        <is>
          <t>Data Scientist -HC Analytics</t>
        </is>
      </c>
      <c r="C7" t="inlineStr">
        <is>
          <t>Henry Ford Health</t>
        </is>
      </c>
      <c r="D7" t="inlineStr">
        <is>
          <t>linkedin</t>
        </is>
      </c>
      <c r="E7" t="inlineStr"/>
      <c r="F7" t="inlineStr"/>
      <c r="G7" t="inlineStr">
        <is>
          <t>Detroit, MI</t>
        </is>
      </c>
      <c r="H7" t="inlineStr"/>
      <c r="I7" t="inlineStr">
        <is>
          <t>Additional Information
* Organization: Corporate Services
* Department: Helios Enter Data Wrhse IT Exp
* Shift: Day Job
* Union Code: Not Applicable</t>
        </is>
      </c>
    </row>
    <row r="8">
      <c r="A8" t="inlineStr">
        <is>
          <t>li-4327191639</t>
        </is>
      </c>
      <c r="B8" t="inlineStr">
        <is>
          <t>Data Scientist, Product Analytics</t>
        </is>
      </c>
      <c r="C8" t="inlineStr">
        <is>
          <t>Whatnot</t>
        </is>
      </c>
      <c r="D8" t="inlineStr">
        <is>
          <t>linkedin</t>
        </is>
      </c>
      <c r="E8" t="inlineStr"/>
      <c r="F8" t="inlineStr"/>
      <c r="G8" t="inlineStr">
        <is>
          <t>Seattle, WA</t>
        </is>
      </c>
      <c r="H8" t="inlineStr"/>
      <c r="I8"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As Whatnot rapidly scales, data is central to shaping our product strategy and helping us build delightful, high\-performing experiences for both buyers and sellers. We’re looking for a
 **Product Data Scientist** 
 who will partner closely with Product, Engineering, Design, and Operations to drive insights, experimentation, and decision\-making across the company.
**In This Role, You Will**
**🔍 Generate Insights \&amp; Shape Product Direction**
* Define and own the KPIs that measure product health, user engagement, and marketplace performance.
* Analyze user behavior, product usage patterns, and marketplace dynamics to identify opportunities and inform product priorities.
* Translate complex data into actionable recommendations for product and leadership teams.
**🧪 Drive Experimentation \&amp; Measurement**
* Partner with product managers and engineers to design, implement, and evaluate A/B tests and feature rollouts.
* Develop frameworks for causal inference, impact measurement, and long\-term product evaluation.
* Build scalable methodologies to understand feature performance and guide iteration.
**🛠 Build Data Products \&amp; Tools**
* Use our modern data stack to build dashboards, data pipelines, and self\-serve tools that empower teams across Whatnot.
* Partner with engineers to improve data accessibility, ensure data quality, and support instrumentation for new product features.
**🤝 Lead Cross\-Functional Collaboration**
* Advocate for data\-driven decision\-making and foster a culture of measurement across the product organization.
* Communicate insights clearly to both technical and non\-technical audiences, influencing roadmaps and strategic decisions.
* Serve as a thought partner to product leads, shaping how we build, launch, and iterate on experiences across the platform.
**US Based**
**We offer flexibility to work from home or from one of our global office hubs, and we value in\-person time for planning, problem\-solving, and connection. Team members in this role must live within commuting distance of our New York, Seattle, Los Angeles, and San Francisco hubs.**
**👋 You**
 Curious about who thrives at Whatnot? We’ve found that embodying a low ego, growth mindset, and high\-impact drive goes a long way here.
**🎓 Experience \&amp; Expertise**
 As our next
 **Product Data Scientist** 
 , you bring:
* 3\+ years of experience in Data Science, Decision Science, or Analytics within a product\-focused organization.
* A bachelor’s degree in Computer Science, Economics, Statistics, or a related quantitative field or equivalent experience.
* Proven experience applying statistical and analytical methods to real\-world product problems.
**🧠 Technical Skills**
* Advanced SQL skills and experience with modern data warehouses (Snowflake, BigQuery, Redshift) and tools like Spark or DBT.
* Proficiency with Python or R for data analysis, modeling, and experimentation.
* Experience designing and analyzing A/B tests and understanding causal inference techniques.
* Strong data visualization skills and familiarity with BI tools for building interactive dashboards.
**🗣 Collaboration \&amp; Leadership**
* Ability to communicate complex ideas clearly, concisely, and impactfully across diverse stakeholders.
* Experience leading cross\-functional projects and influencing product strategy with data.
* Comfortable working in fast\-paced, ambiguous environments with a high degree of ownership.
**💰Compensation**
**For Full\-Time (Salary) US based applicants:** 
 $185,000/year to $240,000/year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$185K \- $240K</t>
        </is>
      </c>
    </row>
    <row r="9">
      <c r="A9" t="inlineStr">
        <is>
          <t>li-4372720440</t>
        </is>
      </c>
      <c r="B9" t="inlineStr">
        <is>
          <t>Data Scientist-HC Analytics</t>
        </is>
      </c>
      <c r="C9" t="inlineStr">
        <is>
          <t>Henry Ford Health</t>
        </is>
      </c>
      <c r="D9" t="inlineStr">
        <is>
          <t>linkedin</t>
        </is>
      </c>
      <c r="E9" t="inlineStr"/>
      <c r="F9" t="inlineStr"/>
      <c r="G9" t="inlineStr">
        <is>
          <t>Detroit, MI</t>
        </is>
      </c>
      <c r="H9" t="inlineStr"/>
      <c r="I9" t="inlineStr">
        <is>
          <t>Additional Information
* Organization: Corporate Services
* Department: Ascension HeliosEnterDataWrhse
* Shift: Day Job
* Union Code: Not Applicable</t>
        </is>
      </c>
    </row>
    <row r="10">
      <c r="A10" t="inlineStr">
        <is>
          <t>li-4371770621</t>
        </is>
      </c>
      <c r="B10" t="inlineStr">
        <is>
          <t>Product Data Scientist, YouTube Shopping</t>
        </is>
      </c>
      <c r="C10" t="inlineStr">
        <is>
          <t>Google</t>
        </is>
      </c>
      <c r="D10" t="inlineStr">
        <is>
          <t>linkedin</t>
        </is>
      </c>
      <c r="E10" t="inlineStr"/>
      <c r="F10" t="inlineStr"/>
      <c r="G10" t="inlineStr">
        <is>
          <t>San Bruno, CA</t>
        </is>
      </c>
      <c r="H10" t="inlineStr"/>
      <c r="I10" t="inlineStr">
        <is>
          <t>**Minimum qualifications:**
* Bachelor's degree in Statistics, Mathematics, Data Science, Engineering, Physics, Economics, or a related quantitative field.
* 5 years of experience with analysis applications (extracting insights, performing statistical analysis, or solving business problems), and coding (Python, R, SQL) or 2 years work experience with a Master's degree.
**Preferred qualifications:**
* Master's degree in Statistics, Mathematics, Data Science, Engineering, Physics, Economics, or a related quantitative field.
**About The Job**
 Youtube Data Science influences and informs YouTube’s product and engineering leadership teams. We have a long history of working on projects that are at the heart of the business and have a seat at the table when it comes to the decisions that drive YouTube's continued success. Our mission statement is improving decisions at YouTube with science.
 Shopping is a high\-visibility product and a fast\-growing area for YouTube, achieving 5x growth in Gross Merchandise Value (GMV) last year. It is also a complex three\-sided marketplace that operates by simultaneously serving viewers (shoppers), creators, and merchants (brands).
 As a Data Scientist on this team, you will be responsible for building a link between the YouTube Creators who make content and the Brands selling their products. You will build intelligent recommendation and ranking systems that connect creators with the most relevant merchant offers, and vice versa. This is a great opportunity for those who are excited by early stage growth products and building solutions from the ground up.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experiments and methods to measure improvements across all aspects of engineering development to ensure high\-confidence launch decisions (e.g., rater accuracy, ranked recommendations).
* Prototype models to estimate input features like expected earnings and probability of engaging with an offer.
* Use data to uncover headroom opportunities in the current ecosystem.
* Own the process of gathering, extracting, and compiling data across sources via relevant tools (e.g., SQL, R, Python). Format, re\-structure, and validate data to ensure quality.
* Perform analysis by utilizing relevant tools (e.g., SQL, R, Python). Using comprehensive technical knowledge, use custom data infrastructure or existing data models.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
      <c r="A11" t="inlineStr">
        <is>
          <t>li-4372248069</t>
        </is>
      </c>
      <c r="B11" t="inlineStr">
        <is>
          <t>Data Scientist</t>
        </is>
      </c>
      <c r="C11" t="inlineStr">
        <is>
          <t>Wiraa</t>
        </is>
      </c>
      <c r="D11" t="inlineStr">
        <is>
          <t>linkedin</t>
        </is>
      </c>
      <c r="E11" t="inlineStr"/>
      <c r="F11" t="inlineStr"/>
      <c r="G11" t="inlineStr"/>
      <c r="H11" t="inlineStr"/>
      <c r="I11" t="inlineStr">
        <is>
          <t>**About The Company**
 Resend is a pioneering company dedicated to building the modern email sending platform for developers. Since its inception as an open\-source project in 2022, Resend has rapidly grown to serve thousands of users daily, facilitating the sending of billions of emails. The company emphasizes quality, openness, and inclusivity, striving to create accessible email solutions for developers worldwide. Resend is fully remote, with a diverse team of over 25 professionals across seven countries, backed by renowned investors such as a16z, Y Combinator, and Basecase. The organization values transparency, innovation, and a collaborative culture, continuously pushing the boundaries of email technology.
**About The Role**
 As the first Data Scientist within Resend's Trust \&amp; Safety squad, you will play a critical role in safeguarding the integrity of our email platform. Your primary focus will be on identifying abuse patterns, designing specialized data sets, and developing models to prevent malicious activities. This position offers a unique opportunity to wear multiple investigative hats, from analyzing anomaly root causes to building real\-time dashboards and alerts. You will collaborate closely with data engineering teams to shape purpose\-built data pipelines and stay ahead of evolving email abuse vectors. Your work will directly contribute to facilitating a seamless, secure email experience for good senders and users, ensuring that our platform remains a safe and reliable environment for communication at scale.
**Qualifications**
* Completed a relevant scientific or mathematical degree
* Fluent in SQL and Python; JavaScript skills are a plus
* Proven ability to productize algorithms for real\-time systems
* Minimum of 2 years of professional experience working with large data sets
* Strong analytical skills with the ability to investigate anomalies and identify root causes
* Excellent communication skills, capable of explaining complex models to non\-technical stakeholders
* Ability to thrive in ambiguous environments and build frameworks independently
**Responsibilities**
* Investigate root causes of anomalies and gang attacks to understand abuse patterns
* Design and develop purpose\-built data sets for analysis and modeling
* Build and maintain dashboards and real\-time alerts to monitor behavior and policy violations
* Develop machine learning models to prevent abuse at scale with minimal false positives
* Collaborate with data engineering teams to shape scalable data pipelines
* Stay informed on current email abuse vectors, trends, and emerging threats
* Analyze signal effectiveness, including precision, recall, drift, and overlap metrics
* Facilitate a zero\-friction approach to email sending by identifying and mitigating abuse vectors
**Benefits**
* Competitive salary and equity packages
* Flexible remote work environment
* Comprehensive health, dental, and vision insurance
* Generous paid time off and holidays
* Professional development opportunities and learning stipends
* Inclusive and collaborative company culture
 Equal Opportunity
 Resend is an equal opportunity employer. We celebrate diversity and are committed to creating an inclusive environment for all employees. We do not discriminate based on race, religion, gender, sexual orientation, age, disability, or any other protected characteristic. We believe that diverse perspectives foster innovation and are essential to our success.</t>
        </is>
      </c>
    </row>
    <row r="12">
      <c r="A12" t="inlineStr">
        <is>
          <t>li-4371751869</t>
        </is>
      </c>
      <c r="B12" t="inlineStr">
        <is>
          <t>Credit - Data Scientist</t>
        </is>
      </c>
      <c r="C12" t="inlineStr">
        <is>
          <t>Broadgate</t>
        </is>
      </c>
      <c r="D12" t="inlineStr">
        <is>
          <t>linkedin</t>
        </is>
      </c>
      <c r="E12" t="inlineStr"/>
      <c r="F12" t="inlineStr"/>
      <c r="G12" t="inlineStr"/>
      <c r="H12" t="inlineStr"/>
      <c r="I12" t="inlineStr">
        <is>
          <t>Data Scientist – Credit \&amp; Risk Modeling (Remote, US)
 High\-Growth FinTech \| Consumer Lending \| Remote
 A rapidly growing, technology\-driven consumer lending platform is seeking a
 **Data Scientist** 
 to design, implement, and optimize the machine learning models that power its personal loan business. This is a high\-impact, hands\-on role with visibility, autonomy, and the chance to influence business strategy while collaborating across Marketing, Credit, Technology, and Compliance teams.
 What You’ll Do
* Develop, implement, and monitor performance of machine learning models across the loan lifecycle
* Design and run A/B testing frameworks to validate hypotheses and drive continuous improvement
* Explore and analyze data to uncover new opportunities for enhancing model performance and business impact
* Collaborate with cross\-functional teams to define KPIs and shape product strategy
* Partner with Technology teams to build scalable data science pipelines for continuous model testing and optimization
* Ensure proper documentation, governance, and model validation in line with financial services regulations
 What We’re Looking For
* Degree in Data Science, Statistics, Applied Mathematics, Economics, Computer Science, or a related field
* 4–6 years of experience in Data Science, Analytics, or related roles, ideally within FinTech or online lending
* Strong Python skills for programming, data analysis, and predictive modeling
* Proficiency in SQL, Excel, and experience with data visualization tools
* Hands\-on experience with applied statistical methods and predictive modeling techniques, including linear models, decision trees, boosting, and ensemble methods
* Knowledge of optimization, stochastic processes, experimental design, A/B testing, and bootstrapping
* Strong analytical mindset and ability to translate complex data into clear insights</t>
        </is>
      </c>
    </row>
    <row r="13">
      <c r="A13" t="inlineStr">
        <is>
          <t>li-4318911714</t>
        </is>
      </c>
      <c r="B13" t="inlineStr">
        <is>
          <t>Staff Data Scientist, Marketing</t>
        </is>
      </c>
      <c r="C13" t="inlineStr">
        <is>
          <t>Asana</t>
        </is>
      </c>
      <c r="D13" t="inlineStr">
        <is>
          <t>linkedin</t>
        </is>
      </c>
      <c r="E13" t="inlineStr"/>
      <c r="F13" t="inlineStr"/>
      <c r="G13" t="inlineStr">
        <is>
          <t>San Francisco, CA</t>
        </is>
      </c>
      <c r="H13" t="inlineStr"/>
      <c r="I13" t="inlineStr">
        <is>
          <t>The Data Science team at Asana is pivotal in fulfilling our mission by fostering a data\-driven approach in shaping both our product and business strategies. In your role on the Marketing Data Science team, you will be the deepest technical expert responsible for using data and scientific techniques to design and build scalable, state\-of\-the\-art solutions to enhance Asana’s marketing effectiveness. You will drive the technical roadmap for data science, collaborating with marketing leadership and the broader Asana data community to uncover new opportunities. You will provide technical leadership and hands\-on mentorship, elevating the team's technical bar and influencing overall business strategy through best\-in\-class modeling and experimental design.
 This role is based in our San Francisco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achieve:**
* Architect, design, and lead the technical execution for the Marketing Data Science roadmap, serving as the Solution Architect for all core projects including Media Mix Modeling (MMM), User Lifetime Value, Causal Inferences, Multi\-touch Attribution, and Spend Optimization engines.
* Act as the primary technical subject matter expert for the Marketing Data Science team, setting the technical bar for modeling quality, code rigor, data pipeline architecture, and solution scalability.
* Collaborate with marketing leadership to pinpoint how data science can be further integrated into Asana's business approach.
* Provide hands\-on technical mentorship and guidance to a team of data scientists at varying levels, helping them navigate complex modeling challenges, choose appropriate methodologies, and establish robust ML Ops.
* Develop and standardize MLOps tooling and processes that enable the team to deploy, monitor, and maintain multiple models in production efficiently and reliably.
* Research, prototype, and advocate for emerging capabilities and state\-of\-the\-art models in the marketing data science space, demonstrating their potential benefits and leading their implementation.
* Take on a technical leadership role within the broader Asana Data Community, interacting with Data Engineering and Platform teams to influence the data and MLOps infrastructure required to support marketing data products.
**About you:**
* Bachelor Degree in Math, Statistics, Computer Science, Engineering a related quantitative field, or equivalent experience
* 6\+ years of experience in a data science role, with 2\+ years dedicated to technical leadership and mentorship of other data scientists, successfully driving the architecture and execution of large\-scale production data science projects
* 4\+ years of experience collaborating with Marketing functions on deep technical projects, with extensive experience designing, implementing, and deploying marketing models (e.g. MMM, LTV, MTA, Uplift)
* Expert\-level knowledge in advanced statistical modeling, causal inference, experimental design and analysis, and machine learning techniques relevant to marketing effectiveness
* Proven track record developing, deploying, and maintaining scalable production ML solutions and data products
* Technical Stack: Expert proficiency in SQL and Python. Experience with MLOps tools (e.g., MLFlow), statistical languages (e.g., R), and distributed data processing systems (e.g., Spark, Redshift) is a plus
* Demonstrates curiosity about AI tools and emerging technologies, with a willingness to learn and leverage them to enhance productivity, collaboration, or decision\-making.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$202,000 \- $282,00\.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is>
      </c>
    </row>
    <row r="14">
      <c r="A14" t="inlineStr">
        <is>
          <t>li-4248973844</t>
        </is>
      </c>
      <c r="B14" t="inlineStr">
        <is>
          <t>Data Scientist, Experimentation</t>
        </is>
      </c>
      <c r="C14" t="inlineStr">
        <is>
          <t>BetterHelp</t>
        </is>
      </c>
      <c r="D14" t="inlineStr">
        <is>
          <t>linkedin</t>
        </is>
      </c>
      <c r="E14" t="inlineStr"/>
      <c r="F14" t="inlineStr"/>
      <c r="G14" t="inlineStr">
        <is>
          <t>San Jose, CA</t>
        </is>
      </c>
      <c r="H14" t="inlineStr"/>
      <c r="I14" t="inlineStr">
        <is>
          <t>**Who are we and why should you join us?**
 BetterHelp is on a mission to remove the traditional barriers to therapy and make mental health care more accessible to everyone. Founded in 2013, we are now the world’s largest online therapy service, providing affordable and convenient therapy in across the globe. Our network of over 30,000 licensed therapists has helped millions of people take ownership of their mental health and change their lives forever. And we’re not stopping there – as the unmet need for mental health services continues to grow, BetterHelp is committed to being part of the solution.
 As a Data Scientist at BetterHelp, you’ll join a diverse team of licensed clinicians, engineers, product pros, creatives, marketers, and business leaders who share a passion for expanding access to therapy. And as a mental health company, we take employee mental health just as seriously as we do our mission. We deeply invest in our team’s well\-being and professional development, because we know that business and individual growth go hand\-in\-hand. At BetterHelp, you’ll carve your own path, make an immediate impact, and be challenged every day – with a supportive community behind you the whole way.
**What are we looking for?**
 BetterHelp is looking for a Data Scientist to help us scale and increase our impact. You will use data to drive insight into the product and business with a focus. The ideal candidate would have experience analyzing large and complex data sets related to web products. You'll be doing plenty of experiment design and post\-hoc analysis to support product improvements and business decisions.
**What will you do?**
* Get insight from an enormous amount of data, and take a proactive role partnering with the product team in finding and testing data\-driven ideas for improving our products.
* Collaborate with the product team and development team to design effective, statistically rigorous experiments, including simple A/B tests as well as more advanced experiment designs that account for complexities such as network effects.
* Monitor and analyze several product tests with statistical rigor, present the data and insights to the team, and drive product decisions.
* Look at complex problems and come up with testable models and algorithms that have measurable business impact.
* Enjoy great teamwork, have lots of fun, and take pride in building a world\-class product that makes a difference in people's lives.
**What will you NOT do?**
* You will NOT worry about "runway", "cash left", or "how much time we have until the next round". We have the startup DNA but we're fully backed and funded, all the way to success.
* You will NOT be confined to your "job". You will get involved in product, marketing, business strategy, and almost everything we do.
* You will NOT be bogged down by office politics, ego, or bad attitude. Only positive, pleasure\-to\-work\-with people are allowed here!
* You will NOT get yourself burned out. We work hard but we believe in maintaining a sustainable work/life balance. Really.
**Can I work remotely?**
 Yes. We operate on PST and candidates in any time zone are welcome to apply. We ask employees to travel to our San Jose, CA office up to three times per year plus one company\-wide offsite to collaborate in person and strengthen working relationships. Travel expenses are covered and reasonable accommodations are made for those under unique circumstances who cannot travel.
**Requirements**
* 1\+ years of experience in a data science role or relevant internships, ideally applying analytical skills to real\-world problems
* Degree in a quantitative discipline such as Statistics, Math, Economics, or Operations Research
* Familiarity with analyzing A/B tests or similar experiments through coursework or projects
* Proficiency in SQL and experience working with data transformation tools such as dbt
* Hands\-on experience with data analysis, experiment design, and statistical methods through work, internships, or academic projects
* Strong grasp of statistical concepts, especially around hypothesis testing and experiment design
* Clear and thoughtful communicator, with a desire to keep improving how complex ideas are shared across different audience
**Benefits**
* Remote work with regular in\-person bonding experiences sponsored by the company
* Competitive compensation
* Holistic perks program (including free therapy, employee wellness, and more)
* Excellent health, dental, and vision coverage
* 401k benefits with employer matching contribution
* The chance to build something that changes lives – and that people love
* Any piece of hardware or software that will make you happy and productive
* An awesome community of co\-workers
 The base salary range for this position is $115,000 \- $145,000\. In addition to the base salary, this position is eligible for a performance bonus and the extensive benefits listed here (subject to eligibility requirements): Teladoc Health Benefits 2025\. Total compensation is based on several factors – including, but not limited to, type of position, location, education level, work experience, and certifications. This information is applicable to all full\-time positions.
*At BetterHelp we thrive on difference and individuality, and as part of the Teladoc Health family, we are proud to be an Equal Opportunity Employer. We never have and never will discriminate against any job candidate or employee due to age, race, ethnicity, religion, sex, color, national origin, gender, gender identity, sexual orientation, medical condition, marital status, parental status, disability, or Veteran status.*</t>
        </is>
      </c>
    </row>
    <row r="15">
      <c r="A15" t="inlineStr">
        <is>
          <t>li-4371758534</t>
        </is>
      </c>
      <c r="B15" t="inlineStr">
        <is>
          <t>Data Scientist</t>
        </is>
      </c>
      <c r="C15" t="inlineStr">
        <is>
          <t>RemoteHunter</t>
        </is>
      </c>
      <c r="D15" t="inlineStr">
        <is>
          <t>linkedin</t>
        </is>
      </c>
      <c r="E15" t="inlineStr"/>
      <c r="F15" t="inlineStr"/>
      <c r="G15" t="inlineStr"/>
      <c r="H15" t="inlineStr"/>
      <c r="I15" t="inlineStr">
        <is>
          <t>About the Opportunity:
 This team is focused on revolutionizing healthcare by leveraging data to uncover key insights, shape product development, and promote a culture of data\-informed decision\-making. The Product Data Scientist role involves working cross\-functionally to guide product creation and ensure solutions deliver real\-world impact in telehealth.
 Responsibilities:
 • Uncover actionable insights through data analysis
 • Challenge assumptions and reveal stories hidden in data to guide decisions
 • Apply analytical, statistical, and technical expertise to influence product and business strategy
 • Utilize regression analysis, segmentation, and A/B testing for product optimization and improvement
 • Collaborate across teams to shape innovative telehealth solutions
 Requirements:
 • Bachelor’s degree in Data Science, Computer Science, Statistics, Mathematics, or related field; advanced degrees preferred
 • 3\+ years of experience in data analysis or data science with a proven impact on product decisions
 • Experience working with cross\-functional teams including product managers, engineers, and designers
 • Healthcare or telehealth industry experience is desirable but not required
 • Proficiency in Python and SQL for data manipulation and analysis
 • Strong experience with data visualization tools such as Tableau or Looker
 • At least 1 year of experience with Alteryx
 • Skilled in statistical techniques including regression analysis, hypothesis testing, clustering, and segmentation
 • Experience designing and analyzing A/B tests
 • Familiarity with data tools like Segment and Snowflake, ETL processes, and cloud platforms such as AWS or Google Cloud is a plus
 • Ability to extract actionable insights from complex datasets
 • Strong problem\-solving skills and curiosity
 • Experience with machine learning techniques is a plus
 • Excellent communication skills to convey complex data insights to non\-technical stakeholders
 • Strong project management skills and ability to prioritize tasks and meet deadlines
 • Collaborative and proactive mindset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6">
      <c r="A16" t="inlineStr">
        <is>
          <t>li-4372164696</t>
        </is>
      </c>
      <c r="B16" t="inlineStr">
        <is>
          <t>Data Scientist</t>
        </is>
      </c>
      <c r="C16" t="inlineStr">
        <is>
          <t>Quantum World Technologies Inc.</t>
        </is>
      </c>
      <c r="D16" t="inlineStr">
        <is>
          <t>linkedin</t>
        </is>
      </c>
      <c r="E16" t="inlineStr"/>
      <c r="F16" t="inlineStr"/>
      <c r="G16" t="inlineStr"/>
      <c r="H16" t="inlineStr"/>
      <c r="I16" t="inlineStr">
        <is>
          <t>Quick Interview \|\| Data Scientist \- Remote \|\| Full Time
**Title** 
 –
 **Data Scientist** 
**Location** 
 –
 **USA \- Remote** 
**Full Time** 
**Role Overview:** 
 We are seeking a Data Scientist to support category\-level demand forecasting for the client's platform. This role focuses on building, improving, and operationalizing forecasting models utilized in business planning across North America. As an individual contributor, you will collaborate closely with demand planning and forecasting stakeholders.
**Key Responsibilities:** 
 \* Develop and enhance category\-level demand forecasting models
 \* Improve forecast accuracy, bias, and consistency across markets
 \* Support quarterly forecast refresh cycles and business validation
 \* Perform model experimentation, validation, and performance monitoring
 \* Support scenario modeling, long\-term forecasting, and hierarchy reconciliation
 \* Work with Python and Pyspark on large datasets; support pipeline efficiency and documentation
**Qualifications:** 
 \* Proven experience in developing Data Science solutions for production use
 \* Strong knowledge of Databricks (PySpark, SQL, Delta Lake)
 \* Experience with Azure Data Factory (ADF) pipeline orchestration
 \* Solid understanding of Python and integration with APIs/services
 \* Good understanding of machine learning modeling techniques/process and be able to support ML experiments independently
 \* Familiarity with cloud data platforms (Azure preferred)
 \* Strong problem\-solving skills and ability to work independently
 \* Great communication skills for any platform\-related queries and internal discussions
 \* Experience with CI/CD pipelines for Databricks deployments
 \* Knowledge of Azure DevOps / GitHub Actions for automation
**Harsh Jain** 
**Sr.Technical Recruiter** 
**harsh.jain@quantumworldit.com** 
**linkedin.com/in/harsh\-jain\-a7b541b0** 
**1802256693 EXT : 845**</t>
        </is>
      </c>
    </row>
    <row r="17">
      <c r="A17" t="inlineStr">
        <is>
          <t>li-4372241419</t>
        </is>
      </c>
      <c r="B17" t="inlineStr">
        <is>
          <t>Data Scientist - AI</t>
        </is>
      </c>
      <c r="C17" t="inlineStr">
        <is>
          <t>Wiraa</t>
        </is>
      </c>
      <c r="D17" t="inlineStr">
        <is>
          <t>linkedin</t>
        </is>
      </c>
      <c r="E17" t="inlineStr"/>
      <c r="F17" t="inlineStr"/>
      <c r="G17" t="inlineStr"/>
      <c r="H17" t="inlineStr"/>
      <c r="I17" t="inlineStr">
        <is>
          <t>**About The Company**
 General Mills is a global leader in the food industry, committed to innovating and delivering high\-quality products that bring joy to consumers around the world. With a rich history spanning over a century, the company has established a reputation for excellence, sustainability, and social responsibility. Operating across multiple markets, General Mills offers a diverse portfolio of brands that cater to various tastes and preferences, including cereals, snacks, baking products, and more. The company's mission is to nourish lives through its innovative food solutions, fostering a culture of collaboration, integrity, and continuous improvement.
**About The Role**
 As a Lead Data Scientist at General Mills, you will play a pivotal role in driving data\-driven decision\-making and technological innovation. You will leverage your expertise in machine learning, data mining, and advanced analytics to develop next\-generation analytics engines and services. Collaborating closely with product owners, business partners, and fellow data scientists, you will define technical problem statements, formulate hypotheses, and develop scalable, accurate analytical models that enhance business outcomes. Your leadership will be crucial in designing and implementing cutting\-edge solutions such as large language models (LLMs), natural language processing (NLP), and computer vision applications to analyze unstructured data like text and images. This role offers an exciting opportunity to influence strategic decisions, optimize processes, and contribute to the company's digital transformation initiatives.
**Qualifications**
* Bachelor's degree in Data Science, Computer Science, Engineering, Mathematics, or related field
* 6\+ years of experience in Data Science or related quantitative roles
* At least 1 year of experience working on agentic AI experiences
* Proficiency in statistical analysis, machine learning, clustering, and data mining techniques
* Strong programming skills in Python, with experience handling large and dynamic DataFrames
* Ability to write complex SQL queries and work with data warehousing and database systems
* Experience with data visualization tools and techniques
* Excellent analytical skills with a keen eye for identifying questionable data and addressing data quality issues
* Strong organizational skills, attention to detail, and accuracy in deliverables
* Bias for action with the ability to prioritize tasks and manage time effectively
* Experience leading the development of large\-scale AI and machine learning models
* Effective communication and collaboration skills to work with cross\-functional teams
**Responsibilities**
* Lead the design, development, and execution of innovative data analysis and modeling solutions to support business objectives
* Collaborate with data science leadership, engineering teams, and business stakeholders to build and refine machine learning models using state\-of\-the\-art tools and frameworks
* Provide technical leadership by proposing alternative solutions and ensuring best practices in model development and deployment
* Design and implement advanced AI solutions including LLMs, NLP, and computer vision for unstructured data analysis, covering problem framing, data curation, model fine\-tuning, and evaluation
* Partner with AI leadership, ML engineering, and business teams to architect high\-quality Agentic AI and Retrieval\-Augmented Generation (RAG) workflows, optimizing data ingestion, embedding, and vector indexing for maximum retrieval performance
* Create scalable, production\-ready models capable of delivering real\-time insights aligned with corporate standards
* Define evaluation strategies, hypothesis\-driven experimentation, and error analysis to ensure model robustness and transparency
* Contribute to the data science leadership team by shaping technical strategy, best practices, and team development initiatives
* Mentor junior data scientists through code reviews, technical guidance, and knowledge sharing to foster a high\-performing team environment
* Champion Responsible AI principles by ensuring privacy, security, bias mitigation, and governance compliance across all solutions
* Represent the organization as a thought leader in data science, sharing insights and innovations with internal and external audiences
**Benefits**
* Competitive salary within the range of $126,700 to $211,200 annually
* Comprehensive health benefits, including medical, dental, and vision coverage
* Retirement plans and financial wellbeing programs
* Paid time off and holiday leave
* Wellbeing support programs and employee assistance services
* Opportunities for professional development and continuous learning
* Flexible work arrangements, including remote work options within the United States
* Participation in incentive programs based on individual and organizational performance
 Equal Opportunity
 General Mills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that diverse perspectives foster innovation and are essential to our continued success.</t>
        </is>
      </c>
    </row>
    <row r="18">
      <c r="A18" t="inlineStr">
        <is>
          <t>li-4372247119</t>
        </is>
      </c>
      <c r="B18" t="inlineStr">
        <is>
          <t>Data Scientist II</t>
        </is>
      </c>
      <c r="C18" t="inlineStr">
        <is>
          <t>Wiraa</t>
        </is>
      </c>
      <c r="D18" t="inlineStr">
        <is>
          <t>linkedin</t>
        </is>
      </c>
      <c r="E18" t="inlineStr"/>
      <c r="F18" t="inlineStr"/>
      <c r="G18" t="inlineStr"/>
      <c r="H18" t="inlineStr"/>
      <c r="I18" t="inlineStr">
        <is>
          <t>**About The Company**
 Coinbase is a leading global cryptocurrency platform dedicated to increasing economic freedom worldwide. As a pioneer in the blockchain and digital asset space, Coinbase offers a secure, user\-friendly environment for individuals and institutions to buy, sell, and manage digital currencies. The company is committed to building the emerging on\-chain platform and shaping the future of the global financial system. With a mission to promote financial inclusion and transparency, Coinbase continuously innovates to provide reliable and accessible crypto solutions. The organization fosters a dynamic, high\-performance culture that encourages continuous learning, collaboration, and impactful contributions. Coinbase’s commitment to diversity, inclusion, and equal opportunity makes it a forward\-thinking employer in the rapidly evolving fintech landscape.
**About The Role**
 We are seeking a highly motivated Data Scientist II to join Coinbase’s Platform Data Science team. This role is pivotal in leveraging data\-driven insights to enhance core systems and user experiences across various domains such as Payments, Risk \&amp; Trust, Identity \&amp; Onboarding, Compliance, Customer Support, and Experimentation. As a Data Scientist II, you will collaborate closely with cross\-functional teams including Product, Engineering, and Design to identify opportunities for optimization, improve product reliability, and facilitate growth through advanced analytics and experimentation. Your work will directly impact the safety, usability, and scalability of Coinbase’s platform, helping to build a more trustworthy and efficient financial ecosystem. The ideal candidate will possess strong analytical skills, a passion for solving complex problems, and a desire to contribute to a mission\-driven organization that is shaping the future of finance.
**Qualifications**
* BA/BS degree in a quantitative field such as Mathematics, Statistics, Physics, Computer Science, or related discipline
* Minimum of 2\+ years of relevant experience in data science or analytics
* Proficiency in SQL for data analysis and extraction
* Experience with Python programming for data modeling and analysis
* Strong understanding of statistical concepts including A/B testing, causal inference, and machine learning
* Experience working on digital products with iterative development cycles
* Excellent communication skills to convey insights clearly and effectively
* Demonstrated ability to work collaboratively in cross\-functional teams
* Proactive mindset with a focus on continuous learning and improvement
**Responsibilities**
* Perform comprehensive analyses on product data to answer strategic questions and inform decision\-making
* Design, execute, and interpret experiments to measure impact and guide product enhancements
* Develop and maintain key metrics, dashboards, and reports to monitor product health and performance
* Collaborate with engineering and product teams to improve data infrastructure and ensure data quality
* Identify opportunities for optimization within user journeys such as onboarding, payments, and authentication
* Apply advanced statistical and machine learning techniques to solve complex problems and generate actionable insights
* Communicate findings effectively to both technical and non\-technical stakeholders
* Stay current with industry trends and continuously improve data analysis methodologies
**Benefits**
* Competitive salary with bonus and equity eligibility
* Comprehensive health insurance including medical, dental, and vision coverage
* Retirement savings plan (401(k)) with company matching
* Paid time off and holidays
* Opportunities for professional development and continuous learning
* Inclusive and collaborative work environment
* Participation in team and company\-wide offsites to foster team cohesion
* Remote work flexibility with in\-person participation required throughout the year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protected characteristic under applicable law. The company actively considers qualified applicants with criminal histories in accordance with federal, state, and local laws. Coinbase is committed to providing reasonable accommodations for individuals with disabilities during the application and employment process.We value diversity and are dedicated to creating an inclusive environment for all employees.</t>
        </is>
      </c>
    </row>
    <row r="19">
      <c r="A19" t="inlineStr">
        <is>
          <t>li-4371795070</t>
        </is>
      </c>
      <c r="B19" t="inlineStr">
        <is>
          <t>Data Scientist – Finance &amp; Accounting Automation</t>
        </is>
      </c>
      <c r="C19" t="inlineStr">
        <is>
          <t>Qualcomm</t>
        </is>
      </c>
      <c r="D19" t="inlineStr">
        <is>
          <t>linkedin</t>
        </is>
      </c>
      <c r="E19" t="inlineStr"/>
      <c r="F19" t="inlineStr"/>
      <c r="G19" t="inlineStr">
        <is>
          <t>San Diego, CA</t>
        </is>
      </c>
      <c r="H19" t="inlineStr"/>
      <c r="I19" t="inlineStr">
        <is>
          <t>**Company**
 Qualcomm Incorporated
**Job Area**
 Information Technology Group, Information Technology Group \&gt; Data Science
**General Summary**
 We care deeply about transforming lives with Qualcomm technology to enrich our industry, our communities, and the world. Our mission is to build great products that accelerate next\-generation computing experiences — the building blocks for the data center, artificial intelligence, PCs, gaming, and embedded systems. Underpinning our mission is the Qualcomm culture. We push the limits of innovation to solve the world’s most important challenges. We strive for execution excellence while being direct, humble, collaborative, and inclusive of diverse perspectives.
 At Qualcomm: Together, we advance.
**About The Role**
 We are looking for a visionary data scientist to lead the transformation of finance and accounting operations through intelligent automation. This role combines deep technical expertise with strong business acumen to simplify processes, reduce manual effort, and accelerate AI adoption across the organization. You will design and deploy AI systems—including AI agents, and Model Context Protocols (MCP)—that automate complex workflows and empower teams through self\-service tools, training and extensive change management.
**Key Responsibilities**
 Business Process Simplification
* Partner with finance and accounting teams to deeply understand workflows and pain points.
* Translate business needs into technical solutions that simplify and streamline operations.
* Ensure all solutions align with compliance standards and audit requirements.
 AI \&amp; Automation Development
* Build and deploy AI/ML business solutions (LLMs, agents) and workflows for various finance and accounting tasks such as journal entry automation, reconciliation, forecasting, and other similar use\-cases.
* Design and develop interactive user interface to integrate user\-feedback with AI workflows leveraging React (preferred) or similar platforms.
* Integrate the solution workflow into existing enterprise systems such as Oracle ERP, SAP, Price Management, TM1, and Salesforce.
* Develop robust data pipelines in Python to extract, clean, and prepare data from enterprise platforms (Databrics, AWS Redshift, Oracle etc) for AI, and reporting use cases.
 Adoption \&amp; Enablement
* Drive AI and automation adoption by creating training programs and documentation for finance stakeholders.
* Promote the use of self\-service AI and automation tools to empower non\-technical users.
* Drive adoption through development of intuitive and simplified user interface with deep integration to AI solutions.
* Collaborate with IT and operations to leverage and integrate enterprise AI tools into existing systems and processes.
 Data \&amp; Reporting
* Build and maintain data pipelines that support real\-time and batch AI applications.
* Leverage Tableau, Power BI, and other self\-service reporting tools to visualize insights and track automation impact.
 Strategic Leadership
* Define KPIs and success metrics for AI initiatives in finance.
* Stay current with advancements in generative AI, agent\-based modeling, and enterprise AI governance.
* Present findings and proposals to executive stakeholders and steering committees.
**Qualifications**
* Bachelor’s or Master’s degree (MS strongly preferred) in Finance, Accounting, Economics, Computer Science, AI/ML, Applied Mathematics, or related field.
* 2 years of experience building and deploying AI/ML models in enterprise environments.
* Proficiency in Python or Rust; experience with frameworks like PyTorch, TensorFlow, LangChain, or similar.
* Experience in front\-end UI development, with proficiency in React or similar modern frameworks (e.g., Vue.js, Angular, Svelte), including building responsive, user\-friendly web applications.
* AI automation and workflow development using N8N or similar tools.
* Deep understanding of LLMs, AI agents, and context\-aware orchestration (e.g., MCP).
* Strong business acumen in finance and accounting, with the ability to map technical solutions to operational goals.
* Experience with ERP systems (e.g., Oracle, SAP) and financial data structures.
* Proficiency in Tableau, Power BI, or similar tools for self\-service reporting and visualization.
* Excellent communication and stakeholder management skills.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$46\.30 \- $69\.46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20">
      <c r="A20" t="inlineStr">
        <is>
          <t>li-4372716551</t>
        </is>
      </c>
      <c r="B20" t="inlineStr">
        <is>
          <t>Data Scientist</t>
        </is>
      </c>
      <c r="C20" t="inlineStr">
        <is>
          <t>Haystack</t>
        </is>
      </c>
      <c r="D20" t="inlineStr">
        <is>
          <t>linkedin</t>
        </is>
      </c>
      <c r="E20" t="inlineStr"/>
      <c r="F20" t="inlineStr"/>
      <c r="G20" t="inlineStr"/>
      <c r="H20" t="inlineStr"/>
      <c r="I20" t="inlineStr">
        <is>
          <t>**Associate Principal Data Scientist (Remote)**
 We're working with Blizzard Entertainment on this exciting opportunity.
 Are you a seasoned Associate Principal Data Scientist with a passion for gaming? Blizzard Entertainment is seeking a highly experienced and technically profound individual contributor to lead high\-impact initiatives and drive scientific excellence across experimentation and modeling. If you're ready to leverage your expertise in machine learning, statistical modeling, and large\-scale data systems in a dynamic environment, this is the role for you.
**The Role**
* Lead the design and execution of large\-scale data science initiatives, shaping the roadmap for experimentation and modeling across teams.
* Apply advanced statistical, optimization, and machine learning techniques (e.g., time\-series, regression/classification, recommendation engines, reinforcement learning, and GenAI) to drive system understanding and develop data\-powered solutions.
* Own design and evaluation of experimentation for optimization systems.
* Provide technical direction, mentor senior data scientists, and set high standards for scientific rigor, communication, and reproducibility.
* Partner cross\-functionally with Product, Engineering, and Game Studios to frame ambiguous problems, scope solutions, and influence strategy.
**What You'll Need**
* Master's degree or PhD in a quantitative field (e.g., Statistics, Mathematics, Computer Science, Economics, Engineering, Operations Research).
* 14\+ years of industry experience in data science, experimentation, statistical modeling, and machine learning, including work with large\-scale systems.
* Proficient in Python and SQL; familiarity with big data tools (e.g., Spark, Hive) and cloud computing platforms (e.g., GCP, AWS).
* Strong systems thinking—able to zoom out and define strategy while also diving deep into code and analysis.
* Excellent communication and collaboration skills, with demonstrated experience partnering across Product, Engineering, and Business teams.
**What's On Offer**
* Comprehensive benefits including medical, dental, vision, and 401(k) with Company match.
* Tuition reimbursement and charitable donation matching.
* Paid holidays, vacation, sick time, and parental leave.
* Mental health \&amp; wellbeing programs, fitness programs, and free/discounted games.
**Apply via Haystack today!**</t>
        </is>
      </c>
    </row>
    <row r="21">
      <c r="A21" t="inlineStr">
        <is>
          <t>li-4372253131</t>
        </is>
      </c>
      <c r="B21" t="inlineStr">
        <is>
          <t>Data Scientist IV</t>
        </is>
      </c>
      <c r="C21" t="inlineStr">
        <is>
          <t>Keystone Recruitment</t>
        </is>
      </c>
      <c r="D21" t="inlineStr">
        <is>
          <t>linkedin</t>
        </is>
      </c>
      <c r="E21" t="inlineStr"/>
      <c r="F21" t="inlineStr"/>
      <c r="G21" t="inlineStr">
        <is>
          <t>New York, United States</t>
        </is>
      </c>
      <c r="H21" t="inlineStr"/>
      <c r="I21" t="inlineStr">
        <is>
          <t>* **Role:** 
 Data Scientist IV
* **Location:** 
 100% Remote (Global)
* **Compensation:** 
 USD 105–125 per hour
**Overview** 
 We are seeking an experienced
 **Data Scientist IV** 
 to drive innovation through advanced analytics and modeling of high\-dimensional biosensor data. This role will contribute directly to biosensing research and development, enabling next\-generation product improvements and prototype development.
 The ideal candidate combines strong statistical and machine learning expertise with hands\-on experience in hardware sensor data, signal processing, and experimental analysis.
**Key Responsibilities** 
 Advanced Data Analysis \&amp; Modeling
* Execute, debug, and optimize distributed compute workflows for large\-scale metric computation and modeling
* Apply statistical analysis, machine learning, and advanced mathematical methods to uncover patterns in biosensor datasets
* Design and develop predictive models to extract actionable insights from real\-world sensor data
**Signal Processing \&amp; Sensor Analytics** 
* Analyze time\-domain signals and/or medical imaging data
* Apply signal processing techniques to improve data interpretation and model performance
* Support hardware sensor data analysis and prototype validation
**Experimentation \&amp; Hypothesis Testing** 
* Generate and test hypotheses through structured product experimentation
* Interpret experimental results to inform product and R\&amp;D strategy
**Cross\-Functional Collaboration** 
* Partner with engineering teams to translate analytical prototypes into scalable product solutions
* Provide technical guidance for large\-scale deployment of models and analytics frameworks
**Visualization \&amp; Communication** 
* Develop visualizations to communicate insights clearly to technical and non\-technical stakeholders
* Present findings from statistical and machine learning analyses to diverse audiences
**Minimum Qualifications** 
* Master’s or PhD in Computer Science, Statistics, Neuroscience, Biomedical Engineering, or related field
* 3\+ years of experience in data extraction, manipulation, and visualization
* Strong proficiency in Python, R, MATLAB, and/or SQL
* Experience working with large\-scale datasets
* Strong understanding of data structures and algorithms
**Required Technical Skills** 
* Experience with hardware sensor data and real\-world signal analysis
* Signal processing expertise (time\-domain signals and/or medical imaging systems)
* Scientific computing libraries: NumPy, SciPy, Pandas, Scikit\-learn, dplyr, caret
* Data visualization tools: Matplotlib, Pyplot, seaborn, ggplot2
* Machine learning and predictive modeling techniques
**Core Competencies** 
* Advanced Statistical Analysis
* Machine Learning \&amp; Predictive Modeling
* Signal Processing
* Experimental Design
* Distributed Compute Workflows
* Cross\-Functional Technical Collaboration
**Work Environment** 
* Onsite in New York City
* Research\-driven, data\-intensive environment
* Close collaboration with hardware and engineering teams
**Equal Opportunity Statement** 
 We are an equal opportunity employer and consider all qualified applicants without regard to legally protected characteristics. Reasonable accommodations are available upon request.
**APPLY NOW!**</t>
        </is>
      </c>
    </row>
    <row r="22">
      <c r="A22" t="inlineStr">
        <is>
          <t>li-4326901793</t>
        </is>
      </c>
      <c r="B22" t="inlineStr">
        <is>
          <t>Staff Data Scientist - Route Success</t>
        </is>
      </c>
      <c r="C22" t="inlineStr">
        <is>
          <t>Veho</t>
        </is>
      </c>
      <c r="D22" t="inlineStr">
        <is>
          <t>linkedin</t>
        </is>
      </c>
      <c r="E22" t="inlineStr"/>
      <c r="F22" t="inlineStr"/>
      <c r="G22" t="inlineStr">
        <is>
          <t>New York, United States</t>
        </is>
      </c>
      <c r="H22" t="inlineStr"/>
      <c r="I22" t="inlineStr">
        <is>
          <t>**About The Role**
 As a Staff Data Scientist, you’ll be directly embedded in a team of talented data scientists and engineers to help define, build, and operate sophisticated models to answer hard questions centered around improving our logistics network and user experiences. You’ll partner with product managers to understand high\-value business problems, build systems that inform daily operations, and work with cutting\-edge technology. You’ll work closely with software engineers to operationalize the models you build in the production systems that drive Veho.
**What You'll Do**
* Helping Shape Roadmaps by integrating business context and Data Science.
* Building reliable, efficient, and scalable models for our AI/ML capabilities
* Creating robust data pipelines to feed analyses and models
* Analyze and evaluate the impact and effectiveness of models in production systems
* Driving science roadmap for pricing of gig economy work for Veho alongside cross\-functional partners.
**What You Bring**
* Bachelor’s Degree plus 8 years of experience in data science or data engineering, or Master’s Degree plus 5 years in data science, Or Phd plus 3 years of experience in Data Science
* Experience using statistical modeling and machine learning techniques to solve business problems
* Experience developing both greenfield systems and building on top of existing systems.
* Experience leading end\-to\-end machine learning and data science projects.
* Strong SQL and Python skills.
* Experience with MLOps and model deployment pipelines
* Experience with Causal Inference / Advanced Experimentation Methodologies is nice to have, but not required.
* Experience with logistics is nice to have, but not required.
* Experience with combinatorial optimization methods is nice to have but not required.
**Compensation**
 $190,000\-$232,000 annually
 The pay range is subject to the discretion of the Company. Additionally, Veho offers a competitive equity package, comprehensive medical, dental, and vision coverage as well as other benefits such as 401k and unlimited PTO for exempt\-level roles.</t>
        </is>
      </c>
    </row>
    <row r="23">
      <c r="A23" t="inlineStr">
        <is>
          <t>li-4371787091</t>
        </is>
      </c>
      <c r="B23" t="inlineStr">
        <is>
          <t>Power BI/ Data Scientist</t>
        </is>
      </c>
      <c r="C23" t="inlineStr">
        <is>
          <t>TalentFish</t>
        </is>
      </c>
      <c r="D23" t="inlineStr">
        <is>
          <t>linkedin</t>
        </is>
      </c>
      <c r="E23" t="inlineStr"/>
      <c r="F23" t="inlineStr"/>
      <c r="G23" t="inlineStr">
        <is>
          <t>Chicago, IL</t>
        </is>
      </c>
      <c r="H23" t="inlineStr"/>
      <c r="I23" t="inlineStr">
        <is>
          <t>**Job Title: Power BI/ Data Scientist** 
**Primary Location: On\-Site (5 days per week\- Pilsen area)** 
**Position Type: Direct Hire** 
**Overview** 
 We are seeking a forward\-thinking
 **Power BI / Data Scientist** 
 to lead the development of our next\-generation data ecosystem. This role bridges traditional business intelligence with advanced AI capabilities by leveraging
 **Microsoft Fabric** 
 to curate enterprise data, build complex Power BI reporting, and develop AI\-driven data experiences.
 A key focus of this role is preparing data for
 **natural language interaction** 
 , including building and refining
 **Linguistic Schemas** 
 and
 **AI\-ready semantic models** 
 that enable intuitive, high\-value business insights.
**What You'll Do** 
* **Power BI \&amp; Reporting**
* Design, develop, and maintain high\-impact Power BI dashboards and interactive reports
* Leverage advanced
 **DAX** 
 and
 **Power Query** 
 to deliver performant, business\-aligned analytics
* **Data Curation \&amp; Fabric Engineering**
* Curate, transform, and model raw data into high\-quality, reporting\-ready datasets
* Utilize
 **Microsoft Fabric OneLake** 
 to ensure data integrity, scalability, and optimized retrieval
* **AI Agent Development**
* Build and configure
 **Fabric Data Agents** 
 that enable natural language (Q\&amp;A) interaction with enterprise data
* Partner with stakeholders to align AI capabilities with real business use cases
* **Linguistic Schema \&amp; AI Readiness**
* Prepare data for AI consumption by building and importing
 **Linguistic Schemas**
* Enhance natural language understanding and usability across AI\-driven experiences
* **Model Optimization**
* Refine semantic models with AI\-specific instructions, example queries, and synonym mapping
* Improve the accuracy, relevance, and reliability of generative AI outputs
**What You Bring** 
* **8–10\+ years** 
 of experience in data engineering, BI development, or reporting solutions with a strong delivery track record
* Deep experience with
 **Power BI** 
 , data modeling, and enterprise reporting
* Hands\-on experience with or strong interest in
 **Microsoft Fabric** 
 , AI\-enabled analytics, and semantic modeling
* Practical understanding of
 **IT infrastructure** 
 , software development lifecycles, and cloud operations
* Strong communication and business\-alignment skills with the ability to translate between technical and non\-technical stakeholders
**What Success Looks Like** 
* **First 90 Days**
* Build strong relationships with teammates and business stakeholders
* Learn existing data, applications, systems, processes, and infrastructure
* **6 Months**
* Own delivery of core systems and reporting solutions
* Ship initial
 **AI\-driven data and analytics capabilities**
* **12 Months**
* Earn strong trust from business users
* Deliver measurable impact through AI, data curation, and advanced reporting
**Compensation Information** 
 The expected salary range for this position is $145,000\-$160,000 per year depending on experience and qualifications. This role also qualifies for comprehensive benefits such as health insurance, 401(k), and paid time off. TalentFish is committed to pay transparency and equal opportunity. The salary range provided is in compliance with applicable state and federal regulations.
 This role requires authorization to work in the U.S. without current or future visa sponsorship.
 All offers are contingent upon the completion of a background check, which may include but is not limited to reference checks, education verification, employment verification, drug testing, criminal records checks, and any required certifications or compliance requirements based on the end client's background check policies and applicable laws.
*TalentFish is an employee\-owned company pioneering a new realm in talent acquisition. We are redefining IT staffing by evolving AI, video screening, and our unique platform. TalentFish focuses on providing the best employee, consultant, and client experience possible.* 
*At TalentFish we are an Equal Opportunity Employer; we embrace and encourage diversity!* 
 EMAIL LORIE \- lgironda@talentfish.com</t>
        </is>
      </c>
    </row>
    <row r="24">
      <c r="A24" t="inlineStr">
        <is>
          <t>li-4372226962</t>
        </is>
      </c>
      <c r="B24" t="inlineStr">
        <is>
          <t>Data Scientist III</t>
        </is>
      </c>
      <c r="C24" t="inlineStr">
        <is>
          <t>Keystone Recruitment</t>
        </is>
      </c>
      <c r="D24" t="inlineStr">
        <is>
          <t>linkedin</t>
        </is>
      </c>
      <c r="E24" t="inlineStr"/>
      <c r="F24" t="inlineStr"/>
      <c r="G24" t="inlineStr">
        <is>
          <t>Menlo Park, CA</t>
        </is>
      </c>
      <c r="H24" t="inlineStr"/>
      <c r="I24" t="inlineStr">
        <is>
          <t>* **Role:** 
 Data Scientist III
* **Location:** 
 100% Remote (Global)
* **Compensation:** 
 USD 90–110 per hour
**Overview** 
 We are seeking an experienced
 **Data Scientist III** 
 to support high\-impact strategic initiatives across a large\-scale product and platform ecosystem. This role is ideal for a data professional with strong analytical depth, experience working with complex datasets, and a proven ability to translate data into actionable business insights.
 The successful candidate will partner closely with Product and Engineering teams to drive product strategy, experimentation, and ecosystem health measurement.
**Key Responsibilities** 
 Data Analysis \&amp; Modeling
* Analyze large, complex datasets to identify trends, patterns, and actionable insights
* Build statistical and predictive models to support product and ecosystem decision\-making
* Deliver high\-quality ad hoc analysis in response to urgent business needs
**Metrics \&amp; Measurement** 
* Design, implement, and maintain key metrics to measure product performance, engagement, and ecosystem health
* Develop frameworks for long\-term performance tracking and reporting
**Experimentation** 
* Design and execute structured experiments to evaluate product features, partnerships, and strategic initiatives
* Apply statistical rigor and causal inference principles to interpret results
**Reporting \&amp; Visualization** 
* Build dashboards and reports using tools such as Tableau, Unidash, or Metrics360
* Communicate findings clearly to both technical and non\-technical stakeholders
**Cross\-Functional Collaboration** 
* Partner with Product and Engineering teams to define analytical requirements
* Present insights that directly inform product strategy and roadmap decisions
**Minimum Qualifications** 
* Bachelor’s or Master’s degree in Data Science, Statistics, Computer Science, Economics, or related quantitative field
* 5\+ years of experience in data science, analytics, or similar roles
* Advanced proficiency in SQL
* Proficiency in Python or R
* Experience with data visualization tools (Tableau, Unidash, Metrics360, or similar)
* Strong communication skills and ability to present complex insights clearly
* Ability to work independently in a fast\-paced environment
**Preferred Qualifications** 
* Experience working with large\-scale data infrastructure in technology or platform ecosystems
* Familiarity with big data tools (e.g., Presto, Hive, Scuba or similar technologies)
* Experience in experimentation design and causal inference methodologies
* Prior experience in contractor or consulting environments
* Previous experience at a major technology company
**Required Core Competencies** 
* Advanced Data Analysis \&amp; Modeling
* Product Analytics \&amp; Metrics Development
* Experimentation \&amp; Statistical Testing
* Data Visualization \&amp; Storytelling
* Cross\-Functional Collaboration
**Work Environment** 
* Onsite in Menlo Park, CA
* Fast\-paced, product\-driven environment
* Cross\-functional collaboration across product and engineering teams
**Equal Opportunity Statement** 
 We are an equal opportunity employer and consider all qualified applicants without regard to legally protected characteristics. Qualified applicants with arrest and conviction records will be considered in accordance with applicable laws. Reasonable accommodations are available upon request.
**APPLY NOW!**</t>
        </is>
      </c>
    </row>
    <row r="25">
      <c r="A25" t="inlineStr">
        <is>
          <t>li-4371790618</t>
        </is>
      </c>
      <c r="B25" t="inlineStr">
        <is>
          <t>Lead Data Scientist with AI Studio experience</t>
        </is>
      </c>
      <c r="C25" t="inlineStr">
        <is>
          <t>Delta System &amp; Software, Inc.</t>
        </is>
      </c>
      <c r="D25" t="inlineStr">
        <is>
          <t>linkedin</t>
        </is>
      </c>
      <c r="E25" t="inlineStr"/>
      <c r="F25" t="inlineStr"/>
      <c r="G25" t="inlineStr">
        <is>
          <t>New York, NY</t>
        </is>
      </c>
      <c r="H25" t="inlineStr"/>
      <c r="I25" t="inlineStr">
        <is>
          <t>**Position: Lead Data Scientist with AI Studio experience** 
**Location: Boston, MA\|\| New York, NY\|\| Holmdel, NJ \|\| Stamford, CT (Hybrid 3 Days/week Onsite)** 
**Duration: Permanent Role** 
**US Citizen/Green are advised to apply for this role** 
**Job Description** 
* Looking for 10\+ years of hands\-on ML modeling/development experience
* Candidate should have solid understanding of data analysis and statistical modeling.
* Should have knowledge of a variety of machine learning techniques (clustering, decision tree, bagging/boosting artificial neural networks, etc.) and their real\-world advantages/drawbacks.
* Should have demonstrated track records in experimental design and executions
* Hands\-on experience with data wrangling including fuzzy matching and regular expression, distributed computing and applying parallelism to ML solutions is Highly required
* Solid background in algorithms and a range of ML models
* Proven leadership in providing technical leadership and mentoring to data scientists and strong management skills with ability to monitor/track performance for enterprise success
* Strong programming skills in Python
* PhD with 2\+ years of experience, Master's degree with 4\+ years of experience in Statistics, Computer Science, Engineering, Applied mathematics or related field.</t>
        </is>
      </c>
    </row>
    <row r="26">
      <c r="A26" t="inlineStr">
        <is>
          <t>li-4371797050</t>
        </is>
      </c>
      <c r="B26" t="inlineStr">
        <is>
          <t>Staff Applied Scientist - AI &amp; Robotics</t>
        </is>
      </c>
      <c r="C26" t="inlineStr">
        <is>
          <t>Tata Consultancy Services</t>
        </is>
      </c>
      <c r="D26" t="inlineStr">
        <is>
          <t>linkedin</t>
        </is>
      </c>
      <c r="E26" t="inlineStr"/>
      <c r="F26" t="inlineStr"/>
      <c r="G26" t="inlineStr">
        <is>
          <t>Mountain View, CA</t>
        </is>
      </c>
      <c r="H26" t="inlineStr"/>
      <c r="I26" t="inlineStr">
        <is>
          <t>**Staff Applied Scientist \- AI \&amp; Robotics** 
**Mountain View, CA \| 4 \- 6 years of experience** 
**Job Description:** 
 Technical/Functional Skills
 • PhD in a relevant STEM field, or Master’s with equivalent industry experience in robotics, robot learning, or embodied AI.
 • Proven experience building and deploying machine learning models on robotic systems—including training, evaluation, and real\-world execution or simulation.
 • Deep understanding of modern AI architectures (e.g., Transformers, diffusion models, VLM/VLAs, CNNs) with strong experience training models at scale.
 • Strong PyTorch implementation skills, including authoring custom modules, batching, debugging, and performance optimization.
 • Practical experience with ROS/ROS2 and integrating learned policies into manipulation or motion control workflows.
 • Demonstrated impact via robot learning publications, open\-source contributions, or production robotics deployments.
 Roles \&amp; Responsibilities
 • Design and implement advanced robot learning architectures (e.g., diffusion policies, ACT, VLM/VLA\-guided agents, imitation learning) to support dexterous manipulation, path planning, and autonomous task sequencing.
 • Develop end\-to\-end policy training pipelines, integrating multi\-modal sensory data (RGB, depth, proprioception, force/torque, LiDAR, tactile inputs) with control outputs.
 • Build policy inference and closed\-loop control that connect perception, planning, and execution on physical robotic platforms.
 • Apply and extend large\-scale architectures—LLMs, VLM/VLAs, diffusion models—to embodied tasks, grounding, and sim\-to\-real adaptation.
 • Collaborate with cross\-functional teams to deploy robot policies on hardware, ensuring robustness, repeatability, and safety.
 • Lead data strategy for demonstrations, teleoperation, simulation pipelines, and evaluation frameworks for manipulation policies.
 • Stay current with embodied AI research and share insights internally through discussion, mentorship, and technical presentations
 Base Salary Range: $130,000 to $170,000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t>
        </is>
      </c>
    </row>
    <row r="27">
      <c r="A27" t="inlineStr">
        <is>
          <t>li-4337091792</t>
        </is>
      </c>
      <c r="B27" t="inlineStr">
        <is>
          <t>Senior Customer Data Scientist</t>
        </is>
      </c>
      <c r="C27" t="inlineStr">
        <is>
          <t>Datadog</t>
        </is>
      </c>
      <c r="D27" t="inlineStr">
        <is>
          <t>linkedin</t>
        </is>
      </c>
      <c r="E27" t="inlineStr"/>
      <c r="F27" t="inlineStr"/>
      <c r="G27" t="inlineStr">
        <is>
          <t>New York, NY</t>
        </is>
      </c>
      <c r="H27" t="inlineStr"/>
      <c r="I27" t="inlineStr">
        <is>
          <t>**About Datadog**
 Datadog helps developers, data teams, and business users ship and learn fast—combining observability, security, feature flagging, and experimentation into one unified platform. Our tools power innovation across the modern enterprise, helping organizations deliver faster, more reliable digital experiences while continuously learning from their data. We’re growing rapidly and building new capabilities that put Datadog at the forefront of experimentation, inference, and product development tooling.
**About The Team**
 Eppo, now part of Datadog, is building the experimentation platform that powers the world’s most innovative companies—including Coinbase, Perplexity, and DraftKings. Our team of experimenters helps organizations run trustworthy, high\-velocity experiments that drive real business outcomes. We bring cutting\-edge causal inference methods to bear across a wide range of experiment types and literacy levels, from simple A/B tests to advanced techniques like holdouts, bandits, and synthetic controls.
 As part of the Eppo Solutions team within Datadog, you’ll work closely with customers to help them succeed with experimentation—guiding them through design, interpretation, and operational best practices, and ensuring that experimentation becomes a core capability within their business. You’ll be at the forefront of shaping how the world’s leading companies run experiments at scale. At Datadog, you’ll join a collaborative, growth\-oriented environment with competitive salary, equity, and benefits—where your expertise in data science and experimentation directly contributes to the success of our customers and our business.
*At Datadog, we place value in our office culture \- the relationships and collaboration it builds, and the creativity it brings to the table. We operate as a hybrid workplace to ensure our Datadogs can create a work\-life harmony that best fits them.*
**What You’ll Do**
* Serve as a technical and analytical partner to customers evaluating Datadog’s experimentation capabilities during pre\-sales engagements.
* Support proofs of concept by helping customers configure metrics, validate data pipelines, and design statistically sound experiments.
* Educate customers on best practices in experiment design, metric definition, and interpretation—spanning product A/B tests, marketing lifecycle tests, pricing and packaging, and AI/ML experimentation.
* Provide post\-sales enablement and training, ensuring customers adopt strong analytical and experimental habits within Eppo and Datadog.
* Collaborate with Product and Engineering to represent customer feedback and influence product direction.
* Partner with Sales and Solutions leadership to identify opportunities, overcome objections, and build champions within customer organizations.
* Contribute to internal documentation, playbooks, and presentations that raise the bar for data\-driven experimentation across the company.
**Who You Are**
* You have 4\+ years of professional data science experience with a strong foundation in statistics, inference, and experimental design.
* You have run many A/B experiments across multiple companies or products, and are comfortable applying advanced methods such as holdouts, bandits, synthetic controls, or geolift tests.
* You’re fluent in SQL and experienced enough with data engineering concepts to diagnose issues in customer data warehouses and pipelines.
* You thrive in customer\-facing settings—able to communicate complex analytical ideas clearly, handle objections thoughtfully, and build trust with both technical and non\-technical audiences.
* You are an active listener, able to sense what’s said and what’s not said in conversations, and you adjust your approach accordingly.
* You enjoy teaching, simplifying, and elevating others’ analytical capabilities.
* You are motivated by impact—you want your work to influence real business outcomes like customer success, win rates, and revenue growth.
**Preferred Qualifications**
* Experience supporting enterprise customers in a solutions, pre\-sales, or consulting capacity.
* Familiarity with tools like dbt, Airflow, or similar analytics orchestration systems.
* Prior exposure to B2B SaaS or cloud infrastructure analytics environments.
* Demonstrated thought leadership in experimentation—talks, posts, or internal education initiatives.
*Datadog values people from all walks of life. We understand not everyone will meet all the above qualifications on day one. That's okay. If you’re passionate about technology and want to grow your skills, we encourage you to apply.*
**Benefits \&amp; Growth**
* New hire stock equity (RSUs) and employee stock purchase plan (ESPP)
* Continuous professional development, product training, and career pathing
* Intra\-departmental mentor and buddy program for in\-house networking
* An inclusive company culture, with the ability to join our Community Guilds
* Access to Inclusion Talks, our internal panel discussions
* Free, global Spring Health benefits for employees and dependents age 6\+
* Competitive global benefits
*Benefits and Growth listed above may vary based on the country of your employment and the nature of your employment with Datadog.*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$187,000—$240,000 USD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row>
    <row r="28">
      <c r="A28" t="inlineStr">
        <is>
          <t>li-4372263146</t>
        </is>
      </c>
      <c r="B28" t="inlineStr">
        <is>
          <t>Senior Applied Scientist &amp; Principal Applied Scientist (Multiple Positions)</t>
        </is>
      </c>
      <c r="C28" t="inlineStr">
        <is>
          <t>Microsoft</t>
        </is>
      </c>
      <c r="D28" t="inlineStr">
        <is>
          <t>linkedin</t>
        </is>
      </c>
      <c r="E28" t="inlineStr"/>
      <c r="F28" t="inlineStr"/>
      <c r="G28" t="inlineStr"/>
      <c r="H28" t="inlineStr"/>
      <c r="I28" t="inlineStr">
        <is>
          <t>**Overview**
**Senior Applied Scientist and Principal Applied Scientist (Multiple Positions) \-Microsoft Applied Sciences Group**
 From being able to log you in with face recognition, correct your gaze during a video chat to maintain eye contact, to the exciting possibilities in augmented reality, are you itching to play a part in bringing applications of machine learning to millions of users?
 The
 **Microsoft Applied Sciences Group** 
 incubates disruptive technologies for Microsoft’s next\-gen hardware products and is working on several exciting projects that will shape how computers and other devices perceive the user and the user’s environment. Operating as a startup within the company, this team works closely with several research and product teams to bring compelling new experiences to the market. A lot of these experiences will be powered by machine learning – and as part of this team, you will have the unique opportunity to work on almost every aspect of a shipping vision system: camera optics, sensors, data pipeline and of course, developing and implementing the algorithms that make magic happen!
 The team is growing, and we have an exciting opportunity for talented
 **Senior Applied Scientist and Principal Applied Scientist** 
 to drive and lead implementation of state\-of\-the\-art AI algorithms for specific and general\-purpose silicon on next generation devices and operating systems. This is a hands\-on team lead task. You will have collaboration opportunities throughout the organization and will be building new stuff that really works and has millions of users.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Optimize, fine tune and transform models for edge device inferencing.
* Contribute to the technical design, architecture, development, and evaluation of DNN models.
* Collaborate with engineering and product development teams.
* Contribute to a real\-time system involving multiple components.
* Assist in identifying and addressing issues in ML frameworks and associated hardware.
* Mentor junior engineers and contribute to team knowledge\-sharing sessions.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3\+ years of experience in deep learning and large language models, including transformer‑based architectures (e.g., BERT, GPT‑2/GPT‑3, LLaMA, OPT).
* 3\+ years of experience optimizing large language models, including model compression, distillation, quantization, and parameter‑efficient fine‑tuning techniques (e.g., LoRA, GPTQ).
* Proficiency in Python for machine learning, research, and experimentation workflows.
* Experience with modern ML frameworks such as PyTorch or TensorFlow.
* Experience with dataset curation, data generation using state‑of‑the‑art LLM prompting techniques, and automated model evaluation.
* Experience with model conversion and deployment frameworks (e.g., ONNX).
* Demonstrated record of publications in top‑tier conferences or journals (e.g., NeurIPS, ICML, ICLR, ACL, CVPR, ICCV, ECCV, TPAMI).
* Experience building production‑quality APIs, SDKs, or software packages for third‑party or external consumption.
* Demonstrated ability and passion for incubating new ideas, solving complex problems, and building working systems.
 \#W\+DJOBS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9">
      <c r="A29" t="inlineStr">
        <is>
          <t>li-4337211337</t>
        </is>
      </c>
      <c r="B29" t="inlineStr">
        <is>
          <t>Lead Applied AI ML Data Scientist</t>
        </is>
      </c>
      <c r="C29" t="inlineStr">
        <is>
          <t>JPMorganChase</t>
        </is>
      </c>
      <c r="D29" t="inlineStr">
        <is>
          <t>linkedin</t>
        </is>
      </c>
      <c r="E29" t="inlineStr"/>
      <c r="F29" t="inlineStr"/>
      <c r="G29" t="inlineStr">
        <is>
          <t>Jersey City, NJ</t>
        </is>
      </c>
      <c r="H29" t="inlineStr"/>
      <c r="I29" t="inlineStr">
        <is>
          <t>**Job Description**
 As Lead Applied AI ML \- Data Scientist within the Commercial \&amp; Investment Bank's Global Banking team, you’ll leverage your technical expertise and leadership abilities to support AI innovation. You should have deep knowledge of AI/ML and effective leadership to inspire the team, align cross\-functional stakeholders, engage senior leadership, and drive business results.
**Job Responsibilities**
* Lead a local AI/ML team with accountability and engagement into a global organization.
* Mentor and guide team members, fostering an inclusive culture with a growth mindset.
* Collaborate on setting the technical vision and executing strategic roadmaps to drive AI innovation.
* Deliver AI/ML projects through our ML development life cycle using Agile methodology. Help transform business requirements into AI/ML specifications, define milestones, and ensure timely delivery.
* Work with product and business teams to define goals and roadmaps. Maintain alignment with cross\-functional stakeholders.
* Exercise sound technical judgment, anticipate bottlenecks, escalate effectively, and balance business needs versus technical constraints.
* Design experiments, establish mathematical intuitions, implement algorithms, execute test cases, validate results and productionize highly performant, scalable, trustworthy and often explainable solution.
* Mentor junior team members delivering successful projects and building successful career in the firm.
* Participate and contribute back to firmwide Machine Learning communities through patenting, publications and speaking engagements.
* Evaluate and design effective processes and systems to facilitate communication, improve execution, and ensure accountability.
**Required Qualifications, Capabilities, And Skills**
* Masters with 7\+ years experience or PhD with 3\+ years of experience in Computer Science, Information Systems, Statistics, Mathematics, or equivalent experience.
* Track record of managing AI/ML or software development teams.
* Experience as a hands\-on practitioner developing production AI/ML solutions.
* Knowledge and experience in machine learning and artificial intelligence. Ability to set teams up for success in speed and quality, and design effective metrics and hypotheses.
* Expert in at least one of the following areas: Large Language Models, Natural Language Processing, Knowledge Graph, Reinforcement Learning, Ranking and Recommendation, or Time Series Analysis.
* Good understanding of Data structures, Algorithms, Machine Learning, Data Mining, Information Retrieval, Statistics.
* Must have good knowledge on agentic patterns and relevant frameworks, such as LangChain, LangGraph, Auto\-GPT etc.
* Strong understanding of AI implementation in software development and legacy code transformation.
* Experience in advanced applied ML areas such as GPU optimization, finetuning, embedding models, inferencing, prompt engineering, AI evaluation, RAG (Similarity Search).
* Demonstrated expertise in machine learning frameworks: Tensorflow, Pytorch, pyG, Keras, MXNet, Scikit\-Learn.
* Programming knowledge of python, spark; Strong grasp on vector operations using numpy, scipy etc
**Preferred Qualifications, Capabilities And Skills**
* Familiarity in AWS Cloud services such as EMR, Sagemaker etc.,
* Strong people management and team\-building skills. Ability to coach and grow talent, foster a healthy engineering culture, and attract/retain talent. Ability to build a diverse, inclusive, and high\-performing team.
* Ability to inspire collaboration among teams composed of both technical and non\-technical members. Effective communication, solid negotiation skills, and strong leadership.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30">
      <c r="A30" t="inlineStr">
        <is>
          <t>li-4372263093</t>
        </is>
      </c>
      <c r="B30" t="inlineStr">
        <is>
          <t>Senior Applied Scientist, AI Security</t>
        </is>
      </c>
      <c r="C30" t="inlineStr">
        <is>
          <t>Uber</t>
        </is>
      </c>
      <c r="D30" t="inlineStr">
        <is>
          <t>linkedin</t>
        </is>
      </c>
      <c r="E30" t="inlineStr"/>
      <c r="F30" t="inlineStr"/>
      <c r="G30" t="inlineStr">
        <is>
          <t>Sunnyvale, CA</t>
        </is>
      </c>
      <c r="H30" t="inlineStr"/>
      <c r="I30" t="inlineStr">
        <is>
          <t>****About The Role****
****Job Description****
 Our mission is to make Uber the industry model for a secure and trustworthy AI ecosystem through differentiated, highly scalable, and extensible products, engineering standards, policy, and open communications.
 We are focusing on building robust defense mechanisms that protect the entire AI lifecycle\-from internal infrastructure to external user\-facing products. This includes securing the technology platform to protect model integrity, prevent data leakage, and enable safe business velocity.
 Lead efforts within the organization to drive the development of secure AI/ML\-based solutions in support of user\-facing products, internal downstream services, or infrastructure tools and platforms used across Uber.
******About The Team******
 Our mission is to make Uber the industry model for AI Safety and Security through differentiated products, engineering standards, and policy. We focus on a defense\-in\-depth approach, building protections that span from internal developer tools to external customer agents, ensuring that our AI systems remain resilient against adversarial attacks while preserving user trust.
******About The Role******
 Lead efforts to develop and evaluate security controls for large\-scale machine learning models, harden retrieval\-augmented generation (RAG) systems, alignment\-tune large language models (LLMs), and secure agentic workflows across internal and external boundaries. This role requires a strong foundation in both traditional machine learning, advanced LLM technologies, and adversarial machine learning.
****What The Candidate Will Need / Bonus Points****
* What the Candidate Will Do
* Develop and evaluate large\-scale machine learning model systems in production with a focus on adversarial robustness, input validation, and output sanitization.
* Propose, design, and analyze large\-scale online experiments to test safety guardrails and detect ecosystem vulnerabilities.
* Define and implement metrics to measure security posture, attack surface reduction, and product performance.
* Present findings on AI risks, red\-teaming results, and mitigations to business and executive audiences.
* Collaborate with engineers and product managers to implement secure\-by\-design ideas and plan future roadmaps.
* Optimize and secure retrieval\-augmented generation (RAG) systems against prompt injection, indirect injection, and data exfiltration.
* Fine\-tune large language models (LLMs) to improve safety alignment, resistance to jailbreaking, and operational efficiency.
* Implement secure agentic workflows to streamline processes, ensuring safe tool\-use and authorization for both internal employee agents and external user agents.
* Basic Qualifications
* Ph.D., MS or Bachelors degree in Statistics, Economics, Operations Research, Computer Science, Engineering, or other quantitative field.
* If Ph.D or M.S. degree, a minimum of 2\+ years of industry experience as an Applied Scientist or equivalent.
* Knowledge of underlying mathematical foundations of machine learning, statistics, optimization, economics, and analytics.
* Hands\-on experience building and deploying ML models.
* Knowledge of experimental design and analysis.
* Experience with exploratory data analysis, statistical analysis and testing, and model development.
* Ability to use a language like Python or R to work efficiently at scale with large data sets.
* Proficiency in technologies in one or more of the following: SQL, Spark, Hadoop.
* Preferred Qualifications
* Knowledge in modern machine learning techniques applicable to AI Security, Adversarial ML (AML), and model robustness.
* Advanced understanding of statistics, causal inference, and machine learning.
* 5\+ years of industry experience as an Applied Scientist or equivalent.
* Experience designing and analyzing large scale online experiments.
* Experience working with large scale data sets using technologies like Hive, Presto, and Spark.
* Experience with synthetic data generation for red\-teaming and adversarial training.
* Proficiency in fine\-tuning and optimizing large language models (LLMs) for safety (e.g., RLHF, DPO).
* Experience in securing retrieval\-augmented generation (RAG) systems.
* Familiarity with secure agentic workflows, sandboxing, and their applications in internal and external AI systems.
 For Sunnyvale, CA\-based roles: The base salary range for this role is USD$190,000 per year \- USD$211,000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1">
      <c r="A31" t="inlineStr">
        <is>
          <t>li-4372739117</t>
        </is>
      </c>
      <c r="B31" t="inlineStr">
        <is>
          <t>Lead Data Scientist</t>
        </is>
      </c>
      <c r="C31" t="inlineStr">
        <is>
          <t>Capgemini</t>
        </is>
      </c>
      <c r="D31" t="inlineStr">
        <is>
          <t>linkedin</t>
        </is>
      </c>
      <c r="E31" t="inlineStr"/>
      <c r="F31" t="inlineStr"/>
      <c r="G31" t="inlineStr">
        <is>
          <t>Seattle, WA</t>
        </is>
      </c>
      <c r="H31" t="inlineStr"/>
      <c r="I31"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 Developing expertise in Generative AI; experience with generative models and experience in deploying AI models in production environments
* Proficiency in programming; ability to write robust code in Python (preferred) or another programming language
* Demonstrated knowledge of RAG (Retrieval Augmented Generation), Zeroshot (ZSL), Multishot prompting and other prompt engineering approaches, common AI/ML frameworks (e.g., TensorFlow, PyTorch), GIT, Docker and vector databases
* Demonstrated knowledge of cloud AI services (AWS SageMaker, GCP AI Platform, Azure ML) and APIs
* Proficiency in using and configuring Linux systems
* A demonstrated proficiency in containerization technologies such as docker
* Additional coursework or certifications in machine learning, NLP, Large Language Models (LLMs), multi\-modal foundation models, and generative AI techniques
* Innovative prompt design skills possessing the ability to develop and refine advanced prompts to maximize the efficacy and creativity of AI responses
* Understanding of trends in the GenAI landscape and know how to prioritize and apply them to our offerings and projects
* Implement machine learning algorithms and software architectures to achieve outlined goals.
* Write and maintain clear and concise documentation for data dictionaries, models, and code.
* Collaborate effectively with team members and stakeholders to deliver high quality solutions '
**Required Skills And Experience**
 Should have at least 12\+ years of IT experience in Data and analytics
 Should have 2 \+ Years experience in Generative AI model developmentManage a team of data scientists and provide technical guidance, mentorship, and coaching to ensure team members professional development and growth.
 Drive cross functional alignment with teams across sales, engineering, product, marketing, etc. to advance strategic priorities for our customers.
 The base compensation range for this role in the posted location is:$180,000 to $220,000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32">
      <c r="A32" t="inlineStr">
        <is>
          <t>li-4291672702</t>
        </is>
      </c>
      <c r="B32" t="inlineStr">
        <is>
          <t>Sr. Data Scientist &amp; Algorithm Developer (Thermal Controls)</t>
        </is>
      </c>
      <c r="C32" t="inlineStr">
        <is>
          <t>Vertiv</t>
        </is>
      </c>
      <c r="D32" t="inlineStr">
        <is>
          <t>linkedin</t>
        </is>
      </c>
      <c r="E32" t="inlineStr"/>
      <c r="F32" t="inlineStr"/>
      <c r="G32" t="inlineStr">
        <is>
          <t>Westerville, OH</t>
        </is>
      </c>
      <c r="H32" t="inlineStr"/>
      <c r="I32" t="inlineStr">
        <is>
          <t>**Job Summary**
**JOB DESCRIPTION**
 Vertiv is seeking a
 ***Sr. Data Scientist \&amp; Algorithm Developer***
 to lead our Advanced Thermal Controls Algorithm Development efforts. This position understands and follows the new product development process and leads the ideation, design, testing and troubleshooting of Advanced Thermal Controls Logic and Algorithms. The Sr. Data Scientist \&amp; Algorithm Developer supports the Global Thermal Management business. This position interacts with and supports Global Design, Test Engineering, Thermal Controls, and Quality teams.
**Responsibilities**
* Creating Algorithm test plans and executing the plan either through simulated bench or lab environments.
* Owner of Thermal Controls Algorithm development, testing and verification in Thermal Controls Labs.
* Compilation and advanced analysis of test data with a focus on model development.
* Ideation, development, verification, and handoff of advanced algorithms and logic utilizing AI/ML methods for optimization, conditional based maintenance (predictive diagnostics), and/or operational excellence related to Thermal HVAC equipment to the Thermal Controls Development team.
* Algorithm scope includes single component, single device, multi\-device systems and multi\-systems.
* Familiarity with ML/AI technologies and a solid understanding of machine learning fundamentals, including MLP, CNN, SNN models, normalization and activation functions, forward/back propagation, and associated mathematics.
* Lab testing for verification of benefits and presentation of these results to the Product Management teams.
* Assist the Thermal Controls Development team in integrating algorithms into Controls architecture and platforms.
* Assisting in roadmap generation and resource plans specifically for Thermal Controls Algorithm development.
* Participates in sustaining activities for existing algorithms including diagnosis and resolution of related defects.
* Responsible for keeping excellent, organized project records and documentation.
* Product testing: Unit testing, system integration testing, and field\-testing support
* Leadership: Effective lead engineer, consistent positive attitude, creativity, accepts broad responsibility
* Other tasks and activities as required by management
**Requirements**
* Bachelor's Degree/Master's Degree (MS or higher) or foreign equivalent with strong emphasis on software: Computer Science, Controls Engineering, Data Science/Engineering, Software Engineering, Electrical/Mechanical Engineering; Preferred engineer with PhD and industrial experience.
* At least 5 years related experience
* Required expertise with HVAC, data manipulation and algorithm design:
+ HVAC experience (5 years)
+ Experience with data manipulation, data modeling and analysis
+ Experience with real HVAC testing (propose, execute, evaluate)
+ Experience with control design, numerical optimization, machine learning, artificial intelligence
+ Experience with development and implementation of complex mathematical algorithms
* Preferred expertise with software programming languages including but not limited to:
+ Matlab, Simulink, Python, C/C\+\+
+ MySQL Server, SQL
+ TensorFlow, Keras, Scikit\-learn, PyTorch, Nvidia AI Labs
+ LabView and associated Data Acquisition systems and protocols
* Familiarity with software development environments and tools:
+ Git, GitHub, GitLab, Rally, Code Composer Studio™ IDE, ST32CubeIDE™, and Eclipse® IDE toolsa plus
* Fluent in English
* Up to 10% travel
**The successful candidate will embrace Vertiv’s Core Principals \&amp; Behaviors to help execute our Strategic Priorities.**
**OUR CORE PRINCIPALS** 
 :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**About Vertiv**
 Vertiv is a $8\.0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20,000 people and does business in more than 130 countries. Visit Vertiv.com to learn more.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t>
        </is>
      </c>
    </row>
    <row r="33">
      <c r="A33" t="inlineStr">
        <is>
          <t>li-4312542917</t>
        </is>
      </c>
      <c r="B33" t="inlineStr">
        <is>
          <t>Applied Scientist II, Prime Video Personalization and Discovery Science</t>
        </is>
      </c>
      <c r="C33" t="inlineStr">
        <is>
          <t>Prime Video &amp; Amazon MGM Studios</t>
        </is>
      </c>
      <c r="D33" t="inlineStr">
        <is>
          <t>linkedin</t>
        </is>
      </c>
      <c r="E33" t="inlineStr"/>
      <c r="F33" t="inlineStr"/>
      <c r="G33" t="inlineStr">
        <is>
          <t>Seattle, WA</t>
        </is>
      </c>
      <c r="H33" t="inlineStr"/>
      <c r="I33"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
**Company** 
 \- Amazon.com Services LLC
 Job ID: A3046662</t>
        </is>
      </c>
    </row>
    <row r="34">
      <c r="A34" t="inlineStr">
        <is>
          <t>li-4372701881</t>
        </is>
      </c>
      <c r="B34" t="inlineStr">
        <is>
          <t>Business Intelligence Data Scientist - Private Bank - Vice President</t>
        </is>
      </c>
      <c r="C34" t="inlineStr">
        <is>
          <t>JPMorganChase</t>
        </is>
      </c>
      <c r="D34" t="inlineStr">
        <is>
          <t>linkedin</t>
        </is>
      </c>
      <c r="E34" t="inlineStr"/>
      <c r="F34" t="inlineStr"/>
      <c r="G34" t="inlineStr">
        <is>
          <t>New York, NY</t>
        </is>
      </c>
      <c r="H34" t="inlineStr"/>
      <c r="I34" t="inlineStr">
        <is>
          <t>**Job Description**
 Join our Private Bank Business Intelligence team and help shape the future of data\-driven decision\-making. As a Data Scientist, you will have the opportunity to drive impactful business strategies and optimize client outcomes through advanced analytics. We offer a collaborative environment focused on innovation, career growth, and continuous learning. Your expertise will enable us to deliver actionable insights and foster a culture of data excellence. Be part of a team where your skills and ideas make a difference.
 As a Data Scientist in the Business Intelligence team within JPMorgan Private Bank, you will lead analytical initiatives that influence business strategy and drive growth. You will design, build, and deploy predictive models and analytical solutions using both internal and external datasets. Working closely with business, sales, and marketing leaders, you will embed data science into our decision\-making framework. You will help identify opportunities for improvement and innovation, supporting our mission to deliver exceptional client outcomes. Your work will directly impact the team’s ability to optimize sales productivity and business development efforts.
 The Business Intelligence team is dedicated to leveraging data to enhance sales productivity and inform strategic decisions. You will collaborate with engineering and technology partners to ensure robust data infrastructure and governance. Your role will include sourcing and integrating new data, maintaining high standards of data quality, and sharing technical knowledge across the team. We value strong communication skills and the ability to translate complex analytics into clear recommendations. This is an exciting opportunity to join a high\-performing team in a leading global financial institution.
 Job responsibilities
* Work with cross\-functional teams to deliver impactful data science solutions
* Design, develop, and deploy machine learning models and advanced analytics
* Apply statistical analysis and predictive modeling to extract insights from complex datasets
* Conduct exploratory data analysis to identify trends and opportunities
* Communicate findings and recommendations through visualizations and presentations
* Identify, evaluate, and acquire data from internal and external sources
* Establish and maintain data partnerships and vendor relationships
* Assess data quality and reliability before integration
* Collaborate with engineering teams to implement scalable data pipelines
* Ensure data governance and security protocols across integration processes
* Document technical specifications and integration processes for compliance
**Required Qualifications, Capabilities, And Skills**
* Bachelor’s degree in Data Science, Computer Science, Statistics, Mathematics, or related technical field
* Three years of experience in data science, machine learning, or advanced analytics roles
* Advanced proficiency in Python and SQL for data extraction, manipulation, and analysis
* Experience with data visualization tools such as Tableau or Power BI
* Strong analytical and problem\-solving abilities with a proven ability to deliver actionable business insights
**Preferred Qualifications, Capabilities, And Skills**
* Master’s degree in Analytics, Statistics, Data Science, Mathematics, or related field
* Previous experience in financial services or wealth management
* Knowledge of advanced analytics techniques including machine learning and predictive modeling
* Familiarity with cloud\-based analytics platforms such as AWS, Azure, or Google Cloud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35">
      <c r="A35" t="inlineStr">
        <is>
          <t>li-4371778417</t>
        </is>
      </c>
      <c r="B35" t="inlineStr">
        <is>
          <t>HEALTHCARE DATA SCIENTIST</t>
        </is>
      </c>
      <c r="C35" t="inlineStr">
        <is>
          <t>Cooper University Health Care</t>
        </is>
      </c>
      <c r="D35" t="inlineStr">
        <is>
          <t>linkedin</t>
        </is>
      </c>
      <c r="E35" t="inlineStr"/>
      <c r="F35" t="inlineStr"/>
      <c r="G35" t="inlineStr">
        <is>
          <t>Camden, NJ</t>
        </is>
      </c>
      <c r="H35" t="inlineStr"/>
      <c r="I35" t="inlineStr">
        <is>
          <t>**About Us**
 At
 **Cooper University Health Care** 
 , our commitment to providing extraordinary health care begins with our team. Our extraordinary professionals are continuously discovering clinical innovations and enhanced access to the most up\-to\-date facilities, equipment, technologies and research protocols. We have a commitment to our employees to provide competitive rates and compensation programs. Cooper offers full and part\-time employees a comprehensive benefits program, including health, dental, vision, life, disability, and retirement. We also provide attractive working conditions and opportunities for career growth through professional development.
**Discover why Cooper University Health Care is the employer of choice in South Jersey.**
**Short Description**
 The Data Scientist plays a pivotal role in planning, executing, and delivering machine learning\-based projects that drive business impact. This role involves analyzing large datasets, developing AI /ML /optimization models, and translating findings into actionable insights. The Data Scientist partners with business and operational leaders, supports senior leadership with analytics, and fosters a culture of data\-driven decision\-making across the organization.
**Experience Required**
 3 to 5 years of relevant project experience in successfully planning, and executing data science projects, including statistical analysis and data engineering.
**Education Requirements**
 Master's Degree Required.
 Master’s, or PhD in Computer Science, Data Science, Engineering, Statistics, Applied Mathematics, Operations Research, or a related quantitative field.
**License/Certification Requirements**
 Relevant certifications in data science/AI (e.g., Google Cloud Professional ML Engineer, AWS Certified Machine Learning).</t>
        </is>
      </c>
    </row>
    <row r="36">
      <c r="A36" t="inlineStr">
        <is>
          <t>li-4349646491</t>
        </is>
      </c>
      <c r="B36" t="inlineStr">
        <is>
          <t>Senior Data Scientist, Sales Operations</t>
        </is>
      </c>
      <c r="C36" t="inlineStr">
        <is>
          <t>CoreWeave</t>
        </is>
      </c>
      <c r="D36" t="inlineStr">
        <is>
          <t>linkedin</t>
        </is>
      </c>
      <c r="E36" t="inlineStr"/>
      <c r="F36" t="inlineStr"/>
      <c r="G36" t="inlineStr">
        <is>
          <t>Bellevue, WA</t>
        </is>
      </c>
      <c r="H36" t="inlineStr"/>
      <c r="I36"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**About the Team**
 The Sales Operations \&amp; GTM Analytics team empowers our Sales, Revenue Operations, Marketing, and Finance organizations with the data, insights, and frameworks required to accelerate growth. We build the analytical foundation that informs strategy, optimizes execution, and ensures every customer\-facing motion is guided by accurate, timely, and actionable intelligence.
****About The Role****
 As a Senior Data Scientist, Sales Operations, you will play a pivotal role in shaping our commercial strategy and enabling data\-driven decision making across the GTM organization. You will architect the data foundations for Sales, build advanced analytical and machine\-learning models, and translate complex datasets into clear, strategic insights. Your work will directly guide forecasting, planning, segmentation, quota design, and GTM investments. You’ll collaborate closely with cross\-functional leaders and influence decisions at the highest levels.
****What You’ll Do****
* Partner with Sales, Revenue Operations, Marketing, and Finance to define the data foundation for GTM, including instrumentation, metric definitions, pipelines, dashboards, and reporting.
* Design, build, and maintain scalable data models and statistical/ML frameworks (e.g., segmentation, lead scoring, win/loss analysis, churn prediction, propensity modeling).
* Transform complex datasets into actionable commercial insights, identifying growth levers, bottlenecks, competitive dynamics, and customer behavior patterns — and convert them into strategic recommendations.
* Lead GTM planning cycles: develop forecasting models, scenario planning, “what\-if” analyses, target\-setting methodologies, and playbooks.
* Produce executive\-level reporting and communicate insights and recommendations clearly to senior leadership and cross\-functional stakeholders.
* Partner with data engineering/analytics teams to ensure data integrity, governance, and readiness for advanced analytics; uphold best practices in modeling, documentation, and reproducibility.
* Drive experimentation: design A/B tests, pilots, and measurement frameworks for new GTM initiatives, product launches, and sales motions.
* Own the end\-to\-end analytics lifecycle: data collection → modeling → insight generation → strategy → execution → measurement.
* Mentor junior data scientists, analytics engineers, and BI professionals; help cultivate a data\-driven culture within Sales Operations.
****Who You Are****
* 6–10\+ years of experience in data science, sales operations analytics, business intelligence, or commercial strategy roles within SaaS, cloud, infrastructure, or high\-growth technology environments.
* Expertise with SQL, Python/R, large\-scale datasets, statistical modeling, machine\-learning methods, and data visualization tools.
* Demonstrated ability to translate analytical outputs into strategic GTM recommendations and influence Sales/RevOps leadership.
* Experience building forecasting models, segmentation frameworks, propensity models, or other advanced analytics used to drive revenue outcomes.
* Strong understanding of GTM motions, sales funnel mechanics, segmentation and targeting, territory/quota design, pipeline generation, and churn/expansion dynamics.
* Proven ability to communicate data and analysis clearly to senior leadership, using structured narratives and decision\-ready insights.
* Bachelor’s degree in data science, statistics, mathematics, economics, engineering, business, or related field; advanced degree (MS/PhD) preferred.
****Preferred****
* Experience with experimentation frameworks (A/B testing, causal inference, uplift modeling).
* Familiarity with modern data stacks (dbt, Snowflake, Looker, etc.).
* Background supporting high\-velocity enterprise or cloud infrastructure GTM teams.
**Wondering if you’re a good fit?**
 We Believe In Investing In Our People And Value Candidates Who Bring Diverse Experiences — Even If You’re Not a Perfect Match On Every Requirement. If Some Of The Below Describes You, We’d Love To Talk:
* You love uncovering insights in messy datasets and turning them into strategic action.
* You’re curious about how GTM engines work and how data can unlock revenue growth.
* You’re an expert in building models that meaningfully shape business decisions.
**Why CoreWeave?**
 At CoreWeave, We Work Hard, Have Fun, And Move Fast! We’re In An Exciting Stage Of Hyper\-growth You Won’t Want To Miss.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Our environment fosters collaboration and empowers you to develop innovative solutions to complex problems. As we prepare for takeoff, growth opportunities across the organization are rapidly expanding. You’ll be surrounded by some of the best talent in the industry — who will want to learn from you, too.
 **Come join us!**
 The base salary range for this role is $135,000 to $198,000\.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37">
      <c r="A37" t="inlineStr">
        <is>
          <t>li-4365453727</t>
        </is>
      </c>
      <c r="B37" t="inlineStr">
        <is>
          <t>Applied Scientist II, Prime Video Personalization and Discovery Science</t>
        </is>
      </c>
      <c r="C37" t="inlineStr">
        <is>
          <t>Prime Video &amp; Amazon MGM Studios</t>
        </is>
      </c>
      <c r="D37" t="inlineStr">
        <is>
          <t>linkedin</t>
        </is>
      </c>
      <c r="E37" t="inlineStr"/>
      <c r="F37" t="inlineStr"/>
      <c r="G37" t="inlineStr">
        <is>
          <t>Sunnyvale, CA</t>
        </is>
      </c>
      <c r="H37" t="inlineStr"/>
      <c r="I37"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
**Company** 
 \- Amazon.com Services LLC
 Job ID: A3165157</t>
        </is>
      </c>
    </row>
    <row r="38">
      <c r="A38" t="inlineStr">
        <is>
          <t>li-4372730095</t>
        </is>
      </c>
      <c r="B38" t="inlineStr">
        <is>
          <t>AI Data Scientist</t>
        </is>
      </c>
      <c r="C38" t="inlineStr">
        <is>
          <t>Haystack</t>
        </is>
      </c>
      <c r="D38" t="inlineStr">
        <is>
          <t>linkedin</t>
        </is>
      </c>
      <c r="E38" t="inlineStr"/>
      <c r="F38" t="inlineStr"/>
      <c r="G38" t="inlineStr"/>
      <c r="H38" t="inlineStr"/>
      <c r="I38" t="inlineStr">
        <is>
          <t>**AI Data Scientist \| Fort Meade, MD \| Remote\-Friendly \| $99,000 \- $225,000**
 We're working with Booz Allen Hamilton on this exciting opportunity.
 Join a dynamic team at Booz Allen Hamilton as an AI Data Scientist, where you'll tackle complex national security challenges using cutting\-edge AI and Machine Learning techniques. This is your chance to shape strategic operational design, assess emerging technologies, and make a real impact in critical defense operations.
**The Role**
* Lead the application of critical and creative thinking to define complex national security problems
* Develop strategic knowledge of operational environments and frame mission analysis
* Conduct capability assessments on AI and ML technologies, including risks and vulnerabilities
* Design and shape knowledge of assigned environments to develop applicable approaches to exercises and wargaming
* Utilize data management and visualization tools like Python, Tableau, or Power BI
**What You'll Need**
* 10\+ years of experience in Data Analysis and Data Science, with a focus on integrating data feeds
* 10\+ years of experience in military or government operational level support (cyberspace, space, or cryptologic operations)
* Expertise in AI, ML, and data management/visualization tools (Python, Tableau, Power BI)
* Experience in DoD Information Technology, DoDIN, or cyberspace tactical environments
* TS/SCI clearance is required
**What's On Offer**
* Comprehensive health, life, disability, financial, and retirement benefits
* Opportunities for professional development and tuition assistance
* Work\-life programs and dependent care support
* Recognition awards program for exceptional performance
**Apply via Haystack today!**</t>
        </is>
      </c>
    </row>
    <row r="39">
      <c r="A39" t="inlineStr">
        <is>
          <t>li-4357492872</t>
        </is>
      </c>
      <c r="B39" t="inlineStr">
        <is>
          <t>Data Engineer / Data Scientist / Data Architect - Full time</t>
        </is>
      </c>
      <c r="C39" t="inlineStr">
        <is>
          <t>Ztek Consulting</t>
        </is>
      </c>
      <c r="D39" t="inlineStr">
        <is>
          <t>linkedin</t>
        </is>
      </c>
      <c r="E39" t="inlineStr"/>
      <c r="F39" t="inlineStr"/>
      <c r="G39" t="inlineStr">
        <is>
          <t>Vienna, VA</t>
        </is>
      </c>
      <c r="H39" t="inlineStr"/>
      <c r="I39" t="inlineStr">
        <is>
          <t>Below are the 3 roles open:
 1\) Data Engineer
 2\) Data Scientist
 3\) Data Architect
**Job Descriptions:** 
**Data Engineer Job Description :** 
* Design, build, and optimize batch and real\-time data pipelines using Python, SQL, Airflow, Kafka, and AWS Glue
* Lead scalable ETL and data lake architectures across distributed cloud environments
* Ensure data quality, governance, security, and compliance while supporting analytics and data science needs
* Mentor junior engineers and collaborate with stakeholders to deliver reliable, well\-documented data solutions
**Data Scientist Job Description :** 
* 3\+ years of experience in statistical modeling and applied data analysis, including regression, classification, clustering, and time\-series analysis
* Proficient in Python or R, with hands\-on experience in data wrangling, visualization, and model development
* Strong experience with SQL/Spark SQL, basic data modeling, and cloud platforms (AWS, Azure, or GCP)
* Excellent ability to communicate complex insights and manage multiple priorities effectively
**Data Architect Job Description :** 
* Lead and mentor data engineering teams while architecting and building enterprise\-scale data platforms from design through production
* Develop and optimize production\-grade ETL/ELT pipelines, data models, and data warehouses using Python, SQL, PySpark, and cloud platforms (AWS/GCP)
* Implement CI/CD, data governance, quality frameworks, and secure, compliant data solutions aligned with federal/VA standards
* Collaborate with cross\-functional stakeholders to translate business requirements into scalable, high\-quality data solutions</t>
        </is>
      </c>
    </row>
    <row r="40">
      <c r="A40" t="inlineStr">
        <is>
          <t>li-4372749597</t>
        </is>
      </c>
      <c r="B40" t="inlineStr">
        <is>
          <t>Applied Scientist - Pricing, Rider Engagement</t>
        </is>
      </c>
      <c r="C40" t="inlineStr">
        <is>
          <t>Lyft</t>
        </is>
      </c>
      <c r="D40" t="inlineStr">
        <is>
          <t>linkedin</t>
        </is>
      </c>
      <c r="E40" t="inlineStr"/>
      <c r="F40" t="inlineStr"/>
      <c r="G40" t="inlineStr">
        <is>
          <t>New York, NY</t>
        </is>
      </c>
      <c r="H40" t="inlineStr"/>
      <c r="I40" t="inlineStr">
        <is>
          <t>At Lyft, our purpose is to serve and connect. We aim to achieve this by cultivating a work environment where all team members belong and have the opportunity to thrive.
 The Pricing team is a centerpiece of Lyft’s marketplace, determining prices for all rideshare products and supporting new initiatives. Rider Engagement is a fast\-growing team within Pricing, focused on developing rider\-facing engagement levers and optimizing user pricing experience to drive both short term and long term business outcomes.
 As an Applied Scientist specializing in Machine Learning and Operational Research on this team, you will develop mathematical models and launch algorithms that power core discounting systems and pricing decisions. You will be hands\-on with building ML and optimization models, productionizing pipelines, building and scaling systems that deal with real\-time data processing, large data storage and critical business problems that have a big impact on the marketplace and customer experience. You will get exposure to diverse problems across optimization, prediction, machine learning, and inference; you will collaborate with teammates and stakeholders to build and scale our systems and enhance algorithms.
 We are looking for someone who is excited about working in a fast\-paced, innovative, and impactful environment, and is adept at balancing complexity and efficiency to translate real world business problems into reliable solutions, systems and decisioning frameworks.
**Responsibilities:**
* Partner with Data Scientists, Engineers, Product Managers, and Business Partners to frame problems mathematically and within the business context
* Write production quality code. Design, build and deploy production\-grade ML models.
* Perform data analysis and build proof\-of\-concept to explore and propose ML solutions to both new and existing problems.
* Evaluate machine learning systems against business goals. Collaborate with Engineers to implement algorithms in live systems and ensure the robustness of the systems
* Establish metrics and development measurement methodologies to monitor the health of our products, as well as the impacts on user and marketplace outcomes
* Drive collaboration and coordination with cross\-functional teams
**Experience:**
* M.S. or Ph.D. in Machine Learning, Operations Research, Statistics, Computer Science or other quantitative fields
* 2\+ years of machine learning experience in a technology company setting
* Proficiency with Python and working in a production coding environment
* Passion for solving unstructured and non\-standard mathematical problems, and building impactful machine learning models leveraging expertise in one or multiple fields.
* Strong understanding of machine learning methodologies, with proven experience with building and evaluating optimization or machine learning models
* Strong verbal and written communication skills, and ability to collaborate and communicate with others to solve a problem
**Benefits:**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$140,800 \- $176,000,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41">
      <c r="A41" t="inlineStr">
        <is>
          <t>li-4372795503</t>
        </is>
      </c>
      <c r="B41" t="inlineStr">
        <is>
          <t>Junior Data Scientist</t>
        </is>
      </c>
      <c r="C41" t="inlineStr">
        <is>
          <t>Wpromote</t>
        </is>
      </c>
      <c r="D41" t="inlineStr">
        <is>
          <t>linkedin</t>
        </is>
      </c>
      <c r="E41" t="inlineStr"/>
      <c r="F41" t="inlineStr"/>
      <c r="G41" t="inlineStr"/>
      <c r="H41" t="inlineStr"/>
      <c r="I41" t="inlineStr">
        <is>
          <t>**The Role**
 Wpromote is hiring a Junior Data Scientist who loves solving problems with data and has strong math, logic, and communication skills. In this role, you’ll support data processing, model updates, and analytics reporting while learning advanced techniques that will grow your impact over time. You’ll collaborate with teams across Engineering, Reporting, Product, Paid Media, and Data Science, working with exciting clients in e\-commerce, retail, and entertainment. If you’re detail\-oriented, eager to learn, and ready to turn data into meaningful insights, we want to hear from you!
 At Wpromote, we believe that great work is only possible with great people. Our goal is to build a better, more inclusive work environment and support our people at every stage of their careers by prioritizing a strong work\-life balance through our policies and benefits listed below. As a Best Place to Work according to both Ad Age and Glassdoor and Adweek’s Fastest Growing Digital Agency, we are moving fast to expand our teams and bring new experts into the fold to keep pushing the boundaries of what’s possible in marketing.
 We offer:
* Half\-day Fridays year round
* Unlimited PTO
* Extended Holiday break (Winter)
* Flexible schedules
* Work from anywhere options\*
* 100% paid parental leave
* 401(k) matching
* Medical, Dental, Vision, Life, Pet Insurance
* Sponsored life insurance
* Short Term Disability insurance and additional voluntary insurance
* Annual Class Pass Credits and more!
 The anticipated annual salary for this role will range from $88,000 \- $100,000, based on a variety of factors unique to each candidate, including skill set, years and depth of experience, education and certifications, competitive benchmarks, scope of responsibility, market dynamics, geographic location, and the respective state’s salary threshold for exempt employees. At Wpromote, pay ranges are subject to change and are based on specific market medians for similar jobs according to third\-party salary benchmark surveys. Individual pay within that range can vary due to skills, experience, and available budget. The total compensation package for this role will include benefits (listed above).
* This position may be performed remotely in most states within the US, with some exclusions
* While this role offers the flexibility to work remotely, we have office hubs in Los Angeles, Chicago, and New York, where you can join in on learning and development opportunities, fun events, take advantage of a space to work, and collaborate in person!
* This position is not eligible for immigration sponsorship
 Important Notice: Beware of Job Scams
 Wpromote recruiting communications will only be sent through our official channels via wpromote.com email addresses. If you see a posting elsewhere that is not reflected on Wpromote.com/careers, it may be a fraudulent posting. We do not require payment or fees during the hiring process nor do we request sensitive information, such as Social Security numbers or payment details. Please safeguard yourself against possible scams and contact us if you encounter any suspicious activity.
**You Will Be**
* Learning to transform, improve, and integrate data according to business requirements
* Planning and scoping end\-to\-end data analysis projects by identifying the business problem and selecting appropriate investigative tests and solutions
* Using SQL and BigQuery to combine and prepare datasets from multiple sources
* Delivering data in a clear, useful, and visually appealing way to both technical and non\-technical audiences
* Maintaining existing media\-mix models through directed retrains and reporting on performance changes
* Organizing and collecting results from media\-mix models, incrementality tests, clean rooms, and related analyses to support Wpromote’s culture of learning
* Conducting guided marketing analyses to support client and internal needs
* Supporting presentations through data pulls, ad\-hoc analyses, and slide creation
* Learning to automate data gathering, blending, and transformation processes
* Collaborating across Engineering, Reporting, Product, Paid Media, and Data Science teams to understand and support client needs
**You Must Have**
* Intermediate programming skills in R or Python for data cleaning, data modeling, pipeline development, API calls, and related tasks
* Experience with statistical modeling, machine learning techniques, and LLMs
* Intermediate SQL skills, including window functions, stored procedures, views, triggers, unions, CTEs, subqueries, and debugging
* Advanced proficiency in Excel and/or Google Sheets
* Experience with at least one BI platform (Looker, Tableau, Power BI, etc.) with the ability to learn others; Looker preferred
* Experience or familiarity with version control tools such as Git or Bitbucket
* Strong organizational skills with the ability to balance competing client requests and work with complex datasets while maintaining accuracy and meeting deadlines
* Intermediate to advanced competency in statistics, probability, and linear algebra
* Strong communication skills, including experience creating and delivering presentations and executive summaries
* Demonstrated critical thinking skills—the ability to analyze numbers, trends, and data to form meaningful insights
* Interest or passion for marketing analytics and/or a personal project portfolio
* Associate’s degree, bootcamp certification, or practical work experience in a quantitative field (Statistics, Mathematics, Computer Science, Information Technology, Economics, Engineering, etc.)
**Nice To Have**
* Bachelor’s degree or higher in a quantitative field
* Exposure to marketing analyses such as media\-mix models (MMM), incrementality testing, CAC, and lead scoring
* Experience with analytics software, such as Google Analytics and Adobe Analytics
* Familiarity with clean room environments (FBAA, AMC, Google ADH)
* Experience with cloud computing (AWS, GCP, Azure, etc.)
 Wpromote is committed to bringing together individuals from different backgrounds and perspectives, providing employees with a safe and welcoming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Wpromote.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For more information on E Verify, or if you believe that your employer has violated its E\-Verify responsibilities, please contact DHS.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2">
      <c r="A42" t="inlineStr">
        <is>
          <t>li-4372031239</t>
        </is>
      </c>
      <c r="B42" t="inlineStr">
        <is>
          <t>Data Scientist</t>
        </is>
      </c>
      <c r="C42" t="inlineStr">
        <is>
          <t>Samsung Electronics America</t>
        </is>
      </c>
      <c r="D42" t="inlineStr">
        <is>
          <t>linkedin</t>
        </is>
      </c>
      <c r="E42" t="inlineStr"/>
      <c r="F42" t="inlineStr"/>
      <c r="G42" t="inlineStr">
        <is>
          <t>Mountain View, CA</t>
        </is>
      </c>
      <c r="H42" t="inlineStr"/>
      <c r="I42" t="inlineStr">
        <is>
          <t>**Position Summary** 
 Samsung Ads is an advanced advertising technology company in rapid growth that focuses on enabling brands to connect with Samsung TV audiences as they are exposed to digital media by using the industry’s most comprehensive data to build the world’s smartest advertising
 platform. Being part of an international company such as Samsung and doing business around the world means that we get to work on the most challenging projects with stakeholders and teams located around the globe.
 We are proud to have built a world\-class organization grounded in an entrepreneurial and collaborative spirit. Working at Samsung Ads offers one of the best environments in the industry to learn just how fast you can grow, how much you can achieve, and how good you can be. We
 thrive on problem\-solving, breaking new ground, and enjoying every part of the journey.
 We are seeking an experienced Senior Staff Data Scientist to lead our experimentation admeasurement initiatives at Samsung Ads Data Science team. This is a high\-impact technical leadership role where you'll shape how we measure success, optimize our advertising platform,
 and drive data\-informed decision\-making across the organization. You'll work at the intersection of advanced analytics, product strategy, and engineering to build robust frameworks that power
 our advertising ecosystem.
 Location: Mountain View, CA
**Responsibilities** 
**Role and Responsibilities** 
* Technical Leadership
 ○ Serve as the technical lead for experimentation and measurement initiatives within the data science team of Samsung Ads
 ○ Collaborate closely with Product Managers, ML Engineers, and cross\-functional stakeholders to define and execute high\-impact projects from conception to deployment
 ○ Provide mentorship and technical guidance to data scientists on the team.
* Experimentation and Measurement Framework ○ Scale and enhance our ML A/B testing framework to support sophisticated experimental designs and rapid iteration
 ○ Build comprehensive metrics and measurement frameworks to evaluate machine learning model performance and business impact
 ○ Deploy standardized revenue potential assessment models and sizing methodologies to guide product investment decisions
* Advanced Analytics \&amp; Attribution
 ○ Design and implement comprehensive measurement systems that track operational, product, and ML contributions across our entire advertising platform
 ○ Develop sophisticated causal inference models and multi\-touch attribution frameworks to understand true business drivers
 ○ Create systematic processes and automation pipelines that convert analytical insights into concrete business actions with clear accountability
 Experience Requirements:
* Master's degree with 8\+ years of industry experience, OR PhD with 6\+ years of industry experience
* Degree in Mathematics, Statistics, Economics, Computer Science, or related quantitative field
* Deep understanding and hands\-on experience with:
 ○ Advanced experimentation methodologies and A/B testing frameworks ○ Causal inference techniques and statistical modeling
 ○ Attribution modeling and multi\-touch attribution systems ○ Machine learning evaluation and measurement frameworks
* Fluent in SQL and Python for data analysis, modeling, and automation
* Experience with large\-scale data systems and cloud platforms
* Excellent communication skills with proven ability to influence stakeholders and drive cross\-team decisions
* Experience mentoring and leading technical teams
**Skills And Qualifications** 
 Preferred Experience Requirements:
* Prior experience in advertising industry and real\-time bidding (RTB) ecosystem
* Background in econometrics or marketing mix modeling
* Hands\-on experience with production\-grade machine learning solutions and/or software development
 Compensation for this role, for candidates based in New York, NY, is expected to be between $240,000 \~ $280,000\. Actual pay will be determined considering factors such as relevant skills and experience, and comparison to other employees in the role.
 Regular full\-time employees (salaried or hourly) have access to benefits including Medical, Dental, Vision, Life Insurance, 401(k), Employee Purchase Program, Tuition Assistance (after 6 months), Paid Time Off, Student Loan Program (after 6 months), Wellness Incentives, and many more.</t>
        </is>
      </c>
    </row>
    <row r="43">
      <c r="A43" t="inlineStr">
        <is>
          <t>li-4372761093</t>
        </is>
      </c>
      <c r="B43" t="inlineStr">
        <is>
          <t>Applied Scientist - Pricing, Rider Engagement</t>
        </is>
      </c>
      <c r="C43" t="inlineStr">
        <is>
          <t>Lyft</t>
        </is>
      </c>
      <c r="D43" t="inlineStr">
        <is>
          <t>linkedin</t>
        </is>
      </c>
      <c r="E43" t="inlineStr"/>
      <c r="F43" t="inlineStr"/>
      <c r="G43" t="inlineStr">
        <is>
          <t>San Francisco County, CA</t>
        </is>
      </c>
      <c r="H43" t="inlineStr"/>
      <c r="I43" t="inlineStr">
        <is>
          <t>At Lyft, our purpose is to serve and connect. We aim to achieve this by cultivating a work environment where all team members belong and have the opportunity to thrive.
 The Pricing team is a centerpiece of Lyft’s marketplace, determining prices for all rideshare products and supporting new initiatives. Rider Engagement is a fast\-growing team within Pricing, focused on developing rider\-facing engagement levers and optimizing user pricing experience to drive both short term and long term business outcomes.
 As an Applied Scientist specializing in Machine Learning and Operational Research on this team, you will develop mathematical models and launch algorithms that power core discounting systems and pricing decisions. You will be hands\-on with building ML and optimization models, productionizing pipelines, building and scaling systems that deal with real\-time data processing, large data storage and critical business problems that have a big impact on the marketplace and customer experience. You will get exposure to diverse problems across optimization, prediction, machine learning, and inference; you will collaborate with teammates and stakeholders to build and scale our systems and enhance algorithms.
 We are looking for someone who is excited about working in a fast\-paced, innovative, and impactful environment, and is adept at balancing complexity and efficiency to translate real world business problems into reliable solutions, systems and decisioning frameworks.
**Responsibilities:**
* Partner with Data Scientists, Engineers, Product Managers, and Business Partners to frame problems mathematically and within the business context
* Write production quality code. Design, build and deploy production\-grade ML models.
* Perform data analysis and build proof\-of\-concept to explore and propose ML solutions to both new and existing problems.
* Evaluate machine learning systems against business goals. Collaborate with Engineers to implement algorithms in live systems and ensure the robustness of the systems
* Establish metrics and development measurement methodologies to monitor the health of our products, as well as the impacts on user and marketplace outcomes
* Drive collaboration and coordination with cross\-functional teams
**Experience:**
* M.S. or Ph.D. in Machine Learning, Operations Research, Statistics, Computer Science or other quantitative fields
* 2\+ years of machine learning experience in a technology company setting
* Proficiency with Python and working in a production coding environment
* Passion for solving unstructured and non\-standard mathematical problems, and building impactful machine learning models leveraging expertise in one or multiple fields.
* Strong understanding of machine learning methodologies, with proven experience with building and evaluating optimization or machine learning models
* Strong verbal and written communication skills, and ability to collaborate and communicate with others to solve a problem
**Benefits:**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$140,800 \- $176,000,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44">
      <c r="A44" t="inlineStr">
        <is>
          <t>li-4372741566</t>
        </is>
      </c>
      <c r="B44" t="inlineStr">
        <is>
          <t>Senior AI Data Scientist</t>
        </is>
      </c>
      <c r="C44" t="inlineStr">
        <is>
          <t>MLabs</t>
        </is>
      </c>
      <c r="D44" t="inlineStr">
        <is>
          <t>linkedin</t>
        </is>
      </c>
      <c r="E44" t="inlineStr"/>
      <c r="F44" t="inlineStr"/>
      <c r="G44" t="inlineStr"/>
      <c r="H44" t="inlineStr"/>
      <c r="I44" t="inlineStr">
        <is>
          <t>**Location:** 
 Remote \- USA, Europe, Israel
**Compensation:** 
 $130K \- $150K
 We are a leading financial technology firm building the infrastructure for safer, more accessible global markets. Our risk management systems, oracles, and AI models secure hundreds of billions in assets and process trillions in transaction volume across major protocols. We recently launched a cutting\-edge financial intelligence platform that transforms complex market data into actionable insights, bringing institutional\-grade intelligence to a global audience.
 We are seeking a
 **Senior AI Data Scientist** 
 to lead the design, evaluation, and evolution of the agentic systems behind our financial intelligence platform. This role sits at the intersection of LLMs, financial data, and decision systems.
 You will own the logic behind how our models reason over data, how agents coordinate and make decisions, and how we rigorously measure quality, correctness, and risk in production AI workflows. You'll work closely with product, engineering, and research teams to move from experimentation to reliable, scalable AI systems that operate under real\-world financial constraints.
**Key Responsibilities:**
* System Design: Design and own single and multi\-agent systems that reason, plan, and act over complex financial workflows
* Agent Logic: Define agent behavior, memory, and tool\-use strategies with a strong emphasis on correctness and controllability
* Evaluation Frameworks: Develop and maintain LLM evaluation frameworks covering accuracy, faithfulness, latency, cost, regressions, and edge cases
* Production Implementation: Design structured prompting, schemas, and tool\-calling strategies; build and operate MCP servers including schema design and safety boundaries
* Optimization: Analyze model behavior and failure modes to turn qualitative issues into measurable signals; optimize performance and cost across workflows
* Mentorship: Mentor engineers and data scientists, setting best practices for applied LLM and agentic systems
**Requirements**
* Experience: 6\+ years in data science, applied ML, or AI\-focused software roles, with at least 3\+ years building production AI/ML systems (beyond the experimentation phase)
* Technical Depth: Deep hands\-on experience with LLMs, agentic patterns, and tool\-calling systems
* Programming: Strong Python skills and comfort working closely with production systems and APIs
* Architecture: Proven experience with RAG pipelines, embeddings, and vector databases
* Analytical Mindset: Strong intuition for model behavior, trade\-offs, and failure analysis
**Preferred Qualifications:**
* Experience applying ML or statistical methods to financial data (crypto/DeFi is a major plus)
* A track record of building reusable ML or data abstractions that improve team velocity
* A strong intuition for how model behavior shifts in production based on data, users, and constraints
**Benefits**
 We offer a competitive package designed to support your professional growth and personal well\-being:
* Compensation \&amp; Equity: Competitive package aligned with growth and merit. Salary range: $130,000 \- $150,000 (commensurate with experience)
* Comprehensive Health: 100% employer\-paid medical, dental, and vision options for you and your dependents, plus FSA/HSA options
* Time Off: 21 vacation days, 7 sick days, and 8 observed U.S. company holidays
* Family Support: Thoughtful parental leave policy
* Wellness: Access to OneMedical, Teladoc, Talkspace, and Employee Assistance Programs (EAP)
* Career Growth: Personalized professional development in a rapidly expanding global company
* Commuter Benefits: Pre\-tax commuter programs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45">
      <c r="A45" t="inlineStr">
        <is>
          <t>li-4372750860</t>
        </is>
      </c>
      <c r="B45" t="inlineStr">
        <is>
          <t>Data Scientist</t>
        </is>
      </c>
      <c r="C45" t="inlineStr">
        <is>
          <t>Tacoma-Pierce County Health Department</t>
        </is>
      </c>
      <c r="D45" t="inlineStr">
        <is>
          <t>linkedin</t>
        </is>
      </c>
      <c r="E45" t="inlineStr"/>
      <c r="F45" t="inlineStr"/>
      <c r="G45" t="inlineStr">
        <is>
          <t>Tacoma, WA</t>
        </is>
      </c>
      <c r="H45" t="inlineStr"/>
      <c r="I45" t="inlineStr">
        <is>
          <t>****Are you looking to use your advanced technical knowledge and skills to provide data system administration, advanced statistical analysis, and innovative ideas to support improving of health of communities? If this sounds like the position for you, we invite you to apply for our
 **Data Scientist (Epidemiologist III)** 
 position working with our data\-driven and solutions\-oriented research and epidemiology program.** 
 The Data Scientist (Epidemiologist III)
 ****is a Regular, Full\-Time (1\.0 FTE) position that****
 provides advanced epidemiological, informatics, and geographic information systems (GIS) expertise to support the Tacoma\-Pierce County Health Department’s mission to protect and improve the health of all people and places in Pierce County. This position serves as a senior technical contributor within the Assessment, Evaluation, and Epidemiology (AEE) team and leads complex analytic projects requiring advanced programming, data science, statistical modeling, and spatial analysis.** 
**This role applies tools such as R, Python, SQL, ArcGIS, and Power BI to support data\-driven public health action across environmental health, behavioral and mental health, chronic disease, communicable disease, and emerging priority areas. The Data Scientist serves as a subject matter expert, working independently to design analytic approaches, modernize data systems, mentor peers, and communicate findings to technical and non\-technical audiences in support of equitable health outcomes for Pierce County residents.** 
**This advanced position is the third level of the Epidemiologist series. This role performs complex data collection and analysis and may lead Epidemiologist, and Program Analysts on a project. They work under the direction of the Assessment, Evaluation, \&amp; Epidemiology (AEE) Director. An employee assigned to this classification works independently with minimal supervision. Employees in this role utilize a high level of professional judgement and serve as a subject matter expert for executive leadership and management consults.**
**Position Series**
* Epidemiologist I
* Epidemiologist II
* Epidemiologist III
* Epidemiology Supervisor
**Career Path Options**
**Education**
 Options to continue your career at the Health Department depend on your interest, education, and training. Possibilities beyond the position series include:
* Project Manager
* AEE Director
**Essential Functions**
* Collects, manages, and interprets complex public health data. Evaluates data and data source quality.
* Manages and analyzes data, including very large data sets, using advanced statistical methods and techniques to identify patterns, trends, and emerging issues.
* Respond and adapt to changing protocols and standards in epidemiology, informatics, biostatics, and/or other fields related to their specific expertise.
* Independently prepares and presents findings from epidemiologic investigations and analyses to diverse audiences through reports, dashboards, and other communication tools.
* Leads the design, implementation, and management of complex data collection tools, surveillance systems, and projects with multiple partners.
**Examples of Key Duties**
 The items in this section are the key duties and responsibilities for this job and do not represent an exhaustive list. Our organization is dynamic, and duties may change based on business needs. Any new duties will remain within the scope of the job.
* Leads the design, implementation, and oversight of complex epidemiological studies, surveillance systems, and program evaluations.
* Serves as a subject matter expert for advanced epidemiologic methods, statistical analysis, and applied data science techniques, including the integration of artificial intelligence and predictive analytics.
* Oversees or manages complex public health projects from conception through evaluation, including defining scope, objectives, and deliverables; creating and monitoring work plans and budgets as needed; tracking progress toward milestones, ensuring timelines and quality standards are met.
* Designs and optimizes dashboards, visualizations, and analytic tools (e.g., Power BI) to communicate data effectively to technical and non\-technical audiences.
* Implements strategies that boost employee productivity, such as optimizing workflows and maximizing the use of technology and other Department resources.
* Implements project management best practices, including risk assessment, mitigation planning, and post\-project evaluation to improve future workflows.
* Mentors team members and serves as a technical advisor to peers and leadership without formal supervisory responsibilities.
* Collects, manages, and analyzes both program and population\-based county data for the surveillance, detection, and prevention of disease.?
* Utilizes health department, social service, and medical data to infer and make connections across datasets around interactions between physical and behavioral outcomes.?
* Generates descriptive and analytic data to inform public health approaches.?
* Evaluates current data collection, surveillance systems, and investigation systems, and makes recommendations for maintenance and improvement.??
* Designs and develops investigation protocols for public health problems.??
* Provides data to Department teams, leadership, and the Board of Health to guide the development of evidence\-based interventions and disease control and prevention measures.?
* Coordinates local, state, and federal investigations of communicable disease outbreaks in Pierce County populations.?
* Works with other federal, state, and local agencies to investigate and develop plans to improve chronic, emerging, or worsening issues that negatively impact the health and well\-being of our population.
* Provides data to community partners to support epidemiologic investigations.
* Participates in seeking and writing grant applications for the program and the Department.
* Develops and conducts evaluations, including study methods, data collection and analysis, and development of recommendations.
* Works with employees across the Department to ensure valid and consistent data analysis and reporting.
* Provides staff training to improve data collection, data management, and analysis skills.
* Prepares and presents surveillance, investigation, and study methods and results to community groups, professional forums, internal staff, and in peer\-reviewed journals.
* The work you do might require you to participate in the Title XIX Medicaid Claiming Program.
* Performs other duties as assigned.
**Safety \&amp; Emergency Preparedness**
* Adheres to all workplace and trade safety laws, regulations, standards, and practices.
* Understands and properly follows established procedures in preventing and responding to unsafe or emergency situations. Identifies and reports potentially unsafe practices or conditions.
* Operates equipment, tools, machinery, and vehicles safely and understands processes for reporting an accident or injury.
* Understands and applies knowledge and skills necessary to successfully perform assigned emergency response role during an emergency.
 When public health responds to an emergency, you may be assigned duties and responsibilities that are outside your regular job description. This may involve responding at any time and reporting to a location other than the department with different working conditions and physical requirements. You are expected to participate in emergency preparedness activities including our emergency notification system, WA SECURES. Drills and real\-world events may take place at any time.
 Click here for a detailed Classification Specification.
* Advanced knowledge of standard Microsoft Office programs; R or Python programs to manipulate and analyze complex datasets; and health and social service databases.
* Advanced knowledge of epidemiologic principles, practices, and techniques.
* Knowledge of common public health data sources such as those managed by the Department of Health, and social and medical services.
* Advanced math skills related to work performed.
* Skilled in project management.
* Skilled at adapting epidemiologic principles of design and measurement to practice\-based public health issues.
* Working knowledge of local, state, and federal laws applicable to the body of work, including wage and hour law.
* Working knowledge of Department policies, procedures, and collective bargaining agreements.
* Skill in building effective and cohesive teams.
* Skilled in planning, organizing, and leading work activities to meet established goals and objectives.
* Ability to engage with a variety of partners and projects efficiently and simultaneously.
* Knowledge and skill in management and leadership principles.
* Knowledge of budget management.
* Skilled in maintaining sensitive and confidential data and using discretion when sharing information.
* Advanced analytical reasoning and problem\-solving.
* Technical mentorship and knowledge sharing.
* Project leadership without formal supervisory authority.
* Adaptability and continuous learning.
* Skilled in communication:
+ Listens to others and communicates in an effective manner.
+ Asks questions in ways that enhance the clarity, quality, and reliability of information.
+ Understands and learns from what others say, attends to nonverbal cues, and responds appropriately.
+ Grasps the meaning of written information and applies it to work situations.
+ Conveys ideas and facts using language the audience will best understand, taking into consideration the audience and nature of the information.
+ Writes in a clear, concise, and organized manner for the intended audience.
**Technical Skills**
* Advanced statistical analysis and modeling.
* Data engineering and reproducible analytics.
* GIS analysis and spatial data visualization.
* Dashboard development and data storytelling.
* Programming in R, Python, and SQL.
**Foundational Competencies**
* Knowing and managing oneself: Understands that all equity, trauma\-informed, and restorative practices start with oneself. Exercises a high degree of self\-reflection, personal accountability, resilience, flexibility, and adaptability. Is willing to learn, apply, and model agency values and ethical standards.
* Restorative practices and conflict resolution: Articulates through words and actions authentic commitment to create an environment in which all people are treated with dignity and respect and afforded equal opportunities and impartial treatment. Centers work inequity and trauma informed and restorative practices to achieve and maintain collaboration and teamwork and to effectively work with historically underrepresented and/or underserved populations to advance community health. Utilizes restorative practices to address harm and promote healing to strengthen relationships between individuals and social connections within communities.
* Collaboration and engagement: Provides balanced and objective information to help teammates, partners, and the public understand problems, alternatives, opportunities, and solutions. Works directly with partners within the Department, in the community, and members of the public affected by the work to obtain feedback and understand diverse points of view, concerns, and aspirations. Identifies preferred solutions together, incorporating advice and recommendations to the maximum extent possible.
* Evidence informed practices and decision\-making :Applies evidence informed practices and methodologies to achieve the greatest impact in delivery of services to internal and external customers and partners. Incorporates the social determinants of health into public health work. Integrates research and evidence into the decision\-making process. Seeks to systematically identify and eliminate inequities resulting in differences in health and in overall living conditions. Utilizes evidence informed practices to increase equity in systems and policy. Creates a robust culture of assessment and evaluation and continuous process improvement.
* Cross cultural communication and Engagement: Understands that cultural awareness, appreciation, and humility can only occur when you practice curiosity and open\-mindedness. Operates with a high level of humility and cultural agility to achieve effective intercultural communication, engagement, and collaboration in the workplace and in the community. Is open to feedback and continuously self\-reflects on one’s own actions and responses. Centers personal accountability on the Department’s mission, values, and ethical standards.
 The items below are the requirements for the job and are relevant to this position. The organization values work experience, lived experience, and education and realizes that people take different paths to acquire knowledge.
* Master's degree in public health, epidemiology, informatics, or biostatistics. Graduate\-level coursework in intermediate to advanced epidemiologic methods, inferential statistics, and study design methods. PhD in epidemiology, statistics, public health, or related field preferred
* 4 years of progressively responsible epidemiologic data analysis, informatics, biostatistics, clinical/health services research, or economic research experience in public health, community\-based health, and/or healthcare settings.
* 4 years of data analysis experience in a team\-based or applied research setting; or disease surveillance experience.
* 2 years of experience as a project lead or subject matter expert.
 We will consider any equivalent combination of education and experience that provides the necessary qualifications to successfully perform the duties of the position.
**Professional Certifications, Licensure, And Other Requirements**
 We prefer the below for this classification.
* Advanced proficiency in R and/or Python for data analysis and modeling.
* Experience with SQL and relational databases.
* Experience developing dashboards and data visualizations (e.g., Power BI).
* Experience with GIS tools (ArcGIS Pro, ArcGIS Online) and spatial analysis.
* Familiarity with public health surveillance systems and administrative datasets.
**Work Environment**
* Work is performed almost exclusively indoors in an office environment. Exposure to hazards is limited to those commonly found in office environments.
* May require working beyond the normally scheduled work week, modifying existing work schedule, or flexing hours to meet with clients and community\-based organizations.
**Physical and Cognitive Demands**
* Regularly required to sit or stand continuously.
* Regularly communicate clearly in\-person, over the phone, and via written communication.
* Capable of reading physical and electronic documents and working for prolonged periods on a computer monitor.
* Fine motor skills sufficient to operate a telephone and a computer mouse and keyboard.
* This position may require lifting, carrying, pulling, or moving objects up to 10 pounds consistently, 20 pounds frequently, and exerting up to 30 pounds of force occasionally.
* May require walking/traversing up to ¼ mile (ie: from parking to the booth) at community events.
* Maintain concentration and attention for extended periods of time.
* Learn, recall, and apply specialized information.
* Work effectively when exposed to workplace stressors, such as emotional and/or confrontational individuals.
* Effectively perform frequent task\-swapping and work with frequent interruptions.
**Tools and Equipment**
* Duties require the use of standard office furniture and equipment (e.g., desk, filing cabinet, computer, printer, telephone, copy machine, etc.)
**Travel**
* Some travel may be required, and is typically local or regional, to meet with clients, conduct business, or attend training.
 Click Here for more details on reasonable accommodations, safety, risk management and more.</t>
        </is>
      </c>
    </row>
    <row r="46">
      <c r="A46" t="inlineStr">
        <is>
          <t>li-4327121745</t>
        </is>
      </c>
      <c r="B46" t="inlineStr">
        <is>
          <t>Data Scientist, Product Analytics</t>
        </is>
      </c>
      <c r="C46" t="inlineStr">
        <is>
          <t>Whatnot</t>
        </is>
      </c>
      <c r="D46" t="inlineStr">
        <is>
          <t>linkedin</t>
        </is>
      </c>
      <c r="E46" t="inlineStr"/>
      <c r="F46" t="inlineStr"/>
      <c r="G46" t="inlineStr">
        <is>
          <t>Los Angeles, CA</t>
        </is>
      </c>
      <c r="H46" t="inlineStr"/>
      <c r="I46"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As Whatnot rapidly scales, data is central to shaping our product strategy and helping us build delightful, high\-performing experiences for both buyers and sellers. We’re looking for a
 **Product Data Scientist** 
 who will partner closely with Product, Engineering, Design, and Operations to drive insights, experimentation, and decision\-making across the company.
**In This Role, You Will**
**🔍 Generate Insights \&amp; Shape Product Direction**
* Define and own the KPIs that measure product health, user engagement, and marketplace performance.
* Analyze user behavior, product usage patterns, and marketplace dynamics to identify opportunities and inform product priorities.
* Translate complex data into actionable recommendations for product and leadership teams.
**🧪 Drive Experimentation \&amp; Measurement**
* Partner with product managers and engineers to design, implement, and evaluate A/B tests and feature rollouts.
* Develop frameworks for causal inference, impact measurement, and long\-term product evaluation.
* Build scalable methodologies to understand feature performance and guide iteration.
**🛠 Build Data Products \&amp; Tools**
* Use our modern data stack to build dashboards, data pipelines, and self\-serve tools that empower teams across Whatnot.
* Partner with engineers to improve data accessibility, ensure data quality, and support instrumentation for new product features.
**🤝 Lead Cross\-Functional Collaboration**
* Advocate for data\-driven decision\-making and foster a culture of measurement across the product organization.
* Communicate insights clearly to both technical and non\-technical audiences, influencing roadmaps and strategic decisions.
* Serve as a thought partner to product leads, shaping how we build, launch, and iterate on experiences across the platform.
**US Based**
**We offer flexibility to work from home or from one of our global office hubs, and we value in\-person time for planning, problem\-solving, and connection. Team members in this role must live within commuting distance of our New York, Seattle, Los Angeles, and San Francisco hubs.**
**👋 You**
 Curious about who thrives at Whatnot? We’ve found that embodying a low ego, growth mindset, and high\-impact drive goes a long way here.
**🎓 Experience \&amp; Expertise**
 As our next
 **Product Data Scientist** 
 , you bring:
* 3\+ years of experience in Data Science, Decision Science, or Analytics within a product\-focused organization.
* A bachelor’s degree in Computer Science, Economics, Statistics, or a related quantitative field or equivalent experience.
* Proven experience applying statistical and analytical methods to real\-world product problems.
**🧠 Technical Skills**
* Advanced SQL skills and experience with modern data warehouses (Snowflake, BigQuery, Redshift) and tools like Spark or DBT.
* Proficiency with Python or R for data analysis, modeling, and experimentation.
* Experience designing and analyzing A/B tests and understanding causal inference techniques.
* Strong data visualization skills and familiarity with BI tools for building interactive dashboards.
**🗣 Collaboration \&amp; Leadership**
* Ability to communicate complex ideas clearly, concisely, and impactfully across diverse stakeholders.
* Experience leading cross\-functional projects and influencing product strategy with data.
* Comfortable working in fast\-paced, ambiguous environments with a high degree of ownership.
**💰Compensation**
**For Full\-Time (Salary) US based applicants:** 
 $185,000/year to $240,000/year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$185K \- $240K</t>
        </is>
      </c>
    </row>
    <row r="47">
      <c r="A47" t="inlineStr">
        <is>
          <t>li-4369655729</t>
        </is>
      </c>
      <c r="B47" t="inlineStr">
        <is>
          <t>Data Scientist – Funnel Analytics &amp; Optimization</t>
        </is>
      </c>
      <c r="C47" t="inlineStr">
        <is>
          <t>Inizio Partners</t>
        </is>
      </c>
      <c r="D47" t="inlineStr">
        <is>
          <t>linkedin</t>
        </is>
      </c>
      <c r="E47" t="inlineStr"/>
      <c r="F47" t="inlineStr"/>
      <c r="G47" t="inlineStr"/>
      <c r="H47" t="inlineStr"/>
      <c r="I47" t="inlineStr">
        <is>
          <t>**Role: Data Scientist – Funnel Analytics \&amp; Optimization** 
**Location: San Diego, CA (Hybrid \| 2\-3 days from office)** 
**Roles \&amp; Responsibilities** 
 As the Staff Data Scientist – Funnel Analytics \&amp; Optimization, you will own end\-to\-end funnel analytics across acquisition, application, underwriting, and funding for a small\-business lending portfolio. You will identify friction points and operational bottlenecks, design measurement frameworks, and run test\-and\-learn experiments to improve conversion, cycle time, and customer outcomes—while maintaining strong risk discipline. You will partner with client and internal stakeholders across Risk, Operations, Product, Engineering, and AI teams to translate insights into scalable process changes, automation, and AI\-agent solutions.
* Analyze end\-to\-end funnel performance across acquisition, application, underwriting, and funding stages to identify conversion trends and structural inefficiencies
* Design and maintain analytical frameworks to monitor funnel health, conversion rates, and customer drop\-off patterns
* Identify root causes of customer attrition and dropout at each funnel stage using quantitative analysis and cohort\-based methodologies
* Drive a statistical approach to assessing information value of each funnel step v customer attrition and drop out
* Support test\-and\-learn initiatives, including A/B testing and controlled experiments, to measure the impact of funnel optimization efforts
* Partner closely with process owners \&amp; AI team to deploy automation and AI agent solutions to fundamentally enhance funnel efficiency
* Deploy game theory or other relevant statistical frameworks to enhance take up rate of client offers by channel partner
* Partner with Operations, Underwriting, and Product teams to design and evaluate strategies that reduce customer friction and improve completion rates
* Develop segmentation and behavioral analyses to identify populations with elevated dropout risk or conversion opportunity
* Translate analytical findings into clear, actionable recommendations for senior leadership and cross\-functional partners
* Monitor post\-implementation results to ensure sustained improvement and surface second\-order impacts on risk, cost, and customer experience
**Candidate Profile:** 
* 7\+ years of relevant experience in analytics or data science within fintech, financial services, or a data\-driven consumer or B2B environment
* Hands\-on experience analyzing customer funnels, conversion metrics, or operational workflows
* Demonstrated experience partnering with operations or frontline teams to translate analytics into execution
* Experience supporting experimentation, measurement, and performance monitoring in production environments
* Funnel and conversion analytics
* Cohort analysis and customer journey analysis
* Drop\-off and attrition modeling
* Experimentation and A/B testing
* Statistical analysis and hypothesis testing
* Cross\-functional analytical storytelling
* Strong SQL and Python (or R) proficiency; ability to work with large datasets and build reproducible analytical workflows.
* Excellent communication, presentation, and story\-building skills in a consulting/client\-facing setup.
* Demonstrated ability to lead cross\-functional initiatives end\-to\-end and coordinate with offshore delivery teams.
* Bachelors degree in related quantitative fields such as Data Science, Statistics, Mathematics, Economics, Finance, or Engineering required.
**\*\* Client is also open to hire junior candidates (4\-5 years exp.) with similar skills at a lower band.**</t>
        </is>
      </c>
    </row>
    <row r="48">
      <c r="A48" t="inlineStr">
        <is>
          <t>li-4323248474</t>
        </is>
      </c>
      <c r="B48" t="inlineStr">
        <is>
          <t>Product Data Scientist</t>
        </is>
      </c>
      <c r="C48" t="inlineStr">
        <is>
          <t>AvePoint</t>
        </is>
      </c>
      <c r="D48" t="inlineStr">
        <is>
          <t>linkedin</t>
        </is>
      </c>
      <c r="E48" t="inlineStr"/>
      <c r="F48" t="inlineStr"/>
      <c r="G48" t="inlineStr"/>
      <c r="H48" t="inlineStr"/>
      <c r="I48" t="inlineStr">
        <is>
          <t>**About AvePoint**
 Beyond Secure. AvePoint is the global leader in data security, governance, and resilience, going beyond traditional solutions to ensure a robust data foundation and enable organizations everywhere to collaborate with confidence. Over 25,000 customers worldwide rely on the AvePoint Confidence Platform to prepare, secure, and optimize their critical data across Microsoft, Google, Salesforce, and other collaboration environments. AvePoint’s global channel partner program includes approximately 5,000 managed service providers, value\-added resellers, and systems integrators, with our solutions available in more than 100 cloud marketplaces. To learn more, visit
 **www.avepoint.com** 
 .
 At AvePoint, we are committed to investing in our people. Agility, passion and teamwork set us up to do our best work and foster a culture where you are empowered to craft your career, make an impact, and own (y)our future. Unleash the power of you!
**About The Role**
 We are seeking a Product Data Scientist to join our data analytics team and drive data\-informed decisions and enabling product\-led\-growth for our B2B SaaS products. This role will focus on analyzing product performance, understanding customer behavior, and designing experiments that optimize acquisition, adoption, retention, and growth. You will work with diverse datasets including customer transactions, feedback, telemetry, and technographics, to uncover actionable insights that shape product strategy and enhance customer experience.
**Key Responsibilities** 
* Analyze Product Performance:
+ Evaluate commercial performance metrics across product lines, bundles, and features in different segments.
+ Enhance product\-led growth metrics such as user activation rates, feature adoption, expansion revenue, and virality.
+ Identify trends, opportunities, and risks impacting revenue and adoption.
* Customer Behavior Analysis:
+ Use statistical and machine learning methods to model customer usage patterns, needs, and retention drivers.
+ Segment customers by lifecycle stage (e.g., new, activated, power users, churn risk) to inform targeted in\-product experiences and drive upsell/cross\-sell through personalized product journeys.
* Experimentation \&amp; Optimization:
+ Design, execute, and analyze A/B tests and other products experiments to validate hypotheses that accelerate product\-led growth.
+ Develop frameworks for testing new features, pricing models, and onboarding flows.
+ Identify opportunities to enhance the product’s ability to drive growth autonomously
* Insights \&amp; Recommendations:
+ Translate complex data into clear, actionable insights for product managers, product marketing, and business stakeholders.
+ Deliver actionable insights that empower product managers to prioritize PLG initiatives, such as optimizing self\-serve onboarding, driving feature discovery, and reducing friction in the user journey
+ Build dashboards that track PLG KPIs and OKRs around activation, expansion, retention, referral.
+ Customer sentiments on products and feature requests.
**Required Qualifications**
* Advanced degree in Data Science, Statistics, Computer Science, or related field.
* Strong proficiency in Python/R, SQL, and data visualization tools (e.g., Power BI, Tableau).
* Experience with machine learning techniques (classification, clustering, regression) and statistical modeling.
* Hands\-on experience with experiment design and causal inference.
* Demonstrated experience supporting product\-led growth strategies in SaaS environments, including experimentation, user segmentation, and lifecycle analytics.
* Familiarity with SaaS metrics (e.g., ARR, churn, LTV, CAC) and customer lifecycle analytics.
**Preferred Qualifications**
* Knowledge of telemetry and product analytics tools (e.g., Mixpanel, Amplitude, Gainsight).
* Experience working with large\-scale datasets and cloud platforms (Azure, AWS, GCP).
* Strong communication skills to present insights to technical and non\-technical audiences.
**Impact of the Role**
 Your work will directly accelerate product\-led growth by enabling data\-driven decisions and experimentation that empower users to discover value, convert, and expand through the product experience.
 The Salary Range for this role is $120,000 \- $180,000\. At AvePoint, we strive to offer competitive, fair, and equitable total rewards. The listed salary range represents a good faith estimate, with final offers based on location, experience, skills, and qualifications. The listed range reflects base salary only; our total rewards include base salary, comprehensive benefits (medical, dental, vision, 401(k) with match, unlimited PTO), and depending on the role, bonuses, commissions, or equity (RSUs). We welcome compensation discussions—apply even if your expectations fall outside the range.
 Any personal data you share with us during the application process will be processed strictly in compliance with applicable data protection laws and our Privacy Notice.</t>
        </is>
      </c>
    </row>
    <row r="49">
      <c r="A49" t="inlineStr">
        <is>
          <t>li-4372761624</t>
        </is>
      </c>
      <c r="B49" t="inlineStr">
        <is>
          <t>Data Scientist</t>
        </is>
      </c>
      <c r="C49" t="inlineStr">
        <is>
          <t>PhysicsX</t>
        </is>
      </c>
      <c r="D49" t="inlineStr">
        <is>
          <t>linkedin</t>
        </is>
      </c>
      <c r="E49" t="inlineStr"/>
      <c r="F49" t="inlineStr"/>
      <c r="G49" t="inlineStr">
        <is>
          <t>Manhattan, NY</t>
        </is>
      </c>
      <c r="H49" t="inlineStr"/>
      <c r="I49"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**Who We're Looking For**
 As a Data Scientist in Delivery, you are a problem solver and builder who is passionate about creating practical solutions that enable customers to make better engineering decisions. You are someone who can grasp advanced engineering concepts across multiple industries, and you excel at working directly with customers (and often side\-by\-side with them on\-site) to transform cutting edge AI models into tools that are useful and used.
 You’ve worked on difficult problems that require strong foundations in data driven modelling and deep learning techniques, with hands\-on experience in probabilistic methods and predictive modelling. Expertise in python, along with proficiency in libraries like NumPy, SciPy, Pandas, TensorFlow and PyTorch, is essential, with the ability to deploy scalable, production\-ready models and data pipelines.
 With at least 1 year industry experience (post Masters or PhD) in a commercial, non\-research environment, you’re ready to hit the ground running. You’re truly excited about growing your technical expertise and are naturally inclined to take ownership of data science work streams, continuously improving the systems and solutions you work on to ensure they are practical, impactful and meet the evolving needs of our customers.
**This Role**
 In this role, you’ll work closely with our Simulation Engineers, Machine Learning Engineers, and customers to understand and define the engineering and physics challenges we are solving.
 You’ll build the foundations for successful, impactful solutions by:
* Pre\-processing and analyzing data to prepare it for use in predictive modelling, building the foundation for machine learning algorithms to be developed.
* Developing and utilizing innovative deep learning models in combination with state\-of\-the\-art optimization methods to predict and control the behaviour of physical systems.
* Taking full responsibility for the quality, accuracy and impact of your work.
* Designing, building and testing data pipelines that are reliable, scalable and easily deployable in production environments.
* Working closely with simulation engineers to ensure seamless integration of data science models with simulations.
* Contributing to internal R\&amp;D and product development, helping to refine models and identify new areas of application.
* Engaging in open communication and presentation with both technical teams and customers, helping onboard users and co\-develop with customers.
* There is a requirement to travel to customer sites in North America, Europe, Asia, Oceania, an average of 2\-3 weeks per quarter, where you’ll collaborate closely with customers to build solutions on site.
 As the role evolves, there are exciting opportunities for growth as an individual contributor or a technical lead, especially if you’re driven by taking ownership of more complex projects and leading the direction of future solutions.
*Please note, this role is based in Manhattan, NYC, working 2\-3 days per week in our office.*
**Our delivery teams drive innovation to turn AI models into practical solutions \- read our blog to learn more about how you’ll contribute to this exciting journey!**
**What We Offer**
* Equity options – share in our success and growth.
* 5% 401(k) match – invest in your future.
* Flexible working – balance your work and life in a way that works for you.
* Hybrid setup – enjoy our Manhattan office while keeping remote flexibility.
* Enhanced parental leave – support for life’s biggest milestones.
* Private healthcare – comprehensive coverage for you and your family.
* Personal development – access learning and training to help you grow.
* Work from anywhere – extend your remote setup to enjoy the sun or reconnect with loved ones.
 We believe diversity fuels innovation, and we're building a culture where everyone belongs. We're proud to be an equal opportunity employer, welcoming talent of all backgrounds, identities, and experiences. Changing the face of tech takes action, which is why we actively encourage individuals from historically underrepresented groups to apply.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row>
    <row r="50">
      <c r="A50" t="inlineStr">
        <is>
          <t>li-4372795227</t>
        </is>
      </c>
      <c r="B50" t="inlineStr">
        <is>
          <t>Data Scientist</t>
        </is>
      </c>
      <c r="C50" t="inlineStr">
        <is>
          <t>Expel</t>
        </is>
      </c>
      <c r="D50" t="inlineStr">
        <is>
          <t>linkedin</t>
        </is>
      </c>
      <c r="E50" t="inlineStr"/>
      <c r="F50" t="inlineStr"/>
      <c r="G50" t="inlineStr"/>
      <c r="H50" t="inlineStr"/>
      <c r="I50" t="inlineStr">
        <is>
          <t>You are passionate about transforming complex data into actionable insights and tools that make people more efficient. You thrive on the challenge of gathering, cleaning, and analyzing diverse data sources to find the "hidden truth" that drives real customer value. Your ideal role involves using a blend of computer science, statistics, and machine learning to translate information security data into organizational knowledge. While you enjoy research, you get the most energy from seeing your work—from predictive models to Gen AI applications—directly impact cybersecurity outcomes.
 Does this sound like you? Great!
 We’re looking for a Data Scientist who wants to automate routine decisions and empower our humans to be more efficient. You’ll work alongside our Detection and Response (D\&amp;R) Engineering and Security Operations Center (SOC) teams to deliver quick, iterative wins that improve how we detect and investigate cybersecurity incidents.
 Our team values collaboration and a team\-focused mindset. If you are an adaptable problem\-solver who enjoys working with others to turn noisy data into clear capabilities, we should talk!
**What Expel Can Do For You**
* Provide opportunities where the decisions you make have a direct impact on our company and our customers
* Grow through collaborative mentorship and hands\-on stretch assignments
* Challenge you to push the boundaries of our data science, security, and technology vision
* Provide an entertaining, small and highly transparent startup environment
**What You Can Do For Expel**
* Support our security analysts by continuously improving alert quality, workflow efficiency, and detection capabilities through advanced analytics, machine learning, and Gen AI.
* Work across our operations, engineering and service delivery teams, ensuring Expel can easily deploy, monitor, and manage all of our machine learning capabilities.
* Drive business decisions by translating data insights into clear, actionable knowledge for the organization.
* Foster an atmosphere of experimentation, continuous learning, and improvement.
* Maintain and enhance our existing models while supporting new data science initiatives.
* Contribute to Expel’s external voice through blog posts and conference speaking.
**What You Should Bring With You**
* Ability and desire to collaborate and work with teams throughout the organization to foster research and innovation
* Ability to communicate technical data science concepts to various audiences, especially non data science experts
* Passion for finding order and meaning in large, chaotic data sets an amorphous problem domains
* Deep proficiency with Python (pandas, numpy, sklearn) and SQL for model development.
* Knowledge of statistics (distributions, hypothesis testing, probability, etc.)
* Proficiency of a few popular data science and visualization frameworks such at scikit\-learn, plotly, pandas, and numpy, and the underlying statistics that drive them
* Understanding of data engineering and proven experience with cloud deployment best practices
* Prefers 3\+ years of data science experience creating models, analyzing data and drawing conclusions, recommending next steps, and summarizing key results to stakeholders
* A Bachelor’s degree in Math, Statistics, or Computer Science (or equivalent experience in AI/ML).
**Additional Information**
 The base salary for this role is $118,400 \- $171,700 \+ bonus and equity.
 At Expel, our employee benefits reflect our commitment to our crew. Unlimited PTO, equity for everyone, work location flexibility, up to 24 weeks of parental leave, and excellent health benefits are some of the ways we care for our Expletives.
 We’re only hiring those authorized to work in the United States. We do not currently sponsor immigration visas.
 We're an Equal Opportunity Employer: You'll receive consideration for employment without regard to race, sex, age, color, religion, sexual orientation, gender identity, national origin, protected veteran status, or on the basis of disability.
 We’ll ensure that individuals with disabilities are provided reasonable accommodation to participate in the job application or interview process, to perform essential job functions, and to receive other benefits and privileges of employment. Please let us know if you need accommodation of any kind.
 Salary Range
 $118,400—$171,700 USD</t>
        </is>
      </c>
    </row>
    <row r="51">
      <c r="A51" t="inlineStr">
        <is>
          <t>li-4327200798</t>
        </is>
      </c>
      <c r="B51" t="inlineStr">
        <is>
          <t>Data Scientist</t>
        </is>
      </c>
      <c r="C51" t="inlineStr">
        <is>
          <t>Quantifind</t>
        </is>
      </c>
      <c r="D51" t="inlineStr">
        <is>
          <t>linkedin</t>
        </is>
      </c>
      <c r="E51" t="inlineStr"/>
      <c r="F51" t="inlineStr"/>
      <c r="G51" t="inlineStr">
        <is>
          <t>Palo Alto, CA</t>
        </is>
      </c>
      <c r="H51" t="inlineStr"/>
      <c r="I51" t="inlineStr">
        <is>
          <t>**Who You Are**
 You are a data scientist, an experienced quantitative thinker who wants to develop further as both a data scientist and an engineer. You are skilled at finding the precise mathematical kernels of real\-world business challenges faced by leading international financial institutions. You want to apply your expertise in statistics and computer science using Quantifind’s state\-of\-the\-art infrastructure to solve problems in Natural Language Processing, such as Entity Resolution, Document Classification, building Knowledge Graphs, and Topic Modeling. You are excited to work at a fast\-growing company where you will have the chance to expand your scientific and engineering skills in new areas. You share Quantifind’s commitment to winning together and are eager to see your coworkers build on the technical foundations you will be creating. You are passionate about maintaining the high scientific and engineering standards required to enable your peers. Above all, you are a curious and independent problem solver who is motivated to find a place where your skills can have a real impact.
 You’re looking to explore a client\-facing role at the intersection of software and consulting. You are obsessed with the idea of delighting clients at some of the world’s leading Financial Institutions, helping them identify financial crimes.
 You have always been a strong critical thinker and know how to problem solve.
 You are an excellent communicator with the ability to distill complex concepts into clear and effective verbal and written presentations. You are comfortable working closely with Sales, Product, and Technology teams to promote a Customer Centric culture.
 You have an entrepreneurial spirit with a deep sense of personal accountability for work product quality and always take the initiative to propel work products to new heights. You maintain a positive attitude even in a deadline\-driven environment, bring out the best in others, and enjoy contributing to the success of the team.
**Who We Are**
 Quantifind is
 *the* 
 Risk Intelligence company. We help some of the world’s biggest banks identify money laundering and fraud. Quantifind also works with government agencies, using the same platform, to uncover criminal networks and support national security. Unlike other players in this space, Quantifind delivers results through an AI\-driven software\-as\-a\-service (SaaS) solution with consumer\-grade user experiences.
 Quantifind’s Graphyte platform uncovers signals of risk across disparate and unstructured text sources using artificial intelligence and natural language processing techniques. In financial crimes risk management, Quantifind’s solution uniquely combines internal financial institution data with public domain data to assess risk in the context of Know Your Customer (KYC), Customer Due Diligence (CDD), Fraud Risk Management, and Anti\-Money Laundering (AML) processes. Today, these compliance processes are burdened by ever\-increasing regulatory responsibilities and an expectation of frictionless transactions. Legacy technologies demand increasingly more human resources as the operations expand; Quantifind’s solution offers a way to cut through the inefficiency and enhance effectiveness simultaneously. Demand for this solution is fueling our rapid growth.
 To help you succeed, we provide a supportive environment that fosters collaboration between teams and team members, where learning and professional growth are considered a key part of your success, and of ours. We offer a flexible work environment with a family\-friendly work\-life balance.
**What a Great Candidate Looks Like**
* Master’s degree or higher in Statistics, Mathematics, Computer Science, or a related quantitative field.
* At least 2 years of professional industry experience, in addition to your academic experience.
* Proficient in two or more of the following: Scala / Java, Python, R.
* Outstanding quantitative and analytical ability. Able to take less\-than\-precise business requirements and translate them into Quantitative problems that you enjoy solving.
* In\-depth knowledge of Statistics / Probability / Machine Learning, including foundations such as bias/variance trade\-off, regularization, dimension reduction, and model explanation.
* Prior experience with Natural Language Processing (NLP) methods such as Word and Contextual Embeddings, Named Entity Recognition, Topic Modeling, large\-scale Document Classification, and Sequence\-to\-Sequence Models is a significant plus.
* Ability to apply software engineering best practices to build scalable, reliable ML pipelines. Comfortable prototyping algorithms, iterating quickly, and working collaboratively.
* Prior experience working with large\-scale datasets (Millions of records) using SQL and Spark.
* Excellent written and verbal communication skills, prior experience explaining assumptions, conclusions, and methodology to technical and non\-technical audiences.
**The Opportunity We Offer**
 Quantifind is seeking to fill a Data Scientist position on our Data Science team. We work closely with the Product Management team and Platform engineers to anticipate company needs and quickly put state\-of\-the\-art mathematical tools into the hands of end users. Members of the Data Science team translate real\-world problems into quantitative language, find or create algorithms to solve those problems, and implement them in code. Our team values a creative and empathetic approach to problem\-solving and strives to maintain rigorous scientific and engineering standards. We will give you the opportunity to work on the full spectrum of data science challenges, bringing solutions from research all the way to production.
 Quantifind’s development team is centered in Palo Alto, California, and we have technology hubs in Atlanta, Georgia, and Washington, D.C. Quantifind is currently using a hybrid mix of working from home and in the office, with regular in\-person touchpoints and shared office space.
**A Highlight Of Our Benefits**
* Competitive salary
* Company Equity
* Exceptional benefits package
* Flexible Vacation \&amp; Paid Time Off
* Employer\-matched 401(k) plan
* A fun environment where work\-life balance is valued
 The base salary range for this full\-time position is $140,000 to $170,000\. Our salary ranges are determined by role, level, and location, and the range displayed on each job posting reflects the minimum and maximum target for new hire salaries for the position across all US locations. Within the range, individual pay is determined by work location, role\-related knowledge and skills, depth of experience, relevant education or training, and additional role\-related considerations.
 Depending on the position offered, equity, bonuses, commission, or other forms of compensation may also be provided as part of a total compensation package, in addition to a full range of medical, financial, and other benefits.
 We are an equal opportunity employer; we have a fun place to work and a devotion to succeeding together.
 Will you join us? Apply now!</t>
        </is>
      </c>
    </row>
    <row r="52">
      <c r="A52" t="inlineStr">
        <is>
          <t>li-4372014449</t>
        </is>
      </c>
      <c r="B52" t="inlineStr">
        <is>
          <t>Data Scientist</t>
        </is>
      </c>
      <c r="C52" t="inlineStr">
        <is>
          <t>Fifth Third Bank</t>
        </is>
      </c>
      <c r="D52" t="inlineStr">
        <is>
          <t>linkedin</t>
        </is>
      </c>
      <c r="E52" t="inlineStr"/>
      <c r="F52" t="inlineStr"/>
      <c r="G52" t="inlineStr">
        <is>
          <t>Chicago, IL</t>
        </is>
      </c>
      <c r="H52" t="inlineStr"/>
      <c r="I52" t="inlineStr">
        <is>
          <t>**Make banking a Fifth Third better®**
 We connect great people to great opportunities. Are you ready to take the next step? Discover a career in banking at Fifth Third Bank.
* This position is not available for immigration sponsorship.
 Do you have a passion for AI and Machine Learning and a desire to create a positive impact in the world? Come help us delight customers and transform financial services using AI and Machine Learning at Fifth Third! We are seeking applied AI scientists and engineers with diverse backgrounds to help make banking a Fifth Third better.
**About Fifth Third**
 Fifth Third is a bank that’s as long on innovation as it is on history. Since 1858, we’ve been helping individuals, families, businesses, and communities grow through smart financial services that improve lives. Our list of firsts is extensive, and it’s one that continues to expand. Fifth Third is one of the few U.S.\-based banks to have been named among Ethisphere’s World’s Most Ethical Companies® for several years. With a commitment to taking care of our customers, employees, communities and shareholders, our goal is not only to be the nation’s highest performing regional bank, but to be the bank people most value and trust.
 Did you know Fifth Third’s commercial payments business currently processes $17 trillion in annual payments volume and serves 25% of the Fortune 100? For decades, the Bank has delivered innovative solutions and scalable technology to consumers and businesses alike: we pioneered the ATM network and enabled some of the first e\-commerce transactions on the planet. At Fifth Third, you will have the opportunity to continue in this tradition of innovation by applying data science and AI to a variety of business applications from lending to fraud to operations and customer service.
**About The Job**
 The successful applicant will be curious, driven, and have a keen attention to detail and passion for all things data and analytics. You will have completed coursework in computer science, statistics, machine learning, data science and AI. You will be familiar with good software engineering practices. On the job, you will prepare data and build models to improve business outcomes using cutting edge machine learning methods, pretrained models, and open\-source tools, and contribute to a growing library of reusable code that enables us to accelerate our AI journey.
 Our data science team drives highly impactful business outcomes such as reducing losses from bad loans, deciding where to build our next retail banking center, efficiently acquiring profitable customers that bring billions of deposits, ensuring our data\-driven methods are equitable and fair to everyone, and automating loan operations and customer service to delight customers and drive efficiencies. This is an opportunity to leverage cutting edge data science to drive significant business outcomes and to have a scaled impact in our communities.
 Data scientists are expected to strive for excellence in methods and outcomes, innovate and push the envelope of what is possible using AI and machine learning in financial services, and openly exchange ideas and opinions with a vibrant community of hundreds of quantitative analysts across the bank.
**Essential Duties and Responsibilities**
* Gather and prepare data for analysis/modeling, including unstructured and structured data, including: tabular data, text, maps, images, voice, video, etc.
* Develop data processing, model development and inference pipelines in python leveraging open source tools such as pandas and scikit\-learn
* Understand modeling algorithms and methods: how the learning algorithms work, which ones to use for which task, and how to debug and fix them when you don’t get the outcomes you want
* Leverage predictive modeling techniques for applications such as classification, regression and sequence modeling, including ensemble methods that combine e.g., LLM embeddings with more traditional supervised methods
* Perform evaluations to establish the efficacy and stability/reliability of model outputs
* Document the model development process for risk management partners who ensure what we develop will pass muster with regulators
* Leverage web services, containers, and cloud services to deploy and manage models
* Develop and automate robust reporting and model monitoring methods
* Contribute to a growing codebase of reusable python code that enables us to accelerate our application of advanced analytics
* Partner with key stakeholders to understand business needs and formulate, communicate and create buy\-in for analytics approaches and solutions
* Transform unstructured problems into structured plans, including plans for investigations and experiments to move the data science application from idea to successful implementation with progressively more convincing evidence
* Successfully collaborate with others to bring your idea to life in production where it can positively impact millions of consumers and businesses
**Minimum Knowledge, Skills And Abilities Required**
* Voracious curiosity and a passion for applied statistics and data science
* Fluent in python, pandas, scikit\-learn, SQL, statistics
* Practical experience applying AI/ML: project work, practicum, research or job experience
* Bachelor's degree in a quantitative field such as Computer Science, Mathematics, Statistics, Economics, Physics (where AI/ML and predictive modeling played a central role in coursework and research); Advanced degrees preferred but not required
* Ability to understand and implement cutting edge methods published in conferences and journal preferred but not required
* Excellent written and oral communications skills
* Focus on outcomes, able to effectively manage time, independent and highly self\-motivated
 Data Scientist
 Total Base Pay Range 82,100\.00 \- 172,500\.00 USD Annual
 At Fifth Third, we understand the importance of recognizing our employees for the role they play in improving the lives of our customers, communities and each other. Our Total Rewards include comprehensive benefits and differentiated compensation offerings to give each employee the opportunity to be their best every day.
 The base salary for this position is reflective of the range of salary levels for all roles within this pay grade across the U.S. Individual salaries within this range will vary based on factors such as role, relevant skillset, relevant experience, education and geographic location. In addition to the base salary, this role is eligible to participate in an incentive compensation plan, with any such payment based upon company, line of business and/or individual performance.
 Our extensive benefits programs are designed to support the individual needs of our employees and their families, encompassing physical, financial, emotional and social well\-being. You can learn more about those programs on our 53\.com Careers page at: https://www.53\.com/content/fifth\-third/en/careers/benefits.html or by consulting with your talent acquisition partner.
 LOCATION \-\- Cincinnati, Ohio 45202
 Attention search firms and staffing agencies: do not submit unsolicited resumes for this posting. Fifth Third does not accept resumes from any agency that does not have an active agreement with Fifth Third. Any unsolicited resumes – no matter how they are submitted – will be considered the property of Fifth Third and Fifth Third will not be responsible for any associated fee.
 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t>
        </is>
      </c>
    </row>
    <row r="53">
      <c r="A53" t="inlineStr">
        <is>
          <t>li-4372791066</t>
        </is>
      </c>
      <c r="B53" t="inlineStr">
        <is>
          <t>Data Scientist, Marketing</t>
        </is>
      </c>
      <c r="C53" t="inlineStr">
        <is>
          <t>Mirage</t>
        </is>
      </c>
      <c r="D53" t="inlineStr">
        <is>
          <t>linkedin</t>
        </is>
      </c>
      <c r="E53" t="inlineStr"/>
      <c r="F53" t="inlineStr"/>
      <c r="G53" t="inlineStr">
        <is>
          <t>New York, NY</t>
        </is>
      </c>
      <c r="H53" t="inlineStr"/>
      <c r="I53" t="inlineStr">
        <is>
          <t>Mirage is an AI\-native video platform that intelligently orchestrates production and editing through natural language. Our models leverage contextual awareness to execute the same creative decisions a professional editor would — dramatically improving productivity for professional teams, while making video creation accessible to anyone.
 We’re an interdisciplinary team addressing some of the most difficult technical and creative challenges in generative media. As an early member of our team, you’ll tackle foundational problems that remain largely unsolved across the industry, driving an outsized impact on the future of creative expression.
**More About Us**
 Product (Captions by Mirage)
 Research (Seeing Voices, technical\-white\-paper)
 Updates (Mirage on X / twitter)
 TechCrunch, Forbes AI 50, Fast Company (press)
**Our Investors**
 We’re very fortunate to have some the best investors and entrepreneurs backing us, including
 **Index Ventures, Kleiner Perkins, Sequoia Capital, Andreessen Horowitz,** 
 Uncommon Projects, Kevin Systrom, Mike Krieger, Lenny Rachitsky, Antoine Martin, Julie Zhuo, Ben Rubin, Jaren Glover, SVAngel, 20VC, Ludlow Ventures, Chapter One, and more.
*Please note that all of our roles will require you to be in\-person at our NYC HQ (located in Union Square)*
**About The Role**
 We’re looking for a Data Scientist to help power our marketing strategy. In this role, you’ll partner with Marketing, Product, and Finance to improve acquisition performance, refine attribution, and build the measurement foundations that guide our company’s growth.
 As the first Data Scientist dedicated to marketing analytics, you will define core success metrics, evaluate funnel performance, and uncover insights that shape our go\-to\-market strategy.
**Key Responsibilities**
* Analyze acquisition, lifecycle, and overall marketing performance to surface trends, identify funnel gaps, and highlight opportunities to improve efficiency and customer value.
* Build and maintain predictive models that support forecasting, customer understanding, targeting, and personalization.
* Develop and improve marketing measurement frameworks to better understand channel impact, attribution, and drivers of growth.
* Conduct deep analyses of customer behavior, segments, and retention patterns to inform marketing and product strategy.
* Design, run, and evaluate experiments (e.g., A/B tests) to measure the impact of marketing initiatives and guide decision\-making.
* Assess multi\-channel campaign performance and provide clear recommendations to marketing partners to improve outcomes.
* Work closely with cross functional teams and leadership to enhance data quality, evolve marketing datasets, and support scalable analytical workflows.
* Communicate insights clearly and effectively, turning complex analyses into actionable recommendations for leadership and cross\-functional teams.
**Requirements**
* Minimum of 5 years of experience in data science, marketing data science, or growth analytics within B2C, B2B, e\-commerce, or SaaS environments.
* Advanced proficiency in SQL and Python, including experience with data manipulation libraries and statistical modeling.
* Hands\-on experience with modern cloud data warehouses (e.g., BigQuery) and building scalable data models or pipelines for analytics.
* Strong understanding of marketing measurement, including CAC, CLV, ROAS, funnel analytics, incrementality testing, and attribution methods (MMM, MTA, SKAN).
* Experience with predictive modeling, such as LTV, churn, conversion propensity, clustering, and time\-series forecasting.
* Familiarity with mobile measurement partners, including AppsFlyer or Adjust, and mobile attribution concepts.
* Experience designing and evaluating experiments, with a solid grounding in statistical testing, causal inference, and uplift modeling.
* Demonstrated ability to work cross\-functionally, partnering with Marketing, Product, Finance, and Data Engineering stakeholders.
* Exceptional analytical and problem\-solving skills, with the ability to break down ambiguous problems and operate autonomously in fast\-paced environments.
* Clear and effective communication skills, with the ability to convey complex technical insights to non\-technical audiences.
**Benefits:**
* Comprehensive medical, dental, and vision plans
* 401K with employer match
* Commuter Benefits
* Catered lunch multiple days per week
* Dinner stipend every night if you're working late and want a bite!
* Grubhub subscription
* Health \&amp; Wellness Perks (Talkspace, Kindbody, One Medical subscription, HealthAdvocate, Teladoc)
* Multiple team offsites per year with team events every month
* Generous PTO policy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$150K \- $200K</t>
        </is>
      </c>
    </row>
    <row r="54">
      <c r="A54" t="inlineStr">
        <is>
          <t>li-4371195766</t>
        </is>
      </c>
      <c r="B54" t="inlineStr">
        <is>
          <t>Data Scientist, Applied Research</t>
        </is>
      </c>
      <c r="C54" t="inlineStr">
        <is>
          <t>Travelers</t>
        </is>
      </c>
      <c r="D54" t="inlineStr">
        <is>
          <t>linkedin</t>
        </is>
      </c>
      <c r="E54" t="inlineStr"/>
      <c r="F54" t="inlineStr"/>
      <c r="G54" t="inlineStr">
        <is>
          <t>Hartford, CT</t>
        </is>
      </c>
      <c r="H54" t="inlineStr"/>
      <c r="I54"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$132,800\.00 \- $219,100\.00
**Target Openings**
 1
**What Is the Opportunity?**
 Travelers Data Scientists are taking the organization to the next level of intelligence by using advanced statistical techniques, machine learning algorithms, and AI. As a Data Scientist, you will work with business partners to identify opportunities for data analysis and experiments to solve key business challenges. You will help to design, build, and deliver predictive models of varying complexity, communicate insights, and tell the story using data.
 As a member of the Applied Research team, you will join a group of highly creative and capable data scientists delivering meaningful impact across several domains. By combining your business acumen with strong technical expertise, you will help stakeholders to solve new or emerging problems through ideation, experimentation, and prototyping. In addition, you will have opportunities to pursue foundational research in anticipation of future business needs. Through exploration of new data, new methods, or new technologies, you will play a key role in unlocking new insights and value for the organization.
**What Will You Do?**
* Assist in design and development of analytical solutions.
* Share knowledge with the community through discussions, presentations, or peer reviews.
* Begin to set and manage expectations with business partners for small projects, and with guidance, identify potential conflicts and build consensus.
* Communicate analysis, insights, and results to manager, peers and business partners and with guidance, tailor communication to the audience.
* Become a mentor or resource for less experienced analytic talent, onboard new employees and interns, and provide support for intern recruiting and talent assessment efforts.
* Support various training and skill development initiatives
* Perform other duties as assigned.
**What Will Our Ideal Candidate Have?**
* Master's in STEM related field or equivalent.
* 3 years of related experience.
* Strong working knowledge of modeling/ research/analytics or actuarial required.
* Relevant statistical analysis work experience required.
* Strong Knowledge of statistical techniques with the ability to read/revise/ review statistical software programs.
* Ability to develop models and interpret model results.
* Understanding of advanced statistics underlying data models.
* Ability to apply emerging statistical procedures to work.
* Strong knowledge in: Regression, Classification, Machine Vision, Natural Language Processing, Deep Learning and Statistical modeling.
**What is a Must Have?**
* Master's degree in Statistics, Mathematics, Decision Sciences, Actuarial Science or related analytical STEM field plus two years of experience or any suitable and equivalent combination of education and work experience.
* Heavy concentration in mathematics, including statistics and programming, business intelligence/analytics, as well as data science tools and research using large data sets.
* Additional verification of specific coursework will be required.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55">
      <c r="A55" t="inlineStr">
        <is>
          <t>li-4369612893</t>
        </is>
      </c>
      <c r="B55" t="inlineStr">
        <is>
          <t>Staff Data Scientist – Credit Strategy</t>
        </is>
      </c>
      <c r="C55" t="inlineStr">
        <is>
          <t>Inizio Partners</t>
        </is>
      </c>
      <c r="D55" t="inlineStr">
        <is>
          <t>linkedin</t>
        </is>
      </c>
      <c r="E55" t="inlineStr"/>
      <c r="F55" t="inlineStr"/>
      <c r="G55" t="inlineStr"/>
      <c r="H55" t="inlineStr"/>
      <c r="I55" t="inlineStr">
        <is>
          <t>**Role: Staff Data Scientist – Credit Strategy** 
**Location: San Diego, CA \| Hybrid (2\-3 days from office)** 
 As the
 **Staff Data Scientist – Credit Strategy** 
 , you will design, deploy, and optimize end\-to\-end credit strategies that balance growth, profitability, and credit risk for a small\-business lending portfolio. You will develop policy frameworks for approvals, segmentation, limits, and pricing; embed forward\-looking risk signals; and build monitoring to keep portfolio performance within loss tolerances. You will partner with client and internal leaders across Risk, Product, Engineering, and Underwriting to operationalize decisioning, enable rapid experimentation, and create resilient portfolios that are attractive to debt investors on a risk\-adjusted basis.
* Design and deploy innovative approval, qualification, and segmentation strategies that maximize application approval rates while achieving credit loss targets
* Develop and maintain underwriting policies that define minimum acceptance criteria and policy declines for segments outside clients risk appetite
* Create statistically grounded credit limit assignment frameworks that optimize lifetime customer value while managing downside risk
* Design pricing and interest rate strategies, including testing frameworks, to ensure adequate loss coverage, strong borrower selection, and high customer take\-up rates
* Optimize data collection strategies by balancing the information value of data against customer friction and operational cost
* Partner closely with the manual underwriting team to build a hybrid risk framework that integrates analytical strategies with expert manual review, ensuring consistent execution and continuous feedback loops. This would require innovative credit strategy tooling to create differentiated credit pathways for applications based on their profile, loan amount exposure and complexity of underwriting required
* Collaborate with Product, Engineering, and Data Science teams to design and deploy scalable infrastructure that enables rapid iteration and refinement of credit strategies
* Establish robust portfolio monitoring and reporting processes to track approval rates, credit performance, and risk metrics against expectations
* Apply a thoughtful, forward\-looking approach to portfolio construction to ensure assets are resilient across economic cycles and attractive to debt investors on a risk\-adjusted basis
* Incorporate macroeconomic trends and forward\-looking risk signals into credit strategy to ensure ongoing relevance in evolving market conditions
**Candidate Profile** 
* 7\+ years of hands\-on experience designing, calibrating, and managing credit strategies for cash advance / short\-duration small business credit products; prior MCA credit strategy experience
* Strong experience overseeing model deployment, execution, and monitoring within a production environment; ML Ops experience is highly preferred
* Masters degree in Data Science, Statistics, Economics, Finance, or a related quantitative discipline
* Strong SQL and Python proficiency; ability to work with large datasets and build reproducible analytical workflows.
* Excellent communication, presentation, and story\-building skills in a consulting/client\-facing setup.
* Demonstrated ability to lead cross\-functional initiatives end\-to\-end and coordinate with offshore delivery teams.
* Bachelors degree in a related quantitative field such as Data Science, Statistics, Mathematics, Economics, Finance, or Engineering required.
* Masters degree in Data Science, Statistics, Economics, Finance, or a related quantitative discipline is a plus
**\*\* Client is also open to hire junior candidates (4\-5 years exp.) with similar skills at a lower band.**</t>
        </is>
      </c>
    </row>
    <row r="56">
      <c r="A56" t="inlineStr">
        <is>
          <t>li-4372772545</t>
        </is>
      </c>
      <c r="B56" t="inlineStr">
        <is>
          <t>Data Scientist</t>
        </is>
      </c>
      <c r="C56" t="inlineStr">
        <is>
          <t>Westat</t>
        </is>
      </c>
      <c r="D56" t="inlineStr">
        <is>
          <t>linkedin</t>
        </is>
      </c>
      <c r="E56" t="inlineStr"/>
      <c r="F56" t="inlineStr"/>
      <c r="G56" t="inlineStr">
        <is>
          <t>Bethesda, MD</t>
        </is>
      </c>
      <c r="H56" t="inlineStr"/>
      <c r="I56" t="inlineStr">
        <is>
          <t>**Job Description**
 Westat is a leader in research, data collection and analysis, technical assistance, evaluation, and communications. Our evidence\-based findings help clients in government and the private sector accelerate advancements in health, education, transportation, and social and economic policy. Our dedication to improving lives through research and our approach to projects grounded in investigative curiosity, statistical and data rigor, adaptive methods, and advanced technology are why clients find exceptional value in our work.
**Job Summary**
 Westat is seeking a Data Scientist to join our Statistics and Data Science team. The position involves programing in R, Python, and SQL; applying data science and artificial intelligence (AI) methods (e.g., natural language processing, machine learning, and large language models) to structured and unstructured data; data analytics, data visualization, and dashboard development with minimal oversight and supervision.
 This role is based out of our Bethesda, Maryland office and will be eligible for a hybrid work arrangement requiring 1\-2 days onsite each week.
**Job Responsibilities**
* Develop and test R and Python to collect, process, link, and analyze data in various formats.
* Develop SQL code to query, process, and manage large data files in databases.
* Apply supervised and unsupervised machine learning frameworks to data collected from a variety of sources.
* Use natural language processing methods and large language models to clean, parse, link, summarize and analyze large and unstructured data.
* Collect/acquire data from a variety of sources including websites using Application Programming Interface (API) and web\-scraping.
* Develop data visualizations and dashboards using open\-source libraries in R and Python and proprietary software such as Tableau and PowerBI.
* Develop and maintain code documentation using Git, implement coding standards, and apply best practices.
* Present to internal and external clients.
* Engage in thought leadership via publications and conference presentations.
**Basic Qualifications**
* Ability to obtain a Public Trust clearance, requiring consistent U.S. residency for the majority of the last five years.
* A bachelor’s degree in data science, statistics, computer science, mathematics or other related quantitative field..
* 3\-5 years of experience in data science or related projects.
* Proficiency in R, Python, SQL, and demonstrated experience in data visualization tools (e.g., Tableau and PowerBI).
* Demonstrated experience developing machine learning and natural language processing methods.
* Developed, queried, and managed large data files in databases.
* Proven experience using Git as version control system.
**Preferred Qualifications**
* Current or recent Public Trust Clearance is preferred.
* Master’s degree in data science, statistics, computer science, mathematics or other related quantitative field preferred.
* Experience working in a professional services research environment.
* Knowledge of industry best practices and emerging technologies.
* Strong problem\-solving abilities and experience in developing actionable insights from complex data.
* Excellent oral and written communication skills for presenting technical concepts to non\-technical stakeholders.
* Strong organizational skills, including time management, and the ability to handle multiple tasks simultaneously, and work both independently and in a team environment.
**Requirements**
 Westat offers a well\-rounded and comprehensive benefits program focused on wellness and work/life balance. Subject to plan requirements, employees may participate in:
* Employee Stock Ownership Plan
* 401(k) Retirement Plan
* Paid Parental Leave
* Vacation Leave (15 days per year)
* Sick Leave (9 days per year)
* Holiday Leave (7 Government Holidays and 2 Floating Holidays)
* Professional Development
* Health Advocate
* Employee Assistance Program
* Travel Accident Insurance
* Medical Insurance
* Dental Insurance
* Vision Insurance
* Short Term Disability Insurance
* Long Term Disability Insurance
* Life and AD\&amp;D Insurance
* Critical Illness Insurance
* Supplemental Life Insurance
* Flexible Spending Account
* Health Savings Account
 Any offer of employment may be contingent upon receipt of acceptable results from a post\-offer background screening, if required for the specific position, which may include, for example, identity verification, employment history, motor vehicle driving record history, and criminal or sexual offender records history. Any background screening results will be evaluated through an individualized assessment based on the individual’s specific record and the duties and requirements of the position.
 This opportunity will be posted for a minimum of 5 days and applications will be accepted on an ongoing basis.
 Westat is an Equal Opportunity Employer and does not discriminate on the basis of race, creed, color, religion, sex, national origin, age, veteran status, disability, marital status, sexual orientation, citizenship status, genetic information, or any other protected status under applicable law. It is unlawful in Massachusetts to require or administer a lie detector test as a condition of employment or continued employment. An employer who violates this law shall be subject to criminal penalties and civil liability.
**Career Area**
 Research \- Statistics
**Pay Range**
 The anticipated salary range for this role is between $75,000 \- $82,000 and will commensurate with experience.
**Bonus Eligibility**
 No</t>
        </is>
      </c>
    </row>
    <row r="57">
      <c r="A57" t="inlineStr">
        <is>
          <t>li-4372746125</t>
        </is>
      </c>
      <c r="B57" t="inlineStr">
        <is>
          <t>Data Scientist</t>
        </is>
      </c>
      <c r="C57" t="inlineStr">
        <is>
          <t>Wiraa</t>
        </is>
      </c>
      <c r="D57" t="inlineStr">
        <is>
          <t>linkedin</t>
        </is>
      </c>
      <c r="E57" t="inlineStr"/>
      <c r="F57" t="inlineStr"/>
      <c r="G57" t="inlineStr"/>
      <c r="H57" t="inlineStr"/>
      <c r="I57" t="inlineStr">
        <is>
          <t>**About The Company**
 Target is a leading retailer committed to helping families discover the joy of everyday life. With a strong focus on innovation, community engagement, and customer satisfaction, Target has established itself as a trusted name in the retail industry. The company values diversity, inclusion, and continuous learning, fostering a work environment that encourages collaboration and personal growth. As part of its ongoing commitment to operational excellence, Target leverages cutting\-edge data science and technology to optimize its supply chain and enhance overall business performance.
**About The Role**
 Join Target as a Lead Data Scientist in Supply Chain Optimization and play a pivotal role in transforming data into actionable insights that drive decision\-making across the organization. In this role, you will develop and manage advanced predictive and prescriptive algorithms utilizing operations research, simulation, and machine learning techniques. Your work will directly impact Target’s ability to automate and optimize supply chain processes, including inventory management, transportation, sourcing, distribution, and planning. You will work in a dynamic environment that combines the agility of a startup with the security and resources of a large corporation, providing ample opportunities for professional growth and continuous learning.
 As a Lead Data Scientist, you will collaborate closely with cross\-functional teams, including engineers and business partners, to design scalable models, deploy solutions at scale, and ensure their operational success. Your expertise will help improve supply chain efficiency, reduce costs, and enhance service levels, ultimately contributing to Target’s mission of delivering exceptional customer experiences.
**Qualifications**
* 4\-year degree in Quantitative disciplines (Science, Technology, Engineering, Mathematics) or equivalent work experience
* PhD/MS in Operations Research, Industrial Engineering, Computer Science, Mathematics, Statistics, Physics, or related field
* 5\+ years of experience leading large\-scale supply chain optimization, simulation, and machine learning projects
* Proficiency in programming languages such as Python, R, Kotlin, or Java
* Experience in application/software architecture, process modeling, and defining data workflows
* Experience working with production datasets in SQL, Hive, or developing internal data tools
* Strong knowledge of supply chain functions including inventory, transportation, sourcing, and distribution
* Hands\-on experience with advanced statistical techniques like regression, clustering, PCA, and time series forecasting
* Excellent communication skills with the ability to convey complex insights through visualizations and narratives
* Self\-motivated, results\-oriented, and capable of working under tight deadlines
* Ability to collaborate effectively across teams and time zones
**Responsibilities**
* Collaborate with data scientists to review, refine, and develop state\-of\-the\-art optimization and machine learning algorithms
* Design, deploy, and productionize scalable models that run multiple times daily for millions of SKUs and distribution networks
* Partner with business teams to understand retail operations, processes, and strategic goals
* Balance trade\-offs between model granularity, performance, reliability, and usability
* Improve engineering standards, tooling, and processes to enhance model deployment and maintenance
* Mentor and develop junior data scientists and engineers, fostering a culture of continuous learning
* Translate complex technical concepts into clear, actionable insights for business stakeholders
* Identify opportunities for process improvements and automation within the supply chain domain
* Contribute to the creation of documentation, reports, and data\-driven narratives that support decision\-making
**Benefits**
* Comprehensive health, dental, and vision insurance coverage
* Retirement savings plans with company matching
* Paid time off and holiday leave
* Flexible work arrangements including remote and hybrid options
* Continuous learning and professional development opportunities
* Employee discounts and wellness programs
* Supportive and inclusive work environment fostering diversity and growth
 Equal Opportunity
 Target is an Equal Opportunity Employer committed to creating an inclusive environment for all employees. We celebrate diversity and are dedicated to providing equal employment opportunities regardless of race, color, religion, sex, national origin, age, disability, or any other protected status. We encourage all qualified candidates to apply and join our team in shaping the future of retail through innovative data science solutions.</t>
        </is>
      </c>
    </row>
    <row r="58">
      <c r="A58" t="inlineStr">
        <is>
          <t>li-4372798130</t>
        </is>
      </c>
      <c r="B58" t="inlineStr">
        <is>
          <t>Data Scientist</t>
        </is>
      </c>
      <c r="C58" t="inlineStr">
        <is>
          <t>BCforward</t>
        </is>
      </c>
      <c r="D58" t="inlineStr">
        <is>
          <t>linkedin</t>
        </is>
      </c>
      <c r="E58" t="inlineStr"/>
      <c r="F58" t="inlineStr"/>
      <c r="G58" t="inlineStr">
        <is>
          <t>San Jose, CA</t>
        </is>
      </c>
      <c r="H58" t="inlineStr"/>
      <c r="I58" t="inlineStr">
        <is>
          <t>**BCForward is currently seeking a highly motivated Data Analyst / Data Scientist for an on\-site opportunity in San Jose, CA** 
**Role: Data Analyst / Data Scientist** 
**Duration: 10\+ Months** 
**Locations: San Jose, CA / Cupertino, CA** 
**Anticipated Start Date:** 
 02/23/2026
**Job Type:** 
 Contract – On\-Site
**Key Responsibilities:** 
* Has strong hands\-on experience with SQL
* Has working knowledge of basic data modeling techniques such as Regression, Decision Trees, and Clustering
* Has exposure to PySpark (good to have)
* Can understand business requirements and communicate insights clearly to business stakeholders
* Is comfortable working in a business\-facing role and translating data into actionable insights
**Benefits:** 
 BCforward offers all eligible employees a comprehensive benefits package, including, but not limited to, major medical, HSA, dental, vision, employer\-provided group life, voluntary life insurance, short\-term disability, long\-term disability, and 401k.
**About BCforward:** 
 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
 BCforward champions the power of human potential to help companies transform, accelerate, and scale. Guided by our
 With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
 BCforward is an equal 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BCforward collects and uses personal information as part of the recruiting process, view our Privacy Notice and CCPA Addendum.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 complete the recruitment process.
 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t>
        </is>
      </c>
    </row>
    <row r="59">
      <c r="A59" t="inlineStr">
        <is>
          <t>li-4372755727</t>
        </is>
      </c>
      <c r="B59" t="inlineStr">
        <is>
          <t>Data Scientist</t>
        </is>
      </c>
      <c r="C59" t="inlineStr">
        <is>
          <t>Hirenza</t>
        </is>
      </c>
      <c r="D59" t="inlineStr">
        <is>
          <t>linkedin</t>
        </is>
      </c>
      <c r="E59" t="inlineStr"/>
      <c r="F59" t="inlineStr"/>
      <c r="G59" t="inlineStr"/>
      <c r="H59" t="inlineStr"/>
      <c r="I59" t="inlineStr">
        <is>
          <t>**About The Company**
 Azumo, LLC is an innovative software development firm headquartered in San Francisco, California. We specialize in leveraging cutting\-edge technologies in data, cloud computing, and mobility to assist organizations in making insightful and strategic decisions. Our team combines expertise in strategy, data science, application development, and design to drive digital transformation initiatives across various industries. At Azumo, we are committed to fostering a culture of excellence, continuous learning, and community engagement. We believe that investing in our people’s professional and personal growth is essential to delivering exceptional solutions to our clients. Our company values innovation, collaboration, and integrity, and we strive to create an inclusive environment where diverse ideas and talents can thrive.
**About The Role**
 We are seeking a highly motivated Data Scientist / Machine Learning Engineer to join our dynamic team remotely from Latin America. In this role, you will be instrumental in developing and enhancing our data and analytics infrastructure, focusing on big data analytics and applied artificial intelligence. The ideal candidate will have a passion for designing and implementing advanced machine learning and deep learning models, especially in the Generative AI space. You will collaborate closely with data engineers, software developers, and product owners to create scalable, maintainable, and high\-quality AI solutions. Your work will involve end\-to\-end model development, from prototyping to production deployment, ensuring seamless integration into our data pipelines and services. This position offers a unique opportunity to work on innovative projects involving Large Language Models, Retrieval Augmented Generation pipelines, and cutting\-edge generative AI applications, making a significant impact in the field of AI and data science.
**Qualifications**
 The ideal candidate will possess a strong educational background with a Bachelor's or Master's degree in Computer Science, Data Science, or a related field. You should have at least 5 years of professional experience working with Python in production environments, demonstrating a solid understanding of machine learning and deep learning techniques such as CNNs, Transformers, and LLMs. Hands\-on experience with PyTorch or similar frameworks for training, customizing, and optimizing models is essential. Proficiency in data manipulation and analysis using pandas, NumPy, and scikit\-learn is required. Familiarity with cloud platforms like AWS, GCP, or Azure, along with their AI\-specific services such as Amazon SageMaker, Google Vertex AI, or Azure Machine Learning, is highly preferred. Strong knowledge of big data ecosystems like Spark and Hadoop, as well as experience with CI/CD pipelines, container orchestration tools like Docker and Kubernetes, and MLOps/LLMOps practices, will set you apart. Excellent communication skills in English, both written and spoken, are necessary for effective collaboration and reporting.
**Responsibilities**
* Design, train, and validate supervised and unsupervised models, including anomaly detection, classification, and forecasting tasks.
* Architect and implement deep learning solutions utilizing CNNs, Transformers, and other advanced architectures with PyTorch.
* Develop and fine\-tune Large Language Models (LLMs) and build LLM\-driven applications to meet business needs.
* Implement Retrieval Augmented Generation (RAG) pipelines and integrate them with vector databases such as Pinecone or FAISS.
* Build robust, scalable pipelines for deploying models at scale using Docker, Kubernetes, and CI/CD workflows.
* Ingest, clean, and transform large datasets employing libraries like pandas, NumPy, and Spark to prepare data for modeling.
* Automate training, validation, and deployment workflows using orchestration tools such as Airflow.
* Monitor model performance in production, implement drift detection, and develop retraining strategies to maintain accuracy.
* Apply LLMOps best practices for automated testing, evaluation, and continuous monitoring of large language models.
* Write clean, production\-grade Python code following SOLID principles, conduct unit testing, and participate in code reviews.
* Collaborate within Agile (Scrum) teams, track progress using tools like JIRA, and document architecture and workflows with tools such as PlantUML.
* Engage with cross\-functional teams, communicate complex analysis and design clearly in English, and align on project requirements and SLAs.
**Benefits**
* Paid time off (PTO) to support work\-life balance
* Recognition of U.S. holidays
* Access to professional training and development programs
* Free Premium access to Udemy for continuous learning
* Mentored career development to support your growth
* Profit sharing to reward your contributions
* Competitive remuneration in USD
 Equal Opportunity
 Azumo, LLC is an equal opportunity employer committed to fostering an inclusive environment for all employees. We do not discriminate based on race, color, religion, gender, gender identity or expression, sexual orientation, national origin, age, disability, or any other protected characteristic. We believe that diversity enhances innovation and creativity, and we are dedicated to providing equal employment opportunities to all qualified candidates. We encourage individuals from diverse backgrounds to apply and join our team in shaping the future of AI and data science.</t>
        </is>
      </c>
    </row>
    <row r="60">
      <c r="A60" t="inlineStr">
        <is>
          <t>li-4371787256</t>
        </is>
      </c>
      <c r="B60" t="inlineStr">
        <is>
          <t>Data Scientist</t>
        </is>
      </c>
      <c r="C60" t="inlineStr">
        <is>
          <t>The Fresh Market</t>
        </is>
      </c>
      <c r="D60" t="inlineStr">
        <is>
          <t>linkedin</t>
        </is>
      </c>
      <c r="E60" t="inlineStr"/>
      <c r="F60" t="inlineStr"/>
      <c r="G60" t="inlineStr">
        <is>
          <t>Greensboro, NC</t>
        </is>
      </c>
      <c r="H60" t="inlineStr"/>
      <c r="I60" t="inlineStr">
        <is>
          <t>**The Fresh Market \&amp; You**
 Our mission is to make everyday eating extraordinary for our guests. We create a warm, welcoming, memorable experience with exceptional, personal service. We’re looking for a new team member who strives for excellence and brings positive energy, commitment, and a “can\-do” attitude to work every day. We value teamwork and celebrate our successes as a team and will value your contribution!
**Added Benefits For Choosing The Fresh Market Team**
* Team Member discount up to 30%
* Health, Dental, \&amp; Vision insurance available for individual, spouse, partner, and family
* 401K contribution and match for part\-time and full\-time team members
* Personal time off and additional time off purchase plans are available
* AND much more!
**About The Position**
 The Fresh Market currently has an opening for a Data Scientist in our Store Support Center (099\). The Data Scientist is responsible for handling and analyzing large volumes of customer and transaction data in order to generate statistically sound insights to drive the business forward. The data scientist will work with Merchandising, Marketing, and Financial Planning \&amp; Analysis to understand key business questions and will develop analysis, insights, and potential recommendations.
 This position reports to the Director of Customer Behavior Analytics.
**What You'll Do**
* With minimal guidance, use advanced statistical and computational methodologies to deliver customer and promotional related insights and recommendations for business teams and leaders
* Identify ways to use data science techniques to derive useful insights that can be incorporated into existing workflows and processes to enhance business results
* Evaluate existing and new data sources and apply the right analytical techniques to generate significant insights about customers, products and the business
* Ability to present findings in simple way to help inform and enable business decisions
* Ability to implement data science applications in a general programming language such as Python or R
* Proficiency in employing large scale data analytics to derive actionable insights
* Ability to interface and collaborate with technical and non\-technical team members to accomplish goals
* Use quantitative skills to work on a variety of research and analysis projects
* Ad\-hoc analyses as required
**Qualifications:**
* 5 years of related experience, Degree in a Data Science, Statistics, Math, Computer Science, or quantitative field, advanced degree a plus
* Strong analytical and quantitative skills
* Self\-starter with strong organizational skills and excellent follow through
* Strong PC skills including Excel, PowerPoint and Word
* Working knowledge of relational databases, including SQL; general programming language such as Python or R
* Experience with large data set processing in SnowFlake
* Excellent written, verbal, and visual communications skills
* Proven ability to drive business results with their data driven insights
* Ability to multi\-task and prioritize tasks
* Strong collaboration skills
*REASONABLE ACCOMMODATIONS: Consistent with applicable laws, TFM will make reasonable accommodations for qualified applicants and team members, unless doing so would result in an undue hardship to TFM. This guiding principle applies to all aspects of employment, including hiring and job assignment, compensation, discipline, termination, and access to benefits and training.*
**We Are Proud To Be An Equal Opportunity Employer**
 Qualified applicants will receive consideration for employment without regard race, color, creed, religion, age, sex, gender, sexual orientation, gender identity, pregnancy and related medical conditions, national origin, genetic information, uniformed service, veteran status, disability, or any other basis prohibited by federal or state law.
*The statements in this job description are provided to describe the general nature and level of work expected in this role. While these statements include the essential functions of the job, they are not intended to be a complete list of all responsibilities, duties and skills required. As we work as a team, there may be times team members are needed to perform duties outside of their normal responsibilities based on business needs.*</t>
        </is>
      </c>
    </row>
    <row r="61">
      <c r="A61" t="inlineStr">
        <is>
          <t>li-4372750046</t>
        </is>
      </c>
      <c r="B61" t="inlineStr">
        <is>
          <t>Data Scientist II</t>
        </is>
      </c>
      <c r="C61" t="inlineStr">
        <is>
          <t>Wiraa</t>
        </is>
      </c>
      <c r="D61" t="inlineStr">
        <is>
          <t>linkedin</t>
        </is>
      </c>
      <c r="E61" t="inlineStr"/>
      <c r="F61" t="inlineStr"/>
      <c r="G61" t="inlineStr"/>
      <c r="H61" t="inlineStr"/>
      <c r="I61" t="inlineStr">
        <is>
          <t>**About The Company**
 Tempus is at the forefront of transforming healthcare through data\-driven insights and advanced analytical platforms. Our proprietary platform connects a vast ecosystem of real\-world evidence, enabling clinicians and researchers to access real\-time, actionable information. By harnessing the power of big data, genomics, clinical records, and imaging, Tempus aims to improve patient outcomes through personalized, precise medical interventions. Our commitment to innovation and scientific excellence positions us as a leader in the healthcare technology space, dedicated to advancing clinical care and research for better health outcomes worldwide.
**About The Role**
 The Data Scientist I, Real World Data Science, role is a vital position within our Scientific and Technological Solutions team, designed for individuals passionate about precision medicine and healthcare innovation. As a key technical and scientific resource, you will facilitate the onboarding, education, and support of clients—primarily researchers and scientists—by translating complex scientific hypotheses into actionable insights using the Tempus analytical platform. Your work will bridge the gap between cutting\-edge data science and real\-world clinical research, enabling clients to leverage large\-scale biomedical datasets effectively. This role offers an excellent opportunity for entry\-level professionals to grow their expertise in biomedical data analysis, client engagement, and platform optimization within a dynamic, fast\-paced environment committed to advancing healthcare through data science.
**Qualifications**
* Masters or Ph.D. in Computational Biology, Bioinformatics, Genomics, Data Science, or related life sciences
* Proven experience working with large biomedical datasets, including genomic, clinical, or real\-world data
* Hands\-on proficiency with R programming language; knowledge of Python, SQL, and cloud environments (AWS/GCP) is a plus
* Strong analytical skills and familiarity with biomedical research tools and workflows
* Excellent written and verbal communication skills, capable of explaining complex concepts to diverse audiences
* Proven ability to work collaboratively in a team environment and adapt to shifting priorities
* Problem\-solving mindset with a focus on developing pragmatic, user\-friendly solutions
**Responsibilities**
* Lead the technical and scientific onboarding process for new clients, ensuring a seamless transition onto the Tempus Data Ecosystem and analytical platform
* Engage with clients to understand their scientific hypotheses, such as biomarker discovery, target identification, or clinical trial design
* Translate client scientific needs into actionable workflows on the Tempus platform, including designing queries and guiding data analysis
* Identify and implement technological solutions to optimize client workflows and enhance user experience
* Collaborate closely with product, engineering, and data science teams to prioritize feature development and resolve technical challenges
* Create comprehensive technical documentation, tutorials, and training materials to support client education and platform utilization
* Act as a scientific and technical liaison, ensuring client feedback is incorporated into platform improvements
**Benefits**
* Competitive salary range based on location and experience
* Full benefits package including medical, dental, and vision insurance
* Incentive compensation and restricted stock units (RSUs) for eligible roles
* Opportunities for professional growth and development in a cutting\-edge healthcare technology environment
* Flexible work arrangements, including remote work options in eligible locations
* Collaborative and innovative company culture focused on advancing healthcare through data science
 Equal Opportunity
 Tempus is an equal opportunity employer. We celebrate diversity and are committed to creating an inclusive environment for all employees. We do not discriminate based on race, religion, color, national origin, gender, sexual orientation, age, marital status, veteran status, or disability status. We encourage qualified applicants from all backgrounds to apply, including those with arrest or conviction records, in accordance with applicable laws and ordinances.</t>
        </is>
      </c>
    </row>
    <row r="62">
      <c r="A62" t="inlineStr">
        <is>
          <t>li-4365587132</t>
        </is>
      </c>
      <c r="B62" t="inlineStr">
        <is>
          <t>Product Data Scientist III, Analytics Insights and Measurement</t>
        </is>
      </c>
      <c r="C62" t="inlineStr">
        <is>
          <t>Google</t>
        </is>
      </c>
      <c r="D62" t="inlineStr">
        <is>
          <t>linkedin</t>
        </is>
      </c>
      <c r="E62" t="inlineStr"/>
      <c r="F62" t="inlineStr"/>
      <c r="G62" t="inlineStr">
        <is>
          <t>Mountain View, CA</t>
        </is>
      </c>
      <c r="H62" t="inlineStr"/>
      <c r="I62" t="inlineStr">
        <is>
          <t>**Minimum qualifications:**
* Bachelor's degree in Statistics, Mathematics, Data Science, Engineering, Physics, Economics, or a related quantitative field.
* 5 years of experience with analysis applications (e.g., extracting insights, performing statistical analysis, or solving business problems), and coding (e.g., Python, R, SQL) or 2 years of experience with a Master's degree.
**Preferred qualifications:**
* Master's degree in Statistics, Mathematics, Data Science, Engineering, Physics, Economics, or a related quantitative field.
* 5 years of experience with analysis applications (e.g., extracting insights, performing statistical analysis, or solving business problems), and coding (e.g., Python, R, SQL).
**About The Job**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Measurement is a cornerstone of performance advertising, driving the majority of Google Ads business growth. Accurate and unbiased measurement empowers bidding engines to maximize advertiser Return On Investment (ROI), fostering growth for both advertisers and Google. The Product Analyst team applies advanced analytics to guide Google Ads strategy in this crucial area, ensuring that our advertising solutions effectively connect businesses with customers and deliver measurable results across our broad ad platforms.
 Users come first at Google. Nowhere is this more important than on our Advertising and Commerce team: we believe that ads and commercial information can be highly useful to our users if that information is relevant to what our users wish to find or do. Advertisers worldwide use Google Ads to promote their products; publishers use AdSense to serve relevant ads on their website; and business around the world use our products (like Google Shopping, and Google Wallet) to support their online businesses and bring users into their offline stores. We are constantly innovating to deliver the most effective advertising and commerce opportunities of tomorrow.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the process of gathering, extracting, and compiling data across sources via relevant tools (e.g., SQL, R, Python). Format, re\-structure, and validate data to ensure quality.
* Report Key Performance Indicators (KPIs) to support business reviews with cross\-functional/organizational leadership team. Translate analysis results to business insights or product improvement opportunities.
* Provide analytical insights and recommendations to influence product feature development decisions, and with some guidance.
* Build and prototype analysis and business cases iteratively to provide insights at scale. Develop comprehensive knowledge of Google data structures and metrics.
* Execute defined, moderately difficult analytical tasks under guidance from the manager or executive team members/TL. For straightforward problems, execute end\-to\-end analysis with minimal guidance.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3">
      <c r="A63" t="inlineStr">
        <is>
          <t>li-4372783423</t>
        </is>
      </c>
      <c r="B63" t="inlineStr">
        <is>
          <t>Senior Applied Scientist, Forecasting</t>
        </is>
      </c>
      <c r="C63" t="inlineStr">
        <is>
          <t>Zillow</t>
        </is>
      </c>
      <c r="D63" t="inlineStr">
        <is>
          <t>linkedin</t>
        </is>
      </c>
      <c r="E63" t="inlineStr"/>
      <c r="F63" t="inlineStr"/>
      <c r="G63" t="inlineStr"/>
      <c r="H63" t="inlineStr"/>
      <c r="I63" t="inlineStr">
        <is>
          <t>**About The Team**
 The forecasting group at Zillow provides critical visibility through macroeconomic and housing market uncertainty, shaping planning across Zillow’s businesses. We bring together forecasters, economists, applied scientists, data scientists, and data visualization engineers to build and maintain the forecasts that guide decision‑making. Working with proprietary, industry‑leading data and rigorous forecasting methods, we translate housing market signals into actionable business outlooks. In close partnership with finance, product, and other business teams, we are modernizing how forecasts are produced, evaluated, and operationalized to create a more automated, scalable, and decision‑focused forecasting function.
**About The Role**
 Zillow is seeking a Senior Applied Scientist to join our forecasting organization. In this role, you will design, test, and deploy advanced forecasting models that shape strategic and operational decisions across Zillow. You will work at the intersection of data, economics, and business context to develop and continuously improve forecasts that matter for our customers and our business. You will regularly translate forecast results into clear insights for senior leaders, clarifying current performance, expected trajectories, key drivers, and the uncertainty and trade‑offs that shape our plans.
**You Will Get To:**
* Analyze large, complex datasets to understand buyer and seller behavior and uncover the drivers of key real estate and business outcomes.
* Develop and deploy time‑series and econometric forecasting models that address critical customer, housing market, and business questions, without exposing proprietary product details.
* Own the end‑to‑end modeling lifecycle, including scoping, feature engineering, model development, experimentation, deployment, monitoring, and model explainability.
* Translate forecasts into clear insights and recommendations for senior leadership, helping stakeholders understand drivers, uncertainty, and trade‑offs that guide Zillow’s strategy.
* Partner cross‑functionally with finance, product, engineering, marketing, and operations to scale and improve forecasting capabilities across Zillow.
* Improve and contribute to shared forecasting tools, data pipelines, and processes used across the company.
* Collaborate with other applied scientists and data scientists to develop novel solutions to real estate and business problems.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$160,900\.00 \- $257,100\.00 annually. This base pay range is specific to these locations and may not be applicable to other locations. In Colorado, Hawaii, Illinois, Minnesota, Nevada, Ohio, Rhode Island, and Vermont the standard base pay range for this role is $152,900\.00 \- $244,300\.00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 Strong experience with quantitative time‑series forecasting techniques and a practical understanding of trade‑offs between performance, explainability, and scalability.
* Approximately 7\+ years of applied data science experience, including substantial hands‑on work in forecasting, predictive modeling, or econometric analysis (industry or equivalent research experience).
* Advanced degree (MS or PhD) in a quantitative field (e.g., Economics, Operations Research, Data Analytics, Statistics, Computer Science, Mathematics, Information Management, Engineering, or related quantitative discipline), or equivalent practical experience.
* Proficient in Python and SQL for building, evaluating, and deploying models.
* Demonstrated experience monitoring, debugging, and maintaining models in production environments.
* Experience explaining complex models and analytical concepts to stakeholders with varied technical backgrounds, using clear takeaways, succinct insights, and effective visualizations.
 Here at Zillow, we value the experience and perspective of candidates with non‑traditional backgrounds. We encourage you to apply if you have transferable skills or related experiences.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64">
      <c r="A64" t="inlineStr">
        <is>
          <t>li-4372742740</t>
        </is>
      </c>
      <c r="B64" t="inlineStr">
        <is>
          <t>Data Scientist</t>
        </is>
      </c>
      <c r="C64" t="inlineStr">
        <is>
          <t>KTek Resourcing</t>
        </is>
      </c>
      <c r="D64" t="inlineStr">
        <is>
          <t>linkedin</t>
        </is>
      </c>
      <c r="E64" t="inlineStr"/>
      <c r="F64" t="inlineStr"/>
      <c r="G64" t="inlineStr"/>
      <c r="H64" t="inlineStr"/>
      <c r="I64" t="inlineStr">
        <is>
          <t>**Role \- Data Scientist** 
**Location \- Remote** 
**Hire \- Permanent** 
**Role Overview:** 
 We are seeking a Data Scientist to support category\-level demand forecasting for the client's platform. This role focuses on building, improving, and operationalizing forecasting models utilized in business planning across North America. As an individual contributor, you will collaborate closely with demand planning and forecasting stakeholders.
**Key Responsibilities:** 
 \* Develop and enhance category\-level demand forecasting models
 \* Improve forecast accuracy, bias, and consistency across markets
 \* Support quarterly forecast refresh cycles and business validation
 \* Perform model experimentation, validation, and performance monitoring
 \* Support scenario modeling, long\-term forecasting, and hierarchy reconciliation
 \* Work with Python and Pyspark on large datasets; support pipeline efficiency and documentation
**Qualifications:** 
 \* Proven experience in developing Data Science solutions for production use
 \* Strong knowledge of Databricks (PySpark, SQL, Delta Lake)
 \* Experience with Azure Data Factory (ADF) pipeline orchestration
 \* Solid understanding of Python and integration with APIs/services
 \* Good understanding of machine learning modeling techniques/process and be able to support ML experiments independently
 \* Familiarity with cloud data platforms (Azure preferred)
 \* Strong problem\-solving skills and ability to work independently
 \* Great communication skills for any platform\-related queries and internal discussions
 \* Experience with CI/CD pipelines for Databricks deployments
 \* Knowledge of Azure DevOps / GitHub Actions for automation</t>
        </is>
      </c>
    </row>
    <row r="65">
      <c r="A65" t="inlineStr">
        <is>
          <t>li-4363791426</t>
        </is>
      </c>
      <c r="B65" t="inlineStr">
        <is>
          <t>Staff Applied Scientist I</t>
        </is>
      </c>
      <c r="C65" t="inlineStr">
        <is>
          <t>Etsy</t>
        </is>
      </c>
      <c r="D65" t="inlineStr">
        <is>
          <t>linkedin</t>
        </is>
      </c>
      <c r="E65" t="inlineStr"/>
      <c r="F65" t="inlineStr"/>
      <c r="G65" t="inlineStr">
        <is>
          <t>Brooklyn, NY</t>
        </is>
      </c>
      <c r="H65" t="inlineStr"/>
      <c r="I65" t="inlineStr">
        <is>
          <t>**Company Description**
 Etsy is the global marketplace for unique and creative goods. We build, power, and evolve the tools and technologies that connect millions of entrepreneurs with millions of buyers around the world. As an Etsy Inc. employee, whether a team member of Etsy or Depop, you will tackle unique, meaningful, and large\-scale problems alongside passionate coworkers, all the while making a rewarding impact and Keeping Commerce Human.
**Salary Range**
 $218,000\.00 \- $257,000\.00
****What’s the role?****
 We’re looking for a Staff Applied Scientist I to join our Machine Learning Team for Growth. In this role, you’ll lead initiatives focused on leveraging machine learning to drive business growth across multiple channels—think messaging notifications, SEO, and paid advertising – anything in the realm of growing Etsy. You’ll be pioneering new solutions from the ground up, staying abreast of the latest research, and owning the end\-to\-end ML lifecycle—from data extraction to production deployment.
 This is a full\-time position reporting to the Senior Engineering Manager, Growth ML. In addition to salary, you will also be eligible for an equity package, an annual performance bonus, and our competitive benefits that support you and your family as part of your total rewards package at Etsy.
 For this role, we are considering candidates based in the United States. Candidates living within commutable distance of Etsy’s Brooklyn Office Hub or in the San Francisco Bay Area may be the first to be considered. For candidates within commutable distance, Etsy requires in\-office attendance once or twice per week depending on your proximity to the office. Etsy offers different work modes to meet the variety of needs and preferences of ou r team. Learn more details about our work modes and workplace safety policies here.
****What’s this team like at Etsy?****
* We’re scrappy and product\-minded: we collaborate with teams who aren’t steeped in ML, and bring a clear ML vision that drives real business outcomes.
* We stay close to the latest research—not to chase novelty, but to find proven techniques we can apply to real problems and ship effective solutions fast
* We focus on taking projects from 0 to 1 in areas and product spaces where ML is just getting started—think message notifications/campaigns, paid ads optimization, and generally driving traffic to Etsy via ML solutions.
* With 100\+ million users and billions of messages and ads sent each month, our work directly impacts Etsy’s growth at a massive scale.
* We value creative problem\-solvers who are eager to tackle real\-world challenges—backed by practical habits like code reviews, documentation, and thoughtful testing to help ideas scale.
**What does the day\-to\-day look like?**
* Take solutions from 0 to 1: You’ll be comfortable working in ambiguous problem spaces, experimenting, and driving projects from an initial idea to a fully operational ML product. You are comfortable proving out ideas quickly as well as establishing long term solutions.
* Leverage existing ML infrastructure and partnerships with platform teams to build scalable and modular ML systems
* Track cutting\-edge ML research and bring back ideas we can actually use to build smarter, faster, and more impactful solutions. GenAI, Advanced RecSys, GraphML – all of it is on the table.
* Productionize ML solutions: Develop robust systems for training, deploying, and monitoring ML models at scale.
* Collaborate cross\-functionally: Work closely with other disciplines like Data Engineers, Product Managers, Marketing, and other stakeholders to align projects with broader product goals.
* ETL and data analysis: Build critical data pipelines, perform exploratory analysis, and ensure data quality and reliability – especially for model training data.
* Experimentation and measurement: Design and execute A/B tests to measure the effectiveness of ML\-driven features, iterating quickly based on findings.
* Of course, this is just a sample of the kinds of work this role will require! You should assume that your role will encompass other tasks, too, and that your job duties and responsibilities may change from time to time at Etsy's discretion, or otherwise applicable with local law.
**Qualities that will help you thrive in this role are:**
* Proven track record in ML: You have 8\+ years of experience building and deploying ML solutions. You’re familiar with modern ML frameworks (such as TensorFlow or Torch), distributed computing, and cloud environments.
* Strong coding skills: You write robust, production\-quality code (Python, Scala, Java, or equivalent). You’re experienced with tools like Spark, GCP, and Airflow.
* Hands\-on experience across the pipeline: From data extraction and preprocessing to training, evaluating, and deploying models in production environments. Bigquery and Scala experience is a plus.
* Comfort in ambiguity: You excel in situations where the scope is not fully defined, proactively finding clarity and driving forward.
* Experience in search or recommender systems: Preferred but not required. This could include ranking algorithms, personalized recommendations, or large\-scale search optimization.
* Advanced degree in ML or related field: Preferred but not required. We recognize relevant industry experience can be just as valuable.
* Collaboration and communication: You can articulate complex concepts to both technical and non\-technical audiences and enjoy working on cross\-functional teams.
* If you’re excited about using machine learning to propel growth, enjoy taking on new and ambiguous challenges, and want to drive real impact, we’d love to hear from you!
* You genuinely enjoy solving hard problems, improving real user experiences, and using modern tools to build smart—not needlessly complex—solutions.
**Additional Information**
 What's Next
 If you're interested in joining the team at Etsy, please share your resume with us and feel free to include a cover letter if you'd like. As we hope you've seen already, Etsy is a place that values individuality and variety. We don't want you to be like everyone else \-\- we want you to be like you! So tell us what you're all about.
 Our Promise
 At Etsy, we believe that a diverse, equitable and inclusive workplace furthers relevance, resilience, and longevity. We encourage people from all backgrounds, ages, abilities, and experiences to apply. Etsy is proud to be an equal opportunity workplace. We are committed to equal employment opportunity regardless of race, color, ancestry, religion, sex, national origin, sexual orientation, age, citizenship, marital status, disability, gender identity or veteran status, or any other characteristic protected by applicable law. If, due to a disability, you need an accommodation during any part of the application or interview process, please let your recruiter know. While Etsy supports visa sponsorship, sponsorship opportunities may be limited to certain roles and skills.</t>
        </is>
      </c>
    </row>
    <row r="66">
      <c r="A66" t="inlineStr">
        <is>
          <t>li-4372009891</t>
        </is>
      </c>
      <c r="B66" t="inlineStr">
        <is>
          <t>Data Scientist</t>
        </is>
      </c>
      <c r="C66" t="inlineStr">
        <is>
          <t>RemoteHunter</t>
        </is>
      </c>
      <c r="D66" t="inlineStr">
        <is>
          <t>linkedin</t>
        </is>
      </c>
      <c r="E66" t="inlineStr"/>
      <c r="F66" t="inlineStr"/>
      <c r="G66" t="inlineStr"/>
      <c r="H66" t="inlineStr"/>
      <c r="I66" t="inlineStr">
        <is>
          <t>About the Opportunity:
 This team is focused on revolutionizing healthcare by leveraging data to uncover key insights, shape product development, and promote a culture of data\-informed decision\-making. The Product Data Scientist role involves working cross\-functionally to guide product creation and ensure solutions deliver real\-world impact in telehealth.
 Responsibilities:
 • Uncover actionable insights through data analysis
 • Challenge assumptions and reveal stories hidden in data to guide decisions
 • Apply analytical, statistical, and technical expertise to influence product and business strategy
 • Utilize regression analysis, segmentation, and A/B testing for product optimization and improvement
 • Collaborate across teams to shape innovative telehealth solutions
 Requirements:
 • Bachelor’s degree in Data Science, Computer Science, Statistics, Mathematics, or related field; advanced degrees preferred
 • 3\+ years of experience in data analysis or data science with a proven impact on product decisions
 • Experience working with cross\-functional teams including product managers, engineers, and designers
 • Healthcare or telehealth industry experience is desirable but not required
 • Proficiency in Python and SQL for data manipulation and analysis
 • Strong experience with data visualization tools such as Tableau or Looker
 • At least 1 year of experience with Alteryx
 • Skilled in statistical techniques including regression analysis, hypothesis testing, clustering, and segmentation
 • Experience designing and analyzing A/B tests
 • Familiarity with data tools like Segment and Snowflake, ETL processes, and cloud platforms such as AWS or Google Cloud is a plus
 • Ability to extract actionable insights from complex datasets
 • Strong problem\-solving skills and curiosity
 • Experience with machine learning techniques is a plus
 • Excellent communication skills to convey complex data insights to non\-technical stakeholders
 • Strong project management skills and ability to prioritize tasks and meet deadlines
 • Collaborative and proactive mindset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7">
      <c r="A67" t="inlineStr">
        <is>
          <t>li-4372035325</t>
        </is>
      </c>
      <c r="B67" t="inlineStr">
        <is>
          <t>Machine Learning &amp; Data Scientist, OS Power &amp; Performance</t>
        </is>
      </c>
      <c r="C67" t="inlineStr">
        <is>
          <t>Apple</t>
        </is>
      </c>
      <c r="D67" t="inlineStr">
        <is>
          <t>linkedin</t>
        </is>
      </c>
      <c r="E67" t="inlineStr"/>
      <c r="F67" t="inlineStr"/>
      <c r="G67" t="inlineStr">
        <is>
          <t>San Diego, CA</t>
        </is>
      </c>
      <c r="H67" t="inlineStr"/>
      <c r="I67" t="inlineStr">
        <is>
          <t>**Summary**
 Great performance is critical to Apple's product experience. We are seeking a Machine Learning \&amp; Data Scientist to help with quantitative analysis of high dimensional data to draw insights that would impact hundreds of millions of users. If the idea of developing data products to improve Apple’s software \&amp; hardware performance excites you, we encourage you to apply!
**Description**
 We're looking for a proactive \&amp; impact\-driven engineer with excellent machine learning, analytical, problem solving and communication skills. In this role, you will analyze high dimensional data to derive meaningful insights and be responsible for producing metrics, models, simulations, and tools for analysis \&amp; communication of insights from large datasets. To be successful, you must have a strong foundation in statistical analysis and the ability to apply it to solving business \&amp; product\-development problems, as well as a strong software engineering background with the ability to write production level code. As a member of this team, you will have the opportunity to provide meaningful insights to teams and influence decisions across Apple on a broad range of products.
**Responsibilities**
* Analyze high dimensional data to derive meaningful insights.
* Produce metrics, models, simulations, and tools for analysis \&amp; communication of insights from large datasets.
* Apply statistical analysis to solving business \&amp; product\-development problems.
* Write production level code.
* Provide meaningful insights to teams and influence decisions across Apple on a broad range of products.
**Minimum Qualifications**
* Strong Quantitative Foundation: Education in Computer Science, Electrical Engineering, or a related quantitative field. Strong mathematical foundations, software engineering, and broad knowledge of data analysis and practical machine learning are expected.
* Data Engineering and Analytics: Skilled at scalably transforming raw data into actionable insights through practical problem formulation followed by building of ETL processes (e.g. Python \&amp; Spark) and data visualizations (e.g. Tableau)
* Business Acumen and Problem\-Solving: Ability to understand the broader business context, solve complex problems, and communicate findings effectively to stakeholders.
* Adaptability and Collaboration: Comfortable with ambiguity, eager to learn, and capable of working effectively in a collaborative environment. Strong interpersonal skills and the ability to build relationships with diverse stakeholders are essential.
**Preferred Qualifications**
* M.S. or Ph.D. in Computer Science, Electrical Engineering, Applied Mathematics, Statistics, or a similar quantitative field, with strong statistical skills and intuition
* Proficiency in distributed compute \&amp; storage technologies such as HDFS, S3, Iceberg, Spark, and Trino
* Proficiency with designing ETL flows and automation/scheduling (e.g. Kubernetes and Airflow)
* Working knowledge of Operating Systems
* Experience driving cross\-functional projects with diverse sets of stakeholders
* Skilled at connecting data insights to the company's overall strategy and objectives.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8">
      <c r="A68" t="inlineStr">
        <is>
          <t>li-4326882591</t>
        </is>
      </c>
      <c r="B68" t="inlineStr">
        <is>
          <t>Staff Data Scientist - Forecasting</t>
        </is>
      </c>
      <c r="C68" t="inlineStr">
        <is>
          <t>Veho</t>
        </is>
      </c>
      <c r="D68" t="inlineStr">
        <is>
          <t>linkedin</t>
        </is>
      </c>
      <c r="E68" t="inlineStr"/>
      <c r="F68" t="inlineStr"/>
      <c r="G68" t="inlineStr">
        <is>
          <t>New York, United States</t>
        </is>
      </c>
      <c r="H68" t="inlineStr"/>
      <c r="I68" t="inlineStr">
        <is>
          <t>**About The Role**
 As a Staff Data Scientist for Forecasting, you will be the technical leader responsible for building and owning the sophisticated models that power Veho's Sales and Operations Planning (S\&amp;OP) process. Your forecasts will be the backbone of our strategic and operational decision\-making across our network: it ensures we understand what volume we should expect in our network, how it will flow from injection to delivery, and where our bottlenecks will be.
 You’ll be directly embedded in a team of talented software and data engineers and partner closely with leaders in Operations, Finance, and Product to translate their business challenges into scalable forecasting solutions. You will be responsible for operationalizing the models you build in the production systems that drive Veho's growth and efficiency.
**What You’ll Do**
* Create the forecasting algorithms that drive our Sales \&amp;Operations Planning process.
* Building reliable, efficient, and scalable models for our AI/ML capabilities
* Creating robust data pipelines to feed analyses and models
* Analyze and evaluate the impact and effectiveness of models in production systems
* Driving science roadmap for forecasting for Veho alongside cross\-functional partners.
* Mentor other Data Scientists and drive team\-wide improvements to our data science practices.
**What You Bring**
* Bachelor’s Degree plus 8 years of experience in Data Science, Data Engineering or a similar degree, or Master’s Degree plus 5 years of experience, or Phd plus 3 years of experience
* Deep expertise in a variety of time series forecasting methods (e.g., ARIMA, Prophet, exponential smoothing, LSTMs, Transformer\-based models) and a strong understanding of their theoretical underpinnings.
* Experience in developing and testing forecasting systems in a supply chain context, combining statistical forecasting with human inputs. Experience building and operationalizing forecasting models for S\&amp;OP, demand planning, inventory management, or similar business processes.
* Experience leading complex, end\-to\-end machine learning and data science projects from conception to production.
* Experience developing both greenfield systems and building on top of existing systems.
* Experience leading projects in collaboration with Operations, Product, Engineering teams.
* Strong ability to use AI to accelerate model iteration and testing
* Strong Python and SQL skills, to develop production applications
* Experience with MLOps and model deployment pipelines
* Experience in supply chain is a strong plus.
* Experience with combinatorial optimization methods is nice to have but not required
**Compensation**
 $190,000\-$232,000 annually
 The pay range is subject to the discretion of the Company. Additionally, Veho offers a competitive equity package, comprehensive medical, dental, and vision coverage as well as other benefits such as 401k and unlimited PTO for exempt\-level roles.</t>
        </is>
      </c>
    </row>
    <row r="69">
      <c r="A69" t="inlineStr">
        <is>
          <t>li-4372741318</t>
        </is>
      </c>
      <c r="B69" t="inlineStr">
        <is>
          <t>Data Scientist, Associate</t>
        </is>
      </c>
      <c r="C69" t="inlineStr">
        <is>
          <t>Wiraa</t>
        </is>
      </c>
      <c r="D69" t="inlineStr">
        <is>
          <t>linkedin</t>
        </is>
      </c>
      <c r="E69" t="inlineStr"/>
      <c r="F69" t="inlineStr"/>
      <c r="G69" t="inlineStr"/>
      <c r="H69" t="inlineStr"/>
      <c r="I69" t="inlineStr">
        <is>
          <t>**About The Company**
 Activision Blizzard Media is a leading global gaming and advertising company that connects brands with a vast and engaged audience across multiple platforms. With a portfolio of iconic franchises such as Candy Crush, Call of Duty, Overwatch, World of Warcraft, and StarCraft, the company offers unparalleled opportunities for immersive gaming experiences. Activision Blizzard Media leverages its extensive reach to provide innovative marketing solutions that enhance brand visibility and engagement within the gaming community. The organization is committed to fostering a diverse, inclusive, and dynamic environment where creativity and technological excellence thrive, enabling it to stay at the forefront of the gaming and digital advertising industries.
**About The Role**
 We are seeking an Associate Principal Data Scientist to join our team in San Francisco. This is a highly strategic and technical role designed for an experienced professional who excels in leading complex data science initiatives. As an integral part of our organization, you will influence the scientific direction of experimentation and modeling efforts, driving impactful solutions that shape our products and strategies. You will own the design, execution, and evaluation of large\-scale data projects, applying advanced statistical, machine learning, and optimization techniques to solve ambiguous problems. Your leadership will extend beyond technical execution, as you mentor senior data scientists, set high standards for scientific rigor, and foster a culture of innovation and continuous improvement. Collaborating cross\-functionally with product, engineering, and game studios, you will help define strategic priorities and influence decision\-making processes, ensuring data\-driven insights propel our business forward.
**Qualifications**
* Master's degree or PhD in Statistics, Mathematics, Computer Science, Economics, Engineering, Operations Research, or a related quantitative field.
* 14\+ years of industry experience in data science, experimentation, statistical modeling, and machine learning, including experience with large\-scale systems.
* Proficiency in Python and SQL, with familiarity with big data tools such as Spark and Hive, and cloud platforms like GCP and AWS.
* Strong systems thinking capabilities, with the ability to develop strategic visions while diving deep into technical analysis and coding.
* Excellent communication and collaboration skills, with proven experience working across multidisciplinary teams including Product, Engineering, and Business units.
* Demonstrated leadership in mentoring, influencing, and elevating the technical standards within a data science organization.
**Responsibilities**
* Lead the design and implementation of large\-scale data science projects, setting the roadmap for experimentation and modeling efforts across teams.
* Apply advanced statistical, machine learning, and optimization techniques such as time\-series analysis, regression, classification, recommendation engines, reinforcement learning, and generative AI to develop innovative solutions.
* Own the design, development, and evaluation of experimentation platforms and systems for optimization and decision\-making.
* Provide technical guidance and mentorship to senior data scientists, fostering a culture of scientific rigor, reproducibility, and innovation.
* Partner with cross\-functional teams including Product, Engineering, and Game Studios to define ambiguous problems, scope solutions, and influence strategic direction.
* Evaluate and incorporate new methodologies, tools, and frameworks to enhance data science capabilities and scalability.
**Benefits**
* Comprehensive health coverage including medical, dental, and vision insurance.
* Health savings accounts (HSAs), flexible spending accounts (FSAs), and dependent care accounts.
* Life and AD\&amp;D insurance, disability insurance, and mental health programs.
* Retirement plans such as 401(k) with company match.
* Paid holidays, vacation, sick leave, floating holidays, parental leave, and bereavement leave.
* Tuition reimbursement, charitable donation matching, and various wellness programs.
* Access to fitness programs, discounted games, legal services, ID protection, and relocation assistance if applicable.
 Equal Opportunity
 Activision Blizzard Media is an equal opportunity employer committed to fostering an inclusive environment. We do not discriminate on the basis of race, religion, color, national origin, gender, sexual orientation, gender identity, age, marital status, veteran status, disability, or any other characteristic protected by law. We value diversity and are dedicated to providing reasonable accommodations to individuals with disabilities throughout the application and employment process.</t>
        </is>
      </c>
    </row>
    <row r="70">
      <c r="A70" t="inlineStr">
        <is>
          <t>li-4370823220</t>
        </is>
      </c>
      <c r="B70" t="inlineStr">
        <is>
          <t>Senior Data Scientist</t>
        </is>
      </c>
      <c r="C70" t="inlineStr">
        <is>
          <t>Caterpillar Inc.</t>
        </is>
      </c>
      <c r="D70" t="inlineStr">
        <is>
          <t>linkedin</t>
        </is>
      </c>
      <c r="E70" t="inlineStr"/>
      <c r="F70" t="inlineStr"/>
      <c r="G70" t="inlineStr">
        <is>
          <t>Mossville, IL</t>
        </is>
      </c>
      <c r="H70" t="inlineStr"/>
      <c r="I70"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**Your Impact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**CATERPILLAR REMANUFACTURING**
 Do you have a passion for helping customers and supporting a sustainable solution? Since 1973, Cat Reman has helped bring the value at the core of every Cat product back to life. Customers look to us to provide a high\-quality solution that is good for their business \- and promotes sustainability. It's important to us to deliver. Our team is full of industry leaders. Together, following common values, we share a passion for delivering sustainability benefits that help the company contribute to a circular economy. It’s rewarding to work, with an inspiring team, where every contribution matters.
****Job Summary****
***Caterpillar’s Remanufacturing Division is looking for a Senior Data Scientist to support the Mossville, IL facility.***
 This position will architect, implement, and maintain robust data platform infrastructure and services to empower data scientists to develop, test, and deploy models with maximum velocity. Focuses on abstracting underlying infrastructure complexities and conducting data science or engineering initiatives to validate platform functionality and support data\-driven business decisions.
****Degree Requirement** 
 :**
* Degree or equivalent experience is desired.
****What You Will Do:****
* Directing the design, implementation, and maintenance of the rada platform infrastructure; creating scalable and resilient environments that allow data scientists to focus on data rather than underlying resources.
* Developing high\-performance features and APIs using Python and FastAPI; providing the tooling necessary for seamless data science workflows and model serving.
* Executing end\-to\-end data science and engineering projects to validate platform capabilities; ensuring technical features align with practical research and production requirements through direct implementation.
* Leading the orchestration of workloads via Kubernetes and Linux\-based systems; promoting efficiency through containerization and advanced resource management.
* Automating CI/CD pipelines and deployment processes for data projects; implementing "infrastructure as code" to ensure consistency across cloud environments.
* Ensuring the security, compliance, and monitoring of the platform; conducting regular system audits to maintain high availability and operational integrity.
* Partnering with data scientists to identify platform bottlenecks; identifying and implementing features that abstract infrastructure complexity to drive research impact.
****What You Will Have:****
**Cloud and Container Orchestration: Knowledge of cloud providers (AWS/GCP/Azure) and container management; ability to design and manage production\-grade Kubernetes clusters.**
**Level Extensive Experience:**
* Designs and implements auto\-scaling, self\-healing infrastructure.
* Manages complex networking, storage, and security policies within Kubernetes.
* Optimizes cloud spend and resource allocation for high\-compute data workloads.
* Troubleshoots complex distributed system failures across Linux environments.
**System Programming and API Development: Proficiency in Python and modern frameworks like FastAPI; ability to build performant, well\-documented services.**
**Level Extensive Experience:**
* Architects asynchronous, scalable APIs to support data ingestion and model inference.
* Implements robust error handling, logging, and telemetry across platform services.
* Optimizes Python code for performance\-critical components of the data pipeline.
* Enforces strict typing and coding standards to ensure long\-term maintainability.
**DevOps and Automation: Knowledge of CI/CD tools and automation strategies; ability to treat infrastructure as software.**
**Level Extensive Experience:**
* Builds and maintains automated pipelines for testing, building, and deploying ML models.
* Utilizes Terraform or similar tools to manage infrastructure state.
* Implements comprehensive monitoring and alerting for platform health.
* Drives the "Platform\-as\-a\-Service" internal culture to reduce developer friction.
**Accuracy and Attention to Detail: Understanding the necessity and value of accuracy; ability to complete tasks with high levels of precision.**
**Level Extensive Experience:**
* Evaluates and makes contributions to best practices for system reliability.
* Processes large quantities of configuration and infrastructure data with high levels of accuracy.
* Productively balances system performance with security and stability.
**What You Will Get!**
 Our goal at Caterpillar is for you to have a rewarding career. Our teams are critical to the success of our customers who build a better world.
 Here you earn more than just an hourly wage, because we value your performance, we offer a total rewards package that provides day one benefits along with the potential of annual bonuses.
 Additional benefits include paid vacation days and paid holidays (prorated based upon hire date).
* Medical, dental, and vision coverage
* Paid time off plan (Vacation, Holiday, Volunteer, Etc.)
* 401k savings plan
* Health savings account (HSA)
* Flexible spending accounts (FSAs)
* Short and long\-term disability coverage
* Life Insurance
* Paid parental leave
* Healthy Lifestyle Programs
* Employee Assistance Programs
* Voluntary Benefits (Ex. Accident, Identity Theft Protection)
**All eligible candidates MUST pass the following pre\-employment screenings before they can be hired to any Caterpillar position:**
* Background Screening
* Drug \&amp; Alcohol Screening
 Please ensure you frequently sign into your candidate home for any updates or correspondence for positions that you have applied for. https://cat.wd5\.myworkdayjobs.com/CaterpillarCareers
 Keep a frequent check on emails as correspondence will be sent to the email that you used to apply with. If you wish to know the status of your application – please use the candidate log\-in on our career website as it will reflect any updates to your status.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Domestic relocation assistance is offered for this position.
****About Caterpillar****
 Caterpillar Inc. is the world’s leading manufacturer of construction and mining equipment, off\-highway diesel and natural gas engines, industrial gas turbines and diesel\-electric locomotives. For 100 years, we’ve been helping customers build a better, more sustainable world and are committed and contributing to a reduced\-carbon future. Our innovative products and services, backed by our global dealer network, provide exceptional value that helps customers succeed.
****Summary Pay Range:****
 $112,710\.00 \- $183,140\.00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****Posting Dates:****
 February 9, 2026 \- February 18,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71">
      <c r="A71" t="inlineStr">
        <is>
          <t>li-4372769911</t>
        </is>
      </c>
      <c r="B71" t="inlineStr">
        <is>
          <t>Data Scientist</t>
        </is>
      </c>
      <c r="C71" t="inlineStr">
        <is>
          <t>Haystack</t>
        </is>
      </c>
      <c r="D71" t="inlineStr">
        <is>
          <t>linkedin</t>
        </is>
      </c>
      <c r="E71" t="inlineStr"/>
      <c r="F71" t="inlineStr"/>
      <c r="G71" t="inlineStr"/>
      <c r="H71" t="inlineStr"/>
      <c r="I71" t="inlineStr">
        <is>
          <t>**Senior Data Scientist \| United States \| Remote**
 We're working with Plum on this exciting opportunity.
 Join Plum, a cutting\-edge fintech company, and lead the development of scalable Generative AI pipelines to power their AI\-driven products. You'll play a pivotal role in shaping our GenAI platform, utilizing your deep expertise in machine learning and hands\-on experience with production\-grade systems to drive innovation and impact.
**The Role**
* Design and architect end\-to\-end Generative AI pipelines using LLMs to process and generate context\-aware results.
* Integrate open\-source and proprietary LLMs (e.g., GPT, LLaMA) via APIs and custom orchestration, building and optimizing workflows with frameworks like LangChain.
* Design and implement robust RAG (Retrieval\-Augmented Generation) architectures to inject relevant, contextual data into generation prompts.
* Build automated and scalable LLM evaluation pipelines using embedding\-based similarity, scoring metrics, and human\-in\-the\-loop feedback, ensuring reliability in production with monitoring and observability.
**What You'll Need**
* Master's degree in Computer Science, Engineering, Physics, or a related technical field.
* 5\+ years of experience developing and deploying machine learning pipelines in production, with 2\+ years specifically in Generative AI or LLM\-based applications.
* Strong Python programming skills and hands\-on experience with ML/AI frameworks like LangChain, Transformers, and LLM APIs, coupled with expertise in LLM evaluation and prompt engineering.
* Hands\-on experience with Databricks, MLflow, AWS, and MLOps practices, demonstrating strong problem\-solving and communication skills.
**What's On Offer**
* A fast\-paced, collaborative startup culture with high visibility and the opportunity to make a meaningful impact.
* Autonomy, flexibility, and a flat corporate structure, offering direct input and the opportunity to build a company and culture.
* Equity in a financial technology startup, along with a competitive compensation package and bonus potential.
* Generous health, dental, and vision coverage, 401K, eleven paid holidays, and unlimited discretionary vacation days.
**Apply via Haystack today!**</t>
        </is>
      </c>
    </row>
    <row r="72">
      <c r="A72" t="inlineStr">
        <is>
          <t>li-4364443850</t>
        </is>
      </c>
      <c r="B72" t="inlineStr">
        <is>
          <t>Data Scientist New College Grad - Masters Degree (Santa Clara, CA)</t>
        </is>
      </c>
      <c r="C72" t="inlineStr">
        <is>
          <t>Applied Materials</t>
        </is>
      </c>
      <c r="D72" t="inlineStr">
        <is>
          <t>linkedin</t>
        </is>
      </c>
      <c r="E72" t="inlineStr"/>
      <c r="F72" t="inlineStr"/>
      <c r="G72" t="inlineStr">
        <is>
          <t>Santa Clara, CA</t>
        </is>
      </c>
      <c r="H72" t="inlineStr"/>
      <c r="I72" t="inlineStr">
        <is>
          <t>**Who We Are**
 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
**What We Offer**
 Salary:
 $119,500\.00 \- $164,500\.00
 Location:
 Santa Clara,CA
 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
 At Applied Materials, we care about the health and wellbeing of our employees. We’re committed to providing programs and support that encourage personal and professional growth and care for you at work, at home, or wherever you may go. Learn more about our benefits.
**Key Responsibilities**
* Supports the design and development of program methods, processes, and systems to consolidate and analyze structured and unstructured, diverse "big data" sources
* Supports ad\-hoc statistical and data mining analysis, using statistical tools like R, SAS and MATlab
* Interfaces with internal customers for requirements analysis and compiles data for scheduled or special reports and analysis
* Supports project teams to develop analytical models, algorithms, and automated processes, applying SQL understanding and Python programming, to cleanse, integrate and evaluate large datasets.
* Supports the timely development of products for manufacturing and process information by applying sophisticated data analytics
* Create visualizations and reports to communicate findings effectively to both technical and non\-technical stakeholders
* Conduct hypothesis tests to validate assumptions and make data\-driven decisions
* Develop, implement, and fine\-tune machine learning models to solve specific business problems, such as predictive analytics, recommendation systems, or demand forecasting
**Requirements**
* Master’s in computer science, Data Science, or a related field
* Strong analytical and problem\-solving skills
* Proficiency in data manipulation and analysis using tools like Python, R.
* Proficiency in database query languages like SQL, Hive, Pig is desirable. Familiarity with Scala, Java, or C\+\+ is an added advantage.
* Experience using business intelligence tools (e.g., Tableau) and data frameworks (e.g., Databricks)
* Basic understanding of machine learning concepts
* Excellent communication and teamwork abilities
**Functional Knowledge**
* Demonstrates expanded conceptual knowledge in own discipline and broadens capabilities
**Business Expertise**
* Understands key business drivers; uses this understanding to accomplish own work
**Leadership**
* No supervisory responsibilities but provides informal guidance to new team members
**Problem Solving**
* Solves problems in straightforward situations; analyzes possible solutions using technical experience and judgment and precedents
**Impact**
* Impacts quality of own work and the work of others on the team; works within guidelines and policies
**Interpersonal Skills**
* Explains complex information to others in straightforward situations
**Education:** 
 Master's Degree
**Experience:** 
 0 – 2 Years
**Additional Information**
**Time Type:**
 Full time
**Employee Type:**
 New College Grad
**Travel:**
 Yes, 10% of the Time
**Relocation Eligible:**
 Yes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 the Target Total Cash (TTC) range for the role, which is the sum of base salary and target bonus amount at 100% goal achievement.
 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
 In addition, Applied endeavors to make our careers site accessible to all users. If you would like to contact us regarding accessibility of our website or need assistance completing the application process, please contact us via e\-mail at Accommodations\_Program@amat.com, or by calling our HR Direct Help Line at 877\-612\-7547, option 1, and following the prompts to speak to an HR Advisor. This contact is for accommodation requests only and cannot be used to inquire about the status of applications.</t>
        </is>
      </c>
    </row>
    <row r="73">
      <c r="A73" t="inlineStr">
        <is>
          <t>li-4371779833</t>
        </is>
      </c>
      <c r="B73" t="inlineStr">
        <is>
          <t>Senior Data Scientist - Marketing</t>
        </is>
      </c>
      <c r="C73" t="inlineStr">
        <is>
          <t>Bumble Inc.</t>
        </is>
      </c>
      <c r="D73" t="inlineStr">
        <is>
          <t>linkedin</t>
        </is>
      </c>
      <c r="E73" t="inlineStr"/>
      <c r="F73" t="inlineStr"/>
      <c r="G73" t="inlineStr">
        <is>
          <t>Austin, TX</t>
        </is>
      </c>
      <c r="H73" t="inlineStr"/>
      <c r="I73" t="inlineStr">
        <is>
          <t>Bumble Inc. is seeking an experienced Senior Marketing Data Scientist to lead analytics and measurement across both lower and upper funnel marketing channels. In this role, you won’t just execute analyses, you will set the direction for what should be measured, how it should be measured, and how marketing insights should inform decisions across growth strategy, spend allocation, and creative effectiveness.
 You’ll bring deep, hands\-on expertise in mobile attribution and privacy\-era measurement (including SKAN constraints), channel performance nuance, incrementality testing, MMM, and commercial modelling (including LTV and cohort\-based performance). You’ll work closely with Marketing, Core Data Science, Product, Finance, and Data/Engineering partners to build scalable frameworks and trusted sources of truth.
 Ideally, you’ve worked in a two\-sided marketplace (e.g., dating, rideshare, marketplaces, social platforms) and understand that “growth” isn’t just volume, you optimise for quality users, and long\-term value.
**KEY ACCOUNTABILITIES** 
* Act as the senior analytical authority for Marketing/UA setting measurement strategy, prioritising work, and guiding stakeholders on “what good looks like” across channels and markets.
* Own and evolve best practices and standards for:
* Attribution and measurement across privacy constraints (incl. SKAN)
* Incrementality and experimentation (A/B, geo, holdout designs; test hygiene and interpretation)
* Performance monitoring and outcome reporting
* Budget allocation decision support and learning agendas
* Provide thought leadership \&amp; work with external vendors on modelling approaches such as MMM, cohort\-based LTV modelling, payback/ROI, and quality\-adjusted acquisition metrics (beyond CPI/CAC)
* Partner with Data Engineering / Analytics Engineering to ensure marketing data is reliable, scalable, and supports multiple outputs (dashboards, models, analyses), including governance and clear metric definitions.
* Translate ambiguous stakeholder needs into crisp analytical briefs, proactively shaping scope, asking the right questions, and staying focused on the “so what” and decision impact.
* Mentor analysts and data scientists; raise the bar on critical thinking, commercial acumen, and disciplined execution across the marketing ecosystem.
* Bring an integrated perspective: connect channel performance to business health metrics, downstream conversion, retention, and marketplace quality (supply/demand balance)
**EXPERIENCE WE ARE LOOKING FOR** 
* Significant experience in marketing analytics / growth / UA data science (typically 5\+ years, or equivalent depth), ideally in a high\-scale consumer tech environment.
* Deep knowledge of:
* Mobile attribution and tracking (including SKAN realities and limitations)
* Channel\-level nuance (search, social, display, video, affiliates, ASA, etc.) and measurement pitfalls
* Incrementality testing best practices and causal thinking
* MMM (design, calibration, interpretation, and how to operationalise insights)
* LTV / cohort modelling, payback, ROI, and quality\-adjusted acquisition approaches (not just CPI/CAC)
* Strong Python and SQL skills; ability to build repeatable analytical workflows and robust datasets.
* Strong communication and stakeholder leadership. Able to influence decision\-making up to senior/executive level and align cross\-functional partners on measurement strategy.
* Experience partnering with data engineering on ingestion, warehousing, and data model requirements for automated reporting and measurement.
* Strong commercial judgement: you understand how marketing choices impact revenue, retention, marketplace health, and long\-term growth.
**NICE TO HAVE** 
* Experience in a two\-sided marketplace where acquisition must balance volume and quality (e.g., improving downstream conversion, retention, engagement, and marketplace outcomes)
* Experience with creative effectiveness measurement and experimentation (creative learning agendas, lift tests, structured creative iteration)
* Familiarity with tooling/vendor landscape and opportunities for automation (including GenAI\-enabled workflows) where appropriate
**LOCATION** 
* This role is based in Austin, and we ask that you’re within a commutable distance to this office, or be willing to relocate within a commutable distance
* We have a hybrid environment that requires you to be in the office Monday \- Wednesday
* Please note: We are unable to offer Visa sponsorship or transfer at this time
**About Us** 
 Bumble Inc. is the parent company of Bumble Date, BFF, and Badoo. The Bumble platform enables people to build healthy and equitable relationships, through Kind Connections. Founded by Whitney Wolfe Herd in 2014, Bumble was one of the first dating apps built with women at the center and connects people across dating (Bumble Date) and friendship (BFF). BFF is a friendship app where people in all stages of life can meet people nearby and create meaningful platonic connections and community based on shared interests. Badoo, which was founded in 2006, is one of the pioneers of web and mobile dating products. 
**Inclusion at Bumble Inc. 
 Bumble Inc. is an equal opportunity employer and we strongly encourage people of all ages, colour, lesbian, gay, bisexual, transgender, queer and non\-binary people, veterans, parents, people with disabilities, and neurodivergent people to apply. We're happy to make any reasonable adjustments that will help you feel more confident throughout the process, please don't hesitate to let us know how we can help.
 In your application, please feel free to note which pronouns you use (For example: she/her, he/him, they/them, etc).
**AI in Bumble Inc. Hiring**
 At Bumble, we may use AI tools to support parts of our recruitment process — such as helping us record, transcribe, and summarize conversations, and supporting job alignment by comparing resumes and job descriptions to highlight skills and potential roles that may be a good match. These tools help us work more efficiently and stay focused on you during our conversations. Importantly, all hiring decisions are made by people. AI is used only to support our team’s efficiency and improve the candidate experience — not to evaluate or decide on your candidacy. Participation in AI\-supported interviews and conversations is completely voluntary and will not impact your candidacy. If you’d prefer to opt out, simply let your recruiter or interviewer know at the start of a call, or anytime during the interview or conversation. Summaries and related data are retained only as long as needed in line with our internal data retention policies. If at any point you’d like a transcription or summary deleted, please contact your recruiter directly.
 For further information on how we hold and manage your data, please refer to our
 Privacy Policy
 .
 For base compensation, we set standard ranges for all roles based on function, level, and geographic location. This position is also typically eligible to participate in our short\- and long\-term incentive programs. Benefits include Medical, Dental, Vision, 401(k) match, Unlimited Paid Time Off Policy.
 Maven Fertility: $10,000 lifetime benefit for fertility, adoption, abortion care, and more.26 Weeks Parental Leave: For both primary and secondary caregivers.Family \&amp; Compassionate Leave: Inclusive of domestic violence recovery.Unlimited Paid Time Off: Take the time you need.Company\-wide Week Off: Annual collective rest for the entire company.Focus Fridays: No meetings, emails, or deadlines—just deep work.**</t>
        </is>
      </c>
    </row>
    <row r="74">
      <c r="A74" t="inlineStr">
        <is>
          <t>li-4372780880</t>
        </is>
      </c>
      <c r="B74" t="inlineStr">
        <is>
          <t>Senior Data Scientist</t>
        </is>
      </c>
      <c r="C74" t="inlineStr">
        <is>
          <t>General Dynamics Information Technology</t>
        </is>
      </c>
      <c r="D74" t="inlineStr">
        <is>
          <t>linkedin</t>
        </is>
      </c>
      <c r="E74" t="inlineStr"/>
      <c r="F74" t="inlineStr"/>
      <c r="G74" t="inlineStr"/>
      <c r="H74" t="inlineStr"/>
      <c r="I74" t="inlineStr">
        <is>
          <t>****Job Description:****
**Type of Requisition:**
 Regular
****Clearance Level Must Currently Possess:****
 None
****Clearance Level Must Be Able To Obtain:****
 None
****Public Trust/Other Required:****
 NACI (T1\)
****Job Family:****
 Data Science and Data Engineering
****Skills:****
**Job Qualifications:**
 Analytics, Data Mining, Data Pipelines
****Certifications:****
 None
****Experience:****
 5 \+ years of related experience
****US Citizenship Required:****
 No
****Job Description:****
 The Senior Data Scientist provides advanced analytical, machine learning, and data engineering support. This role combines deep expertise in predictive modeling, statistical analysis, and scalable data pipeline development to deliver production\-ready solutions that drive data\-informed decision\-making and operational efficiency.
**Duties Include:**
 Design, develop, and deploy machine learning models for classification, regression, time series forecasting, and natural language processing applications to solve complex business problems.
* Build and optimize automated, scalable ETL/ELT pipelines using Python, SQL, and cloud\-based tools to integrate, transform, and validate structured and unstructured data from diverse sources.
* Develop and maintain production ML systems including model deployment, monitoring, versioning, and performance tracking in collaboration with AI/ML infrastructure teams.
* Design, develop, and deploy interactive dashboards and data visualizations using Tableau, Power BI, or similar platforms to deliver actionable insights to technical and executive stakeholders.
* Perform end\-to\-end model development including exploratory data analysis, feature engineering, hyperparameter tuning, model validation, and documentation.
* Develop and maintain data pipelines and workflows using tools such as AWS services, Databricks, and GitLab CI/CD to support analytics and ML operations.
* Conduct data mining, cleaning, and manipulation using SQL, Python (Pandas, NumPy), or R to deliver statistical analyses, visualizations, and predictive insights.
* Implement data quality and validation frameworks, leveraging APIs and automated testing to ensure accuracy and completeness across systems.
* Translate complex business requirements into technical solutions, data models, and analytical frameworks that align with long\-term technology strategy.
* Provide technical mentorship to team members on advanced analytics techniques, Python scripting, ML best practices, and workflow automation.
* Create comprehensive documentation including data dictionaries, metadata, technical specifications, and presentations for diverse audiences.
* Respond to urgent and ad\-hoc data requests, compile reports for leadership, and coordinate collaborative research and analysis projects.
* Partner with cross\-functional teams including data engineers, software developers, and federal stakeholders to ensure production readiness and scalability of data solutions.
 This position is fully remote and requires a Public Trust (or the ability to obtain it). The candidate may be required to work outside of business hours including weekends based on need.
**Education:**
 Requires BS/BA degree in Data Science, Computer Science, Statistics, Mathematics, Engineering, or a related quantitative field. Master's degree preferred.
**Qualifications Required:**
* At least 5 years of experience in data science, machine learning, or advanced analytics; 3 years of experience with a Master's degree.
* Demonstrated experience developing and deploying machine learning models using Python libraries (Scikit\-learn, XGBoost, TensorFlow, PyTorch, or HuggingFace).
* Strong proficiency in Python and SQL for data manipulation, analysis, and pipeline development.
* Experience with ETL/ELT pipeline development and data engineering best practices.
* Demonstrated knowledge of data visualization platforms (Tableau, Power BI) and ability to translate technical insights into executive\-level dashboards.
* Experience with cloud platforms (AWS, Databricks) and modern data infrastructure.
* Knowledge of statistical analysis and modeling techniques.
* Understanding of relational and non\-relational databases (Oracle SQL, PostgreSQL, etc.).
* Strong version control and collaboration skills using Git (GitHub, GitLab, BitBucket).
* Exceptional analytical skills with strong attention to detail.
* Strong written and verbal communication skills with ability to present complex findings to non\-technical stakeholders.
* Must be able to work both independently and as part of a collaborative team in a fast\-paced, agile environment.
**Preferred:**
* Experience with MLOps practices including model monitoring, versioning, and production deployment.
* Experience with CI/CD pipelines (GitLab CI/CD) for data workflows and ML operations.
* Knowledge of time series forecasting, natural language processing, or geospatial analysis, generative AI, or agentic AI.
* Experience with data orchestration and workflow automation tools.
* Familiarity with feature engineering, dimensionality reduction (PCA), cluster analysis, and anomaly detection techniques.
* Experience working with federal government data systems and compliance requirements.
* Background in Agile/Scrum methodologies and project management tools (Jira).
* Experience mentoring junior data professionals and establishing analytics best practices.
 The likely salary range for this position is $111,350 \- $150,650\. This is not, however, a guarantee of compensation or salary. Rather, salary will be set based on experience, geographic location and possibly contractual requirements and could fall outside of this range.
****Scheduled Weekly Hours:****
 40
****Travel Required:****
 None
****Telecommuting Options:****
 Remote
**Work Location:**
 Any Location / Remote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GDIT typically provides new employees with 15 days of paid leave per calendar year to be used for vacations, personal business, and illness and an additional 10 paid holidays per year. Paid leave and paid holidays are prorated based on the employee’s date of hire. The GDIT Paid Family Leave program provides a total of up to 160 hours of paid leave in a rolling 12 month period for eligible employees.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75">
      <c r="A75" t="inlineStr">
        <is>
          <t>li-4372720767</t>
        </is>
      </c>
      <c r="B75" t="inlineStr">
        <is>
          <t>Senior Data Scientist</t>
        </is>
      </c>
      <c r="C75" t="inlineStr">
        <is>
          <t>Sand Technologies</t>
        </is>
      </c>
      <c r="D75" t="inlineStr">
        <is>
          <t>linkedin</t>
        </is>
      </c>
      <c r="E75" t="inlineStr"/>
      <c r="F75" t="inlineStr"/>
      <c r="G75" t="inlineStr"/>
      <c r="H75" t="inlineStr"/>
      <c r="I75" t="inlineStr">
        <is>
          <t>**About Sand** 
 Sand Technologies
 is a fast\-growing enterprise AI company that solves real\-world problems for large blue\-chip companies and governments worldwide.
**We’re pioneers of meaningful AI** 
 : our solutions go far beyond chatbots. We are using data and AI to solve the world’s biggest issues in telecommunications, sustainable water management, energy, healthcare, climate change, smart cities, and other areas that have a real impact on the world. For example, our AI systems help to manage the water supply for the entire city of London. We created the AI algorithms that enabled the 7th largest telecommunications company in the world to plan its network in 300 cities in record time. And we built a digital healthcare system that enables 30m people in a country to get world\-class healthcare despite a shortage of doctors.
 We’ve grown our revenues by over 500% in the last 12 months while winning prestigious scientific and industry awards for our cutting\-edge technology. We’re underpinned by over 300 engineers and scientists working across Africa, Europe, the UK and the US.
**About the role** 
 We are seeking an experienced Senior Data Scientist to join our growing data science team. As a key contributor, the Senior Data Scientist will be responsible for using their advanced data analysis and machine learning skills to solve complex business problems and drive data\-driven decision\-making within our organisation and those of our clients. The ideal candidate will have a strong background in statistics, machine learning and data analysis, along with a proven track record of delivering impactful, scalable solutions \- with demonstrated experience getting data science solutions into production. Key responsibilities are:
* Conduct independent (and collaborative) research and development of data science and machine learning models; develop cutting\-edge data science and machine learning models that drive business value, leveraging internal and external data sources.
* You are skilled in, and continue to improve upon your knowledge of decision science, communicating data, domain modelling, predictive modelling, advanced analytics, MLOps, Research and AI Ethics with the willingness to up skill others in these competencies.
* Collaborate with cross\-functional teams: work closely with cross\-functional teams to apply data science and machine learning models to business problems, ensuring that models are integrated into scalable products and services.
* Communicate results and impact: communicate results and impact to stakeholders, including technical and non\-technical audiences.
* Perform cutting edge research in Physical AI, at the intersection of engineering models and AI.
* Mentor junior data scientists: mentor junior data scientists, fostering a culture of continuous improvement and innovation.
**Requirements \- Essential** 
* 5\+ years of applied data science experience in water, wastewater, utilities, or smart infrastructure environments.
* Demonstrated experience working with operational telemetry data (SCADA, AMI, IoT, sensor systems).
* Strong expertise in time\-series modeling, anomaly detection, and forecasting for infrastructure systems.
* Experience applying geospatial analytics and/or graph/network modeling in real\-world systems.
* Proven track record of deploying ML solutions into production, including data pipelines, MLOps, and model monitoring.
* Ability to translate advanced analytics into actionable insights for engineering and operations teams.
* Strong communication skills and experience working with public\-sector or regulated environments.
* M.Sc. (Master’s degree) in Data Science, Statistics, Mathematics, Computer Science, or a related quantitative field required; PhD preferred.
**Location** 
 We are looking to hire in specific areas in the US. These include,
* DMV (DC, Maryland, Virginia)
* Austin
* New York
* the Midwest
**Personal Attributes** 
* **Client Centricity \&amp; Integrity:** 
 We let Our Clients Run the Company, Surf Like Yvon Chouinard to stay true to our values, and Play the Long Game with integrity.
* **Collaboration and Inclusion:** 
 We live by Each One, Teach Ten and ensure Everybody is Welcome.
* **Operational Excellence and Simplicity:** 
 We K.I.S.S. by keeping things simple while always striving to Raise the Bar.
* **Action, Ownership, and Execution:** 
 We Decide, Get Stuff Done, and Do Hard Things with accountability.
* **Growth, Innovation, and Resilience:** 
 We Choose Growth, Pioneer boldly, and remember There is No Failure.
 Due to the considerable amount of virtual work and interaction with colleagues and customers in different physical locations internationally, it is essential that the successful applicant has the drive and ethics to succeed in working in small teams physically but in larger efforts virtually. Self\-drive to communicate constantly using web collaboration and video conferencing is essential.</t>
        </is>
      </c>
    </row>
    <row r="76">
      <c r="A76" t="inlineStr">
        <is>
          <t>li-4326738488</t>
        </is>
      </c>
      <c r="B76" t="inlineStr">
        <is>
          <t>Staff Data Scientist - Route Success</t>
        </is>
      </c>
      <c r="C76" t="inlineStr">
        <is>
          <t>Veho</t>
        </is>
      </c>
      <c r="D76" t="inlineStr">
        <is>
          <t>linkedin</t>
        </is>
      </c>
      <c r="E76" t="inlineStr"/>
      <c r="F76" t="inlineStr"/>
      <c r="G76" t="inlineStr">
        <is>
          <t>Boston, MA</t>
        </is>
      </c>
      <c r="H76" t="inlineStr"/>
      <c r="I76" t="inlineStr">
        <is>
          <t>**About The Role**
 As a Staff Data Scientist, you’ll be directly embedded in a team of talented data scientists and engineers to help define, build, and operate sophisticated models to answer hard questions centered around improving our logistics network and user experiences. You’ll partner with product managers to understand high\-value business problems, build systems that inform daily operations, and work with cutting\-edge technology. You’ll work closely with software engineers to operationalize the models you build in the production systems that drive Veho.
**What You'll Do**
* Helping Shape Roadmaps by integrating business context and Data Science.
* Building reliable, efficient, and scalable models for our AI/ML capabilities
* Creating robust data pipelines to feed analyses and models
* Analyze and evaluate the impact and effectiveness of models in production systems
* Driving science roadmap for pricing of gig economy work for Veho alongside cross\-functional partners.
**What You Bring**
* Bachelor’s Degree plus 8 years of experience in data science or data engineering, or Master’s Degree plus 5 years in data science, Or Phd plus 3 years of experience in Data Science
* Experience using statistical modeling and machine learning techniques to solve business problems
* Experience developing both greenfield systems and building on top of existing systems.
* Experience leading end\-to\-end machine learning and data science projects.
* Strong SQL and Python skills.
* Experience with MLOps and model deployment pipelines
* Experience with Causal Inference / Advanced Experimentation Methodologies is nice to have, but not required.
* Experience with logistics is nice to have, but not required.
* Experience with combinatorial optimization methods is nice to have but not required.
**Compensation**
 $190,000\-$232,000 annually
 The pay range is subject to the discretion of the Company. Additionally, Veho offers a competitive equity package, comprehensive medical, dental, and vision coverage as well as other benefits such as 401k and unlimited PTO for exempt\-level roles.</t>
        </is>
      </c>
    </row>
    <row r="77">
      <c r="A77" t="inlineStr">
        <is>
          <t>li-4371797859</t>
        </is>
      </c>
      <c r="B77" t="inlineStr">
        <is>
          <t>Senior Research Data Scientist, GenAI Factuality</t>
        </is>
      </c>
      <c r="C77" t="inlineStr">
        <is>
          <t>Google</t>
        </is>
      </c>
      <c r="D77" t="inlineStr">
        <is>
          <t>linkedin</t>
        </is>
      </c>
      <c r="E77" t="inlineStr"/>
      <c r="F77" t="inlineStr"/>
      <c r="G77" t="inlineStr">
        <is>
          <t>Mountain View, CA</t>
        </is>
      </c>
      <c r="H77" t="inlineStr"/>
      <c r="I77" t="inlineStr">
        <is>
          <t>**Minimum qualifications:**
* Master's degree in Statistics, Data Science, Mathematics, Physics, Economics, Operations Research, Engineering, or a related quantitative field.
* 5 years of experience using analytics to solve product or business problems, coding (e.g., Python, R, SQL), querying databases or statistical analysis, or 3 years of experience with a PhD degree.
**Preferred qualifications:**
* 8 years of experience using analytics to solve product or business problems, coding (e.g., Python, R, SQL), querying databases or statistical analysis, or 6 years of experience with a PhD degree.
* Experience developing human evals and autoraters.
* Experience prompting/training large language models and using agentic large language model workflows.
**About the job** 
 As a Senior Research Data Scientist on the Gemini Factuality team, you will be at the center of this mission, ensuring that when users turn to Gemini for information, they receive answers that are both accurate and incredibly helpful.
 Our team is responsible for Gemini factuality and quality on information seeking prompts. Our goal is to ensure that our models are as accurate as possible without compromising on any other response quality aspect, and ensuring that response structure and organization are maximally helpful.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stakeholders in cross\-projects and team settings to identify and clarify business or product questions to answer. Provide feedback to translate and refine business questions into tractable analysis, evaluation metrics, or mathematical models.
* Conduct data analysis on GenAI: evals, performer evals, training data, user logs.
* Gather information, business goals, priorities, and organizational context around the questions to answer, as well as the existing and upcoming data infrastructure.
* Own the process of gathering, extracting, and compiling data across sources via relevant tools (e.g., SQL, R, Python). Separately format, re\-structure, or validate data to ensure quality, and review the dataset to ensure it is ready for analysis.
* Evaluate development, including metrics: human eval templates, autoraters.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8">
      <c r="A78" t="inlineStr">
        <is>
          <t>li-4371790901</t>
        </is>
      </c>
      <c r="B78" t="inlineStr">
        <is>
          <t>Senior Data Scientist</t>
        </is>
      </c>
      <c r="C78" t="inlineStr">
        <is>
          <t>Recru</t>
        </is>
      </c>
      <c r="D78" t="inlineStr">
        <is>
          <t>linkedin</t>
        </is>
      </c>
      <c r="E78" t="inlineStr"/>
      <c r="F78" t="inlineStr"/>
      <c r="G78" t="inlineStr"/>
      <c r="H78" t="inlineStr"/>
      <c r="I78" t="inlineStr">
        <is>
          <t>**Senior Data Science – Global Market Analysis** 
 You will play a key role in advancing electricity market forecasting capabilities across timescales and regional markets. The team supports trading, risk, and strategy functions by modeling hundreds of millions of data points daily through hybrid AI and physical system modeling. Your work will directly influence trading decisions and operational strategies in dynamic power markets such as PJM, SPP, and CAISO.
 This is a high\-impact, fast\-paced role requiring both technical depth and creative problem\-solving. You’ll collaborate closely with the Head of Market Analysis, traders, and fellow data scientists to enhance the performance, robustness, and scalability of the forecasting platform. The ideal candidate brings strong analytical skills, a deep understanding of physical systems and machine learning, and a team\-oriented mindset
**.** 
**Roles and Responsibilities:** 
* Analyze, experiment, develop, and evaluate models to gather business intelligence and predict electricity prices.
* Work directly with trading teams and the Head of Market Analysis to create evaluation methodologies and assess forecast quality for trading activities.
* Collaborate to expand forecasting capabilities across various timescales and U.S. markets including PJM, SPP, and CAISO.
* Use data analysis to identify areas for improvement in probabilistic price forecasts and develop experiments to improve modeling.
* Work with development teams to create production\-level code for backtesting and running models at scale in the cloud.
* Combine physical models with statistics and AI to create efficient, robust models.
* Contribute to internal machine learning pipelines and physical model development using Python packages and in\-house libraries.
**What You’ll Bring:** 
* Bachelor’s degree in Science, Engineering, or Mathematics.
* At least ten (10\) years as a Data Scientist or similar position.
* Proficiency with linear algebra, machine learning, correlated uncertainty quantification, statistical analysis, probabilistic thinking, and evaluation.
* Proficiency in Python (or similar) and SQL (or similar).
* Ability to combine theory and data to develop experiment\-driven methodologies.
* Ability to clearly articulate experimentation methods, results, and conclusions.
**Additional Details:** 
* Hybrid work policy available in Houston, TX; Chicago, IL; and Broomfield, CO.
* Domestic travel up to 15% required, including some overnight trips.
* Must be willing and able to comply with all ethics and safety policies.</t>
        </is>
      </c>
    </row>
    <row r="79">
      <c r="A79" t="inlineStr">
        <is>
          <t>li-4372021445</t>
        </is>
      </c>
      <c r="B79" t="inlineStr">
        <is>
          <t>Data Scientist MID LEVEL MANAGER (MLM) L2</t>
        </is>
      </c>
      <c r="C79" t="inlineStr">
        <is>
          <t>Wipro</t>
        </is>
      </c>
      <c r="D79" t="inlineStr">
        <is>
          <t>linkedin</t>
        </is>
      </c>
      <c r="E79" t="inlineStr"/>
      <c r="F79" t="inlineStr"/>
      <c r="G79" t="inlineStr">
        <is>
          <t>Tampa, FL</t>
        </is>
      </c>
      <c r="H79" t="inlineStr"/>
      <c r="I79" t="inlineStr">
        <is>
          <t>Job description:
 Job Description
**Role Purpose**
 The purpose of this role is to increase revenue, maximize process efficiency \&amp; cost\-effectiveness, and ensure excellent customer experience, through effective supervision of daily operations and personnel, contract compliance, resource optimization and capability development within an account.
 ͏
 **Do** 
* **Maximize process efficiency and cost effectiveness through strategic planning, contract compliance and governance mechanisms**
* Strategy Planning with Senior Stakeholders
	+ Collaborate with leaders to provide strategic and operational plans associated with the account
	+ Plan the strategy for the coming years by identifying new geographies for alternate revenue streams
	+ Ensure a deep enough understanding of clientsÃ¢Â€Â™ individual experiences to head off potential issues before they become problems
* Contract compliance \&amp; adherence
	+ Ensure all SLA parameters are met in the account and maintain a green card at all times
	+ Review and drive appropriate actions/ systemic changes on internal and external audit findings to ensure no major non\-compliances are cited
	+ Monitor and review the account on various delivery parameters to ensure quality delivery as per budget and timelines
 ͏
 * Delivery governance in the account
	+ Understand customer goals and key performance metrics and ensure exceeding those goals throughout the project
	+ Ensure a green card for all accounts in terms of performance and quality
	+ Monitor and review delivery dashboards/ MIS across accounts to track progress and identify potential red flags
	+ Participate and share account performance across operational, quality and fulfillment parameters with internal and external stakeholders
	+ Lead and manage project escalations, potential risks or early warning signs on project delivery to eliminate any revenue leakage
	+ Ensure regular invoicing as per the contract terms and condition
	+ Forecast and track key account metrics
* Invoicing
	+ Timely submission of invoices to the client as defined in the SOW
	+ Provide information required and resolve any invoicing issues raised by the client
* Collect and analyze statistics (costs, customer service metrics etc.)
* Assume responsibility of budgeting and tracking expenses
 ͏
 * **Ensure outstanding performance against key metrics mentioned in the agreement**
* Regular cadence around contract compliance
	+ Evaluate performance with key metrics (accuracy, customer service metrics etc.)
	+ Set direction for the team, track progress against targets through regular cadence calls and course correct as require
	+ Drive the focus of the team on quality and adherence to contract compliance processes
	+ Drive and implement structured cadence around quality, both process and transactional
	+ Cadence with delivery lead to ensure margins are met and the account numbers are at par to what is committed
	+ Weekly calls with WFM to ensure resource optimization, compliance to the manpower numbers agreed in the contract, future planning in case of ramp ups etc.
 ͏
 * Resource Allocation \&amp; Retention
	+ Conduct effective resource planning to maximize the productivity of resources (people, technology etc.)
	+ Review and monitor resource planning and fulfillment in line with account requirements and costs of delivery
	+ Optimize manpower and minimize leakages by working closely with delivery head
	+ Ensure retention by offering relevant trainings and certifications of all allocated resources
	+ Lead one\-on\-one floor connect and other engagement activities to improve stickiness of the delivery team
* Collaborate and influence internal key stakeholders to manage and resolve issues to ensure fulfillment and flawless delivery of projects
 Experience: 5\-8 Years
 .
 The expected compensation for this role ranges from $60,000 to $135,000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row>
    <row r="80">
      <c r="A80" t="inlineStr">
        <is>
          <t>li-4343460587</t>
        </is>
      </c>
      <c r="B80" t="inlineStr">
        <is>
          <t>Applied Scientist, Frontier AI &amp; Robotics (FAR)</t>
        </is>
      </c>
      <c r="C80" t="inlineStr">
        <is>
          <t>Amazon</t>
        </is>
      </c>
      <c r="D80" t="inlineStr">
        <is>
          <t>linkedin</t>
        </is>
      </c>
      <c r="E80" t="inlineStr"/>
      <c r="F80" t="inlineStr"/>
      <c r="G80" t="inlineStr">
        <is>
          <t>San Francisco, CA</t>
        </is>
      </c>
      <c r="H80" t="inlineStr"/>
      <c r="I80" t="inlineStr">
        <is>
          <t>**Description**
 Join the next revolution in robotics at Amazon's Frontier AI \&amp; Robotics team, where you'll work alongside world\-renowned AI pioneers to push the boundaries of what's possible in robotic intelligence. As an Applied Scientist, you'll be at the forefront of developing breakthrough foundation models that enable robots to perceive, understand, and interact with the world in unprecedented ways. You'll drive independent research initiatives in areas such as locomotion, manipulation, sim2real transfer, multi\-modal and multi\-task robot learning, designing novel frameworks that bridge the gap between state\-of\-the\-art research and real\-world deployment at Amazon scale.
 In this role, you'll balance innovative technical exploration with practical implementation, collaborating with platform teams to ensure your models and algorithms perform robustly in dynamic real\-world environments. You'll have access to Amazon's vast computational resources, enabling you to tackle ambitious problems in areas like very large multi\-modal robotic foundation models and efficient, promptable model architectures that can scale across diverse robotic applications.
 Key job responsibilities
* Drive independent research initiatives across the robotics stack, including robot co\-design, dexterous manipulation mechanisms, innovative actuation strategies, state estimation, low\-level control, system identification, reinforcement learning, and sim\-to\-real transfer, as well as foundation models for perception and manipulation
* Lead full\-stack robotics projects from conceptualization through deployment, taking a system\-level approach that integrates hardware considerations with algorithmic development
* Develop and optimize control algorithms and sensing pipelines that enable robust performance in production environments
* Collaborate with platform and hardware teams to ensure seamless integration across the entire robotics stack
* Contribute to the team's technical strategy and help shape our approach to next\-generation robotics challenges
 A day in the life
* Design and implement innovative systems and algorithms, leveraging our extensive infrastructure to prototype and evaluate at scale
* Collaborate with our world\-class research team to solve complex technical challenges
* Lead technical initiatives from conception to deployment, working closely with robotics engineers to integrate your solutions into production systems
* Participate in technical discussions and brainstorming sessions with team leaders and fellow scientists
* Leverage our massive compute cluster and extensive robotics infrastructure to rapidly prototype and validate new ideas
* Transform theoretical insights into practical solutions that can handle the complexities of real\-world robotics applications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
**Basic Qualifications**
* PhD, or Master's degree and 4\+ years of ME, EE, CS, CE, or related field experience
* Experience programming in Java, C\+\+, Python or related language
* Experience with hardware design, low\-level control, state estimation, system identification, or complex electrical systems
* Experience in patents or publications at top\-tier peer\-reviewed conferences or journals
* Experience applying theoretical models in an applied environment
* Experience developing and implementing deep learning models
* Track record of solving complex technical problems
**Preferred Qualifications**
* Experience using Unix/Linux
* First\-author publications at major or top\-tier ML / robotics conferences (RSS, CoRL, NeurIPS, ICML, ICLR, CVPR, ICCV, ICRA, IROS)
* Background in computer vision, robotics, or related fields
* Experience with sim2real transfer or multi\-task learning
* Familiarity with distributed training systems
* Track record of deploying ML models in production environments
* Experience with large\-scale robotic systems
* Extensive programming skills in Python and PyTorch/JAX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**Company** 
 \- Amazon.com Services LLC
 Job ID: A3141238</t>
        </is>
      </c>
    </row>
    <row r="81">
      <c r="A81" t="inlineStr">
        <is>
          <t>li-4365527782</t>
        </is>
      </c>
      <c r="B81" t="inlineStr">
        <is>
          <t>Senior Associate, Data Scientist - NLP</t>
        </is>
      </c>
      <c r="C81" t="inlineStr">
        <is>
          <t>Capital One</t>
        </is>
      </c>
      <c r="D81" t="inlineStr">
        <is>
          <t>linkedin</t>
        </is>
      </c>
      <c r="E81" t="inlineStr"/>
      <c r="F81" t="inlineStr"/>
      <c r="G81" t="inlineStr">
        <is>
          <t>New York, NY</t>
        </is>
      </c>
      <c r="H81" t="inlineStr"/>
      <c r="I81"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AI Foundations Specialist Models Data Science team builds and ships state of the art scalable architecture, AI/ML solutions for Capital One’s award\-winning mobile app. We partner with product, tech and design teams to deliver app features that delight customers with dynamic and personalized experiences, enable them to chat with Capital One’s digital assistant Eno, or search for useful contents. You will be the driving force to experiment, innovate and create next generation experiences powered by the latest emerging generative AI technologies.
**In this role, you will:**
* Partner with a cross\-functional team of data scientists, software engineers, machine learning engineers and product managers to deliver AI powered products that change how customers interact with their money.
* Leverage a broad stack of technologies — Pytorch, AWS Ultraclusters, Hugging Face, LangChain, Lightning, VectorDBs, and more — to reveal the insights hidden within huge volumes of numeric and textual data.
* Be the expert in Natural Language Processing (NLP) to harness the power of Large Language Models (LLMs), adapt and finetune them for customer facing applications and features.
* Build machine learning and NLP models through all phases of development, from design through training, evaluation, and validation; partnering with engineering teams to operationalize them in scalable and resilient production systems that serve 80\+ million customers.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advanced ML and DL technologies including language models and are passionate about developing further. You have hands\-on experience working with LLMs and solutions using open\-source tools and cloud computing platforms.
* Influential. You are passionate about AI/ML and can bring along a cross functional team in breakthrough innovations. You communicate clearly and effectively to share your findings with non\-technical audiences.
* You are experienced in training language models or large computer vision models as well as have expertise in one or more key subdomains such as: training optimization, self\-supervised learning, explainability, RLHF.
* You have an engineering mindset as shown by a track record of delivering models at scale both in training data and inference volumes. You have experience in delivering libraries, platforms, or solution level code to existing products.
**Basic Qualifications:**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Sales Territory: $123,300 \- $140,700 for Sr Assoc, Data Science
 McLean, VA: $135,600 \- $154,800 for Sr Assoc, Data Science
 New York, NY: $148,000 \- $168,900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2">
      <c r="A82" t="inlineStr">
        <is>
          <t>li-4372795640</t>
        </is>
      </c>
      <c r="B82" t="inlineStr">
        <is>
          <t>Senior Data Scientist</t>
        </is>
      </c>
      <c r="C82" t="inlineStr">
        <is>
          <t>Arrive Logistics</t>
        </is>
      </c>
      <c r="D82" t="inlineStr">
        <is>
          <t>linkedin</t>
        </is>
      </c>
      <c r="E82" t="inlineStr"/>
      <c r="F82" t="inlineStr"/>
      <c r="G82" t="inlineStr">
        <is>
          <t>Austin, Texas Metropolitan Area</t>
        </is>
      </c>
      <c r="H82" t="inlineStr"/>
      <c r="I82" t="inlineStr">
        <is>
          <t>**Who We Are** 
 Arrive Logistics is a leading transportation and technology company in North America with plans to grow significantly year over year. Our success is a testament to our remarkable team and what we’re building together. We’re committed to providing employees with a meaningful work experience and have established an award\-winning culture that supports personal and career development in a fun, casual, and collaborative environment.
**Who We Want** 
 The Senior Data Scientist will work closely with Product and Engineering to translate business needs into data and modeling solutions that contribute to a positive business impact. This position requires an experienced professional who provides technical leadership to their team and oversees the production of machine\-learning systems.
**What You'll Do** 
* Own the design, development, and iteration of production machine\-learning systems that drive operational and business outcomes.
* Lead modeling, feature engineering, and dataset development for predictive and decisioning use cases.
* Design and maintain evaluation frameworks that reflect real\-world behavior and business impact.
* Build and evolve LLM\- and NLP\-based pipelines to transform unstructured data into reliable operational datasets.
* Define and monitor quality, coverage, and reliability of ML and LLM/NLP systems at scale.
* Perform deep analysis of model and system performance to identify bias, data gaps, and systematic failure modes.
* Partner closely with Product and Engineering to translate business needs into data and modeling solutions, and to support productionization and ongoing iteration.
* Contribute to and define monitoring for model performance, data quality, and downstream business impact.
* Act as a senior technical owner and reviewer for data science work across the team.
**Qualifications** 
* Master’s degree or PhD in a quantitative field and 5\+ years of industry experience building and owning production data science or machine learning systems.
* Experience developing predictive or decisioning models used in operational or real\-time settings.
* Demonstrated experience working with complex, multi\-source datasets, including feature development and data quality challenges.
* Experience building, deploying, and evaluating NLP or LLM\-based systems in production.
* Strong proficiency in Python and SQL in production analytics or machine learning environments.
* Proven ability to partner with engineering teams to deploy, monitor, and iterate on models and data pipelines.
* Ability to independently scope and drive ambiguous data science problems from problem definition through production impact.
* Experience with explainability, model diagnostics, and stakeholder\-facing performance reporting is a plus.
* Transportation logistics industry experience is a plus.
**The Perks of Working With Us** 
* Take advantage of our comprehensive benefits package, including medical, dental, vision, life, disability, and supplemental coverage.
* Invest in your future with our matching 401(k) program.
* Build relationships and find your home at Arrive through our Employee Resource Groups.
* Enjoy office wide engagement activities, team events, happy hours and more!
* Leave the suit and tie at home; our dress code is casual.
* Work in the booming city of Austin, TX – we are in a convenient location close to the airport and downtown.
* Park your car for free on site!
* Start your morning with a specialty drink from our fully stocked coffee bar, Broker’s Brew.
* Sweat it out with the team at our onsite gym.
* Maximize your wellness with free counseling sessions through our Employee Assistance Program
* Take time to manage your physical and mental health \- we offer company paid holidays, paid vacation time and wellness days.
* Receive 100% paid parental leave when you become a new parent.
* Get paid to work with your friends through our Referral Program!
* Get relocation assistance! If you are not local to the area, we offer relocation packages.
**Your Arrive Experience** 
 When we say “award\-winning culture,” we mean it. We’ve been recognized as a top workplace by Inc. Fast Company, Fortune, and earned Top Workplaces and Great Place to Work, to name a few. We intend on topping many more of those lists in the years to come, but we’re not in it for the trophies. We’re committed to culture because it keeps us connected to each other and invested in our shared success while having a blast along the way. Our employee\-founded resource groups create communities within Arrive’s walls, including Women in Logistics, Emerging Professionals, Prisms, Black Logistics Group, Salute and Unidos.
***Notice:***
*To ensure a safe and transparent interview process, we want to note that Arrive Logistics adheres to strict recruitment practices. Candidates undergo an interview process, and Arrive Logistics does not provide unsolicited job offers. If you have concerns about receiving a fraudulent offer, please contact talentacquisition@arrivelogistics.com for verification.*</t>
        </is>
      </c>
    </row>
    <row r="83">
      <c r="A83" t="inlineStr">
        <is>
          <t>li-4372788098</t>
        </is>
      </c>
      <c r="B83" t="inlineStr">
        <is>
          <t>Senior Data Scientist (PhD) - Boston (2026 Start Date)</t>
        </is>
      </c>
      <c r="C83" t="inlineStr">
        <is>
          <t>Analysis Group</t>
        </is>
      </c>
      <c r="D83" t="inlineStr">
        <is>
          <t>linkedin</t>
        </is>
      </c>
      <c r="E83" t="inlineStr"/>
      <c r="F83" t="inlineStr"/>
      <c r="G83" t="inlineStr">
        <is>
          <t>Boston, MA</t>
        </is>
      </c>
      <c r="H83" t="inlineStr"/>
      <c r="I83" t="inlineStr">
        <is>
          <t>**Overview**
 Make an impact at Analysis Group, where we provide our clients with thoughtful, pragmatic solutions to their most challenging business and litigation problems. Analysis Group is one of the largest economics consulting firms, with more than 1,500 professionals across 15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**About The Senior Data Scientist Position**
 Senior Data Scientists at Analysis Group help design, implement and maintain creative solutions to high\-profile business challenges in finance, economics and health care across multiple industries. To this end, Data Scientists are responsible for staying abreast of new developments in technology and data science, and communicating within the firm to help identify opportunities for cutting\-edge tools, applications and data sources. Career development at Analysis Group includes opportunities for growth in technical skills as well as in project management, analytical strategy and collaborative business development, depending on individual skills and interests, and with support and mentorship from senior staff.
**Key Responsibilities**
* Working with project teams to address data science and computing challenges
* Identifying opportunities for technology to enhance service offerings
* Acting as a resource and participating in client engagements and research as part of the project team
* Maintaining up\-to\-date knowledge of computing tools, providing technical training and helping to grow the in\-house knowledge base of the data science landscape
**Activities**
* Conducting advanced statistical and mathematical analyses to address complex research questions to derive actionable insights that support client decision\-making
* Developing data engineering and machine learning production systems for full stack data science projects
* Using natural language processing methodologies to work with EMR data, social media data and other unstructured data
* Optimizing procedures for managing and accessing large databases (e.g., insurance claims, electronic health records, financial transactions)
* Creating interactive analytics portals and data visualizations (e.g., using R/Shiny, Python/Flask, D3\)
* Leveraging on grid and cloud computing environments, and developing software packages in R, Python, and other object\-oriented languages
* Establishing optimized procedures for repetitive or computationally intensive tasks (C, C\+\+, Cuda\-C)
**Qualifications**
* PhD ideally in Computer Science, Mathematics, Statistics, Economics or other relevant scientific degree
* Proven ability to independently apply advanced statistical and mathematical methods to tackle complex research questions and drive meaningful insights
* Strong credentials and experience in working with both structured and unstructured data, along with data visualization skills, are required
* Proficiency in Python and/or R is required, with project experience in either language
* Familiarity with online/cloud computing and storage platforms (e.g., Azure, AWS) is preferred, along with experience working within an HPC environment
* Experience working within a Linux environment is a plus, as well as experience with Docker and front\-end development using a JavaScript framework (e.g., Vue.js, Angular)
* Eagerness and ability to quickly learn new skills, analytical methodologies, and technologies to effectively support and contribute to project teams
* Demonstrated experience working on project teams and collaborating with others
* Strong interpersonal, written, and oral communication skills
 Except in exceptional circumstances, candidates who will require future visa sponsorship must have a STEM\-eligible degree and at least 36 months of valid post\-graduation work authorization, such as F\-1 OPT or J\-1 Academic Training, to join the firm. For such individuals, Analysis Group will provide post\-hire immigration support, as appropriate under prevailing immigration policy.
 Analysis Group embraces equal opportunity. We are committed to building teams that bring a variety of backgrounds, perspectives, and skills, as we believe that a strong and inclusive workforce directly supports our goal of providing the highest\-quality work. All qualified applicants will receive consideration for employment without regard to race, color, religion, sex, sexual orientation, gender identity, national origin, or any other class protected under applicable federal, state, or local law, and we encourage candidates of all backgrounds to apply.
**How To Apply**
 When submitting your application, please include a resume and cover letter.
**Privacy Notice**
 For information about Analysis Group’s privacy practices, please refer to the applicable Analysis Group privacy policy .
* Equal Opportunity Employer/Protected Veterans/Individuals with Disabilities.
* Please view the EEOC’s “Know Your Rights” poster here .</t>
        </is>
      </c>
    </row>
    <row r="84">
      <c r="A84" t="inlineStr">
        <is>
          <t>li-4312333755</t>
        </is>
      </c>
      <c r="B84" t="inlineStr">
        <is>
          <t>Data Scientist, Lead</t>
        </is>
      </c>
      <c r="C84" t="inlineStr">
        <is>
          <t>Booz Allen Hamilton</t>
        </is>
      </c>
      <c r="D84" t="inlineStr">
        <is>
          <t>linkedin</t>
        </is>
      </c>
      <c r="E84" t="inlineStr"/>
      <c r="F84" t="inlineStr"/>
      <c r="G84" t="inlineStr">
        <is>
          <t>Huntsville, AL</t>
        </is>
      </c>
      <c r="H84" t="inlineStr"/>
      <c r="I84" t="inlineStr">
        <is>
          <t>**Job Number: R0227770**
 Data Scientist, Lead
**The Opportunity:**
 As a data scientist, you’re excited at the prospect of unlocking the secrets held by a data set, and you’re fascinated by the possibilities presented by IoT, machine learning (ML), and artificial intelligence. In an increasingly connected world, massive amounts of structured and unstructured data open new opportunities. As a data scientist at Booz Allen, you can turn these complex data sets into useful information to solve global challenges. Across private and public sectors, from fraud detection to cancer research, to national intelligence, we need a seasoned data scientist like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guide and mentor your team as you oversee the development of algorithms and systems. You’ll use the right combination of tools and frameworks to turn sets of disparate data points into objective answers to advise your clients as they make informed decisions. As a technical leader, you’ll identify new opportunities to use data science solutions to help your clients meet their toughest challenges. Ultimately, you’ll provide a deep understanding of the data, what it all means, and how it can be used.
 Work with us as we use data science for good.
 Join us. The world can’t wait.
**You Have:**
* 8\+ years of experience in data science or data analytics
* Experience in Python and with using data science languages and tools, including Git, GitLab, or GitHub, JavaScript, HTML, and CSS
* Experience designing, testing, and validating the quality of the data and data processes, and analyzing and reporting results with actionable insights
* Experience in finding and designing new approaches to handling, analyzing, and using large volumes of data sets
* Experience solving complex data and storage issues, such as issues with data handling, search, and retention
* Experience designing improved data search processes and utilizing big data technologies
* Knowledge of data science models to analyze large amounts of data and create valuable insights
* Ability to lead or design ML, statistical analysis, and data analysis tasks
* Top Secret clearance
* HS diploma or GED
**Nice If You Have:** 
* Bachelor's degree preferred; Master's degree a plus
* Program Management Institute Agile Certified Practitioner (PMI\-ACP) or Project Management Professional (PMP) Certification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$112,800\.00 to $257,000\.00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
 DRE1</t>
        </is>
      </c>
    </row>
    <row r="85">
      <c r="A85" t="inlineStr">
        <is>
          <t>li-4342110426</t>
        </is>
      </c>
      <c r="B85" t="inlineStr">
        <is>
          <t>Sr Data Scientist- People Analytics</t>
        </is>
      </c>
      <c r="C85" t="inlineStr">
        <is>
          <t>Citizens</t>
        </is>
      </c>
      <c r="D85" t="inlineStr">
        <is>
          <t>linkedin</t>
        </is>
      </c>
      <c r="E85" t="inlineStr"/>
      <c r="F85" t="inlineStr"/>
      <c r="G85" t="inlineStr">
        <is>
          <t>Johnston, RI</t>
        </is>
      </c>
      <c r="H85" t="inlineStr"/>
      <c r="I85" t="inlineStr">
        <is>
          <t>**Description**
 The Human Resource Analytics team at Citizens Bank leads the organization’s understanding of workforce insights and organizational health. Our team uncovers holistic data\-driven business opportunities across the talent lifecycle to enable transformational change and operational efficiency. We analyze internal and external data to understand diverse employee voices, and experiment to scale solutions that make the work experience better.
 The ideal candidate sees beyond the numbers to find opportunities to strengthen the employee experience and organizational performance. The candidate is a change agent with a demonstrated track record of marrying complex sets of people data with business imperatives to create actionable insights on performance, retention, and organizational agility. The candidate possesses strong quantitative skills, is capable of managing multiple projects simultaneously, and can communicate effectively with executive and technical audiences. An “outside in” perspective, data science skills, high intellectual curiosity, and a consultative posture are essential skills to possess in this role.
**Key Responsibilities**
 The HR Data Science Consultant at Citizens Bank will:
* Synthesize business goals and strategy with HR, productivity, and market data to build integrated, tangible recommendations on talent and culture topics to drive individual and organizational outcomes; employ consultative and analytical techniques to make recommendations, moving from the “so what” and “now what,” to drive impact across Citizens’.
* Consult with business clients on workplace insights including diagnoses, research design, hypothesis testing, advances analyses, visualization, and presentation.
* Translate complex analyses for executive audiences and develop visualizations to help people understand findings and insights
* Design and consult on talent assessment methodologies, both internal and third party
* Apply best practices for artificial intelligence and machine learning
* Project manage key initiatives that drive efficiency and value; assist with change management efforts to scale HR analytics solutions across the enterprise.
* Assist in development, execution, and evaluation of client OKRs, human capital KPIs and other measurement strategies to enable business results.
* Partner and train clients and HR stakeholders on impactful use of data, data literacy techniques, and use of self\-service to drive business outcomes.
* Advise on enterprise\-level and business unit level analytics work with partners through the organization; contribute to enterprise data governance methods and priorities.
**Critical Skills**
* Expertise in qualitative and quantitative research methodology, data management, data visualization and storytelling.
* Creative and strategic thinker \- ability to assess needs, collaborate, and deliver data\-driven, practical solutions that drive results
* Strong decision\-making skills; stellar interpersonal, influencing, relationship building, and collaboration skills
* Proficiency in change management approaches (e.g., PROSCI, etc.)
* Advanced analytical and problem\-solving skills \- approaches problems with rigorous logic and a curious mind – looks beyond the obvious and searches for deeper answers
* Proficiency in building talent assessment methodologies.
* Deep knowledge of pre\-employment assessment methodologies and practices.
* Ability to communicate effectively with technical and non\-technical audiences – tells stories with data that resonate with stakeholders and maximize impact; excellent written and verbal communication skills
* Ability to manage multiple client groups simultaneously; strong project management background
* Proficient in data querying languages (e.g., SQL), database management systems, and employee listening platforms (e.g., Perceptyx, Glint)
* Applied statistics or experimentation (A/B testing) and psychometric principles (e.g., regression analysis, factor analysis), as well as research design
* Proficient in scripting languages (e.g., R or Python), and other advanced analytical tools (e.g., Sagemaker, Tableau, PowerBI, Quicksight, Visier, Alteryx)
* Hands on experience with machine learning techniques and exposure to LLM for text analysis and natural language processing applications
* Highly proficient in Excel and PowerPoint
* Highly\-organized with strong attention to detail and documentation; results orientation
**Additional Knowledge \&amp; Skills**
* Ability to handle multiple projects while meeting deadlines and documenting progress towards those deadlines
* Proficiency in agile and design\-thinking methods
* Possesses a learning orientation, active exploratory mind, and interest to learn from others
* Experience with AWS Cloud suite, Snowflake, Oracle HCM, Service Now
**Education And Experience**
* Deep expertise (PhD, Masters, or equivalent expertise) in a field that uses research to understand and influence human behavior (e.g., Industrial/Organizational Psychology, Organizational Behavior, Behavioral Economics, Social/Personality Psychology, etc.)
* 8\+ years of client\-facing People Analytics, Workforce Strategy, Business Intelligence, or Human Capital Consulting experience, working in/with complex organizations, or combination of education and experience
* Demonstrated experience leading large\-scale HR or analytics programs in a matrixed environment
* Experience with Bayesian estimation, machine learning, natural language processing, cloud\-based computing, and/or Artificial Intelligence strongly preferred.
**Hours \&amp; Work Schedule**
* Hours per Week: 40
* Work Schedule: 8:30\-5
* Hybrid, 4 days on site from a Citizens corporate office, 1 day remote
*Some job boards have started using jobseeker\-reported data to estimate salary ranges for roles. If you apply and qualify for this role, a recruiter will discuss accurate pay guidance.*
**Equal Employment Opportunity**
 Citizens, its parent, subsidiaries, and related companies (Citizens) provide equal employment and advancement opportunities to all colleagues and applicants for employment without regard to age, ancestry, color, citizenship, physical or mental disability, perceived disability or history or record of a disability, ethnicity, gender, gender identity or expression, genetic information, genetic characteristic, marital or domestic partner status, victim of domestic violence, family status/parenthood, medical condition, military or veteran status, national origin, pregnancy/childbirth/lactation, colleague’s or a dependent’s reproductive health decision making, race, religion, sex, sexual orientation, or any other category protected by federal, state and/or local laws. At Citizens, we are committed to fostering an inclusive culture that enables all colleagues to bring their best selves to work every day and everyone is expected to be treated with respect and professionalism. Employment decisions are based solely on merit, qualifications, performance and capability.
**Why Work for Us**
 At Citizens, you'll find a customer\-centric culture built around helping our customers and giving back to our local communities. When you join our team, you are part of a supportive and collaborative workforce, with access to training and tools to accelerate your potential and maximize your career growth
 Posting End Date: 03/10/2026</t>
        </is>
      </c>
    </row>
    <row r="86">
      <c r="A86" t="inlineStr">
        <is>
          <t>li-4365503487</t>
        </is>
      </c>
      <c r="B86" t="inlineStr">
        <is>
          <t>Principal Applied Scientist, Personalization</t>
        </is>
      </c>
      <c r="C86" t="inlineStr">
        <is>
          <t>Amazon</t>
        </is>
      </c>
      <c r="D86" t="inlineStr">
        <is>
          <t>linkedin</t>
        </is>
      </c>
      <c r="E86" t="inlineStr"/>
      <c r="F86" t="inlineStr"/>
      <c r="G86" t="inlineStr">
        <is>
          <t>Seattle, WA</t>
        </is>
      </c>
      <c r="H86" t="inlineStr"/>
      <c r="I86" t="inlineStr">
        <is>
          <t>**Description**
 We are building the next generation of personalized shopping experiences at Amazon through deep understanding of our customer's intent and our product catalog. We aim to create an experience akin to that of a talented personal shopping assistant — a partner that is knowledgeable, understands your preferences, and helps you find the right solution for your needs.
 As a Principal Applied Scientist on the team, you will help lead science innovation in our space across a large multidisciplinary team. You will have a breadth of problems to work on, ranging from developing state of the art LLM\-based techniques to reason about customers and products, developing deep learned transformer\-based models to understand and abstract customer intent signals and representations, building large\-scale real\-time multi\-task ranking systems, and more. You will build technology employed by teams across the company, while also having a direct connection to millions of customers through our own customer facing features every day. Come join us in the journey!
 Key job responsibilities
* Innovate new features and models that have huge impact on the customer experience. Help customers find the right products and content on their shopping journey. Leverage the use of advanced machine learning to create customer shopping experience at Amazon's scale \- for all Amazon customers across all countries in realtime
* Be a key leader on a multidisciplinary team across science, product, design, and engineering to see through ideas from inception, prototype, to launch in the hands of all Amazon's customers
* Drive the science roadmap across multiple teams, helping coordinate a cohesive science agenda across the org.
* Mentoring applied scientists across the org, growing their skills and careers.
**About The Team**
 Our mission is to delight every Amazon customer with a personalized shopping experience tailed to their intent. We achieve our mission through investments in UX, Science, and Systems with the purpose of delivering the future of shopping on Amazon. We are seeking a Principal Applied Scientist to lead the science charter across the recommendations and intent identification space.
**About Our Organization**
 Our team is part of Amazon’s Personalization organization, a high\-performing group that leverages Amazon’s expertise in machine learning, big data, distributed systems, and user experience design to deliver the best shopping experiences for our customers. We run global experiments and our work has revolutionized e\-commerce with features such as "Keep shopping for ...", “Customers who bought this item also bought”, and “Frequently bought together”. Amazon’s internal surveys regularly recognize us as one of the best engineering organizations to work for in the company, with visible high\-impact work, low operational load, respectful work\-life balance, and continual opportunity to learn and grow.
**Basic Qualifications**
* Experience working in predictive modeling and analysis
* Experience distilling informal customer requirements into problem definitions, dealing with ambiguity and competing objectives
**Preferred Qualifications**
* Experience creating novel algorithms and advancing the state of the art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\- 198,900\.00 \- 269,000\.00 USD annually
**Company** 
 \- Amazon.com Services LLC
 Job ID: A3108814</t>
        </is>
      </c>
    </row>
    <row r="87">
      <c r="A87" t="inlineStr">
        <is>
          <t>li-4372906607</t>
        </is>
      </c>
      <c r="B87" t="inlineStr">
        <is>
          <t>Data Scientist</t>
        </is>
      </c>
      <c r="C87" t="inlineStr">
        <is>
          <t>Bombora</t>
        </is>
      </c>
      <c r="D87" t="inlineStr">
        <is>
          <t>linkedin</t>
        </is>
      </c>
      <c r="E87">
        <f>HYPERLINK("https://www.linkedin.com/jobs/view/4372906607", "https://www.linkedin.com/jobs/view/4372906607")</f>
        <v/>
      </c>
      <c r="F87">
        <f>HYPERLINK("https://grnh.se/uz133c9u2us&amp;urlHash=6iRZ", "https://grnh.se/uz133c9u2us&amp;urlHash=6iRZ")</f>
        <v/>
      </c>
      <c r="G87" t="inlineStr">
        <is>
          <t>New York, NY</t>
        </is>
      </c>
      <c r="H87" t="inlineStr"/>
      <c r="I87" t="inlineStr">
        <is>
          <t>The true B2B data pioneer, Bombora connects the B2B ecosystem in a one\-of\-a kind Data Cooperative—enabling a holistic view of an account's research and consumption behavior. From this data, Bombora derives actionable insights that make it possible for brands, agencies, and publishers to identify, understand, and identify their prospects and customers, throughout the buyer and user experience, across the activation platforms of choice.
 Bombora is continually recognized by analyst firms as a leader in Intent data powering GTM data solutions.
 As a Bombora Data Scientist:
**You will…**
* Perform analyses of large structured and unstructured datasets to solve complex business problems utilizing advanced statistical techniques and mathematical analyses
* Design and implement modifications to our systems, applications, models, and processes in consultation with higher\-level staff
* Implement and/or maintain portions of a scientific programming project including writing documentation
* Able to present data and results to multiple stakeholders to influence strategies for our products
* Participate in daily stand\-ups, story planning, reviews, retrospectives, and the occasional outing to nearby local cuisine and / or culture
* Learn, grow and participate as a member of a passionate distributed team that strives for knowledge, camaraderie and impact
**You have…**
* Bachelors or Masters in a STEM field; e.g. Mathematics, Statistics, Engineering Science, Data Science, Computer Science, Computer Engineering, etc.
* Masters or 2 years with Bachelor's degrees of work experience with analysis applications (extracting insights, performing statistical analysis, model development, or solving business problems) and coding (Python, SQL)
* Proficiency in Python, SQL, and Git
* Documentation and visualization skills using Jupyter, matplotlib, ggplot etc
* Foundational Knowledge in Probability, Linear Algebra, Machine learning (and deep learning) algorithms, computational data structures and algorithms
* Experience in ML Frameworks / Libraries: Pytorch, Tensorflow, PySpark, scikit\-learn, etc
* Experience with cloud platforms. Experience with Google Cloud Platform technologies such as BigQuery, and Vertex AI is a nice to have
**Bonus points for:**
* Experience with Natural Language Processing algorithms
* Experience with Graph Neural Network algorithms
* Experience with building or utilizing agents
* Algorithms / Data Structures: Design patterns, efficiency, using the right abstraction for the task.
**Perks and Benefits**
* Health / Dental / Vision
* Flexible Spending / Health Spending Accounts
* Flexible Vacation / Paid Holidays / Summer Fridays
* Education / Tuition Assistance / Annual Learning Stipend
* 401K
* Generous Parental Leave (16 weeks primary/12 secondary)
* Commuter Benefits
* Team Lunches / Outings / Events (Yes! We found a way to do it virtually!)
**Compensation Package**
* The salary range for this position is $130,000 to $150,000\. Actual compensation may vary and will be based on a candidate's qualifications, skills, experience, and location.
* Equity
**This position can be hybrid (near our NYC or Reno offices), or can be remote.**
**At Bombora, we embrace diversity because it breeds innovation.** 
 Bombora is an equal opportunity employer and participates in E\-Verify.</t>
        </is>
      </c>
    </row>
    <row r="88">
      <c r="A88" t="inlineStr">
        <is>
          <t>li-4364466060</t>
        </is>
      </c>
      <c r="B88" t="inlineStr">
        <is>
          <t>Data Scientist (REMOTE)</t>
        </is>
      </c>
      <c r="C88" t="inlineStr">
        <is>
          <t>Lensa</t>
        </is>
      </c>
      <c r="D88" t="inlineStr">
        <is>
          <t>linkedin</t>
        </is>
      </c>
      <c r="E88">
        <f>HYPERLINK("https://www.linkedin.com/jobs/view/4364466060", "https://www.linkedin.com/jobs/view/4364466060")</f>
        <v/>
      </c>
      <c r="F88" t="inlineStr"/>
      <c r="G88" t="inlineStr">
        <is>
          <t>Austin, TX</t>
        </is>
      </c>
      <c r="H88" t="inlineStr"/>
      <c r="I8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\#DataEngineering
 \#HiringDataScientists
 \#DataScienceJobs
 \#Python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89">
      <c r="A89" t="inlineStr">
        <is>
          <t>li-4364446593</t>
        </is>
      </c>
      <c r="B89" t="inlineStr">
        <is>
          <t>Data Scientist (REMOTE)</t>
        </is>
      </c>
      <c r="C89" t="inlineStr">
        <is>
          <t>Lensa</t>
        </is>
      </c>
      <c r="D89" t="inlineStr">
        <is>
          <t>linkedin</t>
        </is>
      </c>
      <c r="E89">
        <f>HYPERLINK("https://www.linkedin.com/jobs/view/4364446593", "https://www.linkedin.com/jobs/view/4364446593")</f>
        <v/>
      </c>
      <c r="F89" t="inlineStr"/>
      <c r="G89" t="inlineStr">
        <is>
          <t>Dallas, TX</t>
        </is>
      </c>
      <c r="H89" t="inlineStr"/>
      <c r="I8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\#DataEngineering
 \#HiringDataScientists
 \#DataScienceJobs
 \#Python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90">
      <c r="A90" t="inlineStr">
        <is>
          <t>li-4372950079</t>
        </is>
      </c>
      <c r="B90" t="inlineStr">
        <is>
          <t>Data Scientist - AI, Analytics &amp; Machine Learning (34638)</t>
        </is>
      </c>
      <c r="C90" t="inlineStr">
        <is>
          <t>Myticas Consulting</t>
        </is>
      </c>
      <c r="D90" t="inlineStr">
        <is>
          <t>linkedin</t>
        </is>
      </c>
      <c r="E90">
        <f>HYPERLINK("https://www.linkedin.com/jobs/view/4372950079", "https://www.linkedin.com/jobs/view/4372950079")</f>
        <v/>
      </c>
      <c r="F90" t="inlineStr"/>
      <c r="G90" t="inlineStr">
        <is>
          <t>Ada, MI</t>
        </is>
      </c>
      <c r="H90" t="inlineStr"/>
      <c r="I90" t="inlineStr">
        <is>
          <t>We are seeking a highly motivated
 **Data Scientist** 
 to join our analytics and AI team focused on driving data\-driven decision\-making across large\-scale systems and telecommunications\-related use cases. You will work on advanced data analytics, machine learning modeling, and statistical analysis to extract actionable insights, build predictive systems, and support strategic business and product decisions.
**Key Responsibilities** 
* Analyze large, heterogeneous datasets to identify patterns, trends, and insights that support business and product strategy.
* Design, develop, and deploy machine learning and statistical models to solve real\-world problems (predictive analytics, classification, regression, clustering).
* Work closely with product managers, data engineers, and cross\-functional teams to translate business requirements into scalable data science solutions.
* Perform exploratory data analysis, feature engineering, and model evaluation.
* Build data pipelines and integrate models into production systems where relevant.
* Communicate insights and results clearly to technical and non\-technical stakeholders through visualizations and reports.
* Stay current with emerging techniques in machine learning, artificial intelligence, and data science best practices.
**Required Qualifications** 
	+ Bachelor’s or Master’s degree in Data Science, Computer Science, Statistics, Mathematics, Engineering, or a related discipline.
	+ Strong programming skills in
	 **Python** 
	 and experience with data science libraries (e.g., pandas, NumPy, scikit\-learn).
	+ Experience with
	 **machine learning modeling** 
	 techniques, including supervised and unsupervised methods.
	+ Solid statistical analysis skills and understanding of modeling assumptions and performance evaluation.
	+ Experience working with large datasets and data engineering tools (e.g., SQL, Spark).
	+ Ability to produce meaningful visualizations and presentations of analytical results.
	+ Strong problem\-solving skills and ability to work collaboratively in cross\-functional teams.
	**Preferred Qualifications** 
		- Experience with
		 **big data technologies** 
		 and distributed computing frameworks (e.g., Spark, Hadoop).
		- Familiarity with
		 **cloud\-based data platforms** 
		 (AWS, Azure, GCP).
		- Knowledge of deep learning frameworks (e.g., TensorFlow, PyTorch) or experience with natural language processing.
		- Exposure to
		 **AI/ML model deployment workflows** 
		 , MLOps tools, and CI/CD pipelines.
		- Experience with real\-time streaming or event\-driven analytics (e.g., Kafka).</t>
        </is>
      </c>
    </row>
    <row r="91">
      <c r="A91" t="inlineStr">
        <is>
          <t>li-4248973844</t>
        </is>
      </c>
      <c r="B91" t="inlineStr">
        <is>
          <t>Data Scientist, Experimentation</t>
        </is>
      </c>
      <c r="C91" t="inlineStr">
        <is>
          <t>BetterHelp</t>
        </is>
      </c>
      <c r="D91" t="inlineStr">
        <is>
          <t>linkedin</t>
        </is>
      </c>
      <c r="E91">
        <f>HYPERLINK("https://www.linkedin.com/jobs/view/4248973844", "https://www.linkedin.com/jobs/view/4248973844")</f>
        <v/>
      </c>
      <c r="F91">
        <f>HYPERLINK("https://job-boards.greenhouse.io/betterhelpcom/jobs/4756131008?gh_src=ef3d79078us&amp;urlHash=s5zq", "https://job-boards.greenhouse.io/betterhelpcom/jobs/4756131008?gh_src=ef3d79078us&amp;urlHash=s5zq")</f>
        <v/>
      </c>
      <c r="G91" t="inlineStr">
        <is>
          <t>San Jose, CA</t>
        </is>
      </c>
      <c r="H91" t="inlineStr"/>
      <c r="I91" t="inlineStr">
        <is>
          <t>**Who are we and why should you join us?**
 BetterHelp is on a mission to remove the traditional barriers to therapy and make mental health care more accessible to everyone. Founded in 2013, we are now the world’s largest online therapy service, providing affordable and convenient therapy in across the globe. Our network of over 30,000 licensed therapists has helped millions of people take ownership of their mental health and change their lives forever. And we’re not stopping there – as the unmet need for mental health services continues to grow, BetterHelp is committed to being part of the solution.
 As a Data Scientist at BetterHelp, you’ll join a diverse team of licensed clinicians, engineers, product pros, creatives, marketers, and business leaders who share a passion for expanding access to therapy. And as a mental health company, we take employee mental health just as seriously as we do our mission. We deeply invest in our team’s well\-being and professional development, because we know that business and individual growth go hand\-in\-hand. At BetterHelp, you’ll carve your own path, make an immediate impact, and be challenged every day – with a supportive community behind you the whole way.
**What are we looking for?**
 BetterHelp is looking for a Data Scientist to help us scale and increase our impact. You will use data to drive insight into the product and business with a focus. The ideal candidate would have experience analyzing large and complex data sets related to web products. You'll be doing plenty of experiment design and post\-hoc analysis to support product improvements and business decisions.
**What will you do?**
* Get insight from an enormous amount of data, and take a proactive role partnering with the product team in finding and testing data\-driven ideas for improving our products.
* Collaborate with the product team and development team to design effective, statistically rigorous experiments, including simple A/B tests as well as more advanced experiment designs that account for complexities such as network effects.
* Monitor and analyze several product tests with statistical rigor, present the data and insights to the team, and drive product decisions.
* Look at complex problems and come up with testable models and algorithms that have measurable business impact.
* Enjoy great teamwork, have lots of fun, and take pride in building a world\-class product that makes a difference in people's lives.
**What will you NOT do?**
* You will NOT worry about "runway", "cash left", or "how much time we have until the next round". We have the startup DNA but we're fully backed and funded, all the way to success.
* You will NOT be confined to your "job". You will get involved in product, marketing, business strategy, and almost everything we do.
* You will NOT be bogged down by office politics, ego, or bad attitude. Only positive, pleasure\-to\-work\-with people are allowed here!
* You will NOT get yourself burned out. We work hard but we believe in maintaining a sustainable work/life balance. Really.
**Can I work remotely?**
 Yes. We operate on PST and candidates in any time zone are welcome to apply. We ask employees to travel to our San Jose, CA office up to three times per year plus one company\-wide offsite to collaborate in person and strengthen working relationships. Travel expenses are covered and reasonable accommodations are made for those under unique circumstances who cannot travel.
**Requirements**
* 1\+ years of experience in a data science role or relevant internships, ideally applying analytical skills to real\-world problems
* Degree in a quantitative discipline such as Statistics, Math, Economics, or Operations Research
* Familiarity with analyzing A/B tests or similar experiments through coursework or projects
* Proficiency in SQL and experience working with data transformation tools such as dbt
* Hands\-on experience with data analysis, experiment design, and statistical methods through work, internships, or academic projects
* Strong grasp of statistical concepts, especially around hypothesis testing and experiment design
* Clear and thoughtful communicator, with a desire to keep improving how complex ideas are shared across different audience
**Benefits**
* Remote work with regular in\-person bonding experiences sponsored by the company
* Competitive compensation
* Holistic perks program (including free therapy, employee wellness, and more)
* Excellent health, dental, and vision coverage
* 401k benefits with employer matching contribution
* The chance to build something that changes lives – and that people love
* Any piece of hardware or software that will make you happy and productive
* An awesome community of co\-workers
 The base salary range for this position is $115,000 \- $145,000\. In addition to the base salary, this position is eligible for a performance bonus and the extensive benefits listed here (subject to eligibility requirements): Teladoc Health Benefits 2025\. Total compensation is based on several factors – including, but not limited to, type of position, location, education level, work experience, and certifications. This information is applicable to all full\-time positions.
*At BetterHelp we thrive on difference and individuality, and as part of the Teladoc Health family, we are proud to be an Equal Opportunity Employer. We never have and never will discriminate against any job candidate or employee due to age, race, ethnicity, religion, sex, color, national origin, gender, gender identity, sexual orientation, medical condition, marital status, parental status, disability, or Veteran status.*</t>
        </is>
      </c>
    </row>
    <row r="92">
      <c r="A92" t="inlineStr">
        <is>
          <t>li-4364407310</t>
        </is>
      </c>
      <c r="B92" t="inlineStr">
        <is>
          <t>Data Scientist, Early Career</t>
        </is>
      </c>
      <c r="C92" t="inlineStr">
        <is>
          <t>Jobright.ai</t>
        </is>
      </c>
      <c r="D92" t="inlineStr">
        <is>
          <t>linkedin</t>
        </is>
      </c>
      <c r="E92">
        <f>HYPERLINK("https://www.linkedin.com/jobs/view/4364407310", "https://www.linkedin.com/jobs/view/4364407310")</f>
        <v/>
      </c>
      <c r="F92" t="inlineStr"/>
      <c r="G92" t="inlineStr"/>
      <c r="H92" t="inlineStr"/>
      <c r="I92"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Develop and deploy predictive models and machine learning algorithms that power the core logic of our production AI agents
* Experiment with and optimize Large Language Model (LLM) prompts, fine\-tuning techniques, and RAG pipelines to improve agent performance and reliability
* Perform deep\-dive statistical analysis on user interaction data to identify patterns that drive product improvements and feature innovation
* Monitor model performance and provide technical support during critical product iteration cycles
**Qualification** 
 Required
* Recent graduate or entry\-level professional (0–2 years of experience) with a degree in Data Science, Computer Science, Statistics, or a related quantitative field
* Strong programming skills in Python and proficiency with machine learning libraries such as PyTorch, TensorFlow, or Scikit\-learn
* Practical understanding of LLM architectures, prompt engineering, and the evaluation of generative AI outputs
* Excellent communication skills with the ability to articulate technical methodology and complex modeling results to the broader team
* Must live in and be authorized to work in the United States
 Preferred
* Previous internship or research experience focused on Natural Language Processing (NLP), autonomous agents, or recommendation systems
* Experience building and maintaining data pipelines and working with cloud infrastructure (AWS/GCP/Azure)
* Strong technical foundation in SQL and database management for efficient data extraction and feature engineering</t>
        </is>
      </c>
    </row>
    <row r="93">
      <c r="A93" t="inlineStr">
        <is>
          <t>li-4372967570</t>
        </is>
      </c>
      <c r="B93" t="inlineStr">
        <is>
          <t>Senior Applied Scientist - AI Red Teaming &amp; Model Risk</t>
        </is>
      </c>
      <c r="C93" t="inlineStr">
        <is>
          <t>Uber</t>
        </is>
      </c>
      <c r="D93" t="inlineStr">
        <is>
          <t>linkedin</t>
        </is>
      </c>
      <c r="E93">
        <f>HYPERLINK("https://www.linkedin.com/jobs/view/4372967570", "https://www.linkedin.com/jobs/view/4372967570")</f>
        <v/>
      </c>
      <c r="F93" t="inlineStr"/>
      <c r="G93" t="inlineStr">
        <is>
          <t>Sunnyvale, CA</t>
        </is>
      </c>
      <c r="H93" t="inlineStr"/>
      <c r="I93" t="inlineStr">
        <is>
          <t>**About The Role**
 As AI systems\-particularly LLMs and agentic AI\-become core to our products and internal platforms, understanding how these systems fail is just as important as improving their performance. We are looking for a Senior Applied Scientist to join our AI Red Teaming efforts and focus on adversarial evaluation, failure analysis, and risk discovery in AI models and AI agents.
 In this role, you will systematically probe AI systems to uncover unsafe, unintended, or harmful behaviors, including prompt injection, jailbreaks, behavioral drift, tool misuse, and context or memory poisoning. You will design experiments, build evaluation frameworks, and analyze outcomes to surface risks that traditional ML metrics do not capture.
 This role is ideal for a data scientist who enjoys working at the edge of model behavior, cares deeply about safety and robustness, and wants to apply scientific rigor to securing real\-world AI systems.
**What The Candidate Will Need / Bonus Points**
 \-\-\-\- What the Candidate Will Do \-\-\-\-
* Design and execute AI red\-teaming experiments against LLMs and AI agents to identify: prompt injection (direct \&amp; indirect), jailbreaking and policy bypass, model and tool poisoning, context and memory poisoning, behavioral drift and unsafe autonomy
* Develop adversarial datasets, probes, and test harnesses to systematically evaluate model and agent behavior under attack.
* Define and track AI risk metrics beyond accuracy (e.g., failure rates, drift indicators, unsafe action likelihood, confidence miscalibration).
* Analyze agent workflows and decision traces to understand how failures emerge across multi\-step reasoning and tool use.\\
* Collaborate with security engineers and AI platform teams to translate findings into guardrails, mitigations, and design improvements.
* Build reusable evaluation pipelines to support continuous red teaming and regression testing as models and agents evolve.
**Basic Qualifications**
* 5\+ years of experience as a Data Scientist, Applied Scientist, or ML Scientist.
* Hands\-on experience working with LLMs or generative AI systems.
* Direct experience with AI red teaming, model safety, or adversarial evaluation.
* Direct experience with prompt injection, jailbreaks, and LLM failure modes.
* Strong background in experimental design, evaluation, and statistical analysis.
* Experience analyzing complex model behavior and failure cases beyond standard metrics.
* Proficiency in Python and common DS/ML tooling.
**Preferred Qualifications**
* Experience evaluating agentic systems, including tool use, memory, or multi\-step workflows.
* Knowledge of GenAI architectures (transformers, embeddings, RAG, agent frameworks).
* Experience building custom evaluation datasets or simulation environments.
* Background or strong interest in security, privacy, or trust \&amp; safety.
* Familiarity with AI evaluation tools (e.g., custom judges, LLM\-as\-judge, simulation frameworks).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94">
      <c r="A94" t="inlineStr">
        <is>
          <t>li-4372959838</t>
        </is>
      </c>
      <c r="B94" t="inlineStr">
        <is>
          <t>AI Data Scientist</t>
        </is>
      </c>
      <c r="C94" t="inlineStr">
        <is>
          <t>HP</t>
        </is>
      </c>
      <c r="D94" t="inlineStr">
        <is>
          <t>linkedin</t>
        </is>
      </c>
      <c r="E94">
        <f>HYPERLINK("https://www.linkedin.com/jobs/view/4372959838", "https://www.linkedin.com/jobs/view/4372959838")</f>
        <v/>
      </c>
      <c r="F94" t="inlineStr"/>
      <c r="G94" t="inlineStr">
        <is>
          <t>Spring, TX</t>
        </is>
      </c>
      <c r="H94" t="inlineStr"/>
      <c r="I94" t="inlineStr">
        <is>
          <t>**About The Position**
 The HP Enterprise AI \&amp; Machine Learning organization is a centralized team of data scientists and machine learning engineers building GenAI\-based tools and digital products that enable increased productivity for 50,000\+ employees and improve the effectiveness of hundreds of critical business processes. We collaborate closely with business stakeholders across HP to scope, prototype, and develop models and products in the cloud and on the edge. We also serve as HP’s AI Center of Excellence, providing consulting assistance, reuseable components and frameworks, and training to other teams across the company.
 As a Data Scientist focused on Generative AI, you will work across multiple HP projects involving large language and multi\-model models and other cutting\-edge Generative AI capabilities for deployment on the cloud or edge. In addition to working with our core technical team, you’ll collaborate with business stakeholders and across various units to develop and deploy solutions at scale. Your primary focus and mindset will be on delivering real business value to our internal customers. Please note, this is not a research role.
**Responsibilities**
* Delivers Generative AI\-based models of high complexity to surface insights; drives action, defines success measures and tracks performance of models.
* Develops monitoring metrics to reflect real\-world model performance and makes recommendations to shape the future direction of models and digital solutions.
* Strategizes models to uncover patterns and predictions creating business value and innovation.
* Manages relationships with business partners to evaluate and foster data driven innovation, provides domain\-specific expertise in cross\-organization projects/initiatives.
* Ties insights into effective visualizations communicating business value and innovation potential.
* Works with development teams and business units to ensure models are scalable and can be implemented as part of the delivered solution.
* Leads project team(s) of data science professionals, assuring insights are communicated regularly and effectively, reviewing designs, models and data compliance.
* Represents the data science team for all phases of larger and more\-complex development projects.
* Provides guidance, training and mentoring to less experienced staff members.
****Education \&amp; Experience** 
 Recommended**
* PhD related to AI or a Master’s degree in computer science or a related field and 5\+ years of experience with GenAI and related technologies including machine learning. data analytics, and statistical modeling.
**Preferred Certifications**
* Programming Language/s Certification (SQL, Python, or similar)
**Knowledge \&amp; Skills**
* Strong foundation in data science and core machine learning concepts.
* Experience with large language models, multi\-modal modals, prompt engineering, vector databases, Retrieval\-Augmented Generation (RAG), and search engines.
* Solid technical background. Experience working on software development teams, especially in cloud\-based business applications, is a strong plus.
* Familiarity with tools such as Azure Machine Learning, Azure Prompt Flow, Python, LangChain, Streamlit, and Docker.
* Experience working in distributed, diverse teams, with bonus points for time spent in small fast\-paced start\-ups.
* Comfortable representing the team in meetings with multiple stakeholders and driving discussions clearly and respectfully. Mastery of English is required.
* Able to explain technical concepts (e.g., LLMs) to non\-technical audiences.
* You suggest pragmatic solutions that are as simple as possible—even if that means no AI is required.
 The base pay range for this role is $130,700 to $205,200 annually with additional opportunities for pay in the form of bonus and/or equity (applies to US candidates only). Pay varies by work location, job\-related knowledge, skills, and experience.
**Benefits**
 HP offers a comprehensive benefits package for this position, including:
 Health insurance
 Dental insurance
 Vision insurance
 Long term/short term disability insurance
 Employee assistance program
 Flexible spending account
 Life insurance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
 6353</t>
        </is>
      </c>
    </row>
    <row r="95">
      <c r="A95" t="inlineStr">
        <is>
          <t>li-4372969492</t>
        </is>
      </c>
      <c r="B95" t="inlineStr">
        <is>
          <t>Senior Applied Scientist - AI Red Teaming &amp; Model Risk</t>
        </is>
      </c>
      <c r="C95" t="inlineStr">
        <is>
          <t>Uber</t>
        </is>
      </c>
      <c r="D95" t="inlineStr">
        <is>
          <t>linkedin</t>
        </is>
      </c>
      <c r="E95">
        <f>HYPERLINK("https://www.linkedin.com/jobs/view/4372969492", "https://www.linkedin.com/jobs/view/4372969492")</f>
        <v/>
      </c>
      <c r="F95" t="inlineStr"/>
      <c r="G95" t="inlineStr">
        <is>
          <t>Seattle, WA</t>
        </is>
      </c>
      <c r="H95" t="inlineStr"/>
      <c r="I95" t="inlineStr">
        <is>
          <t>**About The Role**
 As AI systems\-particularly LLMs and agentic AI\-become core to our products and internal platforms, understanding how these systems fail is just as important as improving their performance. We are looking for a Senior Applied Scientist to join our AI Red Teaming efforts and focus on adversarial evaluation, failure analysis, and risk discovery in AI models and AI agents.
 In this role, you will systematically probe AI systems to uncover unsafe, unintended, or harmful behaviors, including prompt injection, jailbreaks, behavioral drift, tool misuse, and context or memory poisoning. You will design experiments, build evaluation frameworks, and analyze outcomes to surface risks that traditional ML metrics do not capture.
 This role is ideal for a data scientist who enjoys working at the edge of model behavior, cares deeply about safety and robustness, and wants to apply scientific rigor to securing real\-world AI systems.
**What The Candidate Will Need / Bonus Points**
 \-\-\-\- What the Candidate Will Do \-\-\-\-
* Design and execute AI red\-teaming experiments against LLMs and AI agents to identify: prompt injection (direct \&amp; indirect), jailbreaking and policy bypass, model and tool poisoning, context and memory poisoning, behavioral drift and unsafe autonomy
* Develop adversarial datasets, probes, and test harnesses to systematically evaluate model and agent behavior under attack.
* Define and track AI risk metrics beyond accuracy (e.g., failure rates, drift indicators, unsafe action likelihood, confidence miscalibration).
* Analyze agent workflows and decision traces to understand how failures emerge across multi\-step reasoning and tool use.\\
* Collaborate with security engineers and AI platform teams to translate findings into guardrails, mitigations, and design improvements.
* Build reusable evaluation pipelines to support continuous red teaming and regression testing as models and agents evolve.
**Basic Qualifications**
* 5\+ years of experience as a Data Scientist, Applied Scientist, or ML Scientist.
* Hands\-on experience working with LLMs or generative AI systems.
* Direct experience with AI red teaming, model safety, or adversarial evaluation.
* Direct experience with prompt injection, jailbreaks, and LLM failure modes.
* Strong background in experimental design, evaluation, and statistical analysis.
* Experience analyzing complex model behavior and failure cases beyond standard metrics.
* Proficiency in Python and common DS/ML tooling.
**Preferred Qualifications**
* Experience evaluating agentic systems, including tool use, memory, or multi\-step workflows.
* Knowledge of GenAI architectures (transformers, embeddings, RAG, agent frameworks).
* Experience building custom evaluation datasets or simulation environments.
* Background or strong interest in security, privacy, or trust \&amp; safety.
* Familiarity with AI evaluation tools (e.g., custom judges, LLM\-as\-judge, simulation frameworks).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96">
      <c r="A96" t="inlineStr">
        <is>
          <t>li-4372948386</t>
        </is>
      </c>
      <c r="B96" t="inlineStr">
        <is>
          <t>Data Scientist</t>
        </is>
      </c>
      <c r="C96" t="inlineStr">
        <is>
          <t>Fusion92</t>
        </is>
      </c>
      <c r="D96" t="inlineStr">
        <is>
          <t>linkedin</t>
        </is>
      </c>
      <c r="E96">
        <f>HYPERLINK("https://www.linkedin.com/jobs/view/4372948386", "https://www.linkedin.com/jobs/view/4372948386")</f>
        <v/>
      </c>
      <c r="F96" t="inlineStr"/>
      <c r="G96" t="inlineStr">
        <is>
          <t>Chicago, IL</t>
        </is>
      </c>
      <c r="H96" t="inlineStr"/>
      <c r="I96" t="inlineStr">
        <is>
          <t>**Description**
**About Fusion92**
 Fusion92 is a Marketing Transformation Partner built for what’s next. We help brands solve complex business problems through a connected ecosystem of data, technology, media, and creativity—designed to drive measurable growth at scale.
 Powered by proprietary tools, AI\-enabled intelligence, and fearless thinking, we don’t just execute marketing—we transform how marketing works.
 Fusion92 operates through hybrid hubs in Chicago and Detroit, with remote teams in Austin, Denver, and across the U.S. This flexible, hybrid\-first model allows us to build teams around the work—not the walls—connecting the right talent to the right challenges at the right time.
**Built by Bold People**
 Our difference isn’t just what we do—it’s how we do it and who we do it with. Fusion92 is built by people who are relentlessly curious, unafraid to challenge convention, and committed to doing work that matters.
 We bring together strategists, data scientists, technologists, media experts, creatives, consultants, operators, and innovators who thrive at the intersection of insight and execution. From launching new products to developing patented innovations and award\-winning ideas, we help clients move forward with confidence and precision.
**A Culture Designed for Growth**
 At Fusion92, We Believe Great Work Happens When Friction Is Removed And People Are Trusted To Lead. Our Culture Is Grounded In Values That Show Up In Our Work, Our Decisions And Our Teams
* Curious – We challenge assumptions and ask better questions
* Fearless – We take smart risks and lead through change
* Team\-Focused – We win together across disciplines and time zones
* Leaders at Every Level – Ownership and initiative matter more than titles
**Why Join Us**
 Fusion92 is for people who want to build, not just belong. You’ll work on meaningful challenges, collaborate with smart, driven teammates, and have the autonomy to shape how work gets done.
 If you’re excited by complexity, motivated by impact, and looking for an environment where curiosity is fueled and leadership is expected—there’s a place for you here.
 Our people power our transformation.
 That’s where you come in.
**DATA SCIENTIST**
**Overview**
 The Data Scientist designs and delivers advanced analytical solutions that power strategic decision\-making across the organization. This role transforms complex data into actionable insights, predictive models, and scalable machine learning solutions that drive marketing performance, deepen customer understanding, and improve business outcomes.
 Working cross\-functionally with strategy, media, client services, and engineering teams, the Data Scientist translates business challenges into data science initiatives and communicates results clearly to both technical and non\-technical stakeholders. This role plays a critical part in elevating analytical rigor, innovation, and impact across the organization.
**What You’ll Do**
* Design, develop, and deploy predictive models, segmentation frameworks, and machine learning solutions to support marketing performance, targeting, and customer analytics.
* Analyze large, complex datasets to uncover insights that inform strategic and tactical business decisions.
* Build and maintain robust data pipelines to ensure clean, reliable, and well\-structured data for analysis and modeling.
* Ensure model integrity and performance through validation, QA processes, documentation, and ongoing monitoring.
* Design and execute experiments (including A/B and multivariate tests) to evaluate campaign effectiveness and optimize outcomes.
* Partner with strategy, media, and client services teams to translate business needs into scalable, data\-driven solutions.
* Present findings and recommendations through clear storytelling, visualizations, and executive\-ready materials.
* Contribute to team development through collaboration, peer review, knowledge sharing, and cross\-training.
* Stay current with emerging data science tools, techniques, and best practices, helping evolve the team’s capabilities and standards.
**Requirements**
**KNOWLEDGE/SKILLS/ATTRIBUTES REQUIRED:**
* 3–5\+ years of applied data science experience, ideally in marketing, media, or customer analytics environments.
* Advanced proficiency in SQL for complex querying and data manipulation.
* Strong Python skills for data analysis, modeling, automation, API integration, and production workflows.
* Hands\-on experience with machine learning frameworks (e.g., scikit\-learn, XGBoost) and cloud/data platforms (e.g., AWS, Azure, Snowflake).
* Strong foundation in statistics, experimental design, and computer science principles.
* Experience building and deploying models in production environments.
* Familiarity with marketing use cases such as audience segmentation, attribution modeling, audience creation, and trade area analysis.
* Experience with Alteryx is a strong plus.
* Experience with visualization tools such as Tableau (or similar BI tools) is a plus.
* Strong problem\-solving skills, attention to detail, and the ability to work independently and collaboratively.
* Excellent communication skills with the ability to simplify complex analyses for diverse audiences.
* Understanding of data privacy regulations and ethical considerations in modeling.
**Equal Opportunity Employer**
 Fusion92 is proud to be an Equal Opportunity Employer. We are committed to building a diverse and inclusive workplace and do not discriminate on the basis of race, color, religion, sex (including pregnancy), gender identity or expression, sexual orientation, national origin, age, disability, veteran status, genetic information, or any other status protected by applicable federal, state, or local laws.
 We encourage individuals from all backgrounds to apply and are committed to providing reasonable accommodations throughout the hiring process.
 In compliance with applicable pay transparency laws, the salary range for this role is \[
 **$75,000 – $95,000** 
 ], which represents the minimum and maximum base salary we reasonably expect to pay for this position at the time of posting. Actual compensation will be determined based on factors such as experience, skills, qualifications, internal equity, and geographic location. This role may also be eligible for additional compensation, including bonuses and benefits.
 Fusion92 is committed to providing reasonable accommodations throughout the hiring process. If you require an accommodation, please let us know.</t>
        </is>
      </c>
    </row>
    <row r="97">
      <c r="A97" t="inlineStr">
        <is>
          <t>li-4372903777</t>
        </is>
      </c>
      <c r="B97" t="inlineStr">
        <is>
          <t>Senior Data Scientist</t>
        </is>
      </c>
      <c r="C97" t="inlineStr">
        <is>
          <t>CoreTrust</t>
        </is>
      </c>
      <c r="D97" t="inlineStr">
        <is>
          <t>linkedin</t>
        </is>
      </c>
      <c r="E97">
        <f>HYPERLINK("https://www.linkedin.com/jobs/view/4372903777", "https://www.linkedin.com/jobs/view/4372903777")</f>
        <v/>
      </c>
      <c r="F97">
        <f>HYPERLINK("https://grnh.se/z259tjhz7us&amp;urlHash=Cwsp", "https://grnh.se/z259tjhz7us&amp;urlHash=Cwsp")</f>
        <v/>
      </c>
      <c r="G97" t="inlineStr">
        <is>
          <t>Nashville, TN</t>
        </is>
      </c>
      <c r="H97" t="inlineStr"/>
      <c r="I97" t="inlineStr">
        <is>
          <t>Every company needs supplies and services to operate. From laptops and rental cars to pens and pallets, all companies have procurement needs. That's where CoreTrust comes in. CoreTrust provides a B2B marketplace that has transformed how companies buy billions of dollars' worth of supplies and services annually. We're on a mission to be the one place where buyers and suppliers connect, secure purchasing agreements, transact, and partner to realize savings.
 To support our growth, we're seeking an experienced
 **Senior Data Scientist** 
 to join our Data Solutions team.
 The CoreTrust Data Solutions team's charter is to foster a data\-driven culture to encourage and enable the entire organization to make more informed decisions through data. Our data and analytics team works closely with engineering, sales, marketing, finance, and business leaders to identify opportunities for improving customer experience and accelerate our business's growth in support of this mission. This is a unique opportunity to bring your knowledge of enterprise software offerings, as well as your understanding of data science methods and best practices, to help CoreTrust deliver the best experience possible for our customers and partners.
**Responsibilities**
* Work with other teams across CoreTrust to develop key metrics to achieve business outcomes.
* Work cross functionally to translate business problems into solutions that can be solved and informed by data and automated with AI Agents.
* Have curiosity and apply analytical skills to dive deep into data to find key insights that impact the business.
* Develop models of usage, user behavior \&amp; business behavior to make recommendations and influence the product road map.
* Be a champion of AB testing. Design, execute and analyze experiments to prove product change attribution.
* Utilize tools like SQL, Python, LLMs and platforms like Azure AI Foundry or Amazon Bedrock to execute analysis and create AI applications.
* Track and monitor projects in JIRA
* Design, implement, and maintain analytics, models and LLM\-driven scripts/software
* Work with stakeholders across the organization to understand requirements and generate actionable insights
* Work as part of a team to maintain a high\-quality data lake house
* Serve as a subject matter expert on machine learning, AI agents, and statistics
* Be part of the Data Science Team to share ideas and best practices
* Create dashboards and reports to clearly and concisely communicate results and insights
**Qualifications**
* Bachelor's Degree in Data Science, Mathematics, Statistics, Econometrics, Economics, Operations Research, Computer Science, or related field AND 4\+ years data\-science experience (e.g., managing structured and unstructured data, applying statistical techniques and reporting results)
* OR Master's Degree in Data Science, Mathematics, Statistics, Econometrics, Economics, Operations Research, Computer Science, or related field AND 2\+ years data\-science experience (e.g., managing structured and unstructured data, applying statistical techniques and reporting results)
* 4\+ years of experience in data science and analytics
* Experience with design and maintenance of advanced data systems
* Deep understanding of data modeling, statistics, and data visualization concepts
* Comfortable working with data in a variety of formats and languages, like CSV, Parquet, XLSX, JSON, etc. and SQL/Python
* Experience with Azure or AWS cloud platforms, OpenAI and Anthropic APIs, RAG\-based chatbots, AI Agents, LLMs and other foundational AI/GenAI models
* Ability to use your understanding of statistics and modeling to explain complex outputs to non\-technical team members
* Experience with tools like PowerBI, Snowflake, N8N, Claude Code, OpenAI Codex, Cursor
**Benefits**
* Competitive compensation package
* Free individual employee medical coverage
* Company subsidized dental and vision coverage
* Dollar for dollar 401(k) match up to 6% of your salary with immediate vesting
* Company\-paid Short\-Term and Long\-Term Disability coverage
* Employee Assistance Program to support your wellbeing and mental health
* $1500 annual stipend for undergraduate/graduate college courses; $500 annual stipend for continuing education courses/certifications
* Free snacks and beverages on\-site
* Brand new, state\-of\-the\-art, tech\-enabled work environment in downtown Nashville
* Flexible/hybrid work culture</t>
        </is>
      </c>
    </row>
    <row r="98">
      <c r="A98" t="inlineStr">
        <is>
          <t>li-4364542022</t>
        </is>
      </c>
      <c r="B98" t="inlineStr">
        <is>
          <t>Data Scientist - Deep Learning (Hybrid)</t>
        </is>
      </c>
      <c r="C98" t="inlineStr">
        <is>
          <t>Caris Life Sciences</t>
        </is>
      </c>
      <c r="D98" t="inlineStr">
        <is>
          <t>linkedin</t>
        </is>
      </c>
      <c r="E98">
        <f>HYPERLINK("https://www.linkedin.com/jobs/view/4364542022", "https://www.linkedin.com/jobs/view/4364542022")</f>
        <v/>
      </c>
      <c r="F98" t="inlineStr"/>
      <c r="G98" t="inlineStr">
        <is>
          <t>Irving, TX</t>
        </is>
      </c>
      <c r="H98" t="inlineStr"/>
      <c r="I98" t="inlineStr">
        <is>
          <t>**At Caris, we understand that cancer is an ugly word—a word no one wants to hear, but one that connects us all. That’s why we’re not just transforming cancer care—we’re changing lives.**
 We introduced precision medicine to the world and built an industry around the idea that every patient deserves answers as unique as their DNA. Backed by cutting\-edge molecular science and AI, we ask ourselves every day:
 *“What would I do if this patient were my mom?”* 
 That question drives everything we do.
 But our mission doesn’t stop with cancer. We're pushing the frontiers of medicine and leading a revolution in healthcare—driven by innovation, compassion, and purpose.
**Join us in our mission to improve the human condition across multiple diseases. If you're passionate about meaningful work and want to be part of something bigger than yourself, Caris is where your impact begins.**
**Position Summary**
 Caris Life Sciences is seeking a creative, driven, and technically strong Data Scientist – Deep learning to join our Computational Pathology team. This role focuses on developing large\-scale, generalizable machine learning models that learn rich representations from complex, high\-dimensional data to support translational research and biomarker discovery. The successful candidate will play a central role in shaping Caris’ next\-generation AI capabilities by designing scalable training pipelines, advancing representation learning approaches, and collaborating closely with scientific and clinical experts. This position is ideal for individuals with a strong background in deep learning, transformer\-based architectures, and computational pathology, who are excited about building foundation\-level modeling frameworks rather than task\-specific solutions.
**Job Responsibilities**
* Design, train, and evaluate foundation\-style machine learning models that learn robust and reusable representations from large\-scale datasets.
* Develop and maintain scalable model training infrastructure using PyTorch and distributed training paradigms (e.g., multi\-GPU and multi\-node setups).
* Train and adapt transformer\-based architectures for representation learning across diverse data sources.
* Apply self\-supervised, weakly supervised, and representation learning techniques to leverage partially labeled or unlabeled data.
* Build flexible modeling frameworks capable of integrating multiple data sources and heterogeneous signals.
* Collaborate with pathologists, scientists, and engineers to ensure models are biologically meaningful and aligned with translational research goals.
* Process, curate, and analyze large, complex datasets using efficient and reproducible workflows.
* Support exploratory analyses, downstream modeling, and internal research initiatives using learned representations.
* Contribute to internal technical documentation, research outputs, and long\-term modeling strategy.
* Follow best practices in software engineering, experiment tracking, and collaborative model development.
**Required Qualifications**
* PhD in Computer Science, Data Science, Computational Biology, Bioinformatics, Engineering, Mathematics, or a related quantitative field with exposure to biological or medical data.
* 0–4 years of experience applying machine learning or deep learning in research or industry settings (postdoctoral experience acceptable).
* Strong understanding of deep learning model training, optimization, and evaluation.
* Hands\-on experience with transformer\-based models, including both language\-focused and vision\-focused architectures.
* Proficiency in Python and PyTorch.
* Hands\-on experience with distributed training (e.g., PyTorch DDP, multi\-GPU or multi\-node workflows).
* Experience working in Linux environments and using Git for version control.
* Ability to work with large datasets and complex data pipelines.
* Strong written and verbal communication skills.
**Preferred Qualifications**
* Background in computational pathology or experience working with large\-scale imaging data.
* Experience training large representation models or foundation models.
* Familiarity with self\-supervised and representation learning techniques, such as contrastive learning, DINO\-style approaches, or related methods.
* Experience working with multiple data sources in unified modeling frameworks.
* Experience with cloud\-based machine learning environments, including distributed training workflows (e.g., AWS, SageMaker).
* Strong engineering mindset with attention to reproducibility, scalability, and model robustness.
* Background in biomedical, translational, or applied research environments.
**Physical Demands**
* This position requires extended periods of computer\-based work, along with collaboration with subject matter experts and business partners in person or via remote conferencing.
**Training**
* All job\-specific, safety, and compliance training will be provided based on the responsibilities of the role.
**Other**
* Periodic travel and work during evenings, weekends, or holidays may be required.
**Conditions of Employment:** 
 Individual must successfully complete pre\-employment process, which includes criminal background check, drug screening, credit check ( applicable for certain positions) and reference verification.
 This job description reflects management’s assignment of essential functions. Nothing in this job description restricts management’s right to assign or reassign duties and responsibilities to this job at any time.
 Caris Life Sciences is an equal opportunity employer. All qualified applicants will receive consideration for employment without regard to race, religion, color, national origin, gender, gender identity, sexual orientation, age, status as a protected veteran, among other things, or status as a qualified individual with disability.</t>
        </is>
      </c>
    </row>
    <row r="99">
      <c r="A99" t="inlineStr">
        <is>
          <t>li-4372966819</t>
        </is>
      </c>
      <c r="B99" t="inlineStr">
        <is>
          <t>Senior Data Scientist , Agents</t>
        </is>
      </c>
      <c r="C99" t="inlineStr">
        <is>
          <t>Verily</t>
        </is>
      </c>
      <c r="D99" t="inlineStr">
        <is>
          <t>linkedin</t>
        </is>
      </c>
      <c r="E99">
        <f>HYPERLINK("https://www.linkedin.com/jobs/view/4372966819", "https://www.linkedin.com/jobs/view/4372966819")</f>
        <v/>
      </c>
      <c r="F99">
        <f>HYPERLINK("https://verily.wd1.myworkdayjobs.com/Verily_Careers/job/San-Bruno-California/Senior-Data-Scientist\u002d\u002d-Agents_REQ-723?source=LinkedIn&amp;urlHash=wox5", "https://verily.wd1.myworkdayjobs.com/Verily_Careers/job/San-Bruno-California/Senior-Data-Scientist\u002d\u002d-Agents_REQ-723?source=LinkedIn&amp;urlHash=wox5")</f>
        <v/>
      </c>
      <c r="G99" t="inlineStr">
        <is>
          <t>San Bruno, CA</t>
        </is>
      </c>
      <c r="H99" t="inlineStr"/>
      <c r="I99"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As an AI and Data Scientist at Verily, you will be supporting our core mission to build advanced data and AI capabilities for Verily's portfolio of products, which serve both consumer and business audiences. You will help drive innovation in data\-driven healthcare by developing and deploying sophisticated models into our products. This role requires a blend of applied science and product\-focused creativity; you should expect to conduct research and innovate on new methods to directly support and enhance our product offerings. Using cutting\-edge techniques, you will analyze complex datasets to build robust solutions and collaborate with a diverse cross\-functional team to build reusable and scalable tools that unlock information from structured and unstructured clinical data
**Responsibilities**
* Collaborate with cross\-functional teams to conceptualize, develop, and implement AI solutions tailored to diverse healthcare applications.
* Architect and implement foundational models and large language model (LLM) based agents to achieve optimal performance and efficiency.
* Conduct cutting\-edge research and stay informed on emerging advancements in LLMs, medical foundational models, and AI agents.
* Effectively communicate complex technical methodologies and results through clear, well\-structured reports and presentations for both technical and non\-technical audiences.
**Qualifications**
 Minimum Qualifications
* Advanced degree in a quantitative discipline (e.g., statistics, computer science, applied mathematics, or similar) or equivalent practical experience.
* Experience with applying ML in digital health applications.
* Direct experience working with LLM and familiar with various prompt optimization technologies.
**Preferred Qualifications**
* Ph.D. in Computer Science or Engineering.
* Experience with LLM models, including prompting, fine\-tuning and retrieval augmented generation (RAG).
* Familiarity with software engineering principles and experience deploying algorithms in production environments.
* Experience developing transformer based deep learning algorithms using TensorFlow or PyTorch, and knowledge of latest architectures.
 This role is eligible for Verily\-sponsored immigration support.
 The US base salary range for this full\-time position is $164,000 \- $246,000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If you have a need that requires accommodation, please let us know by completing our Accommodations for Applicants form.</t>
        </is>
      </c>
    </row>
    <row r="100">
      <c r="A100" t="inlineStr">
        <is>
          <t>li-4364466367</t>
        </is>
      </c>
      <c r="B100" t="inlineStr">
        <is>
          <t>Data Scientist</t>
        </is>
      </c>
      <c r="C100" t="inlineStr">
        <is>
          <t>David Yurman</t>
        </is>
      </c>
      <c r="D100" t="inlineStr">
        <is>
          <t>linkedin</t>
        </is>
      </c>
      <c r="E100">
        <f>HYPERLINK("https://www.linkedin.com/jobs/view/4364466367", "https://www.linkedin.com/jobs/view/4364466367")</f>
        <v/>
      </c>
      <c r="F100" t="inlineStr"/>
      <c r="G100" t="inlineStr">
        <is>
          <t>New York, NY</t>
        </is>
      </c>
      <c r="H100" t="inlineStr"/>
      <c r="I100" t="inlineStr">
        <is>
          <t>**About Us**
 David Yurman is a celebrated American jewelry company founded in New York by David Yurman, a sculptor, and his wife, Sybil, a painter and ceramicist. When the artists began collaborating, their goal was simply to make beautiful objects to wear. Led today by their son Evan, David Yurman creates timeless, yet contemporary collections for women and men defined by inspiration, innovation, consummate craftsmanship and cable – the brand’s artistic signature. David Yurman collections are available at 50 retail stores throughout the United States, Canada, Hong Kong and France and at over 300 locations worldwide, through their exclusive authorized fine jewelry and timepiece network of retailers.
**Our Values**
 At David Yurman, creativity, innovation and impeccable craftsmanship are at the core of everything we do. Fueled by the energy of our hometown, New York City, artistic passion informs each and every jewelry design. The Yurman family’s guiding vision continually defines and redefines what it means to be the preeminent American luxury jewelry brand. We are committed to responsible business and social practices and to the protection and advancement of human rights. We believe in partnering with others who share these values and understand their importance.
**Job Description**
**Data Scientist**
**Overview**
 The Data Management, Engineering and Analytics team at David Yurman (DY) is responsible to design \&amp; implement state of the art data management \&amp; analytics solutions. We are looking for a Data Scientist to design and build data analytics solutions to support DY’s strategic business goals. The Data Scientist performs data analysis to support David Yurman (DY) business operations.
 The team is in a formation state, and this is an exciting time to join and grow with an organization which is rapidly growing for the past few years.
**Essential Duties \&amp; Responsibilities:**
* Query and acquire the data required to perform business analysis and identify trends in large data sets that answer business critical questions.
* Drive data driven decision making by interpreting the data and providing adequate business insights.
* Develop data mining processes, and machine learning models to support data analytics provided.
* Develop, maintain and enhance AI / ML models to support business teams such as CRM, Marketing, Demand Planning, Business Strategy etc.
* Leverages ML / other relevant statistical techniques to identify business performance improvement opportunities to drive favorable outcome.
* Research existing and emerging data science principles, theories, and techniques to best inform business decisions.
* Ability to develop Work on multiple data integration projects simultaneously.
* Develop appropriate test scripts and test the models and analytics.
* Keep track of the technology advancements in the areas of ML \&amp; AI and bring the industry best practice to the team.
**Essential Qualifications:**
* 7\+ years of professional experience as a data scientist.
* 5\+ years of experience with data querying languages (e.g. SQL), scripting languages (e.g. Python), and/or statistical/mathematical software (e.g. R).
* 3\-5 years’ experience with quantitative analysis, experimentation, regression, data mining.
* 3\-5 years’ experience working with large and complex data sets to solve a wide array of challenging problems using analytical and statistical approach.
* Experience with retail analytics using statistical modeling a plus.
* Self\-starter and positive performer who can flex when priorities change, collaborate with cross functional partners, contribute to the team’s overall success.
* Strategic thinking, excellent writing, and professional editing skills.
* Experience with reporting / visualization tools Tableau, Sigma etc.
**Education:**
* Bachelor’s degree in data science, computer science, or another related field.
* Python/ R, Snowflake certifications desirable
**Location** 
 : New York, NY (Tribeca)
**Work Model** 
 : Hybrid (3 Days in Office / 2 Days Remote)
**Estimated Base Salary:** 
 $140,000\-150,000
 Base pay is one component of David Yurman’s total compensation package, which may also include the following for eligible employees: access to healthcare benefits, 401(k) plan, bonus, employee discounts, Summer Fridays (corporate roles), generous paid time off, sick time, and more.
**Diversity, Equity \&amp; Inclusion at David Yurman**
 As a company founded by artists, David Yurman champions self\-expression in everything we do. We are committed to fostering a culture of openness and creative collaboration within our entire community, and we cherish the diversity of our employees’ backgrounds and perspectives. We will always advocate for equity and inclusion for all.
 David Yurman is an Equal Employment Opportunity employer and provides equal opportunities to all employees and applicants without regard to an individual’s age, race, creed, color, religion, national origin, sex (including pregnancy, sexual orientation, gender).</t>
        </is>
      </c>
    </row>
    <row r="101">
      <c r="A101" t="inlineStr">
        <is>
          <t>li-4329203154</t>
        </is>
      </c>
      <c r="B101" t="inlineStr">
        <is>
          <t>Data Scientist</t>
        </is>
      </c>
      <c r="C101" t="inlineStr">
        <is>
          <t>TriWest Healthcare Alliance</t>
        </is>
      </c>
      <c r="D101" t="inlineStr">
        <is>
          <t>linkedin</t>
        </is>
      </c>
      <c r="E101">
        <f>HYPERLINK("https://www.linkedin.com/jobs/view/4329203154", "https://www.linkedin.com/jobs/view/4329203154")</f>
        <v/>
      </c>
      <c r="F101">
        <f>HYPERLINK("https://recruiter.triwest.com/psc/hrprdcg/EMPLOYEE/HRMS/c/HRS_HRAM_FL.HRS_CG_SEARCH_FL.GBL?Page=HRS_APP_JBPST_FL&amp;Action=U&amp;FOCUS=Applicant&amp;SiteId=1&amp;JobOpeningId=30298&amp;PostingSeq=1&amp;urlHash=o5l4", "https://recruiter.triwest.com/psc/hrprdcg/EMPLOYEE/HRMS/c/HRS_HRAM_FL.HRS_CG_SEARCH_FL.GBL?Page=HRS_APP_JBPST_FL&amp;Action=U&amp;FOCUS=Applicant&amp;SiteId=1&amp;JobOpeningId=30298&amp;PostingSeq=1&amp;urlHash=o5l4")</f>
        <v/>
      </c>
      <c r="G101" t="inlineStr">
        <is>
          <t>Phoenix, AZ</t>
        </is>
      </c>
      <c r="H101" t="inlineStr"/>
      <c r="I101" t="inlineStr">
        <is>
          <t>Profile
 We offer remote work opportunities (AK, AR, AZ, CO, FL, HI, IA, ID, IL, KS, LA, MD, MN, MO, MT, NE, NV, NM, NC, ND, OK, OR, SC, SD, TN, TX, UT, VA/DC, WA, WI \&amp; WY only).
 Our Department of Defense contract requires US citizenship and a favorably adjudicated DOD background investigation for this position.
 Veterans, Reservists, Guardsmen and military family members are encouraged to apply!
**Job Summary**
 The main objective of this role is to assess vast quantities of healthcare data and collaborate with our business teams to create predictive modeling for KPI tools that evaluate our processes and services.
**Education \&amp; Experience**
**Required:**
* A master’s degree in computer science, mathematics, statistics, or engineering
* U.S. Citizenship
* Must be able to receive favorable Interim and adjudicated final Department of Defense D0D) background investigation
* Experience using statistical computer languages including Python and SQL
* Working knowledge of a variety of advanced machine\-learning techniques, including regression, simulation, scenario analysis, modeling, and artificial neural networks
* Expertise with statistical and data mining techniques including GLM/Regression, Random Forest, Boosting, Trees, text mining, social network analysis, etc.
* Experience analyzing data from third\-party providers
* Strong technical writing and presentation skills
* Exceptional analytical and problem\-solving skills
* Strong data analysis, statistics, problem solving and project management experience
* Advanced in MS Excel and proficient in MS Office Suite
**Preferred**
* Knowledge of healthcare claims processing, health care or insurance industry experience
* Knowledge of data visualization software (e.g. Tableau, Power BI)
* Coding experience with C, C\+\+, Java, and JavaScript
**Key Responsibilities**
* Collect data from established channels and by analyzing business results or new studies.
* Create new, experimental frameworks and build tools to automate data collection.
* Carry out preprocessing, cleansing, and validating data.
* Mine and analyze data from company databases.
* Correlate similar data to ¿nd actionable information and present results concisely.
* Collaborate with stakeholders to leverage data and expand data collection procedures.
* Assess the effectiveness and accuracy of new data sources and data\-gathering techniques.
* Develop custom data models/algorithms to apply to data sets, and use predictive modeling.
* Institute company A/B testing framework and test model quality.
* Create processes and tools to monitor and analyze model performance and data accuracy.
* Performs administrative and other duties as assigned.
* Regular and reliable attendance is required.
**Competencies**
**Computer Literacy:** 
 Ability to function in a multi\-system Microsoft environment using Word, Outlook, TriWest Intranet, the Internet, and department software applications.
**Coping / Flexibility:** 
 Resiliency in adapting to a variety of situations and individuals while maintaining a sense of purpose and mature problem\-solving approach is required.
**Independent Thinking / Self\-Initiative:** 
 Critical thinkers with ability to focus on things which matter most to achieving outcomes; commitment to task to produce outcomes without direction and to find necessary resources.
**Information Management:** 
 Ability to manage large amounts of complex information easily, communicate clearly, and draw sound conclusions.
**Multi\-Tasking / Time Management:** 
 Prioritize and manage actions to meet changing deadlines and requirements within a high volume, high stress environment.
**Organizational Skills:** 
 Ability to organize people or tasks, adjust to priorities, learn systems, within time constraints and with available resources; detail\-oriented.
**Team\-Building / Team Player:** 
 Influence the actions and opinions of others in a positive direction and build group commitment.
**Technical Skills:** 
 MS Office Suite and advanced in Excel.
**Working Conditions**
**Working Conditions**
* Availability to cover any work shift
* Onsite: Works within a standard office environment
* Remote: Private and secure work space and work station with high speed internet is required
* Extensive computer work with prolonged sitting, wearing of headset, typing, speaking on a phone
**Company Overview**
**Taking Care of Our Nation’s Heroes.**
**It’s Who We Are. It’s What We Do.**
 Do you have a passion for serving those who served?
**Join the TriWest Healthcare Alliance Team! We’re On a Mission to Serve®!**
 Our job is to make sure that America’s heroes get connected to health care in the community.
 At TriWest Healthcare Alliance, we’ve proudly been on that important mission since 1996\.
**Benefits**
 We’re more than just a health care company. We’re passionate about serving others! We believe in rewarding loyal, hard\-working people who are willing to learn as they grow. TriWest Healthcare Alliance values teamwork. Join our team, fulfill your responsibilities, and you may also be considered for frequent pay raises, overtime opportunities to earn even more, recognition and reward programs, and much more. Of course, we also offer a comprehensive and progressive compensation and benefits package that includes:
* Medical, Dental and Vision Coverage
* Paid time off
* 401(k) Retirement Savings Plan (with matching)
* Short\-term and long\-term disability, basic life, and accidental death and dismemberment insurance
* Tuition reimbursement
* Paid volunteer time
 TriWest job postings typically include a salary range,
 **which can vary based on the specific role and location** 
 , but generally this position ranges from around $110,000 \- $122,000 per year.
 Equal Employment Opportunity
 TriWest Healthcare Alliance is an equal employment opportunity employer. We are proud to have an inclusive work environment and know that a diverse team is a strength that will drive our success. To that end, TriWest strives to create an inclusive environment that supports diversity at every organizational level, and we highly encourage candidates from all backgrounds to apply. Applicants are considered for positions based on merit and without discrimination on the basis of race, color, religion, sex, sexual orientation, gender identity, national origin, age, disability or any other consideration made unlawful by applicable federal, state, or local laws.</t>
        </is>
      </c>
    </row>
    <row r="102">
      <c r="A102" t="inlineStr">
        <is>
          <t>li-4372962725</t>
        </is>
      </c>
      <c r="B102" t="inlineStr">
        <is>
          <t>Senior Applied Scientist - AI Red Teaming &amp; Model Risk</t>
        </is>
      </c>
      <c r="C102" t="inlineStr">
        <is>
          <t>Uber</t>
        </is>
      </c>
      <c r="D102" t="inlineStr">
        <is>
          <t>linkedin</t>
        </is>
      </c>
      <c r="E102">
        <f>HYPERLINK("https://www.linkedin.com/jobs/view/4372962725", "https://www.linkedin.com/jobs/view/4372962725")</f>
        <v/>
      </c>
      <c r="F102">
        <f>HYPERLINK("https://tnl2.jometer.com/v2/job?jz=5wqzs73ab9a024e7f8a3e2153008883642655KIAGUCAAAABQ&amp;iis=Job%20Board%20-%20Recruitment%20Marketing&amp;iisn=LinkedIn&amp;urlHash=ocxh", "https://tnl2.jometer.com/v2/job?jz=5wqzs73ab9a024e7f8a3e2153008883642655KIAGUCAAAABQ&amp;iis=Job%20Board%20-%20Recruitment%20Marketing&amp;iisn=LinkedIn&amp;urlHash=ocxh")</f>
        <v/>
      </c>
      <c r="G102" t="inlineStr">
        <is>
          <t>New York, NY</t>
        </is>
      </c>
      <c r="H102" t="inlineStr"/>
      <c r="I102" t="inlineStr">
        <is>
          <t>**About The Role**
 As AI systems\-particularly LLMs and agentic AI\-become core to our products and internal platforms, understanding how these systems fail is just as important as improving their performance. We are looking for a Senior Applied Scientist to join our AI Red Teaming efforts and focus on adversarial evaluation, failure analysis, and risk discovery in AI models and AI agents.
 In this role, you will systematically probe AI systems to uncover unsafe, unintended, or harmful behaviors, including prompt injection, jailbreaks, behavioral drift, tool misuse, and context or memory poisoning. You will design experiments, build evaluation frameworks, and analyze outcomes to surface risks that traditional ML metrics do not capture.
 This role is ideal for a data scientist who enjoys working at the edge of model behavior, cares deeply about safety and robustness, and wants to apply scientific rigor to securing real\-world AI systems.
**What The Candidate Will Need / Bonus Points**
 \-\-\-\- What the Candidate Will Do \-\-\-\-
* Design and execute AI red\-teaming experiments against LLMs and AI agents to identify: prompt injection (direct \&amp; indirect), jailbreaking and policy bypass, model and tool poisoning, context and memory poisoning, behavioral drift and unsafe autonomy
* Develop adversarial datasets, probes, and test harnesses to systematically evaluate model and agent behavior under attack.
* Define and track AI risk metrics beyond accuracy (e.g., failure rates, drift indicators, unsafe action likelihood, confidence miscalibration).
* Analyze agent workflows and decision traces to understand how failures emerge across multi\-step reasoning and tool use.\\
* Collaborate with security engineers and AI platform teams to translate findings into guardrails, mitigations, and design improvements.
* Build reusable evaluation pipelines to support continuous red teaming and regression testing as models and agents evolve.
**Basic Qualifications**
* 5\+ years of experience as a Data Scientist, Applied Scientist, or ML Scientist.
* Hands\-on experience working with LLMs or generative AI systems.
* Direct experience with AI red teaming, model safety, or adversarial evaluation.
* Direct experience with prompt injection, jailbreaks, and LLM failure modes.
* Strong background in experimental design, evaluation, and statistical analysis.
* Experience analyzing complex model behavior and failure cases beyond standard metrics.
* Proficiency in Python and common DS/ML tooling.
**Preferred Qualifications**
* Experience evaluating agentic systems, including tool use, memory, or multi\-step workflows.
* Knowledge of GenAI architectures (transformers, embeddings, RAG, agent frameworks).
* Experience building custom evaluation datasets or simulation environments.
* Background or strong interest in security, privacy, or trust \&amp; safety.
* Familiarity with AI evaluation tools (e.g., custom judges, LLM\-as\-judge, simulation frameworks).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03">
      <c r="A103" t="inlineStr">
        <is>
          <t>li-4372970562</t>
        </is>
      </c>
      <c r="B103" t="inlineStr">
        <is>
          <t>Senior Data Scientist - Payments ACH</t>
        </is>
      </c>
      <c r="C103" t="inlineStr">
        <is>
          <t>Plaid</t>
        </is>
      </c>
      <c r="D103" t="inlineStr">
        <is>
          <t>linkedin</t>
        </is>
      </c>
      <c r="E103">
        <f>HYPERLINK("https://www.linkedin.com/jobs/view/4372970562", "https://www.linkedin.com/jobs/view/4372970562")</f>
        <v/>
      </c>
      <c r="F103">
        <f>HYPERLINK("https://jobs.lever.co/plaid/bee8c984-b6d9-4c37-a53e-a1492fe2a225/apply?lever-origin=applied&amp;lever-source=LinkedInPaid&amp;urlHash=wDmv", "https://jobs.lever.co/plaid/bee8c984-b6d9-4c37-a53e-a1492fe2a225/apply?lever-origin=applied&amp;lever-source=LinkedInPaid&amp;urlHash=wDmv")</f>
        <v/>
      </c>
      <c r="G103" t="inlineStr">
        <is>
          <t>San Francisco, CA</t>
        </is>
      </c>
      <c r="H103" t="inlineStr"/>
      <c r="I103"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Payment Data team builds models, services, and platforms that improve how millions of users move money through ACH. We’re looking for data scientists to apply best\-in\-class methodologies to develop new products, enhance existing systems, and generate insights that power data\-driven decision\-making.
 You’ll be a Data Scientist as a part of the Data org, tackling high\-impact analytics and machine learning challenges that directly shape business outcomes. In this role, you’ll use data to drive strategic decisions, inform production direction, and evaluate and improve ML systems. You’ll partner closely with clients both pre\- and post\-sales to assess product performance, conduct retrospective analyses, and craft risk mitigation strategies that maximize impact.
 Day to day, you’ll deep dive into model performance, triage issues, and identify opportunities for improvement across ML risk systems. You’ll develop new features to strengthen model performance, build scalable data pipelines using tools like dbt to automate ETL processes, and design metrics, alerts, and dashboards to monitor production models. This is an opportunity to combine analytical rigor, technical depth, and client collaboration to drive measurable results.
**Responsibilities**
* Applying your expertise in quantitative analysis, data mining, and data visualization to find insights for improving our API products
* Identifying useful signals that can be fed into machine learning models
* Informing and influencing product and engineering teams through your data analysis and presentations
* Making long\-term data science roadmap decisions like how machine learning and data science iteration should be done at Plaid
* Championing a data\-first approach toward decision\-making across the entire organization
**Qualifications**
* 5\+ years of industry experience in a product\-focused Data Science role
* Experience working on ACH risk strategy or system, building Guaranteed ACH product is preferred
* Deep familiarity with SQL and data visualization tools
* Experiencing conducting large\-scale A/B experiments, analyzing results, and translating them into concrete recommendations
* Familiarity with the AWS stack
* Understanding of modern machine learning techniques, such as classification, clustering, optimization, deep neural network, and natural language processing
* Proven ability to tailor your solutions to business problems in a cross\-functional team
* Ability to code and iterate independently in Python to conduct exploratory data analysis
* Experience building data pipelines in DBT or Airflow is a plus
* Bachelor's degree or equivalent work experience in Computer Science, Statistics, Engineering, Economics, or a closely related field
 $174,000 \- $260,400 a year
 The target base salary for this position ranges from $174,000/year to $260,400/year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104">
      <c r="A104" t="inlineStr">
        <is>
          <t>li-4372051129</t>
        </is>
      </c>
      <c r="B104" t="inlineStr">
        <is>
          <t>Data Scientist</t>
        </is>
      </c>
      <c r="C104" t="inlineStr">
        <is>
          <t>Tata Consultancy Services</t>
        </is>
      </c>
      <c r="D104" t="inlineStr">
        <is>
          <t>linkedin</t>
        </is>
      </c>
      <c r="E104">
        <f>HYPERLINK("https://www.linkedin.com/jobs/view/4372051129", "https://www.linkedin.com/jobs/view/4372051129")</f>
        <v/>
      </c>
      <c r="F104" t="inlineStr"/>
      <c r="G104" t="inlineStr">
        <is>
          <t>Allen, TX</t>
        </is>
      </c>
      <c r="H104" t="inlineStr"/>
      <c r="I104" t="inlineStr">
        <is>
          <t>**Job Description**
 Must Have Technical/Functional Skills
* Minimum of 1 years of statistical modeling / data analysis industry experience including data manipulation experience preferably using Python, Tableau, and SQL
* Advanced degree in Data Science, Mathematics, Statistics, or related field
* Have the knowledge and experience to build robust predictive models and intimately know the statistical requirements and limitations of training and test data.
* Be able to perform statistical analysis in a Linux or cloud computing (e.g. AWS) environments and manipulate various modeling tools with python notebook, shell scripting, Linux command line, or SAS
* Expert analytical skills to evaluate, understand, and interpret data from both an internal and client perspective
* Use best coding practices and strong fluency in at least one programming language: SAS, Shell scripting, Python, C\+\+, SQL, or other languages
* Strong knowledge of Linux and Microsoft office products
* Demonstrated ability to communicate ideas and analysis results effectively both verbally and in writing to both a technical and non\-technical audience
* Excellent problem solving, analytics, organization, communication, interpersonal and presentation skills
* Financial services industry experience preferred
 Roles \&amp; Responsibilities
* Minimum of 1 years of statistical modeling / data analysis industry experience including data manipulation experience preferably using Python, Tableau, and SQL
* Advanced degree in Data Science, Mathematics, Statistics, or related field
* Have the knowledge and experience to build robust predictive models and intimately know the statistical requirements and limitations of training and test data.
* Be able to perform statistical analysis in a Linux or cloud computing (e.g. AWS) environments and manipulate various modeling tools with python notebook, shell scripting, Linux command line, or SAS
* Expert analytical skills to evaluate, understand, and interpret data from both an internal and client perspective
* Use best coding practices and strong fluency in at least one programming language: SAS, Shell scripting, Python, C\+\+, SQL, or other languages
* Strong knowledge of Linux and Microsoft office products
* Demonstrated ability to communicate ideas and analysis results effectively both verbally and in writing to both a technical and non\-technical audience
* Excellent problem solving, analytics, organization, communication, interpersonal and presentation skills
* Financial services industry experience preferred
 Education
 Bachelor’s or Master’s Degree
 Salary Range: $100,000 \- $130,000 a year
**Qualifications:** 
 BACHELOR OF COMPUTER SCIENCE</t>
        </is>
      </c>
    </row>
    <row r="105">
      <c r="A105" t="inlineStr">
        <is>
          <t>li-4364428021</t>
        </is>
      </c>
      <c r="B105" t="inlineStr">
        <is>
          <t>Innovation Data Scientist</t>
        </is>
      </c>
      <c r="C105" t="inlineStr">
        <is>
          <t>Kirkland &amp; Ellis</t>
        </is>
      </c>
      <c r="D105" t="inlineStr">
        <is>
          <t>linkedin</t>
        </is>
      </c>
      <c r="E105">
        <f>HYPERLINK("https://www.linkedin.com/jobs/view/4364428021", "https://www.linkedin.com/jobs/view/4364428021")</f>
        <v/>
      </c>
      <c r="F105" t="inlineStr"/>
      <c r="G105" t="inlineStr">
        <is>
          <t>San Francisco, CA</t>
        </is>
      </c>
      <c r="H105" t="inlineStr"/>
      <c r="I105" t="inlineStr">
        <is>
          <t>**About Kirkland \&amp; Ellis**
 At Kirkland \&amp; Ellis, we don’t just meet the standard for legal excellence — we set it. Our culture is built on teamwork, ingenuity and an unwavering commitment to continuous growth. We tackle the most sophisticated legal challenges with bold ideas and innovative solutions, powered by the exceptional experience and ambition of our 7,000\+ people, including 4,000\+ attorneys, across 22 offices worldwide. Our dedicated professionals share our lawyers’ commitment to excellence and show up each day to do meaningful work that helps drive global business, investment and innovation forward.
**What You’ll Do**
 Are you energized by applying advanced analytics and artificial intelligence (AI) to transform how a leading law firm delivers client service and drives business performance? As an Innovation Data Scientist within Innovation Engineering at Kirkland \&amp; Ellis, you’ll design and deploy intelligent, data\-driven solutions that enhance quality, speed, and decision\-making across legal work and firm operations.
 Partnering closely with attorneys, innovation leaders, and enterprise teams, you’ll translate complex legal and business challenges into secure, scalable AI and machine learning (ML) solutions. From experimentation and measurement to deployment and monitoring, you’ll lead the full solution lifecycle—curating and governing datasets, defining success metrics for accuracy and safety, and building production\-ready models and applications, including large language model (LLM)–powered and classical ML solutions.
 Reporting to the Director of Innovation Engineering, you’ll play a key role in shaping and scaling the firm’s data science program—automating routine work, surfacing actionable insights, and unlocking new capabilities that elevate both client outcomes and firm performance.
* Translate Legal Workflows into AI Solutions – Lead discovery sessions with attorneys and practice stakeholders to convert end\-to\-end legal processes into clear data and LLM requirements, measurable success criteria, and evaluation plans aligned to business value.
* Design and Prototype Intelligent Applications – Build and evaluate AI/ML techniques, including retrieval\-augmented generation (RAG) pipelines, vector database integrations, and orchestration frameworks to assess feasibility, performance, and scalability.
* Deliver High\-Impact Legal Use Cases – Develop solutions for contract analysis, due diligence review, document summarization, large\-scale agreement comparisons, and other practice\-driven needs.
* Establish Evaluation \&amp; Governance Frameworks – Define and operationalize production\-ready evaluation standards, measuring accuracy, robustness, bias and fairness, hallucinations, and business\-aligned performance thresholds with ongoing monitoring.
* Develop Reusable Assets \&amp; Libraries – Create internal libraries, documentation, and repeatable development patterns that enable efficient and scalable AI solution delivery.
* Collaborate Across Technical \&amp; Legal Teams – Partner with embedded data science teams and business stakeholders to align priorities, co\-develop solutions, and ensure successful adoption across practice groups.
* Communicate Insights with Clarity – Present evaluation results, trade\-offs, risks, and expected impact in clear, accessible language to non\-technical stakeholders, including attorneys and business leaders.
* Advance Innovation Strategy – Evaluate emerging tools, open\-source libraries, and vendor platforms to inform technology strategy, contribute to internal thought leadership, and support firmwide AI enablement initiatives.
* Mentor \&amp; Enable Growth – Support and guide data scientists and engineers, fostering knowledge sharing and strengthening the firm’s AI capabilities.
**What You’ll Bring**
* Education – bachelor’s degree in computer science, statistics, mathematics, engineering, or a related quantitative field; advanced degree preferred.
* Experience – 7\+ years of experience delivering AI/ML solutions in professional services, financial services, legal, or technical environments, with substantial cross\-functional collaboration involving legal and business stakeholders.
* Technical Expertise – Strong Python skills for data analysis, statistical modeling, and AI/ML prototyping (e.g., pandas, PyTorch, TensorFlow); advanced SQL proficiency; experience building data pipelines and preparing structured and unstructured datasets.
* AI \&amp; LLM Application Knowledge – Hands\-on experience with AI platforms and tools (e.g., OpenAI, Microsoft Azure OpenAI, Hugging Face, LangFlow, LangChain), vector databases, retrieval methods for unstructured data, and knowledge\-graph\-backed applications.
* Production AI Evaluation – Demonstrated experience defining and implementing evaluation frameworks for enterprise AI solutions, including monitoring for accuracy, robustness, hallucinations, bias, and fairness.
* Visualization \&amp; Communication – Familiarity with data visualization tools (e.g., Plotly, Tableau, Microsoft Power BI) and the ability to translate complex findings into clear, actionable insights.
* Legal \&amp; Industry Insight – Familiarity with legal use cases such as due diligence, contract review, or legal research; experience in a law firm or Microsoft Azure environment preferred.
* Leadership \&amp; Collaboration – Proven ability to mentor peers, collaborate across multidisciplinary teams, and drive adoption of AI solutions at scale.
 If you’re excited to build secure, scalable AI solutions that transform legal service delivery and empower smarter business decisions, we invite you to help shape the future of innovation at Kirkland \&amp; Ellis.
**Compensation**
 The base salary range below represents the low and high end of the salary range for this position in each of the below locations. This range may differ based on your geographic location and cost of living considerations. At Kirkland \&amp; Ellis, we consider compensation more than just a base salary. We offer an exceptional range of flexible benefits including comprehensive healthcare, paid time off, and retirement. We also offer personal support and tailored learning and development opportunities all designed to help you realize your full potential both in life and at work.
**Compensation Range**
 Chicago: $158,000 \- $187,000
 New York: $158,000 \- $208,000
**How to Apply**
 Thank you for your interest in Kirkland \&amp; Ellis LLP. To complete an application and submit your resume, please click "Apply Now."
*Don't meet every job requirement? That's okay! If you're excited about this role but your experience doesn't perfectly fit every qualification, we encourage you to apply anyway. You may be just the right person for this role or others at Kirkland.*
**Equal Employment Opportunity**
 All employment decisions, including the recruiting, hiring, placement, training availability, promotion, compensation, evaluation, disciplinary actions, and termination of employment (if necessary) are made without regard to the employee’s race, color, creed, religion, sex, pregnancy or childbirth, personal appearance, family responsibilities, sexual orientation or preference, gender identity, political affiliation, source of income, place of residence, national or ethnic origin, ancestry, age, marital status, military veteran status, unfavorable discharge from military service, physical or mental disability, or on any other basis prohibited by applicable law.</t>
        </is>
      </c>
    </row>
    <row r="106">
      <c r="A106" t="inlineStr">
        <is>
          <t>li-4372055017</t>
        </is>
      </c>
      <c r="B106" t="inlineStr">
        <is>
          <t>Data Scientist with Python and ML</t>
        </is>
      </c>
      <c r="C106" t="inlineStr">
        <is>
          <t>Tata Consultancy Services</t>
        </is>
      </c>
      <c r="D106" t="inlineStr">
        <is>
          <t>linkedin</t>
        </is>
      </c>
      <c r="E106">
        <f>HYPERLINK("https://www.linkedin.com/jobs/view/4372055017", "https://www.linkedin.com/jobs/view/4372055017")</f>
        <v/>
      </c>
      <c r="F106">
        <f>HYPERLINK("https://ibegin.tcsapps.com/candidate/jobs/396784J&amp;urlHash=44TY", "https://ibegin.tcsapps.com/candidate/jobs/396784J&amp;urlHash=44TY")</f>
        <v/>
      </c>
      <c r="G106" t="inlineStr">
        <is>
          <t>Charlotte, NC</t>
        </is>
      </c>
      <c r="H106" t="inlineStr"/>
      <c r="I106" t="inlineStr">
        <is>
          <t>**Job Description**
**Must Have Technical/Functional Skills**
* Experience working on high volume applications
* Experience in server side frameworks like spring MVC
* Restful web services experience
* Python Java Data Engineering GenAI LLM
* Performance tuning with hands on knowledge on JVM internals
* Database experience with NoSQL / Cassandra
* Experience in distributed caching frameworks like hazelcast, ignire, redis
* Hands on knowledge in modern JVM languages like groovy, scala
* Experience with open source search engines like SOLR, elasticsearch
* Hand on knowledge on NLP and Machine learning
* GenAI knowledge
* Hands on Python experience
* Working experience on LLMs
* Experience working in Agile teams
**Roles \&amp; Responsibilities**
 Develop code to implement the technical functionality intended for the business Ability to work in dynamic team environment Adapt to the evolving tech stack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 $80,000 \- $128,000 a year
**Qualifications:** 
 BACHELOR OF COMPUTER SCIENCE</t>
        </is>
      </c>
    </row>
    <row r="107">
      <c r="A107" t="inlineStr">
        <is>
          <t>li-4372791889</t>
        </is>
      </c>
      <c r="B107" t="inlineStr">
        <is>
          <t>Senior Data Scientist</t>
        </is>
      </c>
      <c r="C107" t="inlineStr">
        <is>
          <t>Cox Automotive Inc.</t>
        </is>
      </c>
      <c r="D107" t="inlineStr">
        <is>
          <t>linkedin</t>
        </is>
      </c>
      <c r="E107">
        <f>HYPERLINK("https://www.linkedin.com/jobs/view/4372791889", "https://www.linkedin.com/jobs/view/4372791889")</f>
        <v/>
      </c>
      <c r="F107">
        <f>HYPERLINK("https://click.appcast.io/t/_N_-YG087Z9aV3g1QIx9WEenJUAQu7zxRhudEc3xRVvNNpfGG5NDXtYo5p9zGo1l&amp;urlHash=1bQ0", "https://click.appcast.io/t/_N_-YG087Z9aV3g1QIx9WEenJUAQu7zxRhudEc3xRVvNNpfGG5NDXtYo5p9zGo1l&amp;urlHash=1bQ0")</f>
        <v/>
      </c>
      <c r="G107" t="inlineStr"/>
      <c r="H107" t="inlineStr"/>
      <c r="I107" t="inlineStr">
        <is>
          <t>The
 **Insights \&amp; Advisory** 
 team at
 **Cox Automotive** 
 is seeking a highly skilled
 **Senior Data Scientist** 
 to lead the development of advanced analytics and AI/ML models that power innovative products and inform strategic decisions. This role blends deep expertise in statistical modeling, econometrics, machine learning, and AI acceleration with strong business acumen to deliver actionable insights for internal teams and automotive OEM clients.
 As a Senior Data Scientist, you will work end\-to\-end on analytics projects \- from data preparation and model development to deployment, governance, and stakeholder communication \- with emphasis on
 **market share modeling and reporting, macroeconomic forecasting, financial modeling and engineering, and strategic analytics** 
 .
 You'll work independently across all phases of analytics projects, from data preparation and model development to deployment and stakeholder communication, while championing responsible AI practices and mentoring junior team members.
**Key Responsibilities**
**Advanced Analytics \&amp; AI/ML Development**
* Design, develop, and implement predictive, prescriptive, and optimization models using advanced statistical and machine learning techniques.
* Utilize AI tools for rapid ML prototyping, automated feature engineering, and hyperparameter optimization.
* Integrate AI\-enhanced models into production systems and establish automated monitoring frameworks.
* Apply interpretability frameworks (e.g., SHAP, LIME) and AI\-driven insights to communicate results effectively.
**Data Analysis \&amp; Modeling**
* Translate business problems into analytical solutions and select appropriate methodologies.
* Perform data preparation, feature engineering, and validation for large, complex datasets.
* Deliver production\-ready code and collaborate with engineering teams for deployment.
**Market, Economic, and Business Modeling**
* Develop and maintain methodologies for estimating and reporting market share while also building models that leverage demographic, inventory, demand, pricing, and other relevant data sources.
* Create macroeconomic and business forecasting models to anticipate trends and inform strategic decisions.
* Design financial models and apply advanced techniques to evaluate incentives, pricing strategies, and profitability, while remaining adaptable to emerging business needs and diverse datasets.
**Strategy and Internal Consulting**
* Serve as an internal consultant, framing business problems and aligning solutions with strategic objectives.
* Facilitate decision\-making using structured approaches; leverage negotiation and conflict resolution skills to drive consensus.
**Data Engineering \&amp; Governance**
* Own data preparation, feature engineering, validation, and production\-ready code in Python and SQL.
* Partner with engineering to integrate models, automate monitoring, and ensure reliability.
* Establish responsible AI practices including bias detection, interpretability, and compliance monitoring.
**Collaboration, Leadership \&amp; Communication**
* Partner with product, engineering, and business stakeholders to align models with strategic goals.
* Present findings and recommendations clearly to both technical and non\-technical audiences.
* Mentor junior staff, contribute to team capability building, and engage in thought leadership.
**Minimum Qualifications**
* Bachelor's degree in Statistics, Econometrics, Operations Research, Applied Mathematics, Computer Science, Economics, or a related quantitative field and 4 years' experience in a related field. The right candidate could also have a different combination, such as a master's degree and 2 years' experience; a Ph.D. and up to 1 year of experience; or 16 years' experience in a related field
* Proven experience applying descriptive, predictive, and prescriptive analytics to real\-world business problems.
* Strong background in statistics and econometrics, including panel data analysis, time series modeling, and causal inference.
* Hands\-on experience with market share modeling and reporting.
* Experience in macroeconomic forecasting and financial modeling/engineering.
* Proficiency in Python and SQL, with ability to deliver production\-quality code and manage the full ML lifecycle.
* Experience with AWS or other cloud platforms and collaboration with engineering teams for deployment.
* Ability to integrate models into enterprise systems and maintain production\-ready code.
* Experience operating as an internal consultant within a complex enterprise environment.
* Exceptional communication and problem\-solving skills.
**Preferred Skills**
* Advanced statistical techniques: GL GLMs, time series, forecasting, clustering, PCA; causal and panel methods.
* Optimization methods: linear/mixed integer programming, heuristic approaches, network flow.
* ML frameworks: scikit learn, TensorFlow, PyTorch; model interpretability with SHAP and LIME.
* Experience with data visualization tools (Tableau, Power BI) and compelling storytelling.
* Knowledge of CI/CD pipelines, data governance, and Agile methodologies.
* Market share modeling approaches: discrete choice, multinomial and nested logit, demand elasticity.
* Financial engineering: risk models, Monte Carlo, scenario analysis, option style incentive evaluation.
* AI accelerated development and agentic frameworks; CI/CD and Agile delivery.
* Data visualization and storytelling with Tableau or Power BI.
* Evidence of peer reviewed publications or conference presentations.
**Why Join Cox Automotive?**
 At Cox Automotive, data science drives innovation. As a Sr Data Scientist, you'll shape the future of AI\-powered analytics, deliver impactful insights, and mentor the next generation of data talent, all while working in a collaborative, forward\-thinking environment.
 USD 101,500\.00 \- 169,100\.00 per year
**Compensation**
 Compensation includes a base salary of $101,500\.00 \- $169,100\.00\.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Application Deadline: 02/13/2026</t>
        </is>
      </c>
    </row>
    <row r="108">
      <c r="A108" t="inlineStr">
        <is>
          <t>li-4372945576</t>
        </is>
      </c>
      <c r="B108" t="inlineStr">
        <is>
          <t>Staff Data Scientist</t>
        </is>
      </c>
      <c r="C108" t="inlineStr">
        <is>
          <t>Stripe</t>
        </is>
      </c>
      <c r="D108" t="inlineStr">
        <is>
          <t>linkedin</t>
        </is>
      </c>
      <c r="E108">
        <f>HYPERLINK("https://www.linkedin.com/jobs/view/4372945576", "https://www.linkedin.com/jobs/view/4372945576")</f>
        <v/>
      </c>
      <c r="F108">
        <f>HYPERLINK("https://stripe.com/jobs/listing/staff-data-scientist/7568328?gh_src=73vnei&amp;urlHash=ELTK", "https://stripe.com/jobs/listing/staff-data-scientist/7568328?gh_src=73vnei&amp;urlHash=ELTK")</f>
        <v/>
      </c>
      <c r="G108" t="inlineStr"/>
      <c r="H108" t="inlineStr"/>
      <c r="I108"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the part of Stripe’s data science organization that focuses on Growth and Go\-to\-Market efforts. Sample projects can include but are not limited to:
* Leveraging a wide variety of tools such as experimentation, forecasting, personalization, and algorithmic recommendations to enable businesses to accelerate their journey to accept payments on Stripe, and find additional Stripe financial products that they need to grow their business.
* Delivering comprehensive ROI analysis for Stripe’s growth marketing spend through rigorous measurement methodologies (marketing mix models, multi\-touch attribution, lifetime value, long\-term holdouts, etc.).
 You will be a key strategic partner to the Growth (Product and Engineering), Marketing, Sales, and Finance \&amp; Strategy teams, developing both intelligent data products and insights, and creating end\-to\-end systems and measurement plans for accelerating Stripe’s overall growth engine.
 What you’ll do
**Responsibilities**
* Provide direction to cross\-functional partners on business strategy for enabling Stripe’s growth, leveraging your expertise in causal inference / experimentation, modeling, analytical insights, and data foundations.
* Provide senior technical direction to data teams on horizontal technical areas, including experimentation, attribution, forecasting, observability, etc.; assume hands\-on leadership, especially when helping teams resolve complex problems through iterative execution.
* Identify broad company problems and opportunities that can be tackled through data science; work with relevant teams to design and build the data science outputs that deliver outsized value to our users and our business.
* Contribute to the overall strategy, roadmap, and vision of your data science team and organization.
* Evangelize and inspire best practices across data science; lead by example to build a culture of craftsmanship and innovation.
* Provide mentorship to our data science talent to help them grow technically and professionally.
 Who you are
 We’re looking for someone who meets the minimum requirements to be considered for the role. If you meet these requirements, you are encouraged to apply. The preferred qualifications are a bonus, not a requirement.
**Minimum Requirements**
* 10\+ years of data science experience OR equivalent combined industry and research experience in a quantitative field.
* B.S. / M.S. / Ph.D. in a quantitative field (e.g. Statistics, Mathematics, Economics, Operations Research, Quantitative Marketing, Physical Sciences, Engineering, etc.).
* Experience with modern causal inference techniques.
* Demonstrated experience of leading organization\-wide initiatives spanning multiple teams, or leveraging deep domain expertise to influence tech roadmap planning and execution.
* Demonstrated ability to effectively collaborate across multiple teams and stakeholders to drive business outcomes.
* Experience creating alignment with stakeholders in ambiguous and complex situations.
* Demonstrated ability to balance execution and velocity with research, statistical depth, and scalable design.
* Experience, mentoring, and investing in the development of peers.
**Preferred Qualifications**
* Strong preference for experience working with Growth, Marketing Measurement, and/or Sales Automation teams.
* Experience in the end\-to\-end development and production implementation of machine learning, statistical, or forecasting frameworks (beyond building model prototypes).
* Experience developing and deploying metrics / observability frameworks.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$225,900 \- $338,900\.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09">
      <c r="A109" t="inlineStr">
        <is>
          <t>li-2147622176</t>
        </is>
      </c>
      <c r="B109" t="inlineStr">
        <is>
          <t>Data Scientist- Product Owner</t>
        </is>
      </c>
      <c r="C109" t="inlineStr">
        <is>
          <t>Tata Consultancy Services</t>
        </is>
      </c>
      <c r="D109" t="inlineStr">
        <is>
          <t>linkedin</t>
        </is>
      </c>
      <c r="E109">
        <f>HYPERLINK("https://www.linkedin.com/jobs/view/2147622176", "https://www.linkedin.com/jobs/view/2147622176")</f>
        <v/>
      </c>
      <c r="F109">
        <f>HYPERLINK("https://ibegin.tcsapps.com/candidate/jobs/392617J&amp;urlHash=jQsE", "https://ibegin.tcsapps.com/candidate/jobs/392617J&amp;urlHash=jQsE")</f>
        <v/>
      </c>
      <c r="G109" t="inlineStr">
        <is>
          <t>Long Beach, CA</t>
        </is>
      </c>
      <c r="H109" t="inlineStr"/>
      <c r="I109" t="inlineStr">
        <is>
          <t>**Job Description**
 Experience in executing projects in Agile Framework
 Understanding of machine learning and deep learning frameworks
 Understanding of generative models (e.g., GANs, VAEs, Transformers) and natural language processing.
 Understanding of natural language processing (NLP).
 Understanding of data preprocessing and model fine\-tuning.
 Awareness of ethical considerations and bias mitigation strategies.
 Proficiency in programming language Python / C\#
 Strong analytical and problem\-solving skills.
 Base Salary Range: $110,000 \- $145,000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110">
      <c r="A110" t="inlineStr">
        <is>
          <t>li-4364407131</t>
        </is>
      </c>
      <c r="B110" t="inlineStr">
        <is>
          <t>Staff Data Scientist</t>
        </is>
      </c>
      <c r="C110" t="inlineStr">
        <is>
          <t>Paylocity</t>
        </is>
      </c>
      <c r="D110" t="inlineStr">
        <is>
          <t>linkedin</t>
        </is>
      </c>
      <c r="E110">
        <f>HYPERLINK("https://www.linkedin.com/jobs/view/4364407131", "https://www.linkedin.com/jobs/view/4364407131")</f>
        <v/>
      </c>
      <c r="F110">
        <f>HYPERLINK("https://2000recruiting.paylocity.com/Recruiting/Jobs/Details/40216&amp;urlHash=OBvx", "https://2000recruiting.paylocity.com/Recruiting/Jobs/Details/40216&amp;urlHash=OBvx")</f>
        <v/>
      </c>
      <c r="G110" t="inlineStr"/>
      <c r="H110" t="inlineStr"/>
      <c r="I110" t="inlineStr">
        <is>
          <t>Job Type
 Full\-time
**Description**
**Staff Data Scientist**
 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 disability, and a 401(k) match, as well as perks that support you, your family, and your finances. And if it’s career development you desire, we provide that, too! At Paylocity, people matter most and have always been at the heart of our business.
 Help Paylocity enhance communication and enable employees to connect, collaborate, and create from anywhere with a position in Product \&amp; Technology!
 Want to develop the strategies and principles needed to deliver compelling software? Join our team and help us enhance our all\-in\-one software platform, elevate our one\-of\-a\-kind technology, and improve the employee experience?
 Take your career to the next level at one of G2's Top 100 Software Companies. Explore our Product \&amp; Technology positions to see where you fit!
 This is a fully remote position, allowing you to work from home or location of record within the U.S. with no in\-office requirements.? You must be available five days per week during designated work hours.? The work arrangement for this role is subject to change based on business needs and individual performance. This may include adjustments to on\-site requirements
**Position Overview**
 Our data science team is responsible for developing AI and machine learning solutions to meet client needs in domains ranging from NLP and supervised learning to time series forecasting and anomaly detection. The team is focused on building high impact software solutions that deliver automation, insights, and assistance to millions of users every day. You can learn more about the type of work we do on our Paylocity AI page(https://www.paylocity.com/our\-products/ai/).
 As a Staff Data Scientist, you will help Paylocity discover the information hidden in vast amounts of data, to help our customers make smarter human capital decisions that drive organizational success. Your primary focus will be to apply knowledge of statistics, machine learning, programming, data modeling, to recognize patterns, identify opportunities, pose business questions, and make valuable discoveries leading to prototype development and product improvement.
**Primary Responsibilities**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Select features, build, and optimize models using machine learning techniques such as time series methods, regression, random forests, gradient boosting, and neural networks
* Leverage cutting edge big data technologies on AWS and Microsoft Azure utilizing Databricks and Spark
* Collaborate with Product Managers, Enterprise Architects, Software Development Managers, and other leaders to translate complex human capital management challenges into data science projects
* Create automated data and modeling pipelines and develop custom performance tracking
* Independently build proof\-of\-concepts and take those concepts from ideation to productization
* Work closely with full stack software engineers in an agile product development environment to deliver machine learning software features
* Conduct ad\-hoc analyses and present results in a clear manner
**Education And Experience**
* Advanced degree (Master’s or Phd) preferred in computer science, industrial engineering, statistics, industrial organizational psychology, neurology, public policy, linguistics or another quantitative field. Bachelor’s degree required.
* 6\+ years of data science success at software companies
* Experience in writing production grade machine learning models in Python
* Experience with cloud infrastructure on AWS or Azure
* Demonstrated ability to leverage data science to drive business results
* Skilled at translating business problems into data science problems and communicating the results to non\-technical audiences
* Able to work in a collaborative environment with a desire to share your ideas
* Able to work independently and complete tasks with high quality, but unafraid to seek out suggestions from other team members
* Self\-motivated, adaptable, and highly detail oriented
**Preferred Skills**
* Professional or academic experience in HR, social science or psychology
* Significant experience with cloud development and infrastructure\-as\-code tools
* Be invested in staying current in data science by applying new technologies and practices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equal\-opportunity employer.** 
 Paylocity is committed to the full inclusion of all individuals.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accessibility@paylocity.com. This email address is exclusively designated for such requests, aligning with federal and state disability laws. Please do not send resumes to this email address, as they will be removed.
 The base pay range for this position is $140,700 \- $261,300 /yr; however, base pay offered may vary depending on job\-related knowledge, skills, and experience. This position is eligible for an annual bonus and restricted stock unit grant based on individual performance in addition to a full range of benefits outlined here. This information is provided per the relevant state and local pay transparency laws for the location in which this position will be performed. Base pay information is based on market location. Applicants should apply via www.paylocity.com/careers.</t>
        </is>
      </c>
    </row>
    <row r="111">
      <c r="A111" t="inlineStr">
        <is>
          <t>li-4372945575</t>
        </is>
      </c>
      <c r="B111" t="inlineStr">
        <is>
          <t>Staff Data Scientist</t>
        </is>
      </c>
      <c r="C111" t="inlineStr">
        <is>
          <t>Stripe</t>
        </is>
      </c>
      <c r="D111" t="inlineStr">
        <is>
          <t>linkedin</t>
        </is>
      </c>
      <c r="E111">
        <f>HYPERLINK("https://www.linkedin.com/jobs/view/4372945575", "https://www.linkedin.com/jobs/view/4372945575")</f>
        <v/>
      </c>
      <c r="F111" t="inlineStr"/>
      <c r="G111" t="inlineStr">
        <is>
          <t>New York, United States</t>
        </is>
      </c>
      <c r="H111" t="inlineStr"/>
      <c r="I111"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the part of Stripe’s data science organization that focuses on Growth and Go\-to\-Market efforts. Sample projects can include but are not limited to:
* Leveraging a wide variety of tools such as experimentation, forecasting, personalization, and algorithmic recommendations to enable businesses to accelerate their journey to accept payments on Stripe, and find additional Stripe financial products that they need to grow their business.
* Delivering comprehensive ROI analysis for Stripe’s growth marketing spend through rigorous measurement methodologies (marketing mix models, multi\-touch attribution, lifetime value, long\-term holdouts, etc.).
 You will be a key strategic partner to the Growth (Product and Engineering), Marketing, Sales, and Finance \&amp; Strategy teams, developing both intelligent data products and insights, and creating end\-to\-end systems and measurement plans for accelerating Stripe’s overall growth engine.
 What you’ll do
**Responsibilities**
* Provide direction to cross\-functional partners on business strategy for enabling Stripe’s growth, leveraging your expertise in causal inference / experimentation, modeling, analytical insights, and data foundations.
* Provide senior technical direction to data teams on horizontal technical areas, including experimentation, attribution, forecasting, observability, etc.; assume hands\-on leadership, especially when helping teams resolve complex problems through iterative execution.
* Identify broad company problems and opportunities that can be tackled through data science; work with relevant teams to design and build the data science outputs that deliver outsized value to our users and our business.
* Contribute to the overall strategy, roadmap, and vision of your data science team and organization.
* Evangelize and inspire best practices across data science; lead by example to build a culture of craftsmanship and innovation.
* Provide mentorship to our data science talent to help them grow technically and professionally.
 Who you are
 We’re looking for someone who meets the minimum requirements to be considered for the role. If you meet these requirements, you are encouraged to apply. The preferred qualifications are a bonus, not a requirement.
**Minimum Requirements**
* 10\+ years of data science experience OR equivalent combined industry and research experience in a quantitative field.
* B.S. / M.S. / Ph.D. in a quantitative field (e.g. Statistics, Mathematics, Economics, Operations Research, Quantitative Marketing, Physical Sciences, Engineering, etc.).
* Experience with modern causal inference techniques.
* Demonstrated experience of leading organization\-wide initiatives spanning multiple teams, or leveraging deep domain expertise to influence tech roadmap planning and execution.
* Demonstrated ability to effectively collaborate across multiple teams and stakeholders to drive business outcomes.
* Experience creating alignment with stakeholders in ambiguous and complex situations.
* Demonstrated ability to balance execution and velocity with research, statistical depth, and scalable design.
* Experience, mentoring, and investing in the development of peers.
**Preferred Qualifications**
* Strong preference for experience working with Growth, Marketing Measurement, and/or Sales Automation teams.
* Experience in the end\-to\-end development and production implementation of machine learning, statistical, or forecasting frameworks (beyond building model prototypes).
* Experience developing and deploying metrics / observability frameworks.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$225,900 \- $338,900\.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12">
      <c r="A112" t="inlineStr">
        <is>
          <t>li-4364188570</t>
        </is>
      </c>
      <c r="B112" t="inlineStr">
        <is>
          <t>Innovation Data Scientist</t>
        </is>
      </c>
      <c r="C112" t="inlineStr">
        <is>
          <t>Kirkland &amp; Ellis</t>
        </is>
      </c>
      <c r="D112" t="inlineStr">
        <is>
          <t>linkedin</t>
        </is>
      </c>
      <c r="E112">
        <f>HYPERLINK("https://www.linkedin.com/jobs/view/4364188570", "https://www.linkedin.com/jobs/view/4364188570")</f>
        <v/>
      </c>
      <c r="F112" t="inlineStr"/>
      <c r="G112" t="inlineStr">
        <is>
          <t>Houston, TX</t>
        </is>
      </c>
      <c r="H112" t="inlineStr"/>
      <c r="I112" t="inlineStr">
        <is>
          <t>**About Kirkland \&amp; Ellis**
 At Kirkland \&amp; Ellis, we don’t just meet the standard for legal excellence — we set it. Our culture is built on teamwork, ingenuity and an unwavering commitment to continuous growth. We tackle the most sophisticated legal challenges with bold ideas and innovative solutions, powered by the exceptional experience and ambition of our 7,000\+ people, including 4,000\+ attorneys, across 22 offices worldwide. Our dedicated professionals share our lawyers’ commitment to excellence and show up each day to do meaningful work that helps drive global business, investment and innovation forward.
**What You’ll Do**
 Are you energized by applying advanced analytics and artificial intelligence (AI) to transform how a leading law firm delivers client service and drives business performance? As an Innovation Data Scientist within Innovation Engineering at Kirkland \&amp; Ellis, you’ll design and deploy intelligent, data\-driven solutions that enhance quality, speed, and decision\-making across legal work and firm operations.
 Partnering closely with attorneys, innovation leaders, and enterprise teams, you’ll translate complex legal and business challenges into secure, scalable AI and machine learning (ML) solutions. From experimentation and measurement to deployment and monitoring, you’ll lead the full solution lifecycle—curating and governing datasets, defining success metrics for accuracy and safety, and building production\-ready models and applications, including large language model (LLM)–powered and classical ML solutions.
 Reporting to the Director of Innovation Engineering, you’ll play a key role in shaping and scaling the firm’s data science program—automating routine work, surfacing actionable insights, and unlocking new capabilities that elevate both client outcomes and firm performance.
* Translate Legal Workflows into AI Solutions – Lead discovery sessions with attorneys and practice stakeholders to convert end\-to\-end legal processes into clear data and LLM requirements, measurable success criteria, and evaluation plans aligned to business value.
* Design and Prototype Intelligent Applications – Build and evaluate AI/ML techniques, including retrieval\-augmented generation (RAG) pipelines, vector database integrations, and orchestration frameworks to assess feasibility, performance, and scalability.
* Deliver High\-Impact Legal Use Cases – Develop solutions for contract analysis, due diligence review, document summarization, large\-scale agreement comparisons, and other practice\-driven needs.
* Establish Evaluation \&amp; Governance Frameworks – Define and operationalize production\-ready evaluation standards, measuring accuracy, robustness, bias and fairness, hallucinations, and business\-aligned performance thresholds with ongoing monitoring.
* Develop Reusable Assets \&amp; Libraries – Create internal libraries, documentation, and repeatable development patterns that enable efficient and scalable AI solution delivery.
* Collaborate Across Technical \&amp; Legal Teams – Partner with embedded data science teams and business stakeholders to align priorities, co\-develop solutions, and ensure successful adoption across practice groups.
* Communicate Insights with Clarity – Present evaluation results, trade\-offs, risks, and expected impact in clear, accessible language to non\-technical stakeholders, including attorneys and business leaders.
* Advance Innovation Strategy – Evaluate emerging tools, open\-source libraries, and vendor platforms to inform technology strategy, contribute to internal thought leadership, and support firmwide AI enablement initiatives.
* Mentor \&amp; Enable Growth – Support and guide data scientists and engineers, fostering knowledge sharing and strengthening the firm’s AI capabilities.
**What You’ll Bring**
* Education – bachelor’s degree in computer science, statistics, mathematics, engineering, or a related quantitative field; advanced degree preferred.
* Experience – 7\+ years of experience delivering AI/ML solutions in professional services, financial services, legal, or technical environments, with substantial cross\-functional collaboration involving legal and business stakeholders.
* Technical Expertise – Strong Python skills for data analysis, statistical modeling, and AI/ML prototyping (e.g., pandas, PyTorch, TensorFlow); advanced SQL proficiency; experience building data pipelines and preparing structured and unstructured datasets.
* AI \&amp; LLM Application Knowledge – Hands\-on experience with AI platforms and tools (e.g., OpenAI, Microsoft Azure OpenAI, Hugging Face, LangFlow, LangChain), vector databases, retrieval methods for unstructured data, and knowledge\-graph\-backed applications.
* Production AI Evaluation – Demonstrated experience defining and implementing evaluation frameworks for enterprise AI solutions, including monitoring for accuracy, robustness, hallucinations, bias, and fairness.
* Visualization \&amp; Communication – Familiarity with data visualization tools (e.g., Plotly, Tableau, Microsoft Power BI) and the ability to translate complex findings into clear, actionable insights.
* Legal \&amp; Industry Insight – Familiarity with legal use cases such as due diligence, contract review, or legal research; experience in a law firm or Microsoft Azure environment preferred.
* Leadership \&amp; Collaboration – Proven ability to mentor peers, collaborate across multidisciplinary teams, and drive adoption of AI solutions at scale.
 If you’re excited to build secure, scalable AI solutions that transform legal service delivery and empower smarter business decisions, we invite you to help shape the future of innovation at Kirkland \&amp; Ellis.
**Compensation**
 The base salary range below represents the low and high end of the salary range for this position in each of the below locations. This range may differ based on your geographic location and cost of living considerations. At Kirkland \&amp; Ellis, we consider compensation more than just a base salary. We offer an exceptional range of flexible benefits including comprehensive healthcare, paid time off, and retirement. We also offer personal support and tailored learning and development opportunities all designed to help you realize your full potential both in life and at work.
**Compensation Range**
 Chicago: $158,000 \- $187,000
 New York: $158,000 \- $208,000
**How to Apply**
 Thank you for your interest in Kirkland \&amp; Ellis LLP. To complete an application and submit your resume, please click "Apply Now."
*Don't meet every job requirement? That's okay! If you're excited about this role but your experience doesn't perfectly fit every qualification, we encourage you to apply anyway. You may be just the right person for this role or others at Kirkland.*
**Equal Employment Opportunity**
 All employment decisions, including the recruiting, hiring, placement, training availability, promotion, compensation, evaluation, disciplinary actions, and termination of employment (if necessary) are made without regard to the employee’s race, color, creed, religion, sex, pregnancy or childbirth, personal appearance, family responsibilities, sexual orientation or preference, gender identity, political affiliation, source of income, place of residence, national or ethnic origin, ancestry, age, marital status, military veteran status, unfavorable discharge from military service, physical or mental disability, or on any other basis prohibited by applicable law.</t>
        </is>
      </c>
    </row>
    <row r="113">
      <c r="A113" t="inlineStr">
        <is>
          <t>li-4372946476</t>
        </is>
      </c>
      <c r="B113" t="inlineStr">
        <is>
          <t>Staff Data Scientist</t>
        </is>
      </c>
      <c r="C113" t="inlineStr">
        <is>
          <t>Haystack</t>
        </is>
      </c>
      <c r="D113" t="inlineStr">
        <is>
          <t>linkedin</t>
        </is>
      </c>
      <c r="E113">
        <f>HYPERLINK("https://www.linkedin.com/jobs/view/4372946476", "https://www.linkedin.com/jobs/view/4372946476")</f>
        <v/>
      </c>
      <c r="F113">
        <f>HYPERLINK("https://us.haystackapp.io/roles/698e53bb602dc952059a4ec1?src=linkedin&amp;urlHash=ndYg", "https://us.haystackapp.io/roles/698e53bb602dc952059a4ec1?src=linkedin&amp;urlHash=ndYg")</f>
        <v/>
      </c>
      <c r="G113" t="inlineStr">
        <is>
          <t>California, United States</t>
        </is>
      </c>
      <c r="H113" t="inlineStr"/>
      <c r="I113" t="inlineStr">
        <is>
          <t>**Staff Data Scientist \| California \| Remote**
 We're working with our client on this exciting opportunity.
 Join a fast\-growing tech innovator at the forefront of AI and game theory to revolutionize enterprise procurement. This is your chance to shape cutting\-edge data science solutions, leveraging ML and AI to unlock trapped savings and deliver significant impact for customers.
**The Role**
* Lead cross\-functional initiatives, aligning Engineering, Product, and Customer Success teams with data science insights.
* Design, prototype, and productionize advanced machine learning models and AI systems to optimize procurement workflows.
* Collaborate on ML infrastructure, pipelines, and operations using AWS, Snowflake, and dbt to support robust model deployment.
* Drive the data science roadmap, influencing strategic decisions and fostering a culture of continuous learning.
* Mentor junior data scientists and champion best practices in ML and AI development.
**What You'll Need**
* 6\+ years experience in data science with strong expertise in machine learning, statistics, and data modeling.
* Proficiency (6\+ years) in Python and SQL, with hands\-on experience in AWS, Snowflake, or dbt.
* Proven ability to lead cross\-functional initiatives and communicate complex technical concepts to diverse stakeholders.
* Track record of delivering measurable organizational impact through advanced data solutions.
* A BS/MS in Computer Science, Statistics, Applied Math, or a related quantitative field.
**What's On Offer**
* Competitive salary and startup equity with a remote\-first team environment.
* Comprehensive medical, dental, and vision insurance premiums covered up to 100%.
* Unlimited PTO and an annual budget for learning and professional development.
* An inclusive, collaborative culture passionate about solving hard problems with egoless execution.
**Apply via Haystack today!**</t>
        </is>
      </c>
    </row>
    <row r="114">
      <c r="A114" t="inlineStr">
        <is>
          <t>li-4364159768</t>
        </is>
      </c>
      <c r="B114" t="inlineStr">
        <is>
          <t>Sr. Applied Scientist, Ads Decision Science</t>
        </is>
      </c>
      <c r="C114" t="inlineStr">
        <is>
          <t>Amazon</t>
        </is>
      </c>
      <c r="D114" t="inlineStr">
        <is>
          <t>linkedin</t>
        </is>
      </c>
      <c r="E114">
        <f>HYPERLINK("https://www.linkedin.com/jobs/view/4364159768", "https://www.linkedin.com/jobs/view/4364159768")</f>
        <v/>
      </c>
      <c r="F114" t="inlineStr"/>
      <c r="G114" t="inlineStr">
        <is>
          <t>New York, NY</t>
        </is>
      </c>
      <c r="H114" t="inlineStr"/>
      <c r="I114" t="inlineStr">
        <is>
          <t>**Description**
 We are seeking a Sr. Applied Scientist to revolutionize how we deliver personalized advertising solutions to our worldwide customers. In this role, you will build autonomous AI systems that proactively identify advertiser pain points and deliver optimal recommendations across multiple communication channels without requiring explicit customer input.
 The Challenge
 How can we deliver the most personalized advertising offerings to our worldwide customers? In the era of Agentic AI, how can we build autonomous systems which identify advertiser pain points and offer best recommendations across multiple communication channels? How do we do this without asking anything to our customers and know what they need?
 Our Mission
 Our team's mission is to deliver the best strategy to our WW advertisers whenever and wherever they need it.
 What You'll Do
 Using Amazon's large scale computing resources, you will ask research questions about advertiser behavior, build state of the art recommender models to generate recommendations, and deploy these models directly on the ad delivery channels. You will participate in the Amazon ML community and mentor Applied Scientists and software development engineers with a strong interest in and knowledge of ML. Your work will directly benefit advertisers and the retail business and you will measure the impact using scientific tools.
 What We're Looking For
 We are looking for a passionate, hard working, and talented Sr. Applied Scientist who has experience building mission critical, high volume applications that customers love. You will have an opportunity to make an enormous impact on the design, architecture, and implementation of new generation ads products seen by millions of customers everyday.
**About The Team**
 The Amazon Ads Marketing Decision Science Team innovates the future of marketing tech by creating interactive conversational agents, visual and text content generation capabilities, recommender systems to give the best strategies to our advertisers to maximize their ROI with one click enablement, behavioral segmentation models to understand our customers in depth, content measurement science to understand the best content components resonating with each customer segment, and many more. Our mission is to personalize the communication strategy of one of the world's top digital advertising tech companies.
**Basic Qualifications**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 Knowledge of programming languages such as C/C\+\+, Python, Java or Perl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**Company** 
 \- Amazon.com Services LLC
 Job ID: A3176533</t>
        </is>
      </c>
    </row>
    <row r="115">
      <c r="A115" t="inlineStr">
        <is>
          <t>li-4364551423</t>
        </is>
      </c>
      <c r="B115" t="inlineStr">
        <is>
          <t>Data Scientist</t>
        </is>
      </c>
      <c r="C115" t="inlineStr">
        <is>
          <t>Jobs via Dice</t>
        </is>
      </c>
      <c r="D115" t="inlineStr">
        <is>
          <t>linkedin</t>
        </is>
      </c>
      <c r="E115">
        <f>HYPERLINK("https://www.linkedin.com/jobs/view/4364551423", "https://www.linkedin.com/jobs/view/4364551423")</f>
        <v/>
      </c>
      <c r="F115">
        <f>HYPERLINK("https://click.appcast.io/t/msiNNyCYMol4Un5N5LHQDf92faBc5tUjlelPNdI2dl0=&amp;urlHash=OcJk", "https://click.appcast.io/t/msiNNyCYMol4Un5N5LHQDf92faBc5tUjlelPNdI2dl0=&amp;urlHash=OcJk")</f>
        <v/>
      </c>
      <c r="G115" t="inlineStr">
        <is>
          <t>Pleasanton, CA</t>
        </is>
      </c>
      <c r="H115" t="inlineStr"/>
      <c r="I115" t="inlineStr">
        <is>
          <t>Dice is the leading career destination for tech experts at every stage of their careers. Our client, Avenue Code, LLC, is seeking the following. Apply via Dice today!
 Data Scientist
 Pleasanton, CA
 Onsite
 Job Description: Proficiency in statistical analysis and machine learning using tools such as Python, R, and SQL is essential. Strong understanding of data modeling and data visualization techniques is required, along with experience in big data technologies like Hadoop and Spark. Knowledge of data wrangling and preprocessing is necessary. Strong analytical and problem\-solving skills are crucial for developing insights and solutions from complex datasets. Expertise in predictive analytics and applied machine learning is also needed. The ability to measure impact and effectively communicate data\-driven stories is important for influencing decision\-making processes.
 SKILLS:
 Proficiency in statistical analysis and machine learning (e.g., Python, R, SQL)
 Strong understanding of data modeling and data visualization techniques
 Experience with big data technologies (e.g., Hadoop, Spark)
 Knowledge of data wrangling and preprocessing
 Strong analytical and problem\-solving skills
 Strong predictive analytics and applied machine learning skills
 Ability to measure impact and data storytelling</t>
        </is>
      </c>
    </row>
    <row r="116">
      <c r="A116" t="inlineStr">
        <is>
          <t>li-4364561710</t>
        </is>
      </c>
      <c r="B116" t="inlineStr">
        <is>
          <t>Sr. Data Scientist- Computer Vision, Data &amp; Machine Learning (DML)</t>
        </is>
      </c>
      <c r="C116" t="inlineStr">
        <is>
          <t>Amazon Web Services (AWS)</t>
        </is>
      </c>
      <c r="D116" t="inlineStr">
        <is>
          <t>linkedin</t>
        </is>
      </c>
      <c r="E116">
        <f>HYPERLINK("https://www.linkedin.com/jobs/view/4364561710", "https://www.linkedin.com/jobs/view/4364561710")</f>
        <v/>
      </c>
      <c r="F116" t="inlineStr"/>
      <c r="G116" t="inlineStr">
        <is>
          <t>Arlington, VA</t>
        </is>
      </c>
      <c r="H116" t="inlineStr"/>
      <c r="I116" t="inlineStr">
        <is>
          <t>**Description**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5\+ years of data querying languages (e.g. SQL), scripting languages (e.g. Python) or statistical/mathematical software (e.g. R, SAS, Matlab, etc.) experience
* Knowledge of AWS tech stack (e.g., AWS Redshift, S3, EC2, Glue)
* Bachelor's degree in a quantitative field such as statistics, mathematics, data science, business analytics, economics, finance, engineering, or computer science
* 2\+ years of experience with machine learning, statistical modeling, data analysis tools and techniques, and performance parameters for computer vision delivery requirements
* Current, active US Government Security Clearance of Top Secret or above
**Preferred Qualifications**
* 3\+ years of data visualization using AWS QuickSight, Tableau, R Shiny, etc. experience
* Experience managing data pipelines
* Experience as a leader and mentor on a data science team
* Master's degree in a quantitative field such as statistics, mathematics, data science, business analytics, economics, finance, engineering, or computer science
* Familiarity with internals of LLMs, VLMs, and traditional Computer Vision object detection models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
**Company** 
 \- Amazon Web Services, Inc.
 Job ID: A3181194</t>
        </is>
      </c>
    </row>
    <row r="117">
      <c r="A117" t="inlineStr">
        <is>
          <t>li-4364198818</t>
        </is>
      </c>
      <c r="B117" t="inlineStr">
        <is>
          <t>Sr. Data Scientist- Computer Vision, Data &amp; Machine Learning (DML)</t>
        </is>
      </c>
      <c r="C117" t="inlineStr">
        <is>
          <t>Amazon Web Services (AWS)</t>
        </is>
      </c>
      <c r="D117" t="inlineStr">
        <is>
          <t>linkedin</t>
        </is>
      </c>
      <c r="E117">
        <f>HYPERLINK("https://www.linkedin.com/jobs/view/4364198818", "https://www.linkedin.com/jobs/view/4364198818")</f>
        <v/>
      </c>
      <c r="F117" t="inlineStr"/>
      <c r="G117" t="inlineStr">
        <is>
          <t>Herndon, VA</t>
        </is>
      </c>
      <c r="H117" t="inlineStr"/>
      <c r="I117" t="inlineStr">
        <is>
          <t>**Description**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5\+ years of data querying languages (e.g. SQL), scripting languages (e.g. Python) or statistical/mathematical software (e.g. R, SAS, Matlab, etc.) experience
* Knowledge of AWS tech stack (e.g., AWS Redshift, S3, EC2, Glue)
* Bachelor's degree in a quantitative field such as statistics, mathematics, data science, business analytics, economics, finance, engineering, or computer science
* 2\+ years of experience with machine learning, statistical modeling, data analysis tools and techniques, and performance parameters for computer vision delivery requirements
* Current, active US Government Security Clearance of Top Secret or above
**Preferred Qualifications**
* 3\+ years of data visualization using AWS QuickSight, Tableau, R Shiny, etc. experience
* Experience managing data pipelines
* Experience as a leader and mentor on a data science team
* Master's degree in a quantitative field such as statistics, mathematics, data science, business analytics, economics, finance, engineering, or computer science
* Familiarity with internals of LLMs, VLMs, and traditional Computer Vision object detection models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
**Company** 
 \- Amazon Web Services, Inc.
 Job ID: A3181194</t>
        </is>
      </c>
    </row>
    <row r="118">
      <c r="A118" t="inlineStr">
        <is>
          <t>li-4364541544</t>
        </is>
      </c>
      <c r="B118" t="inlineStr">
        <is>
          <t>Data Scientist</t>
        </is>
      </c>
      <c r="C118" t="inlineStr">
        <is>
          <t>Jobs via Dice</t>
        </is>
      </c>
      <c r="D118" t="inlineStr">
        <is>
          <t>linkedin</t>
        </is>
      </c>
      <c r="E118">
        <f>HYPERLINK("https://www.linkedin.com/jobs/view/4364541544", "https://www.linkedin.com/jobs/view/4364541544")</f>
        <v/>
      </c>
      <c r="F118">
        <f>HYPERLINK("https://click.appcast.io/t/UBntX7FMXvctY-akQCgJ-UzElwsfdXFKRGLnw1c1ApM=&amp;urlHash=C_Gq", "https://click.appcast.io/t/UBntX7FMXvctY-akQCgJ-UzElwsfdXFKRGLnw1c1ApM=&amp;urlHash=C_Gq")</f>
        <v/>
      </c>
      <c r="G118" t="inlineStr">
        <is>
          <t>Irving, TX</t>
        </is>
      </c>
      <c r="H118" t="inlineStr"/>
      <c r="I118" t="inlineStr">
        <is>
          <t>Dice is the leading career destination for tech experts at every stage of their careers. Our client, Innorev Technologies, Inc, is seeking the following. Apply via Dice today!
**Job Title: Senior Data Scientist AI COE**
**Location: Irving, TX (On\-site)**
**About the job:**
 You ll be joining a multidisciplinary team of scientists, researchers and engineers who research and innovate on latest technology to create awesome data and AI products that millions of people will experience every day.
 You will be responsible for building and deploying AI/ML solutions that improve customer experience, enable innovative user experiences, and increase store revenue. Engineers at 7Next have solid technical background but enjoy learning new languages, technologies, and frameworks. From creating an experimental machine learning prototype to deploying a production\-ready backend, engineers at 7\-Eleven take many hats to see projects to completion.
**Key Responsibilities** 
 :
* Research, prototype, and develop AI/ML solutions to build personalized systems.
* Build, deploy and analyze AI/ML solutions and perform statistical experiments when deploying new AI products.
* Analyze and segment customer data and clearly visualize customer behavior to make product decisions.
* Stay up to date with emerging technology and learn new technologies/libraries/frameworks
* Learn and partner with peers across multiple disciplines, such as data, product, and systems design
* Deliver on time with a high bar on quality of research, innovation and engineering
**Basic Qualifications:**
* 4\+ years of experience with statistical data science techniques, feature engineering, customer segmentation etc.
* 4\+ years of experience with SQL, PySpark and Python.
* 4\+ years of experience training, evaluating and deploying Machine Learning models.
* 4\+ years of experience with productionizing and deploying ML workloads in AWS/Azure.
* 1\+ years leading and mentoring Data Scientists and delegating tasks to deliver complex tasks.
* Familiarity with containerized application tooling and deployments (Docker/Kubernetes)
* Bachelor s Degree or higher in Computer Science/Engineering/Math, or relevant experience
**Extra Credit:**
* Experience with Databricks platform.
* Experience building ML models with large amounts of structured and unstructured data.</t>
        </is>
      </c>
    </row>
    <row r="119">
      <c r="A119" t="inlineStr">
        <is>
          <t>li-4364446456</t>
        </is>
      </c>
      <c r="B119" t="inlineStr">
        <is>
          <t>Data Scientist</t>
        </is>
      </c>
      <c r="C119" t="inlineStr">
        <is>
          <t>Jobs via Dice</t>
        </is>
      </c>
      <c r="D119" t="inlineStr">
        <is>
          <t>linkedin</t>
        </is>
      </c>
      <c r="E119">
        <f>HYPERLINK("https://www.linkedin.com/jobs/view/4364446456", "https://www.linkedin.com/jobs/view/4364446456")</f>
        <v/>
      </c>
      <c r="F119" t="inlineStr"/>
      <c r="G119" t="inlineStr">
        <is>
          <t>McLean, VA</t>
        </is>
      </c>
      <c r="H119" t="inlineStr"/>
      <c r="I119" t="inlineStr">
        <is>
          <t>Dice is the leading career destination for tech experts at every stage of their careers. Our client, CCS Global Tech, is seeking the following. Apply via Dice today!
 CCS Global Tech is a rapidly growing Information Technology company with a diverse portfolio of technology products and services and a large network of industry partnerships. With over 22 years of being a successful business with a global talent pool and presence, CCS is a certified Microsoft Gold Partner and specializes in delivering expert Microsoft based solutions for technical and business needs. We have been recognized by Inc. 500 Magazine as one of the fastest growing small companies in the Unites States.
 we are a Tier 1 vendor for the City and County of San Francisco for Cloud Services, Staffing Services and Training Services. For this multi\-year opportunity with a diverse set of needs to address, we are currently focusing on establishing partnerships with individuals as well as companies who can help us enhance our overall service portfolio, cut lead times, and ultimately help us deliver successfully. We currently hold sizable Government accounts in the San Francisco bay area including City and County of San Francisco, San Mateo County, and Santa Clara County.
 We take great pride in our global reach and local influence. Your experience alongside our highly skilled and talented internal team who guide you along the way, offers key insights into what helps you stand out in a competitive job market.
 If you are a partner company, please submit resumes with contact information of your own W2 Consultants only. Submitted consultants are expected to have excellent communication skills.
**Location\-** 
 McLean, VA
**Data Scientist:**
* Demonstrated experience with proficiency in Python.
* Demonstrated experience with data analytics and transformations.
* Demonstrated experience with complex graph database queries.
* Demonstrated experience in cloud compute environments.
* Demonstrated ability to effectively communicate (verbal and written) with technical and non\-technical personnel as well as all levels of management and staff.</t>
        </is>
      </c>
    </row>
    <row r="120">
      <c r="A120" t="inlineStr">
        <is>
          <t>li-4364436711</t>
        </is>
      </c>
      <c r="B120" t="inlineStr">
        <is>
          <t>Lead Data Scientist</t>
        </is>
      </c>
      <c r="C120" t="inlineStr">
        <is>
          <t>Jobs via Dice</t>
        </is>
      </c>
      <c r="D120" t="inlineStr">
        <is>
          <t>linkedin</t>
        </is>
      </c>
      <c r="E120">
        <f>HYPERLINK("https://www.linkedin.com/jobs/view/4364436711", "https://www.linkedin.com/jobs/view/4364436711")</f>
        <v/>
      </c>
      <c r="F120">
        <f>HYPERLINK("https://click.appcast.io/t/x4DgtNmGs3PzbsbSPhLQpCIFD39c9fHeRPSaRl4bpBM=&amp;urlHash=gjgC", "https://click.appcast.io/t/x4DgtNmGs3PzbsbSPhLQpCIFD39c9fHeRPSaRl4bpBM=&amp;urlHash=gjgC")</f>
        <v/>
      </c>
      <c r="G120" t="inlineStr"/>
      <c r="H120" t="inlineStr"/>
      <c r="I120" t="inlineStr">
        <is>
          <t>We're looking for a seasoned
 **Data Scientist** 
 to lead our cross\-location team. In this role, you'll drive the development of Data Science excellence across the region and dive into diverse projects like NLP/LLM, Computer Vision, Time Series, and more.
 You will have the chance to work on various projects, each presenting unique challenges that propel a continuous journey of professional growth and innovation. Apply and join us!
 This position offers remote setup with the flexibility to work from any location in Georgia, whether it's your home, well\-equipped offices in Tbilisi and Batumi or a coworking space in Kutaisi.
**Responsibilities**
* Shape AI/ML\-driven solutions' technology vision with EPAM's clients and teams
* Propose strategies to address business challenges
* Collaborate with cross\-functional teams to deliver business value to our clients
* Stay updated with the latest Data Science and AI advancements
* Mentor and develop Data Science competency
* Lead strategic initiatives within AI and Data Science
**Requirements**
* 6\+ years of Data Science / Machine Learning production experience
* Proficiency in at least two of these domains: Natural Language Processing, Machine Learning Engineering, Computer Vision, Time Series or Recommendation Systems
* Familiarity with AWS, Google Cloud Platform or Azure
* Expertise in Deep Learning
* Programming skills, preferably in Python
* Strong leadership and team management abilities
* B2\+ English, both verbal and written
 Nice to have
* Track record in working with clients from the Middle East region
* Background in Oil and Gas or E\-commerce domains
 We offer/Benefits
**We connect like\-minded people**
* Delivering innovative solutions to industry leaders, making a global impact
* Enjoyable working environment, whether it is the vibrant office or the comfort of your own home
* Opportunity to work abroad for up to two months per year
* Relocation opportunities within our offices in 55\+ countries
* Corporate and social events
**We invest in your growth**
* Leadership development, career advising, soft skills and well\-being programs
* Certifications, including Google Cloud Platform, Azure and AWS
* Unlimited access to LinkedIn Learning and Get Abstract
* Free English classes with certified teachers
**We cover it all**
* Participation in the Employee Stock Purchase Plan
* Monetary bonuses for engaging in the referral program
* Comprehensive medical \&amp; family care package
* Five trust days per year (sick leave without a medical certificate)
* Benefits package (sports activities, a variety of stores and services)
 EPAM Georgia is a team of innovators united by a passion for technology. The dynamic and inclusive culture we embrace helps positively impact our communities, clients, and employees. Here you will collaborate with multi\-national teams, contribute to numerous cutting\-edge projects, deliver the most creative solutions, and have an opportunity to learn. Our people are at the heart of our success, and we are proud to provide talents with a solid ground to develop and grow.
 Why Choose Us
 2024 Best Place to Work 2024 2024 Sitecore's Partner Experience Awards</t>
        </is>
      </c>
    </row>
    <row r="121">
      <c r="A121" t="inlineStr">
        <is>
          <t>li-4364198147</t>
        </is>
      </c>
      <c r="B121" t="inlineStr">
        <is>
          <t>Data Scientist</t>
        </is>
      </c>
      <c r="C121" t="inlineStr">
        <is>
          <t>Jobs via Dice</t>
        </is>
      </c>
      <c r="D121" t="inlineStr">
        <is>
          <t>linkedin</t>
        </is>
      </c>
      <c r="E121">
        <f>HYPERLINK("https://www.linkedin.com/jobs/view/4364198147", "https://www.linkedin.com/jobs/view/4364198147")</f>
        <v/>
      </c>
      <c r="F121" t="inlineStr"/>
      <c r="G121" t="inlineStr">
        <is>
          <t>McLean, VA</t>
        </is>
      </c>
      <c r="H121" t="inlineStr"/>
      <c r="I121" t="inlineStr">
        <is>
          <t>**Leidos** 
 has a new and exciting opportunity for a Data Scientistin our
 **Intel Sector Analysis Solutions Business Area (ASBA)** 
 . Our talented team is at the forefront in Security Engineering, Computer Network Operations (CNO), Mission Software, Analytical Methods and Modeling, Signals Intelligence (SIGINT), and Cryptographic Key Management. At
 **Leidos** 
 , we offer
 **competitive benefits** 
 , including Paid Time Off, 11 paid Holidays, 401K with a 6% company match and immediate vesting, Flexible Schedules, Discounted Stock Purchase Plans, Technical Upskilling, Education and Training Support, Parental Paid Leave, and much more.
 **Join us and make a difference in Analysis Solutions Business Area!**
**Job Summary:**
 We are looking for a Data Scientist with an entrepreneur's mindset to support a fast\-paced and growing data science team working on projects critical to National Security.
**Responsibilities Include:**
* Build statistical and machine learning models, conducting natural language processing (NLP), and developing automated solutions for complex business challenges.
* Construct and execute complex database search queries across multiple databases using SQL and API interfaces.
* Perform web scraping and apply various techniques for processing unstructured data.
* Leverage automation and machine learning to manage data, predict scenarios, and make data\-driven recommendations.
* Learn and leverage technologies including AWS and Git.
**Basic Qualifications** 
**:**
* Must have TS/SCI with Polygraph.
* BS degree and 8 \- 12 years of prior relevant experience or Masters with 6 \- 10 years of prior relevant experience. May possess a Doctorate in technical domain..
* Experience with Python is required.
* Strong SQL skills and experience with relational databases and APIs for data extraction is required.
* Experience with supervised and unsupervised learning and natural language processing (NLP) is required. Familiarity with NLP libraries and tools (e.g., spaCy, Hugging Face, NLTK, or TensorFlow).
* Experience with frequentist statistics, probability, and predictive modeling, along with knowledge of computer science concepts, data architecture, and statistical methods.
* Proficiency with data visualization tools (e.g., Tableau, Plotly, Seaborn, Matplotlib) is required.
 At
 **Leidos** 
 , the opportunities are boundless. We challenge our staff with interesting assignments that allow them to thrive professionally and personally. For us, helping you grow your career is good business. We look forward to learning more about you \- apply today.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10,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122">
      <c r="A122" t="inlineStr">
        <is>
          <t>li-4364418255</t>
        </is>
      </c>
      <c r="B122" t="inlineStr">
        <is>
          <t>Sr. Data Scientist, WWPS ProServe Data and Machine Learning</t>
        </is>
      </c>
      <c r="C122" t="inlineStr">
        <is>
          <t>Amazon Web Services (AWS)</t>
        </is>
      </c>
      <c r="D122" t="inlineStr">
        <is>
          <t>linkedin</t>
        </is>
      </c>
      <c r="E122">
        <f>HYPERLINK("https://www.linkedin.com/jobs/view/4364418255", "https://www.linkedin.com/jobs/view/4364418255")</f>
        <v/>
      </c>
      <c r="F122">
        <f>HYPERLINK("https://www.amazon.jobs/jobs/3181052/sr-data-scientist-wwps-proserve-data-and-machine-learning?cmpid=SPLICX0248M&amp;utm_source=linkedin.com&amp;utm_campaign=cxro&amp;utm_medium=social_media&amp;utm_content=job_posting&amp;ss=paid&amp;urlHash=vOxK", "https://www.amazon.jobs/jobs/3181052/sr-data-scientist-wwps-proserve-data-and-machine-learning?cmpid=SPLICX0248M&amp;utm_source=linkedin.com&amp;utm_campaign=cxro&amp;utm_medium=social_media&amp;utm_content=job_posting&amp;ss=paid&amp;urlHash=vOxK")</f>
        <v/>
      </c>
      <c r="G122" t="inlineStr">
        <is>
          <t>Arlington, VA</t>
        </is>
      </c>
      <c r="H122" t="inlineStr"/>
      <c r="I122" t="inlineStr">
        <is>
          <t>**Description**
 This position requires that the candidate selected be a US Citizen and must currently possess and maintain an active TS/SCI security clearance with polygraph.
 The Amazon Web Services Professional Services (ProServe) team is seeking a skilled Data Scientist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data science, machine learning, generative AI, and best practices throughout the project lifecycle.
 As a Data Scientist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develop statistical models and analytical frameworks, select and train the right models, and define paths to navigate technical or business challenges. Working closely with stakeholders, you'll assess current data infrastructure, perform exploratory data analysis, develop proof\-of\-concepts, and propose effective strategies for implementing AI and generative AI solutions at scale. You will design and run experiments, research new algorithms, extract insights from complex datasets,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 Designing and implementing complex, scalable, and secure AI/ML solutions on AWS tailored to customer needs, including developing statistical models, performing feature engineering, and selecting appropriate algorithms for specific use cases
* Developing and deploying machine learning models and generative AI applications that solve real\-world business problems, conducting experiments, performing rigorous statistical analysis, and optimizing for performance at scale
* Collaborating with customer stakeholders to identify high\-value AI/ML use cases, gather requirements, analyze data quality and availability, and propose effective strategies for implementing machine learning and generative AI solutions
* Providing technical guidance on applying AI, machine learning, and generative AI responsibly and cost\-efficiently, performing model validation and interpretation, troubleshooting throughout project delivery, and ensuring adherence to best practices
* Acting as a trusted advisor to customers on the latest advancements in AI/ML, emerging technologies, statistical methodologies, and innovative approaches to leveraging diverse data sources for maximum business impact
* Sharing knowledge within the organization through mentoring, training, creating reusable AI/ML artifacts and analytical frameworks, and working with team members to prototype new technologies and evaluate technical feasibility
**Basic Qualifications**
* Bachelor's degree in a quantitative field such as statistics, mathematics, data science, business analytics, economics, finance, engineering, or computer science
* 5\+ years of data scientist or similar role involving data extraction, analysis, statistical modeling and communication experience
* 5\+ years of data querying languages (e.g. SQL), scripting languages (e.g. Python) or statistical/mathematical software (e.g. R, SAS, Matlab, etc.) experience
* Experience with statistical models e.g. multinomial logistic regression
* Current, active US Government Security Clearance of TS/SCI with Polygraph
**Preferred Qualifications**
* Master's degree in a quantitative field such as statistics, mathematics, data science, business analytics, economics, finance, engineering, or computer science
* Experience as a leader and mentor on a data science team
* Experience in data applications using large scale distributed systems (e.g., EMR, Spark, Elasticsearch, Hadoop, Pig, and Hive)
* Experience applying quantitative analysis to solve business problems and making data\-driven business decisions
* Experience in developing and deploying LLMs in production on GPUs, Neuron, TPU or other AI acceleration hardware, or experience with Machine Learning and Large Language Model fundamentals, including architecture, training/inference lifecycles, and optimization of model execution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
**Company** 
 \- Amazon Web Services, Inc.
 Job ID: A3181052</t>
        </is>
      </c>
    </row>
    <row r="123">
      <c r="A123" t="inlineStr">
        <is>
          <t>li-4364465941</t>
        </is>
      </c>
      <c r="B123" t="inlineStr">
        <is>
          <t>Data Scientist/ AI/ML Engineer [Python experience]</t>
        </is>
      </c>
      <c r="C123" t="inlineStr">
        <is>
          <t>Jobs via Dice</t>
        </is>
      </c>
      <c r="D123" t="inlineStr">
        <is>
          <t>linkedin</t>
        </is>
      </c>
      <c r="E123">
        <f>HYPERLINK("https://www.linkedin.com/jobs/view/4364465941", "https://www.linkedin.com/jobs/view/4364465941")</f>
        <v/>
      </c>
      <c r="F123" t="inlineStr"/>
      <c r="G123" t="inlineStr">
        <is>
          <t>Alpharetta, GA</t>
        </is>
      </c>
      <c r="H123" t="inlineStr"/>
      <c r="I123" t="inlineStr">
        <is>
          <t>Dice is the leading career destination for tech experts at every stage of their careers. Our client, JKC IT Solution INc, is seeking the following. Apply via Dice today!
**Responsibilities:**
**Technical Leadership \&amp; System Architecture**
* Lead the architecture and development of LLM\-driven applications, AI agents, and RAG\-based systems.
* Provide technical guidance, conduct code reviews, and mentor junior team members.
* Drive best practices in Python backend engineering, API development, and AI system design.
**Backend Engineering (Python)**
* Build and maintain backend services using FastAPI or Flask.
* Develop scalable API endpoints for AI applications, embeddings, and retrieval systems.
* Ensure backend code quality, modularity, performance, and maintainability.
**LLMs, RAG, and AI Agent Development**
* Build AI applications using: LangChain, LangGraph, Semantic Kernel, Haystack, LlamaIndex, AutoGen
* Develop autonomous or semi\-autonomous AI agents with tool calling and workflow graphs.
* Implement Retrieval\-Augmented Generation (RAG), embedding pipelines, chunking strategies, reranking, and grounding techniques.
* Work with OpenAI SDK and other LLM providers (Anthropic, Azure OpenAI, Cohere, etc.).
* Manage prompt engineering, prompt routing, safety guardrails, and evaluation metrics.
**Data \&amp; Vector Search Engineering**
* Build data pipelines for indexing, embeddings, and retrieval workflows.
* Work with SQL databases (PostgreSQL, MySQL, etc.) for metadata and application storage.
* Work with vector databases such as: Redis, Postgres with pgvector, Elasticsearch, Neo4j, or others.
* Implement and optimize search workflows using FAISS or similar similarity search libraries.
**MLOps, Deployment \&amp; Observability**
* Deploy AI services using Docker, container orchestration, and cloud environments.
* Implement monitoring for AI behavior, performance, error rates, and retrieval accuracy.
* Set up CI/CD pipelines for backend and AI components.
* Optimize inference cost, latency, and reliability.
**Requirements:**
* Bachelor’s/Master’s degree in Computer Science, AI/ML, Data Science, or related fields.
* 10\+ years of experience in Python backend development.
* Strong proficiency in FastAPI or Flask.
* Strong working knowledge of SQL databases (Postgres, MySQL, etc.).
* Hands\-on expertise with vector databases:
**Redis** 
 ,
 **Postgres/pgvector** 
 ,
 **Elasticsearch** 
 , or
 **Neo4j** 
 .
* Practical experience with FAISS for similarity search.
* Hands\-on experience with modern LLM frameworks:
**LangChain, LangGraph, Semantic Kernel, Haystack, LlamaIndex, AutoGen** 
 .
 Strong understanding of:
* Embeddings \&amp; vector search
* RAG pipelines
* Retrieval optimization
* Chunking strategies
* Document loaders \&amp; indexing
* Experience building AI apps using OpenAI SDK or similar.
* Experience deploying APIs/services using Docker and cloud environments.
* Leadership experience: guiding teams, conducting reviews, driving architecture decisions.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2026-02-14T05:16:46Z</dcterms:created>
  <dcterms:modified xsi:type="dcterms:W3CDTF">2026-02-14T05:16:46Z</dcterms:modified>
</cp:coreProperties>
</file>