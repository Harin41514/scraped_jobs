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in-aab745311775205e</t>
        </is>
      </c>
      <c r="B2" t="inlineStr">
        <is>
          <t>AI Engineer Expert Auditor, Tech Residency</t>
        </is>
      </c>
      <c r="C2" t="inlineStr">
        <is>
          <t>Coding Temple</t>
        </is>
      </c>
      <c r="D2" t="inlineStr">
        <is>
          <t>indeed</t>
        </is>
      </c>
      <c r="E2" t="inlineStr"/>
      <c r="F2" t="inlineStr"/>
      <c r="G2" t="inlineStr">
        <is>
          <t>Remote, US</t>
        </is>
      </c>
      <c r="H2" s="2" t="n">
        <v>46066</v>
      </c>
      <c r="I2" t="inlineStr">
        <is>
          <t>**AI Engineer Expert Auditor, Tech Residency (TR)**
**About the Role**  
You’ve shipped production AI systems. You’ve debugged hallucinating agents at 2 AM. You’ve stared at eval metrics until the tradeoffs became second nature \- and you’ve made the call on what’s ready to deploy and what isn’t.
Now, you want to use that hard\-won judgment to set the standard for what “job\-ready” means in AI engineering.
At Coding Temple, we’re building the most effective career mobility engine in the world. At the center is **Tech Residency (TR)** \- a flagship product that replicates the environment, expectations, and workflows of modern enterprise AI teams.
TR isn’t a course. It’s a **high\-stakes, stage\-gated verification sprint** \- designed to surface real engineering capability under pressure. Residents don’t just “learn.” They build production\-grade AI systems from scratch, defend their design decisions, and produce an Employer\-Trusted Proof Pack that hiring managers can assess in under 10 minutes.
Your role? **Be the trust layer.**
As AI Engineer Expert Reviewer, you’ll conduct the weekly audits that determine whether each resident’s work meets the bar. You’ll evaluate system architecture, code quality, evaluation rigor, security posture, and operational readiness \- scoring against a published rubric and issuing pass/remediate/fail decisions.
Your sign\-off is the signal employers trust. If you say it’s verified, it means something.
**What You’ll Do**
**Weekly Audit \&amp; Evaluation**
* Conduct formal weekly audits of each resident’s system design, code, evals, and operational readiness against a published rubric
* Issue pass/remediate/fail decisions at each stage gate with clear, actionable feedback
* Verify that all artifacts are reproducible from a clean environment \- if it doesn’t reproduce, it doesn’t count
* Review recorded technical defenses and evaluate residents’ ability to explain and defend tradeoffs
**Expert Office Hours \&amp; Mentorship**
* Lead weekly 90\-minute live office hours (Wednesdays) where residents present challenges and get real\-time technical feedback
* Provide async feedback via Slack, PR reviews, and Zoom throughout the week (\~3\.5 hrs/week)
* Model the thinking patterns and rigor of a senior AI engineer \- not by teaching, but by evaluating and questioning
**Rubric \&amp; Standards Development**
* Collaborate with the Principal Product Manager to refine evaluation rubrics aligned with the AIUC\-1 enterprise trust framework
* Define what “good” vs. “fail” looks like across architecture, data/privacy, security, reliability, safety, and observability
* Ensure rubric categories stay current with evolving enterprise AI standards and hiring manager expectations
**Proof Pack Certification**
* Perform final auditor sign\-off on each graduate’s Employer\-Trusted Proof Pack
* Write scored assessments including strengths, red flags, and reviewer notes that employers will read
* Ensure every Proof Pack meets the reviewability standard: a hiring manager can assess credibility in ≤10 minutes
**Credibility \&amp; Employer Trust**
* Represent the technical credibility of the TR product \- your name and judgment are what employers trust
* Participate in Demo Day panels and employer\-facing events as needed
* Provide signal to the team on market trends, hiring manager expectations, and evolving AI engineering standards
**Who You Are**
**Experience**
* 6\+ years of professional engineering experience (not research\-only)
* 2\+ years building LLM/AI systems in production (2023\+ era)
* Have shipped at least one production AI system with: RAG \+ evals, tool\-calling/agent workflows, monitoring \+ cost/latency controls, and failure mode handling
* Comfortable reviewing PRs, tearing apart system designs, and writing clear “ready/not ready” assessments
* Experience designing evaluation harnesses and test plans for AI systems
* Bonus: experience in workforce development, technical interviewing, or building assessment rubrics
**Skills**
* Deep expertise in system design \&amp; tradeoffs (cost/latency/accuracy)
* Strong understanding of AI\-specific security: prompt injection defenses, tool\-call authorization, PII handling, secrets management
* Proficiency in reliability engineering: fallbacks, evals, monitoring, drift detection
* Can evaluate code quality, evidence quality, and communication quality with equal rigor
* Strong written communicator \- your audit notes will be read by hiring managers
**Mindset**
* You believe “trust” is earned through evidence, not credentials
* You’re rigorous but fair—you hold a high bar and help people clear it
* You’ve been on\-call for your own systems and know what production accountability feels like
* You’re motivated by raising the standard for what “job\-ready” means in AI
**Success in This Role Looks Like**
* Every Proof Pack you certify is trusted by hiring managers—zero credibility gaps
* Residents receive clear, actionable feedback that accelerates their growth week over week
* Stage\-gate pass/fail decisions are consistent, defensible, and aligned with the published rubric
* Employer review\-to\-interview conversion rates improve as Proof Pack quality increases
* TR is recognized as the gold standard in employer\-trusted AI verification
**Why Join Us**
* Define what “job\-ready AI engineer” actually means \- aand build the system that proves it
* Work with a team that values trust, autonomy, and high standards
* Use your production experience to change lives \- every audit you run helps someone land their next career
* Flexible, part\-time engagement (\~15 hrs/week) with deep purpose and visible impact
**Compensation**
* Engagement: Contract / Part\-Time (\~15 hours/week per cohort)
* Rate: $150–$250/hour, commensurate with experience and production credibility
* Commitment: 8\-week cohort cycles with opportunity for ongoing engagement across multiple cohorts
* Equity: Eligible for advisor\-level equity consideration for ongoing engagements
If interested email: **ryant@codingtemple.com**
**About Coding Temple**
Coding Temple exists to unlock potential.
We help people do the most meaningful work of their lives, and help companies build the teams that make that possible.
We prepare individuals with the skills, confidence, and real\-world experience to succeed from day one. For employers, we deliver job\-ready talent trained to meet the demands of modern work. Whether it’s a career change or a hiring challenge, we exist to close the gap between potential and opportunity \- because when that happens, lives change and companies grow.
**Our Vision**  
We envision a world where anyone, regardless of age, origin, or socioeconomic status, can achieve financial independence and professional fulfillment.
**Our Mission**  
Our mission is to **Empower Prosperity** by delivering capabilities to professionals and organizations that drive economic growth.
We do this by creating a **Virtuous Organization**, a place where employees derive deep meaning from their work and gain increasing passion and energy from their colleagues, customers, students, and collective results. Together, we create an environment where each person can do their very best work.
Our core values guide us:
* Gratitude \&amp; Appreciation
* Dignity \&amp; Respect
* Support \&amp; Compassion
* Caring \&amp; Concern
* Meaningfulness \&amp; Purpose
* Inspiration \&amp; Positive Energy
* Forgiveness \&amp; Understanding
* Trust \&amp; Integrity
Job Types: Full\-time, Part\-time
Pay: $150\.00 \- $200\.00 per hour
Expected hours: 15 – 45 per week
Work Location: Remote</t>
        </is>
      </c>
    </row>
    <row r="3">
      <c r="A3" t="inlineStr">
        <is>
          <t>in-2c22bfa025872dee</t>
        </is>
      </c>
      <c r="B3" t="inlineStr">
        <is>
          <t>AI/ML Engineer and AI Shared Service Developer</t>
        </is>
      </c>
      <c r="C3" t="inlineStr">
        <is>
          <t>Booz Allen Hamilton</t>
        </is>
      </c>
      <c r="D3" t="inlineStr">
        <is>
          <t>indeed</t>
        </is>
      </c>
      <c r="E3" t="inlineStr"/>
      <c r="F3" t="inlineStr"/>
      <c r="G3" t="inlineStr">
        <is>
          <t>McLean, VA, US</t>
        </is>
      </c>
      <c r="H3" s="2" t="n">
        <v>46065</v>
      </c>
      <c r="I3" t="inlineStr">
        <is>
          <t>AI/ML Engineer and AI Shared Service Developer**The Opportunity:**
As an experienced AI/ML Engineer, you will help develop and operationalize a secure, scalable, production\-grade AI library of reusable solutions and shared services that advance the deployment of common AI solutions across the federal government. You will work closely with solution architects and product owners to deliver high\-impact AI/ML solutions across a broad range of use cases.
In this role, you will design and build, shared services using platforms built on Databricks, Amazon Bedrock, and custom AI/ML models. You will develop AI solutions to accelerate and improve system security, core business functionality such as document processing and virtual agents, and AIOps to streamline cloud and data platform operations. You will work closely with cloud engineers, SRE, and data engineers to develop use cases, prototype solutions, and deploy agents across the cloud infrastructure. You will build and operate production\-grade ML pipelines with strong MLOps practices—including versioning, CI/CD, monitoring, drift detection, explainability, and fairness—and integrate with shared enterprise services using API\-first and event\-driven patterns. You will also harden the platform to meet security and compliance requirements, including ATO, produce architecture and operational documentation, and collaborate closely with product, fraud, and case management teams in an Agile delivery environment. Due to the nature of work performed within this facility, U.S. citizenship is required.
Join us. The world can’t wait.
**You Have:**
* 5\+ years of experience designing, modifying, developing, writing, and implementing software programming applications using agile methods
* 5\+ years of experience in software development with programming languages, technologies, tools, or web development stacks such as JavaScript, Python, or Scala
* Experience with Amazon Bedrock and Databricks for developing AI solutions
* Experience with agentic coding solutions including GitHub Copilot
* Experience with API\-first and event\-driven integration patterns, including secure service\-to\-service communication
* Experience working in Agile delivery environments, collaborating with product owners, SMEs, and engineering teams
* Knowledge of responsible AI practices, including explainability, fairness, and bias assessment
* Ability to design and document architecture artifacts, data contracts, and operational runbooks
* Public Trust
* Bachelor's degree or 5\+ years of experience in software engineering in lieu of a degree
**Nice If You Have:**
* Experience building, deploying, and operating production
* Experience with ML models, including supervised, unsupervised, and anomaly detection, including techniques for imbalanced datasets
* Experience with integrating custom AI models into enterprise workflows
* Experience in enterprise modernization programs, including cloud migration, microservices, API strategy, and DevSecOps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
      <c r="A4" t="inlineStr">
        <is>
          <t>in-eff29b1c7400f7c2</t>
        </is>
      </c>
      <c r="B4" t="inlineStr">
        <is>
          <t>AI/ML Engineer and AI Shared Service Developer</t>
        </is>
      </c>
      <c r="C4" t="inlineStr">
        <is>
          <t>Booz Allen Hamilton</t>
        </is>
      </c>
      <c r="D4" t="inlineStr">
        <is>
          <t>indeed</t>
        </is>
      </c>
      <c r="E4" t="inlineStr"/>
      <c r="F4" t="inlineStr"/>
      <c r="G4" t="inlineStr">
        <is>
          <t>McLean, VA, US</t>
        </is>
      </c>
      <c r="H4" s="2" t="n">
        <v>46065</v>
      </c>
      <c r="I4" t="inlineStr">
        <is>
          <t>AI/ML Engineer and AI Shared Service Developer**The Opportunity:**
As an experienced AI/ML Engineer, you will help develop and operationalize a secure, scalable, production\-grade AI library of reusable solutions and shared services that advance the deployment of common AI solutions across the federal government. You will work closely with solution architects and product owners to deliver high\-impact AI/ML solutions across a broad range of use cases.
In this role, you will design and build, shared services using platforms built on Databricks, Amazon Bedrock, and custom AI/ML models. You will develop AI solutions to accelerate and improve system security, core business functionality such as document processing and virtual agents, and AIOps to streamline cloud and data platform operations. You will work closely with cloud engineers, SRE, and data engineers to develop use cases, prototype solutions, and deploy agents across the cloud infrastructure. You will build and operate production\-grade ML pipelines with strong MLOps practices—including versioning, CI/CD, monitoring, drift detection, explainability, and fairness—and integrate with shared enterprise services using API\-first and event\-driven patterns. You will also harden the platform to meet security and compliance requirements, including ATO, produce architecture and operational documentation, and collaborate closely with product, fraud, and case management teams in an Agile delivery environment. Due to the nature of work performed within this facility, U.S. citizenship is required.
Join us. The world can’t wait.
**You Have:**
* 5\+ years of experience designing, modifying, developing, writing, and implementing software programming applications using agile methods
* 5\+ years of experience in software development with programming languages, technologies, tools, or web development stacks such as JavaScript, Python, or Scala
* Experience with Amazon Bedrock and Databricks for developing AI solutions
* Experience with agentic coding solutions including GitHub Copilot
* Experience with API\-first and event\-driven integration patterns, including secure service\-to\-service communication
* Experience working in Agile delivery environments, including collaborating with product owners, SMEs, and engineering teams
* Knowledge of Responsible AI practices, including explainability, fairness, and bias assessment
* Ability to design and document architecture artifacts, data contracts, and operational runbooks
* Public Trust
* Bachelor's degree
**Nice If You Have:**
* Experience with administration of continuous integration/continuous deployment (CI/CD) pipelines using Kubernetes, Docker, or Jenkins
* Master’s degree
* ML, AI, or solution architecture certification
**Vetting****:**
Applicants selected will be subject to a government investigation and may need to meet eligibility requirements of the U.S. government client; Public Trust determination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5">
      <c r="A5" t="inlineStr">
        <is>
          <t>in-9a0cafaea8b13c97</t>
        </is>
      </c>
      <c r="B5" t="inlineStr">
        <is>
          <t>Staff Applied Scientist - AI &amp; Robotics</t>
        </is>
      </c>
      <c r="C5" t="inlineStr">
        <is>
          <t>Tata Consultancy Services (TCS)</t>
        </is>
      </c>
      <c r="D5" t="inlineStr">
        <is>
          <t>indeed</t>
        </is>
      </c>
      <c r="E5" t="inlineStr"/>
      <c r="F5" t="inlineStr"/>
      <c r="G5" t="inlineStr">
        <is>
          <t>Mountain View, CA, US</t>
        </is>
      </c>
      <c r="H5" s="2" t="n">
        <v>46065</v>
      </c>
      <c r="I5" t="inlineStr">
        <is>
          <t>Must Have Technical/Functional Skills
* PhD in a relevant STEM field, or Master’s with equivalent industry experience in robotics, robot learning, or embodied AI.
* Proven experience building and deploying machine learning models on robotic systems—including training, evaluation, and real\-world execution or simulation.
* Deep understanding of modern AI architectures (e.g., Transformers, diffusion models, VLM/VLAs, CNNs) with strong experience training models at scale.
* Strong PyTorch implementation skills, including authoring custom modules, batching, debugging, and performance optimization.
* Practical experience with ROS/ROS2 and integrating learned policies into manipulation or motion control workflows.
* Demonstrated impact via robot learning publications, open\-source contributions, or production robotics deployments.
Roles \&amp; Responsibilities
* Design and implement advanced robot learning architectures (e.g., diffusion policies, ACT, VLM/VLA\-guided agents, imitation learning) to support dexterous manipulation, path planning, and autonomous task sequencing.
* Develop end\-to\-end policy training pipelines, integrating multi\-modal sensory data (RGB, depth, proprioception, force/torque, LiDAR, tactile inputs) with control outputs.
* Build policy inference and closed\-loop control that connect perception, planning, and execution on physical robotic platforms.
* Apply and extend large\-scale architectures—LLMs, VLM/VLAs, diffusion models—to embodied tasks, grounding, and sim\-to\-real adaptation.
* Collaborate with cross\-functional teams to deploy robot policies on hardware, ensuring robustness, repeatability, and safety.
* Lead data strategy for demonstrations, teleoperation, simulation pipelines, and evaluation frameworks for manipulation policies.
* Stay current with embodied AI research and share insights internally through discussion, mentorship, and technical presentations
Base Salary Range : $130,000 to $170,000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\#LI\-SV2
\#LI\-KUMARAN
**Location**
Mountain View, CA
**Job Function**
TECHNOLOGY
**Role**
Research Engineer
**Job Id**
396779
**Desired Skills**
Robotics
**Salary Range**
$130,000\-$170,000 \[jobDescription.year]
Desired Candidate Profile
**Qualifications** : BACHELOR OF COMPUTER SCIENCE</t>
        </is>
      </c>
    </row>
    <row r="6">
      <c r="A6" t="inlineStr">
        <is>
          <t>in-d801fa39c5d0356a</t>
        </is>
      </c>
      <c r="B6" t="inlineStr">
        <is>
          <t>AI/ML Engineer</t>
        </is>
      </c>
      <c r="C6" t="inlineStr">
        <is>
          <t>Booz Allen Hamilton</t>
        </is>
      </c>
      <c r="D6" t="inlineStr">
        <is>
          <t>indeed</t>
        </is>
      </c>
      <c r="E6" t="inlineStr"/>
      <c r="F6" t="inlineStr"/>
      <c r="G6" t="inlineStr">
        <is>
          <t>Chantilly, VA, US</t>
        </is>
      </c>
      <c r="H6" s="2" t="n">
        <v>46065</v>
      </c>
      <c r="I6" t="inlineStr">
        <is>
          <t>AI/ML Engineer**The Opportunity:**
At a certain point, experience\-based system design can start to look like clairvoyance. When you’ve developed so many systems that you can not only orchestrate the best solution for any technology\-based challenge, but you can also anticipate and preempt future issues, you’re a solutions architect. You’ve evolved your skills into strategy through a long path of software development accomplishments and the curiosity to understand how all the pieces of an IT ecosystem fit together. Are you ready to use your combination of knowledge, skill, and experience to take on the toughest challenges in space solutions?
As an AI Engineer on our team, you'll translate your customers’ IT needs and future goals into a plan by crafting AI solutions. With your guidance, we’ll help transform the way our space client uses technology, including AI implementation, cloud migration, integrating advanced technology, and modernizing legacy systems. And, what do you do next in a career where you’ve reached this level? You mentor the next set of developers to help them grow into tomorrow’s solutions architects.
Work with us and build the future of technology in space for the better.
Join us. The world can’t wait.
**You Have:**
* 3\+ years of experience creating technical solutions for artificial intelligence technologies, machine learning, and their applications in business
* 3\+ years of experience architecting and designing solutions with enterprise\-scale technologies, including Web Application, Database, Container Computing Platform, Identity and Access Management, API Management, Infrastructure, Networks, Web and Integration software
* Experience working in data engineering, data science, software engineering, and MLOps, including in AI and machine learning deployment
* Experience with agent design, including planning multi\-agent systems and goal pursuit
* TS/SCI clearance with a polygraph
* Bachelor's degree and 5\+ years of experience working in information technology, or 10\+ years of experience in working in information technology in lieu of a degree
**Nice If You Have:**
* Master’s degree
* ML, AI, or Solution Architecture Certification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7">
      <c r="A7" t="inlineStr">
        <is>
          <t>in-56fa372d23610df6</t>
        </is>
      </c>
      <c r="B7" t="inlineStr">
        <is>
          <t>Agentic AI Engineer</t>
        </is>
      </c>
      <c r="C7" t="inlineStr">
        <is>
          <t>Booz Allen Hamilton</t>
        </is>
      </c>
      <c r="D7" t="inlineStr">
        <is>
          <t>indeed</t>
        </is>
      </c>
      <c r="E7" t="inlineStr"/>
      <c r="F7" t="inlineStr"/>
      <c r="G7" t="inlineStr">
        <is>
          <t>Washington, DC, US</t>
        </is>
      </c>
      <c r="H7" s="2" t="n">
        <v>46065</v>
      </c>
      <c r="I7" t="inlineStr">
        <is>
          <t>Agentic AI Engineer**The Opportunity:**  
We are looking for a highly skilled Agentic AI Engineer to join our team, specializing in building autonomous, goal\-oriented AI systems. You will play a crucial role in shifting our AI strategy from passive LLM chatbots to proactive, multi\-agent orchestrations. In this role, you will utilize deep experience in agent orchestration frameworks, RAG, knowledge graphs, and fine\-tuning Small Language Models (SLMs) for edge deployment.  
**What You'll Work On:**
* Design and implement intelligent agent architectures that can reason, plan, and take actions using LangChain, LangGraph, and AutoGen.
* Develop and deploy multi\-agent systems using MCP (Model Context Protocol) and A2A (Agent\-to\-Agent) protocols to facilitate communication, tool usage, and collaborative task solving.
* Build advanced RAG pipelines integrating unstructured data with Knowledge Graphs (KG) to enhance reasoning accuracy and context retention.
* Fine\-tune Small Language Models (SLMs) for specific domains and optimize them for edge device performance, including ONNX, GGML, or Ollama.
* Develop evaluation frameworks to test agent reliability, safety, and performance, moving from prototype to production, including ReAct loops and human\-in\-the\-loop.
Join us. The world can’t wait.
**You Have:**
* 5\+ years of experience in software development
* 2\+ years of experience with GenAI, LLMs, and agentic workflows
* Experience with LangChain, LangGraph, AutoGen, or LlamaIndex
* Experience with Model Context Protocol (MCP) for tool integration and A2A for agent\-to\-agent collaboration
* Experience in RAG architecture and Knowledge Graphs, including Neo4j or NebulaGraph
* Experience fine\-tuning LLMs or SLMs using Hugging Face, PEFT, or LoRA
* Knowledge of modern software design patterns, including microservice design or edge computing
* Ability to obtain a Secret clearance
* Bachelor’s degree in a Computer Science or AI field
**Nice If You Have:**
* Experience deploying agentic systems in a production environment
* Experience deploying agents on edge devices such as Android or local models
* Experience integrating coding agents such as Cursor or Windsurf into an efficient development pipeline with measured results
* Master’s degree in a Computer Science or AI field preferred; Doctorate degree in Computer Science or Statistics a plus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8">
      <c r="A8" t="inlineStr">
        <is>
          <t>in-9b28916cb2b14539</t>
        </is>
      </c>
      <c r="B8" t="inlineStr">
        <is>
          <t>Lead Machine Learning Engineer (Enterprise Platform Technology)</t>
        </is>
      </c>
      <c r="C8" t="inlineStr">
        <is>
          <t>Capital One</t>
        </is>
      </c>
      <c r="D8" t="inlineStr">
        <is>
          <t>indeed</t>
        </is>
      </c>
      <c r="E8" t="inlineStr"/>
      <c r="F8" t="inlineStr"/>
      <c r="G8" t="inlineStr">
        <is>
          <t>New York, NY, US</t>
        </is>
      </c>
      <c r="H8" s="2" t="n">
        <v>46064</v>
      </c>
      <c r="I8" t="inlineStr">
        <is>
          <t>Lead Machine Learning Engineer (Enterprise Platform Technology)
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Machine Learning Engineer  
New York, NY: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
      <c r="A9" t="inlineStr">
        <is>
          <t>in-7fc631829003b019</t>
        </is>
      </c>
      <c r="B9" t="inlineStr">
        <is>
          <t>Machine Learning Engineer</t>
        </is>
      </c>
      <c r="C9" t="inlineStr">
        <is>
          <t>Quest Global</t>
        </is>
      </c>
      <c r="D9" t="inlineStr">
        <is>
          <t>indeed</t>
        </is>
      </c>
      <c r="E9" t="inlineStr"/>
      <c r="F9" t="inlineStr"/>
      <c r="G9" t="inlineStr">
        <is>
          <t>Sunnyvale, CA, US</t>
        </is>
      </c>
      <c r="H9" s="2" t="n">
        <v>46065</v>
      </c>
      <c r="I9" t="inlineStr">
        <is>
          <t>**Job Requirements**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**What You will Do:**
* Designing, and Developing ML systems .
* Collaborating with data scientists and engineers to select, collect, clean, preprocess, and analyze large datasets for model training and feature engineering.
* Time series forecasting
* Implementing appropriate ML algorithms and using frameworks like TensorFlow or PyTorch.
* Building scalable ML pipelines, deploying models into production environments (often using Docker, Kubernetes, and cloud platforms like AWS), and creating APIs for application integration.
* Dashboard and Data Analytics
* Analysis to interpret results, and monitor deployed models for performance and potential issues.
* Collaboration and Communication: Working with cross\-functional teams
* Staying updated with the latest advancements in machine learning, deep learning, and AI tooling to incorporate new knowledge into ongoing projects.
* Domain: Demand and supply planning
* Python, TensorFlow, PyTorch, scikit\-learn
* ML pipelines and data processing systems.
* ML models
 **What you will bring:**
* Expert\-level proficiency in Python is standard
* In\-depth knowledge of ML frameworks such as TensorFlow / PyTorch
* Solid understanding of probability, statistics, linear algebra, and calculus is essential for algorithm development and model evaluation.
* Experience with software architecture, data structures, unit testing, version control (Git), and general software development best practices.
* Familiarity with tools for processing data
* Experience with cloud services for deploying and managing ML models (AWS).
* Experince with Data pipelines, SQL and Snowflake
* Strong analytical and problem\-solving abilities.
* Excellent communication and teamwork skills.
* Adaptability and a commitment to continuous learning in a fast\-evolving field
**Pay Range:** $100K \- $105K
 *Compensation decisions are made based on factors including experience, skills, education, and other job\-related factors, in accordance with our internal pay structure. We also offer a comprehensive benefits package, including health insurance, paid time off, and retirement plan.*
 **Work Experience**  
* Python, TensorFlow, PyTorch, scikit\-learn
* ML pipelines and data processing systems.
* ML models
**Benefits**  
Full time</t>
        </is>
      </c>
    </row>
    <row r="10">
      <c r="A10" t="inlineStr">
        <is>
          <t>in-918f2ae8f1591e18</t>
        </is>
      </c>
      <c r="B10" t="inlineStr">
        <is>
          <t>Applied Scientist - Pricing, Rider Engagement</t>
        </is>
      </c>
      <c r="C10" t="inlineStr">
        <is>
          <t>Lyft</t>
        </is>
      </c>
      <c r="D10" t="inlineStr">
        <is>
          <t>indeed</t>
        </is>
      </c>
      <c r="E10" t="inlineStr"/>
      <c r="F10" t="inlineStr"/>
      <c r="G10" t="inlineStr">
        <is>
          <t>San Francisco, CA, US</t>
        </is>
      </c>
      <c r="H10" s="2" t="n">
        <v>46065</v>
      </c>
      <c r="I10"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Rider Engagement is a fast\-growing team within Pricing, focused on developing rider\-facing engagement levers and optimizing user pricing experience to drive both short term and long term business outcomes.
As an Applied Scientist specializing in Machine Learning and Operational Research on this team, you will develop mathematical models and launch algorithms that power core discounting systems and pricing decisions. You will be hands\-on with building ML and optimization models, productionizing pipelines, building and scaling systems that deal with real\-time data processing, large data storage and critical business problems that have a big impact on the marketplace and customer experience. You will get exposure to diverse problems across optimization, prediction, machine learning, and inference; you will collaborate with teammates and stakeholders to build and scale our systems and enhance algorithms.
We are looking for someone who is excited about working in a fast\-paced, innovative, and impactful environment, and is adept at balancing complexity and efficiency to translate real world business problems into reliable solutions, systems and decisioning frameworks.
**Responsibilities:**
---------------------
* Partner with Data Scientists, Engineers, Product Managers, and Business Partners to frame problems mathematically and within the business context
* Write production quality code. Design, build and deploy production\-grade ML models.
* Perform data analysis and build proof\-of\-concept to explore and propose ML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 M.S. or Ph.D. in Machine Learning, Operations Research, Statistics, Computer Science or other quantitative fields
* 2\+ years of machine learning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and ability to collaborate and communicate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1">
      <c r="A11" t="inlineStr">
        <is>
          <t>in-1df834dbc9cc618a</t>
        </is>
      </c>
      <c r="B11" t="inlineStr">
        <is>
          <t>Applied Scientist - Pricing, Rider Engagement</t>
        </is>
      </c>
      <c r="C11" t="inlineStr">
        <is>
          <t>Lyft</t>
        </is>
      </c>
      <c r="D11" t="inlineStr">
        <is>
          <t>indeed</t>
        </is>
      </c>
      <c r="E11" t="inlineStr"/>
      <c r="F11" t="inlineStr"/>
      <c r="G11" t="inlineStr">
        <is>
          <t>New York, NY, US</t>
        </is>
      </c>
      <c r="H11" s="2" t="n">
        <v>46065</v>
      </c>
      <c r="I11"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Rider Engagement is a fast\-growing team within Pricing, focused on developing rider\-facing engagement levers and optimizing user pricing experience to drive both short term and long term business outcomes.
As an Applied Scientist specializing in Machine Learning and Operational Research on this team, you will develop mathematical models and launch algorithms that power core discounting systems and pricing decisions. You will be hands\-on with building ML and optimization models, productionizing pipelines, building and scaling systems that deal with real\-time data processing, large data storage and critical business problems that have a big impact on the marketplace and customer experience. You will get exposure to diverse problems across optimization, prediction, machine learning, and inference; you will collaborate with teammates and stakeholders to build and scale our systems and enhance algorithms.
We are looking for someone who is excited about working in a fast\-paced, innovative, and impactful environment, and is adept at balancing complexity and efficiency to translate real world business problems into reliable solutions, systems and decisioning frameworks.
**Responsibilities:**
---------------------
* Partner with Data Scientists, Engineers, Product Managers, and Business Partners to frame problems mathematically and within the business context
* Write production quality code. Design, build and deploy production\-grade ML models.
* Perform data analysis and build proof\-of\-concept to explore and propose ML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 M.S. or Ph.D. in Machine Learning, Operations Research, Statistics, Computer Science or other quantitative fields
* 2\+ years of machine learning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and ability to collaborate and communicate with others to solve a problem
**Benefits:**
-------------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12">
      <c r="A12" t="inlineStr">
        <is>
          <t>in-d94e24c67396cfa5</t>
        </is>
      </c>
      <c r="B12" t="inlineStr">
        <is>
          <t>Senior Machine Learning Engineer</t>
        </is>
      </c>
      <c r="C12" t="inlineStr">
        <is>
          <t>Apple</t>
        </is>
      </c>
      <c r="D12" t="inlineStr">
        <is>
          <t>indeed</t>
        </is>
      </c>
      <c r="E12" t="inlineStr"/>
      <c r="F12" t="inlineStr"/>
      <c r="G12" t="inlineStr">
        <is>
          <t>Cupertino, CA, US</t>
        </is>
      </c>
      <c r="H12" s="2" t="n">
        <v>46065</v>
      </c>
      <c r="I12"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We are looking for a passionate, highly motivated, and hands\-on applied Senior Machine Learning Engineer. This role will assist our Online Retail Decision Automation team by helping to research and develop the next generation of algorithms used to drive the Apple Online experience! The role spans central areas of our Apple Online Store including developing models for product search, recommendation systems (e.g. ranking, page generation), personalization (e.g. evidence, messaging, marketing), Generative AI and optimize Apple\-wide systems \&amp; infrastructure. As a member of the fast\-paced team, you will have the outstanding and great opportunity to work on new projects and craft upcoming products that will delight and encourage millions of Appleʼs customers ever day.  
**Description**  
To be successful, candidates will need a machine learning background, proven software development skills, a love of learning. They will also need to be able to collaborate with multi\-functional teams, including researchers, engineers, data scientists/analysts, and product managers, to help develop and implement machine learning algorithms and testing workflows.","responsibilities":"Collaborate with other MLEs to build scalable, production\-ready ML solutions, taking algorithms from initial concept through to deployment.  
Give to the ongoing improvement of our ML infrastructure and tooling.  
Engage in continuous learning and development, staying up\-to\-date with the latest advances in machine learning and software engineering.  
Mentor junior MLEs on the team to ensure best practices are followed.  
**Preferred Qualifications**  
PhD or Graduate degree with research/work experience using data science techniques (including but not limited to Computer Science, Statistics, Mathematics, etc).  
Experience in Recommender Systems, Personalization, Search, Computational Advertising or Natural Language Processing including RAG based Generative AI and transformer architecture.  
Skilled in communication, problem solving, critical thinking.  
Experience using Deep Learning, Bandits, Probabilistic Graphical Models, or Reinforcement Learning in real applications a plus.  
Experience with Spark, TensorFlow, Keras, and PyTorch a plus  
**Minimum Qualifications**  
Bachelorʼs degree in Computer Science, Statistics, Mathematics with equivalent experience.  
5\+ years of related experience building high throughput scalable applications or building machine learning models.  
Proficiency in one or more object\-oriented programming languages such as Python, Java, C\+\+ and experience building distributed systems.  
Experience building data processing pipelines and large scale machine learning systems with experience in big data technologies like Spark, SQL, Snowflake/Hadoop, etc.  
Skilled in communication, problem solving, critical thinking Attention to detail, data accuracy and quality of output.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3">
      <c r="A13" t="inlineStr">
        <is>
          <t>in-a58de73e2236c339</t>
        </is>
      </c>
      <c r="B13" t="inlineStr">
        <is>
          <t>Senior Machine Learning Engineer</t>
        </is>
      </c>
      <c r="C13" t="inlineStr">
        <is>
          <t>Apple</t>
        </is>
      </c>
      <c r="D13" t="inlineStr">
        <is>
          <t>indeed</t>
        </is>
      </c>
      <c r="E13" t="inlineStr"/>
      <c r="F13" t="inlineStr"/>
      <c r="G13" t="inlineStr">
        <is>
          <t>Cupertino, CA, US</t>
        </is>
      </c>
      <c r="H13" s="2" t="n">
        <v>46065</v>
      </c>
      <c r="I13" t="inlineStr">
        <is>
          <t>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We are looking for a passionate, highly motivated, and hands\-on applied Senior Machine Learning Engineer. This role will assist our Online Retail Decision Automation team by helping to research and develop the next generation of algorithms used to drive the Apple Online experience! The role spans central areas of our Apple Online Store including developing models for product search, recommendation systems (e.g. ranking, page generation), personalization (e.g. evidence, messaging, marketing), Generative AI and optimize Apple\-wide systems \&amp; infrastructure. As a member of the fast\-paced team, you will have the outstanding and great opportunity to work on new projects and craft upcoming products that will delight and encourage millions of Appleʼs customers ever day.  
**Description**  
To be successful, candidates will need a machine learning background, proven software development skills, a love of learning. They will also need to be able to collaborate with multi\-functional teams, including researchers, engineers, data scientists/analysts, and product managers, to help develop and implement machine learning algorithms and testing workflows.","responsibilities":"Collaborate with other MLEs to build scalable, production\-ready ML solutions, taking algorithms from initial concept through to deployment.  
Give to the ongoing improvement of our ML infrastructure and tooling.  
Engage in continuous learning and development, staying up\-to\-date with the latest advances in machine learning and software engineering.  
Mentor junior MLEs on the team to ensure best practices are followed.  
**Preferred Qualifications**  
PhD or Graduate degree with research/work experience using data science techniques (including but not limited to Computer Science, Statistics, Mathematics, etc).  
Experience in Recommender Systems, Personalization, Search, Computational Advertising or Natural Language Processing including RAG based Generative AI and transformer architecture.  
Skilled in communication, problem solving, critical thinking.  
Experience using Deep Learning, Bandits, Probabilistic Graphical Models, or Reinforcement Learning in real applications a plus.  
Experience with Spark, TensorFlow, Keras, and PyTorch a plus  
**Minimum Qualifications**  
Bachelorʼs degree in Computer Science, Statistics, Mathematics with equivalent experience.  
5\+ years of related experience building high throughput scalable applications or building machine learning models.  
Proficiency in one or more object\-oriented programming languages such as Python, Java, C\+\+ and experience building distributed systems.  
Experience building data processing pipelines and large scale machine learning systems with experience in big data technologies like Spark, SQL, Snowflake/Hadoop, etc.  
Skilled in communication, problem solving, critical thinking Attention to detail, data accuracy and quality of output.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
      <c r="A14" t="inlineStr">
        <is>
          <t>in-2021adcf3cc3ccfa</t>
        </is>
      </c>
      <c r="B14" t="inlineStr">
        <is>
          <t>AI/ML Engineer - Hybrid Onsite</t>
        </is>
      </c>
      <c r="C14" t="inlineStr">
        <is>
          <t>Optum</t>
        </is>
      </c>
      <c r="D14" t="inlineStr">
        <is>
          <t>indeed</t>
        </is>
      </c>
      <c r="E14" t="inlineStr"/>
      <c r="F14" t="inlineStr"/>
      <c r="G14" t="inlineStr">
        <is>
          <t>Minnetonka, MN, US</t>
        </is>
      </c>
      <c r="H14" s="2" t="n">
        <v>46065</v>
      </c>
      <c r="I14"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looking for a talented and motivated Data Scientist to join our team. The perfect candidate will have experience with LLMs and be skilled in developing and implementing machine learning solutions. You will utilize the Langchain framework to work with both closed source and open source models, and apply fine\-tuning and Retrieval\-Augmented Generation (RAG) methodologies to optimize language models for specific tasks and datasets.
 **Primary Responsibilities:**
* Develop and implement machine learning solutions using LLMs
* Utilize the Langchain framework for working with closed source and open\-source models
* Apply fine\-tuning methodologies to optimize machine learning models for specific tasks and datasets
* Write clean, maintainable, and efficient code adhering to PEP8 standards
* Utilize containerization technologies such as Docker for development and deployment
* Ensure the production quality of code, including thorough testing and documentation
* Be comfortable working on the terminal for various development and deployment tasks
* Work on traditional machine learning methods like XGBoost for classification tasks and unsupervised learning techniques like K\-means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2\+ years of proven experience working with Large Language Models (LLMs)
* 2\+ years of professional coding experience in Python, following PEP8 standards
* 1\+ years of hands\-on experience using the LangChain framework
* 2\+ years of experience with machine learning concepts and fine\-tuning methodologies
* 1\+ years of experience with Retrieval\-Augmented Generation (RAG) techniques
* 1\+ year of experience with containerization technologies such as Docker
* 1\+ years of experience with version control systems such as Git.
* Experience ensuring production\-quality code, including thorough testing and documentation
* Proven solid problem\-solving skills and attention to detail
* Proven ability to write clean, maintainable, and efficient code
* Proven comfortable working in the terminal for development and deployment tasks
 **Preferred Qualifications:**
* Healthcare experience
* Statistical knowledge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5">
      <c r="A15" t="inlineStr">
        <is>
          <t>in-d2260cee67a96023</t>
        </is>
      </c>
      <c r="B15" t="inlineStr">
        <is>
          <t>Machine Learning Engineer</t>
        </is>
      </c>
      <c r="C15" t="inlineStr">
        <is>
          <t>Quest Global</t>
        </is>
      </c>
      <c r="D15" t="inlineStr">
        <is>
          <t>indeed</t>
        </is>
      </c>
      <c r="E15" t="inlineStr"/>
      <c r="F15" t="inlineStr"/>
      <c r="G15" t="inlineStr">
        <is>
          <t>Sunnyvale, CA, US</t>
        </is>
      </c>
      <c r="H15" s="2" t="n">
        <v>46064</v>
      </c>
      <c r="I15" t="inlineStr">
        <is>
          <t>**Job Requirements**  
Quest Global delivers world\-class end\-to\-end engineering solutions by leveraging our deep industry knowledge and digital expertise. By bringing together technologies and industries, alongside the contributions of diverse individuals and their areas of expertise, we are able to solve problems better, faster. This multi\-dimensional approach enables us to solve the most critical and large\-scale challenges across the aerospace \&amp; defense, automotive, energy, hi\-tech, healthcare, medical devices, rail and semiconductor industries.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we’re eager to hear from you. The achievers and courageous challenge\-crushers we seek, have the following characteristics and skills
 **What You will Do:**
* Designing, and Developing ML systems .
* Collaborating with data scientists and engineers to select, collect, clean, preprocess, and analyze large datasets for model training and feature engineering.
* Time series forecasting
* Implementing appropriate ML algorithms and using frameworks like TensorFlow or PyTorch.
* Building scalable ML pipelines, deploying models into production environments (often using Docker, Kubernetes, and cloud platforms like AWS), and creating APIs for application integration.
* Dashboard and Data Analytics
* Analysis to interpret results, and monitor deployed models for performance and potential issues.
* Collaboration and Communication: Working with cross\-functional teams
* Staying updated with the latest advancements in machine learning, deep learning, and AI tooling to incorporate new knowledge into ongoing projects.
* Domain: Demand and supply planning
* Python, TensorFlow, PyTorch, scikit\-learn
* ML pipelines and data processing systems.
* ML models
 **What you will bring:**
* Expert\-level proficiency in Python is standard
* In\-depth knowledge of ML frameworks such as TensorFlow / PyTorch
* Solid understanding of probability, statistics, linear algebra, and calculus is essential for algorithm development and model evaluation.
* Experience with software architecture, data structures, unit testing, version control (Git), and general software development best practices.
* Familiarity with tools for processing data
* Experience with cloud services for deploying and managing ML models (AWS).
* Experince with Data pipelines, SQL and Snowflake
* Strong analytical and problem\-solving abilities.
* Excellent communication and teamwork skills.
* Adaptability and a commitment to continuous learning in a fast\-evolving field
**Pay Range:** $100K \- $105K
 *Compensation decisions are made based on factors including experience, skills, education, and other job\-related factors, in accordance with our internal pay structure. We also offer a comprehensive benefits package, including health insurance, paid time off, and retirement plan.*
 **Work Experience**  
* Python, TensorFlow, PyTorch, scikit\-learn
* ML pipelines and data processing systems.
* ML models
**Benefits**  
Full time</t>
        </is>
      </c>
    </row>
    <row r="16">
      <c r="A16" t="inlineStr">
        <is>
          <t>in-60657597d8e87ebe</t>
        </is>
      </c>
      <c r="B16" t="inlineStr">
        <is>
          <t>Principal Applied Scientist</t>
        </is>
      </c>
      <c r="C16" t="inlineStr">
        <is>
          <t>Microsoft</t>
        </is>
      </c>
      <c r="D16" t="inlineStr">
        <is>
          <t>indeed</t>
        </is>
      </c>
      <c r="E16" t="inlineStr"/>
      <c r="F16" t="inlineStr"/>
      <c r="G16" t="inlineStr">
        <is>
          <t>Reston, VA, US</t>
        </is>
      </c>
      <c r="H16" s="2" t="n">
        <v>46058</v>
      </c>
      <c r="I16" t="inlineStr">
        <is>
          <t>**Overview**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**Cloud Operations \&amp; Innovation (CO\+I)** team is the engine that powers our cloud services. **CO\+I** delivers and operates the safest, most available and secure cloud in the industry. **CO\+I Engineering (CO\+IE)** is the software team that delivers tools, automation, and AI to enable fast, predictable delivery of datacenter capacity, and safe, reliable, and efficient execution of the processes associated with the full life cycle of datacenter management and operations.
We are looking for a **Principal Applied Scientist** to build production\-facing optimization models to minimize waste across our supply chain and data center resources. This role is a leadership lynchpin in the delivery of business value across **CO\+I**, as well as upstream and downstream partner organizations. Working closely with business leaders, the role owns the technical strategy, definition, and delivery of optimization models, coupled with algorithmic support for various production processes. In the coming agentic environment, this role can create the future, applying emerging ideas and technologies toward efficiency, availability, and scale.
This leader will be responsible for creating and sustaining an environment focused on outcomes and accountability, building and owning a broad set of systems and processes, and partnering with cross‑functional leaders to deliver value for the company. The scope of responsibility is wide, supporting capacity planning efforts that guide billions of dollars in spend and serve as a key driver of overall company growth. This leader will be expected to deliver outcomes amid ambiguity and significant change, and to bring experience leading global, business‑critical organizations through periods of transformation.
In alignment with our Microsoft values, we are committed to cultivating an inclusive work environment for all employees to positively impact our culture every day. As a group, **CO\+I** is focused on personal and professional development for all employees and offers training and growth opportunities including Diversity \&amp; Inclusion trainings and events, and professional certifications.
 **Responsibilities**  
* Formulate a vision and execute a strategy to develop, support, and continuously improve scientific models that optimize datacenter capacity delivery and operation.
* Embrace AI to create operational efficiencies. Work closely with process experts and customers to refine existing processes, applying science and AI toward maximum efficiency.
* Collaborate with CO\+I leaders and teams to identify the highest value application of optimization capabilities, working with communities and key stakeholders to ensure alignment.
* Lead the team with customer\-first operational excellence, ownership, and continuous improvement that meet the scaling and other challenges of cloud delivery and operations. Set a great example as an inclusive leader while creating engagement, impact, and success across teams and individuals.
**Qualifications** **Required/minimum qualifications**
* Bachelor's Degree in Statistics, Econometrics, Computer Science, Electrical or Computer Engineering, or related field AND 8\+ years related experience (e.g., statistics, predictive analytics, research)
	+ OR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5\+ years related experience (e.g., statistics, predictive analytics, research)
	+ OR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Master's Degree in Statistics, Econometrics, Computer Science, Electrical or Computer Engineering, or related field AND 12\+ years related experience (e.g., statistics, predictive analytics, research)
	+ OR Doctorate in Statistics, Econometrics, Computer Science, Electrical or Computer Engineering, or related field AND 8\+ years related experience (e.g., statistics, predictive analytics, research)
	+ OR equivalent experience.
* 3\+ years experience presenting at conferences or other events in the outside research/industry community as an invited speaker.
* 7\+ years experience conducting research as part of a research program (in academic or industry settings).
* 5\+ years experience developing and deploying live production systems, as part of a product team.
* 7\+ years experience developing and deploying products or systems at multiple points in the product cycle from ideation to shipping.
\#COICareers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
      <c r="A17" t="inlineStr">
        <is>
          <t>in-5e78a1ce3149733a</t>
        </is>
      </c>
      <c r="B17" t="inlineStr">
        <is>
          <t>AI Engineer: Agentic Systems &amp; On-Premise Infrastructure - MADISON WISCONSIN, NO REMOTE</t>
        </is>
      </c>
      <c r="C17" t="inlineStr">
        <is>
          <t>EVO Tech (WI)</t>
        </is>
      </c>
      <c r="D17" t="inlineStr">
        <is>
          <t>indeed</t>
        </is>
      </c>
      <c r="E17" t="inlineStr"/>
      <c r="F17" t="inlineStr"/>
      <c r="G17" t="inlineStr">
        <is>
          <t>Madison, WI, US</t>
        </is>
      </c>
      <c r="H17" s="2" t="n">
        <v>46066</v>
      </c>
      <c r="I17" t="inlineStr">
        <is>
          <t>**The Mission**
While most of the industry is building wrappers around closed\-source APIs, we are building **Sovereign AI**. We design, deploy, and scale sophisticated agentic systems on our own private infrastructure. We are looking for a Senior AI Engineer who moves past "prompt engineering" to architect complex, stateful workflows where data security and hardware efficiency are the primary constraints. If you believe the future of AI belongs to those who own the weights and the silicon, you belong here.
**The Role**
As a Senior AI Engineer, you will own the end\-to\-end lifecycle of our internal AI ecosystem—from optimizing local inference engines to orchestrating multi\-agent swarms. You will build systems that don't just "chat," but reason, execute tools, and maintain state over long\-running business processes. This is a role for a "full\-stack" AI engineer: someone who understands both the mathematical foundations of LLMs and the systems engineering required to run them at scale on\-premise.
**Core Responsibilities**
* **Agentic Orchestration:** Architect multi\-agent systems using **LangGraph** or **PydanticAI**, implementing advanced patterns like Plan\-and\-Execute, Self\-Reflection, and Multi\-Agent Handoffs.
* **Production RAG:** Build high\-performance Retrieval\-Augmented Generation pipelines utilizing hybrid search, cross\-encoders, and re\-ranking within our private vector stores.
* **On\-Premise Optimization:** Manage the full inference stack. You will be responsible for optimizing model performance (latency vs. throughput) on local GPU clusters using **vLLM, TGI, or TensorRT\-LLM**.
* **Stateful Architecture:** Design resilient workflows that handle long\-running tasks, error recovery, and complex "human\-in\-the\-loop" interactions.
* **Evaluation \&amp; Benchmarking:** Develop rigorous, automated "LLM\-as\-a\-judge" frameworks to evaluate agentic performance, ensuring reliability and grounding.
**Technical Requirements**
* **Agentic Frameworks:** Expert\-level mastery of **LangGraph** (state machines/persistence) or **PydanticAI** (type\-safe logic/structured outputs).
* **Python Mastery:** Deep experience in asynchronous Python and building scalable, production\-grade backend services (FastAPI, Pydantic).
* **Infrastructure \&amp; Deployment:** Proven experience deploying open\-weights models (Llama, Mistral, DeepSeek) on bare\-metal or private Kubernetes environments.
* **The "Inner Workings":** A strong grasp of LLM fundamentals, including attention mechanisms, KV caching, and the impact of tokenization on performance/cost.
**Nice to Have (The Extra Mile)**
This role is specifically for engineers who enjoy the challenge of hardware constraints and model ownership:
* **Model Training \&amp; Refinement:** Experience with the full training lifecycle:
* **Pretraining:** Knowledge of data curation, pruning, and continued pretraining on domain\-specific datasets.
* **Post\-training:** Hands\-on experience with Supervised Fine\-Tuning (SFT) and alignment techniques like **DPO, ORPO, or RLHF**.
* **Model Compression \&amp; Efficiency:** Deep knowledge of quantization (GGUF, AWQ, EXL2\), model distillation, and graph optimization to squeeze maximum performance out of local hardware.
* **VRAM Management:** Ability to perform "VRAM math"—calculating memory requirements for various model sizes (e.g., 70B vs 8B) relative to context window length, batch sizes, and KV cache pressure.
* **Data Sovereignty:** A passion for building private systems where data privacy and infrastructure control are paramount.
Job Type: Full\-time
Pay: $5,000\.00 \- $7,000\.00 per month
Benefits:
* Paid time off
Work Location: In person</t>
        </is>
      </c>
    </row>
    <row r="18">
      <c r="A18" t="inlineStr">
        <is>
          <t>in-9aefc5bea85c200d</t>
        </is>
      </c>
      <c r="B18" t="inlineStr">
        <is>
          <t>Agentic AI Engineer with Banking/Payment Domain</t>
        </is>
      </c>
      <c r="C18" t="inlineStr">
        <is>
          <t>System Edge LLC.</t>
        </is>
      </c>
      <c r="D18" t="inlineStr">
        <is>
          <t>indeed</t>
        </is>
      </c>
      <c r="E18" t="inlineStr"/>
      <c r="F18" t="inlineStr"/>
      <c r="G18" t="inlineStr">
        <is>
          <t>Charlotte, NC, US</t>
        </is>
      </c>
      <c r="H18" s="2" t="n">
        <v>46066</v>
      </c>
      <c r="I18" t="inlineStr">
        <is>
          <t>Special Drive for hiring **\#OPT**/ **\#H4EAD**/ **\#GC**/ **\#USC**
**Job Overview**  
We are seeking a highly skilled Agentic AI Engineer specializing in the Banking and Payment domain to join our innovative team. This role involves developing, deploying, and optimizing advanced AI models to enhance financial services, payment processing, and customer experience. The ideal candidate will leverage expertise in machine learning frameworks, big data technologies, and natural language processing to drive intelligent solutions that meet the evolving needs of the banking industry. This position offers an exciting opportunity to work on cutting\-edge AI applications within a dynamic financial technology environment.
**Responsibilities**
* Design, develop, and implement machine learning models tailored for banking and payment systems using frameworks such as TensorFlow and other AI tools.
* Lead model training, validation, and deployment processes to ensure scalable and reliable AI solutions.
* Utilize big data technologies including Hadoop, Spark, and ETL tools like Talend to manage large datasets effectively.
* Perform data mining and analytics to extract actionable insights from complex financial data sources.
* Develop database schemas and optimize database design for efficient data storage and retrieval.
* Integrate natural language processing capabilities to enhance customer interactions and automate banking operations.
* Collaborate with cross\-functional teams to develop APIs and microservices for seamless integration of AI models into existing banking platforms.
* Maintain expertise in emerging technologies such as quantum engineering and linked data to innovate solutions in the financial sector.
* Ensure model deployment adheres to best practices for security, compliance, and performance across cloud environments like AWS.
* Document processes, create technical specifications, and provide ongoing support for deployed AI systems.
**Qualifications**
* 4\+ years of software engineering experience or equivalent with strong CS fundamentals
* Hands\-on experience building with LLMs and modern Al app stack (agents, RAG, tool/function calling).
* Strong proficiency in Python and building back\-end services/APls.
* Experience with at least one: LangChain/ LangGraph, Llamalndex, Semantic Kernel or equivalent frameworks.
* Experience with vector databases and search (e.g., Pinecone, Weaviate, Milvus, OpenSearch/Elastic, )
* Experience deploying services in cloud environments (AWS/Azure/GP) with basic DevOps practices
* Strong understanding of security and privacy principles (PIl handling, least privilege, audit logging)
* Preferred Qualifications
* Experience in financial services or other regulated domains (risk controls, compliance audit readiness)
* Familiarity with model evaluation approaches (LLM\-as\-judge, rubric scoring, retrieval evals, offline/online testing)
* Experience with messaging/eventing (Kafka/SQS), email ingestion pipelines, and document processing
* Exposure to MRM concerns and governance
* Bachelor’s or higher degree in Computer Science, Data Science, Engineering or related fields; relevant certifications are advantageous.
* This role is integral to advancing our capabilities in financial technology through innovative AI solutions that improve operational efficiency and customer engagement within the banking sector.
Pay: $50\.00 \- $60\.00 per hour
Experience:
* Agentic AI: 4 years (Required)
* Python: 2 years (Required)
* Banking / Payment Domain: 2 years (Required)
Location:
* Charlotte, NC 28217 (Required)
Ability to Commute:
* Charlotte, NC 28217 (Required)
Work Location: Hybrid remote in Charlotte, NC 28217</t>
        </is>
      </c>
    </row>
    <row r="19">
      <c r="A19" t="inlineStr">
        <is>
          <t>in-6c407beec44ba0ad</t>
        </is>
      </c>
      <c r="B19" t="inlineStr">
        <is>
          <t>Machine Learning Engineer - Computer Vision</t>
        </is>
      </c>
      <c r="C19" t="inlineStr">
        <is>
          <t>CaseGuard</t>
        </is>
      </c>
      <c r="D19" t="inlineStr">
        <is>
          <t>indeed</t>
        </is>
      </c>
      <c r="E19" t="inlineStr"/>
      <c r="F19" t="inlineStr"/>
      <c r="G19" t="inlineStr">
        <is>
          <t>Arlington, VA, US</t>
        </is>
      </c>
      <c r="H19" s="2" t="n">
        <v>46065</v>
      </c>
      <c r="I19" t="inlineStr">
        <is>
          <t>We are seeking a highly skilled and motivated Machine Learning Engineer specializing in Computer Vision to join our team. The ideal candidate will have a strong background in developing and deploying machine learning models focused on image and video processing. You will work closely with cross\-functional teams to design, implement, and optimize vision\-based AI solutions to address real\-world challenges.
**Key Responsibilities:**
* Design, develop, and deploy computer vision models for tasks such as object detection, object tracking, video segmentation, and facial recognition.
* Optimize and fine\-tune deep learning algorithms for real\-time performance.
* Work closely with the software engineers and product teams to identify opportunities for leveraging data.
* Collect, clean, and preprocess large datasets to prepare for model training and evaluation.
* Evaluate and optimize machine learning models for accuracy, performance, and scalability.
* Deploy models into production environments and monitor their performance to ensure reliability.
* Stay up\-to\-date with the latest advancements in computer vision and artificial intelligence.
* Collaborate with cross\-functional teams to integrate machine learning solutions into business processes.
* Document processes, models, and implementations to ensure reproducibility and scalability.
**Required Qualifications:**
* Bachelor's or Master's degree in Computer Science, Artificial Intelligence, Data Science, or a related field.
* Experience in deep learning models, their training, and hyperparameter tuning using libraries such as TensorFlow, PyTorch, and Transformers or other Huggingface tools.
* Experience with data manipulation tools such as Pandas, NumPy, and SQL.
* Strong programming skills in Python and C\+\+.
* Experience in MLOps principles and model deployment and instrumentation on cloud platforms such as AWS, Azure, or Google Cloud for model deployment and knowledge with efficient serving tools such as ONNX, triton, and vllm.
* Proficiency in working with image and video data, including preprocessing and augmentation techniques.
* Strong understanding of machine learning algorithms, including supervised and unsupervised learning and deep learning.
* Strong communication skills and the ability to work collaboratively in a team environment.
**Great to have:**
* Familiarity with containerization and orchestration tools like Docker and Kubernetes.
* Experience with version control systems such as Git.
* Understanding software engineering best practices, including code review, testing, and documentation.
* Experience with Large Language Models (LLMs) is a great plus.
* Experience with data annotation tools and processes.
**Benefits:**
* Competitive salary.
* Comprehensive health and wellness benefits.
* Professional development opportunities and continuous learning programs.
* Collaborative and inclusive work environment.</t>
        </is>
      </c>
    </row>
    <row r="20">
      <c r="A20" t="inlineStr">
        <is>
          <t>in-b6b6af40c5a8bebe</t>
        </is>
      </c>
      <c r="B20" t="inlineStr">
        <is>
          <t>Embedded AI Engineer (Hybrid)</t>
        </is>
      </c>
      <c r="C20" t="inlineStr">
        <is>
          <t>Homebase</t>
        </is>
      </c>
      <c r="D20" t="inlineStr">
        <is>
          <t>indeed</t>
        </is>
      </c>
      <c r="E20" t="inlineStr"/>
      <c r="F20" t="inlineStr"/>
      <c r="G20" t="inlineStr">
        <is>
          <t>San Francisco, CA, US</t>
        </is>
      </c>
      <c r="H20" s="2" t="n">
        <v>46065</v>
      </c>
      <c r="I20" t="inlineStr">
        <is>
          <t>**Hi, Future Homie!**
At Homebase, you’ll join a team that’s bold, fast\-moving, and obsessed with helping small businesses thrive. We build with empathy, act with urgency, and take big swings that drive real\-world impact. Here, every Homie shows up to raise the bar, support one another, and celebrate wins as a team.
We’re not just building an app—we’re building *unstoppable* teams. So what do you say, are you in?
 **Your** ***Impact*** **Starts Here**
We’re looking for an **Embedded AI Engineer** at the **E2** level to run embedded engagements with internal teams and deliver durable AI\-powered systems that materially improve operational efficiency and business outcomes.
You’ll operate close to the business: translating messy workflows into scoped solutions, building production systems at velocity leveraging modern LLMs and coding agents, and iterating rapidly based on real usage.  
**These are the key ways you’ll contribute and create impact in this role:**
* **Lead embedded cycles end\-to\-end:** discovery (workflow mapping \+ KPI definition), build/launch, and scale/standardize.
* **Ship full\-stack internal systems** (services, integrations, and UIs) that teams rely on daily; balance speed with maintainability.
* **Own and evolve shared internal AI software** that multiple teams depend on—treating key accelerators as compounding assets.
* **Establish clear ownership paths** for each deliverable: team\-owned (shared), co\-owned (team\-specific), or handoff (when there’s a natural long\-term home).
* **Drive measurable impact:** define success metrics up front and iterate until adoption and KPI movement are real.
* **Create reusable templates, components, and playbooks** so the next engagement ships faster and better.
* **Partner effectively across Engineering \+ stakeholders:** communicate tradeoffs, scope, rollout plans, and change management clearly.
**The Foundation for Success \-** These are the experiences and strengths that will set you up for success in this role:
* **2\+ years** of professional software engineering experience shipping production systems (or equivalent).
* Strong proficiency in **backend scripting language such as Ruby or Python**, and comfort working across backend \+ frontend (**TypeScript/JavaScript/React**).
* Proven ability to deliver in ambiguity \- You can work with subject matter experts to transform messy workflows into a scoped MVP and ship it quickly.
* Hands\-on experience **building with** **LLMs** and automating workflows; strong instincts for pragmatic solution design.
* Strong communication skills and stakeholder leadership: you can run working sessions, demo clearly, drive adoption, and empathize with your internal customers.
* **AI fluency (required):** You retool workflows with AI, instrument outcomes, and **measure impact** (time saved, error reduction, adoption, throughput).
* **Bonus points if you have:**
	+ Experience building internal tools and integrating with systems like CRM, ticketing, knowledge bases, and analytics.
	+ Experience operationalizing AI workflows.
**The Homie Way \-** These principles guide everything we do—from how we work and make decisions to how we show up for each other.
* **Be Customer Obsessed** – Solve problems with empathy and creativity.
* **Move Fast, Learn Fast** – Experiment, take action, and grow every day.
* **Own Your Impact** – Think big, focus on what matters, and make decisions you stand behind.
* **Master Your Craft** – Excellence fuels impact—show up, step up, and make your mark.
* **Win Together** – Put goals over roles, lead with trust, and connect to our mission and each other.
**What We Offer (United States)**
* Ownership \&amp; Financial Security: Stock options \+ 401(k) with 4% match
* Comprehensive Healthcare: Medical, dental, and vision coverage \+ FSA options
* Flexible Time: Unlimited PTO (salaried) \+ company holidays
* Family Support: Up to 12 weeks of paid parental leave (after 6 months of service)
* Protection Plans: Life insurance \+ short/long\-term disability coverage
* Work Your Way: Work From Anywhere Month \+ meeting\-free weeks yearly
* Workspace Perks: Meals provided, commuter benefits, team offsites, and Customer Days
* Our Hybrid Rhythm: We believe collaboration drives impact. That’s why **Tuesdays and Wednesdays are our required in\-office days**—a time to move faster as a team, build deeper connections, make better decisions, and build together.
**What We Offer (Canada)**
* Ownership \&amp; Savings: Stock options \+ TFSA/RRSP with 4% company match
* Health \&amp; Wellness: Comprehensive medical, dental, and vision for you and your dependents
* Time Flexibility: Flex time off \+ company holidays \+ designated focus periods
* Family Support: Maternity/Parental Leave EI top\-up support offered (after 6 months of service)
* Work Your Way: Work From Anywhere Month \+ meeting\-free weeks yearly
* Protection Plans: Life insurance \+ short/long\-term disability coverage
* Workspace Perks: Meals provided, team offsites, and Customer Days
* Our Hybrid Rhythm: We believe collaboration drives impact. That’s why **Tuesdays and Wednesdays are our required in\-office days**—a time to move faster as a team, build deeper connections, make better decisions, and build together.
**What to Expect During the Interview Process**
* Meet the Talent Acquisition team, Ryan H.
* Meet the Hiring Manager, Justin N.
* Participate in a Technical Assessment
* Meet Cross\-functional Partners
* Background Check \+ Offer Stage
* Welcome to the team, Homie
**Belonging at Homebase \-** We're committed to fostering a welcoming space where every Homie can be their full self. Experience comes in many forms—so if you're excited about this role, even if you don’t meet 100% of the qualifications, we encourage you to apply!
*Homebase will consider qualified applicants with criminal histories in a manner consistent with the San Francisco Fair Chance Ordinance.*
**Hey, We’re Homebase**
Unstoppable teams start here.
Homebase is the everything app for hourly teams—built to simplify the day\-to\-day and superpower local businesses. With tools for scheduling, time clocks, payroll, communication, HR, and more, we help teams stay connected and in control. Today, over 100,000 small (but mighty) businesses rely on us to make work radically easier. Together, we’ve tracked over a billion hours for 2\.5\+ million workers—and we’re just getting started.
At Homebase, we celebrate diversity and are proud to be an equal opportunity employer. We welcome all candidates and do not discriminate based on any legally protected status. If you need accommodations during the hiring process, please let us know—we’re committed to ensuring fair and equitable access for all.
Compensation Range: $127K \- $175K</t>
        </is>
      </c>
    </row>
    <row r="21">
      <c r="A21" t="inlineStr">
        <is>
          <t>in-8272dff48be31bd9</t>
        </is>
      </c>
      <c r="B21" t="inlineStr">
        <is>
          <t>Embedded AI Engineer (Hybrid)</t>
        </is>
      </c>
      <c r="C21" t="inlineStr">
        <is>
          <t>Homebase</t>
        </is>
      </c>
      <c r="D21" t="inlineStr">
        <is>
          <t>indeed</t>
        </is>
      </c>
      <c r="E21" t="inlineStr"/>
      <c r="F21" t="inlineStr"/>
      <c r="G21" t="inlineStr">
        <is>
          <t>Denver, CO, US</t>
        </is>
      </c>
      <c r="H21" s="2" t="n">
        <v>46065</v>
      </c>
      <c r="I21" t="inlineStr">
        <is>
          <t>**Hi, Future Homie!**
At Homebase, you’ll join a team that’s bold, fast\-moving, and obsessed with helping small businesses thrive. We build with empathy, act with urgency, and take big swings that drive real\-world impact. Here, every Homie shows up to raise the bar, support one another, and celebrate wins as a team.
We’re not just building an app—we’re building *unstoppable* teams. So what do you say, are you in?
 **Your** ***Impact*** **Starts Here**
We’re looking for an **Embedded AI Engineer** at the **E2** level to run embedded engagements with internal teams and deliver durable AI\-powered systems that materially improve operational efficiency and business outcomes.
You’ll operate close to the business: translating messy workflows into scoped solutions, building production systems at velocity leveraging modern LLMs and coding agents, and iterating rapidly based on real usage.  
**These are the key ways you’ll contribute and create impact in this role:**
* **Lead embedded cycles end\-to\-end:** discovery (workflow mapping \+ KPI definition), build/launch, and scale/standardize.
* **Ship full\-stack internal systems** (services, integrations, and UIs) that teams rely on daily; balance speed with maintainability.
* **Own and evolve shared internal AI software** that multiple teams depend on—treating key accelerators as compounding assets.
* **Establish clear ownership paths** for each deliverable: team\-owned (shared), co\-owned (team\-specific), or handoff (when there’s a natural long\-term home).
* **Drive measurable impact:** define success metrics up front and iterate until adoption and KPI movement are real.
* **Create reusable templates, components, and playbooks** so the next engagement ships faster and better.
* **Partner effectively across Engineering \+ stakeholders:** communicate tradeoffs, scope, rollout plans, and change management clearly.
**The Foundation for Success \-** These are the experiences and strengths that will set you up for success in this role:
* **2\+ years** of professional software engineering experience shipping production systems (or equivalent).
* Strong proficiency in **backend scripting language such as Ruby or Python**, and comfort working across backend \+ frontend (**TypeScript/JavaScript/React**).
* Proven ability to deliver in ambiguity \- You can work with subject matter experts to transform messy workflows into a scoped MVP and ship it quickly.
* Hands\-on experience **building with** **LLMs** and automating workflows; strong instincts for pragmatic solution design.
* Strong communication skills and stakeholder leadership: you can run working sessions, demo clearly, drive adoption, and empathize with your internal customers.
* **AI fluency (required):** You retool workflows with AI, instrument outcomes, and **measure impact** (time saved, error reduction, adoption, throughput).
* **Bonus points if you have:**
	+ Experience building internal tools and integrating with systems like CRM, ticketing, knowledge bases, and analytics.
	+ Experience operationalizing AI workflows.
**The Homie Way \-** These principles guide everything we do—from how we work and make decisions to how we show up for each other.
* **Be Customer Obsessed** – Solve problems with empathy and creativity.
* **Move Fast, Learn Fast** – Experiment, take action, and grow every day.
* **Own Your Impact** – Think big, focus on what matters, and make decisions you stand behind.
* **Master Your Craft** – Excellence fuels impact—show up, step up, and make your mark.
* **Win Together** – Put goals over roles, lead with trust, and connect to our mission and each other.
**What We Offer (United States)**
* Ownership \&amp; Financial Security: Stock options \+ 401(k) with 4% match
* Comprehensive Healthcare: Medical, dental, and vision coverage \+ FSA options
* Flexible Time: Unlimited PTO (salaried) \+ company holidays
* Family Support: Up to 12 weeks of paid parental leave (after 6 months of service)
* Protection Plans: Life insurance \+ short/long\-term disability coverage
* Work Your Way: Work From Anywhere Month \+ meeting\-free weeks yearly
* Workspace Perks: Meals provided, commuter benefits, team offsites, and Customer Days
* Our Hybrid Rhythm: We believe collaboration drives impact. That’s why **Tuesdays and Wednesdays are our required in\-office days**—a time to move faster as a team, build deeper connections, make better decisions, and build together.
**What We Offer (Canada)**
* Ownership \&amp; Savings: Stock options \+ TFSA/RRSP with 4% company match
* Health \&amp; Wellness: Comprehensive medical, dental, and vision for you and your dependents
* Time Flexibility: Flex time off \+ company holidays \+ designated focus periods
* Family Support: Maternity/Parental Leave EI top\-up support offered (after 6 months of service)
* Work Your Way: Work From Anywhere Month \+ meeting\-free weeks yearly
* Protection Plans: Life insurance \+ short/long\-term disability coverage
* Workspace Perks: Meals provided, team offsites, and Customer Days
* Our Hybrid Rhythm: We believe collaboration drives impact. That’s why **Tuesdays and Wednesdays are our required in\-office days**—a time to move faster as a team, build deeper connections, make better decisions, and build together.
**What to Expect During the Interview Process**
* Meet the Talent Acquisition team, Ryan H.
* Meet the Hiring Manager, Justin N.
* Participate in a Technical Assessment
* Meet Cross\-functional Partners
* Background Check \+ Offer Stage
* Welcome to the team, Homie
**Belonging at Homebase \-** We're committed to fostering a welcoming space where every Homie can be their full self. Experience comes in many forms—so if you're excited about this role, even if you don’t meet 100% of the qualifications, we encourage you to apply!
*Homebase will consider qualified applicants with criminal histories in a manner consistent with the San Francisco Fair Chance Ordinance.*
**Hey, We’re Homebase**
Unstoppable teams start here.
Homebase is the everything app for hourly teams—built to simplify the day\-to\-day and superpower local businesses. With tools for scheduling, time clocks, payroll, communication, HR, and more, we help teams stay connected and in control. Today, over 100,000 small (but mighty) businesses rely on us to make work radically easier. Together, we’ve tracked over a billion hours for 2\.5\+ million workers—and we’re just getting started.
At Homebase, we celebrate diversity and are proud to be an equal opportunity employer. We welcome all candidates and do not discriminate based on any legally protected status. If you need accommodations during the hiring process, please let us know—we’re committed to ensuring fair and equitable access for all.
Compensation Range: $127K \- $175K</t>
        </is>
      </c>
    </row>
    <row r="22">
      <c r="A22" t="inlineStr">
        <is>
          <t>in-7c6a9a9d7dd57f40</t>
        </is>
      </c>
      <c r="B22" t="inlineStr">
        <is>
          <t>Embedded AI Engineer (Hybrid)</t>
        </is>
      </c>
      <c r="C22" t="inlineStr">
        <is>
          <t>Homebase</t>
        </is>
      </c>
      <c r="D22" t="inlineStr">
        <is>
          <t>indeed</t>
        </is>
      </c>
      <c r="E22" t="inlineStr"/>
      <c r="F22" t="inlineStr"/>
      <c r="G22" t="inlineStr">
        <is>
          <t>Houston, TX, US</t>
        </is>
      </c>
      <c r="H22" s="2" t="n">
        <v>46065</v>
      </c>
      <c r="I22" t="inlineStr">
        <is>
          <t>**Hi, Future Homie!**
At Homebase, you’ll join a team that’s bold, fast\-moving, and obsessed with helping small businesses thrive. We build with empathy, act with urgency, and take big swings that drive real\-world impact. Here, every Homie shows up to raise the bar, support one another, and celebrate wins as a team.
We’re not just building an app—we’re building *unstoppable* teams. So what do you say, are you in?
 **Your** ***Impact*** **Starts Here**
We’re looking for an **Embedded AI Engineer** at the **E2** level to run embedded engagements with internal teams and deliver durable AI\-powered systems that materially improve operational efficiency and business outcomes.
You’ll operate close to the business: translating messy workflows into scoped solutions, building production systems at velocity leveraging modern LLMs and coding agents, and iterating rapidly based on real usage.  
**These are the key ways you’ll contribute and create impact in this role:**
* **Lead embedded cycles end\-to\-end:** discovery (workflow mapping \+ KPI definition), build/launch, and scale/standardize.
* **Ship full\-stack internal systems** (services, integrations, and UIs) that teams rely on daily; balance speed with maintainability.
* **Own and evolve shared internal AI software** that multiple teams depend on—treating key accelerators as compounding assets.
* **Establish clear ownership paths** for each deliverable: team\-owned (shared), co\-owned (team\-specific), or handoff (when there’s a natural long\-term home).
* **Drive measurable impact:** define success metrics up front and iterate until adoption and KPI movement are real.
* **Create reusable templates, components, and playbooks** so the next engagement ships faster and better.
* **Partner effectively across Engineering \+ stakeholders:** communicate tradeoffs, scope, rollout plans, and change management clearly.
**The Foundation for Success \-** These are the experiences and strengths that will set you up for success in this role:
* **2\+ years** of professional software engineering experience shipping production systems (or equivalent).
* Strong proficiency in **backend scripting language such as Ruby or Python**, and comfort working across backend \+ frontend (**TypeScript/JavaScript/React**).
* Proven ability to deliver in ambiguity \- You can work with subject matter experts to transform messy workflows into a scoped MVP and ship it quickly.
* Hands\-on experience **building with** **LLMs** and automating workflows; strong instincts for pragmatic solution design.
* Strong communication skills and stakeholder leadership: you can run working sessions, demo clearly, drive adoption, and empathize with your internal customers.
* **AI fluency (required):** You retool workflows with AI, instrument outcomes, and **measure impact** (time saved, error reduction, adoption, throughput).
* **Bonus points if you have:**
	+ Experience building internal tools and integrating with systems like CRM, ticketing, knowledge bases, and analytics.
	+ Experience operationalizing AI workflows.
**The Homie Way \-** These principles guide everything we do—from how we work and make decisions to how we show up for each other.
* **Be Customer Obsessed** – Solve problems with empathy and creativity.
* **Move Fast, Learn Fast** – Experiment, take action, and grow every day.
* **Own Your Impact** – Think big, focus on what matters, and make decisions you stand behind.
* **Master Your Craft** – Excellence fuels impact—show up, step up, and make your mark.
* **Win Together** – Put goals over roles, lead with trust, and connect to our mission and each other.
**What We Offer (United States)**
* Ownership \&amp; Financial Security: Stock options \+ 401(k) with 4% match
* Comprehensive Healthcare: Medical, dental, and vision coverage \+ FSA options
* Flexible Time: Unlimited PTO (salaried) \+ company holidays
* Family Support: Up to 12 weeks of paid parental leave (after 6 months of service)
* Protection Plans: Life insurance \+ short/long\-term disability coverage
* Work Your Way: Work From Anywhere Month \+ meeting\-free weeks yearly
* Workspace Perks: Meals provided, commuter benefits, team offsites, and Customer Days
* Our Hybrid Rhythm: We believe collaboration drives impact. That’s why **Tuesdays and Wednesdays are our required in\-office days**—a time to move faster as a team, build deeper connections, make better decisions, and build together.
**What We Offer (Canada)**
* Ownership \&amp; Savings: Stock options \+ TFSA/RRSP with 4% company match
* Health \&amp; Wellness: Comprehensive medical, dental, and vision for you and your dependents
* Time Flexibility: Flex time off \+ company holidays \+ designated focus periods
* Family Support: Maternity/Parental Leave EI top\-up support offered (after 6 months of service)
* Work Your Way: Work From Anywhere Month \+ meeting\-free weeks yearly
* Protection Plans: Life insurance \+ short/long\-term disability coverage
* Workspace Perks: Meals provided, team offsites, and Customer Days
* Our Hybrid Rhythm: We believe collaboration drives impact. That’s why **Tuesdays and Wednesdays are our required in\-office days**—a time to move faster as a team, build deeper connections, make better decisions, and build together.
**What to Expect During the Interview Process**
* Meet the Talent Acquisition team, Ryan H.
* Meet the Hiring Manager, Justin N.
* Participate in a Technical Assessment
* Meet Cross\-functional Partners
* Background Check \+ Offer Stage
* Welcome to the team, Homie
**Belonging at Homebase \-** We're committed to fostering a welcoming space where every Homie can be their full self. Experience comes in many forms—so if you're excited about this role, even if you don’t meet 100% of the qualifications, we encourage you to apply!
*Homebase will consider qualified applicants with criminal histories in a manner consistent with the San Francisco Fair Chance Ordinance.*
**Hey, We’re Homebase**
Unstoppable teams start here.
Homebase is the everything app for hourly teams—built to simplify the day\-to\-day and superpower local businesses. With tools for scheduling, time clocks, payroll, communication, HR, and more, we help teams stay connected and in control. Today, over 100,000 small (but mighty) businesses rely on us to make work radically easier. Together, we’ve tracked over a billion hours for 2\.5\+ million workers—and we’re just getting started.
At Homebase, we celebrate diversity and are proud to be an equal opportunity employer. We welcome all candidates and do not discriminate based on any legally protected status. If you need accommodations during the hiring process, please let us know—we’re committed to ensuring fair and equitable access for all.
Compensation Range: $127K \- $175K</t>
        </is>
      </c>
    </row>
    <row r="23">
      <c r="A23" t="inlineStr">
        <is>
          <t>in-c61fa02a1d448ec0</t>
        </is>
      </c>
      <c r="B23" t="inlineStr">
        <is>
          <t>AI Engineer - Full-Stack</t>
        </is>
      </c>
      <c r="C23" t="inlineStr">
        <is>
          <t>Traversal</t>
        </is>
      </c>
      <c r="D23" t="inlineStr">
        <is>
          <t>indeed</t>
        </is>
      </c>
      <c r="E23" t="inlineStr"/>
      <c r="F23" t="inlineStr"/>
      <c r="G23" t="inlineStr">
        <is>
          <t>New York, NY, US</t>
        </is>
      </c>
      <c r="H23" s="2" t="n">
        <v>46065</v>
      </c>
      <c r="I23" t="inlineStr">
        <is>
          <t>### **About Traversal**
Traversal is the AI Site Reliability Engineer (SRE) for the enterprise—already trusted by some of the largest companies in the world to troubleshoot, remediate, and even prevent the most complex production incidents. Our mission is to free engineers from endless firefighting and enable them to focus on creative, high\-impact work.
Our roots remain deeply embedded in AI research, and we’re channeling that scientific rigor and creativity into building the premier AI agent lab for the enterprise. Hence, what we’re proudest of is assembling the most talented yet nicest group of individuals, including researchers from MIT, Harvard, and Berkeley, to world\-class engineers from industry: Citadel Securities, Cockroach Labs, Datadog, DE Shaw, ServiceNow, Glean, Perplexity, Pinecone, and more, to take on one of the hardest problems for AI to solve. Without the entire team, none of this would be possible.
### **The Role**
As a Full\-Stack AI Engineer at Traversal, you’ll play a key role in designing and building core features powered by our AI site reliability engineer. From the user interface to the backend and infrastructure, you’ll develop product components to enable real\-time incident detection, root cause analysis, and automated remediation in some of the most complex production environments. This role will focus on the ability to work across the full pipeline of our product, and someone who can have a strong product sense while also being comfortable working around AI and data processing infrastructure will be the best fit.
### **Responsibilities**
* **Product Impact:** Translate AI\-powered insights into user\-friendly features that empower engineers and reduce cognitive load.
* **User Experience:** Innovate and drive the evolution of UX/UI design, rapidly iterating based on user feedback to improve overall usability.
* **API Development**: Design and implement high\-performance APIs to enable seamless communication between backend systems and frontend interfaces.
* **Data Management**: Ensure efficient data storage, retrieval, and processing, leveraging technologies like PostgreSQL, Redis, or others.
* **AI Integration**: Collaborate with AI engineers/researchers to integrate AI\-driven insights and solutions into backend systems, and take ownership of API authentication and authorization frameworks.
* **Data Visualization:** Develop intuitive interfaces for presenting and interacting with complex time\-series and topological data.
### **Requirements**
* 3\+ years of software engineering experience, with a strong focus on full\-stack systems.
* Proven ability to lead in fast\-paced startup environments, with limited resources, shifting priorities, and minimal structure.
* Strong experience with Python and web frameworks such as FastAPI.
* Hands\-on experience with React, TypeScript, Next.js, and TailwindCSS to build fast, responsive, and maintainable frontends. React experience is essential, but we’re happy to support learning the other tools.
* Experience deploying applications on AWS, working with ECS or Kubernetes, Postgres for data storage, and S3 for large\-scale object storage.
* Note: You don’t need to meet every single requirement. If you have deep experience in a subset of these areas, we encourage you to apply.
### **Nice to Have**
* Familiarity with Python\-based ecosystems is a plus.
* Experience working with Agentic AI systems or in the observability domain.
* Background in large\-scale, complex, data\-driven applications.
* Familiarity with AI or LLM\-powered products.
### **Compensation**
We offer competitive compensation, startup equity, health insurance, and additional benefits. The U.S. base salary range for this full\-time, in\-person role in New York is $150,000–$300,000, plus equity and benefits. Our salary ranges are based on location, level, and role. Individual compensation is determined by experience, skills, and job\-related knowledge.
### **Why You Should Join Us**
We’ll make sure you’re fully supported with health insurance, a great tech setup, flexible time off, and plenty of in\-office snacks. We offer competitive salary and equity packages, and take thoughtful consideration with every hire on our small, high\-impact team.
Traversal is fully in\-office, 5 days a week, based in New York near Madison Square Park. We have a collaborative, hard\-working culture and are energized by building the future of AI\-powered software maintenance.
Working here means owning meaningful parts of the product, having the flexibility to move fast, and learning constantly. This is a place to grow your career, make a real impact, and help define a new category of infrastructure software.</t>
        </is>
      </c>
    </row>
    <row r="24">
      <c r="A24" t="inlineStr">
        <is>
          <t>in-3cc2b483961fa002</t>
        </is>
      </c>
      <c r="B24" t="inlineStr">
        <is>
          <t>AI Engineer - Backend</t>
        </is>
      </c>
      <c r="C24" t="inlineStr">
        <is>
          <t>Traversal</t>
        </is>
      </c>
      <c r="D24" t="inlineStr">
        <is>
          <t>indeed</t>
        </is>
      </c>
      <c r="E24" t="inlineStr"/>
      <c r="F24" t="inlineStr"/>
      <c r="G24" t="inlineStr">
        <is>
          <t>New York, NY, US</t>
        </is>
      </c>
      <c r="H24" s="2" t="n">
        <v>46065</v>
      </c>
      <c r="I24" t="inlineStr">
        <is>
          <t>### **About Traversal**
Traversal is the AI Site Reliability Engineer (SRE) for the enterprise—already trusted by some of the largest companies in the world to troubleshoot, remediate, and even prevent the most complex production incidents. Our mission is to free engineers from endless firefighting and enable them to focus on creative, high\-impact work.
Our roots remain deeply embedded in AI research, and we’re channeling that scientific rigor and creativity into building the premier AI agent lab for the enterprise. Hence, what we’re proudest of is assembling the most talented yet nicest group of individuals, including researchers from MIT, Harvard, and Berkeley, to world\-class engineers from industry: Citadel Securities, Cockroach Labs, Datadog, DE Shaw, ServiceNow, Glean, Perplexity, Pinecone, and more, to take on one of the hardest problems for AI to solve. Without the entire team, none of this would be possible.
### **The Role**
As a Backend AI Engineer at Traversal, you’ll play a key role in designing and building the core systems behind our AI site reliability engineer, the infrastructure that enables real\-time incident detection, root cause analysis, and automated remediation in some of the most complex production environments. You’ll work closely with our AI and infrastructure teams to productionize novel AI agent architectures and machine learning algorithms, develop high\-performance inference APIs, and build internal observability tooling. Your work will span ingesting and reasoning over logs, metrics, and traces at scale, optimizing systems across hybrid SaaS and on\-prem deployments, and supporting mission\-critical reliability for global enterprises.
### **Responsibilities**
* **Backend System Design \&amp; Architecture**: Lead the design and implementation of scalable, robust backend systems to support AI agents and observability tools.
* **API Development**: Design and implement high\-performance APIs to enable seamless communication between backend systems and frontend interfaces.
* **Data Management**: Ensure efficient data storage, retrieval, and processing, leveraging technologies like PostgreSQL, Redis, or others.
* **AI Integration**: Collaborate with AI engineers to integrate AI\-driven insights and solutions into backend systems, and take ownership of API authentication and authorization frameworks.
* **Performance Optimization**: Monitor, optimize, and scale backend services to handle high volumes of data while ensuring low\-latency performance.
* **Collaboration**: Partner with frontend engineers, AI researchers, and other teams to ensure a seamless, high\-performance user experience.
* **Mentorship**: Provide technical leadership and mentorship to junior engineers, helping to grow a strong backend engineering team.
### **Requirements**
* 3\+ years of software engineering experience, with a strong focus on backend development and full\-stack systems.
* Proven ability to lead in fast\-paced startup environments, with limited resources, shifting priorities, and minimal structure.
* Strong experience with Python and web frameworks such as FastAPI.
* Experience deploying applications on AWS, working with ECS or Kubernetes, Postgres for data storage, and S3 for large\-scale object storage.
* Familiarity with observability and monitoring tools, specifically Datadog, to ensure the system is running smoothly and efficiently.
### **Nice to Have**
* Familiarity with Python\-based ecosystems is a plus.
* Experience working with Agentic AI systems or in the observability domain.
* Background in large\-scale, complex, data\-driven applications.
* Familiarity with AI or LLM\-powered products.
### **Compensation**
We offer competitive compensation, startup equity, health insurance, and additional benefits. The U.S. base salary range for this full\-time, in\-person role in New York is $150,000–$300,000, plus equity and benefits. Our salary ranges are based on location, level, and role. Individual compensation is determined by experience, skills, and job\-related knowledge.
### **Why You Should Join Us**
We’ll make sure you’re fully supported with health insurance, a great tech setup, flexible time off, and plenty of in\-office snacks. We offer competitive salary and equity packages, and take thoughtful consideration with every hire on our small, high\-impact team.
Traversal is fully in\-office, 5 days a week, based in New York near Madison Square Park. We have a collaborative, hard\-working culture and are energized by building the future of AI\-powered software maintenance.
Working here means owning meaningful parts of the product, having the flexibility to move fast, and learning constantly. This is a place to grow your career, make a real impact, and help define a new category of infrastructure software.</t>
        </is>
      </c>
    </row>
    <row r="25">
      <c r="A25" t="inlineStr">
        <is>
          <t>in-b8850c8e87482d13</t>
        </is>
      </c>
      <c r="B25" t="inlineStr">
        <is>
          <t>AI Engineer - Agents</t>
        </is>
      </c>
      <c r="C25" t="inlineStr">
        <is>
          <t>Traversal</t>
        </is>
      </c>
      <c r="D25" t="inlineStr">
        <is>
          <t>indeed</t>
        </is>
      </c>
      <c r="E25" t="inlineStr"/>
      <c r="F25" t="inlineStr"/>
      <c r="G25" t="inlineStr">
        <is>
          <t>New York, NY, US</t>
        </is>
      </c>
      <c r="H25" s="2" t="n">
        <v>46065</v>
      </c>
      <c r="I25" t="inlineStr">
        <is>
          <t>### **About Traversal**
Traversal is the AI Site Reliability Engineer (SRE) for the enterprise—already trusted by some of the largest companies in the world to troubleshoot, remediate, and even prevent the most complex production incidents. Our mission is to free engineers from endless firefighting and enable them to focus on creative, high\-impact work.
Our roots remain deeply embedded in AI research, and we’re channeling that scientific rigor and creativity into building the premier AI agent lab for the enterprise. Hence, what we’re proudest of is assembling the most talented yet nicest group of individuals, including researchers from MIT, Harvard, and Berkeley, to world\-class engineers from industry: Citadel Securities, Cockroach Labs, Datadog, DE Shaw, ServiceNow, Glean, Perplexity, Pinecone, and more, to take on one of the hardest problems for AI to solve. Without the entire team, none of this would be possible.
### **The Role**
As an AI Agents Engineer at Traversal, you'll be responsible for designing and implementing intelligent agents that operate at the heart of our observability platform. You will work on deploying frontier LLMs in production, optimizing multi\-step reasoning workflows, and improving the performance and accuracy of agentic architectures across distributed systems.
This is a highly technical role at the intersection of AI, infrastructure, and systems engineering. You’ll work across teams to ensure our AI agents interact seamlessly with large volumes of observability data and scale reliably across environments.
### **Responsibilities**
* **AI Agent Architecture:** Design and build multi\-step reasoning workflows that use LLMs and other components to analyze large\-scale observability data.
* **Prompting \&amp; Tooling:** Develop tooling for prompt engineering, function calling, and agentic orchestration that optimizes latency, reliability, and performance.
* **Production Deployment:** Integrate AI components into a robust, scalable production environment with low latency and high uptime requirements.
* **Experimentation:** Prototype and test new LLMs, prompting strategies, and fine\-tuning approaches to improve the quality and coverage of agentic responses.
* **Collaboration:** Work closely with backend, infra, and product teams to ensure AI agents are well\-integrated into the broader system.
* **Observability \&amp; Debugging:** Build evaluation and monitoring tools for agent performance and reliability across production workloads.
### **Requirements**
* 3\+ years of software engineering experience.
* Strong Python skills, including experience with performance tuning and ML/AI libraries.
* Experience building and deploying distributed systems and/or large\-scale data processing pipelines. Familiarity with LLMs, prompt engineering, or agentic frameworks.
* Experience with observability data (logs, metrics, traces) and live incident debugging.
* Proven ability to deliver projects end\-to\-end: from experimentation to production deployment and iteration.
* Strong debugging skills and ability to work across layers (data, infra, model, and application).
### **Nice to Have**
* Experience with observability data and production infrastructure (logs, metrics, traces).
* Familiarity with model fine\-tuning, evaluation tooling, or reinforcement learning from human feedback (RLHF).
* Background in AI agent research or open\-source contributions to agent frameworks.
* Experience working with Terraform, Kubernetes, or ML orchestration platforms.
### **Compensation**
We offer competitive compensation, startup equity, health insurance, and additional benefits. The U.S. base salary range for this full\-time, in\-person role in New York is $150,000–$300,000, plus equity and benefits. Our salary ranges are based on location, level, and role. Individual compensation is determined by experience, skills, and job\-related knowledge.
### **Why You Should Join Us**
We’ll make sure you’re fully supported with health insurance, a great tech setup, flexible time off, and plenty of in\-office snacks. We offer competitive salary and equity packages, and take thoughtful consideration with every hire on our small, high\-impact team.
Traversal is fully in\-office, 5 days a week, based in New York near Madison Square Park. We have a collaborative, hard\-working culture and are energized by building the future of AI\-powered software maintenance.
Working here means owning meaningful parts of the product, having the flexibility to move fast, and learning constantly. This is a place to grow your career, make a real impact, and help define a new category of infrastructure software.</t>
        </is>
      </c>
    </row>
    <row r="26">
      <c r="A26" t="inlineStr">
        <is>
          <t>in-1fc3b87b48974f74</t>
        </is>
      </c>
      <c r="B26" t="inlineStr">
        <is>
          <t>AI Engineer - AI Platform</t>
        </is>
      </c>
      <c r="C26" t="inlineStr">
        <is>
          <t>Traversal</t>
        </is>
      </c>
      <c r="D26" t="inlineStr">
        <is>
          <t>indeed</t>
        </is>
      </c>
      <c r="E26" t="inlineStr"/>
      <c r="F26" t="inlineStr"/>
      <c r="G26" t="inlineStr">
        <is>
          <t>New York, NY, US</t>
        </is>
      </c>
      <c r="H26" s="2" t="n">
        <v>46065</v>
      </c>
      <c r="I26" t="inlineStr">
        <is>
          <t>**About Traversal**
Traversal is the AI Site Reliability Engineer (SRE) for the enterprise—already trusted by some of the largest companies in the world to troubleshoot, remediate, and even prevent the most complex production incidents. Our mission is to free engineers from endless firefighting and enable them to focus on creative, high\-impact work.
Our roots remain deeply embedded in AI research, and we’re channeling that scientific rigor and creativity into building the premier AI agent lab for the enterprise. Hence, what we’re proudest of is assembling the most talented yet nicest group of individuals, including researchers from MIT, Harvard, and Berkeley, to world\-class engineers from industry: Citadel Securities, Cockroach Labs, Datadog, DE Shaw, Meta, Hebbia, Perplexity, Glean, Pinecone, and more, to take on one of the hardest problems for AI to solve. Without the entire team, none of this would be possible.
**The Role**
As an AI Platform Engineer at Traversal, you’ll work on the core foundations that make Traversal’s AI possible, spanning both agent infrastructure and evaluation systems.
* Agent Infrastructure — Build the frameworks, orchestration layers, and developer tooling that power Traversal’s AI agents for root cause analysis, alert triage, and “chat with your infrastructure/telemetry.” This involves designing scalable distributed systems and abstractions (e.g., MCP servers, multi\-agent orchestration, toolkits) that balance research flexibility with production reliability.
* Evaluation — Define what “good” looks like for AI performance in the incident management domain. You’ll build live evaluation pipelines, automated scoring systems, and benchmarks; integrate evaluation into the developer lifecycle; and surface these insights to customers as a value\-add.
This work combines research (agentic architectures, benchmarking, calibration, finetuning) with engineering (production\-scale infra, APIs, distributed systems) to accelerate the entire AI loop: build evaluate improve ship.
**Responsibilities**
* Design and build agent frameworks, orchestration layers, and developer tooling for Traversal’s AI agents.
* Architect scalable distributed systems to support real\-time workloads over petabytes of heterogeneous telemetry data.
* Build live evaluation pipelines, automated scoring systems, and benchmarks to measure and drive AI performance.
* Integrate evaluation systems into the developer lifecycle to create a fast research\-to\-production loop.
* Surface evaluation signals and benchmarks to customers as a core product capability.
* Partner with research scientists to prototype and productionize agentic architectures.
* Own observability, latency, and reliability for agents in production.
* Evolve and scale the agent \+ evaluation platform as the backbone of Traversal’s AI systems.
**Requirements**
* Strong system design skills for distributed systems.
* Proven production\-scale software engineering experience.
* Experience with LLM\-based applications and/or multi\-agent systems.
* Strong data modeling skills and a track record of writing clean, maintainable code.
* Collaborative, impact\-driven mindset and ability to work across research and engineering teams.
**Nice to Have**
* Knowledge of software incidents and production SRE workflows.
* Prior experience with AI benchmarking or evaluation systems.
* Experience creating quantitative scoring systems or benchmarks in new problem domains.
* Familiarity with observability stacks (logs, metrics, traces) and telemetry systems.
* Background in agentic architectures, orchestration frameworks, or applied AI research.
**Compensation**
We offer competitive compensation, startup equity, health insurance, and additional benefits. The U.S. base salary range for this full\-time, in\-person role in New York is $150,000–$300,000, plus equity and benefits. Our salary ranges are based on location, level, and role. Individual compensation is determined by experience, skills, and job\-related knowledge.
**Why You Should Join Us**
We’ll make sure you’re fully supported with health insurance, a great tech setup, flexible time off, and plenty of in\-office snacks. We offer competitive salary and equity packages, and take thoughtful consideration with every hire on our small, high\-impact team.
Traversal is fully in\-office, 5 days a week, based in New York near Madison Square Park. We have a collaborative, hard\-working culture and are energized by building the future of AI\-powered software maintenance.
Working here means owning meaningful parts of the product, having the flexibility to move fast, and learning constantly. This is a place to grow your career, make a real impact, and help define a new category of infrastructure software.</t>
        </is>
      </c>
    </row>
    <row r="27">
      <c r="A27" t="inlineStr">
        <is>
          <t>in-b0746042ac209056</t>
        </is>
      </c>
      <c r="B27" t="inlineStr">
        <is>
          <t>AI Engineer - Data Platform</t>
        </is>
      </c>
      <c r="C27" t="inlineStr">
        <is>
          <t>Traversal</t>
        </is>
      </c>
      <c r="D27" t="inlineStr">
        <is>
          <t>indeed</t>
        </is>
      </c>
      <c r="E27" t="inlineStr"/>
      <c r="F27" t="inlineStr"/>
      <c r="G27" t="inlineStr">
        <is>
          <t>New York, NY, US</t>
        </is>
      </c>
      <c r="H27" s="2" t="n">
        <v>46065</v>
      </c>
      <c r="I27" t="inlineStr">
        <is>
          <t>**About Traversal**
Traversal is the AI Site Reliability Engineer (SRE) for the enterprise—already trusted by some of the largest companies in the world to troubleshoot, remediate, and even prevent the most complex production incidents. Our mission is to free engineers from endless firefighting and enable them to focus on creative, high\-impact work.
Our roots remain deeply embedded in AI research, and we’re channeling that scientific rigor and creativity into building the premier AI agent lab for the enterprise. Hence, what we’re proudest of is assembling the most talented yet nicest group of individuals, including researchers from MIT, Harvard, and Berkeley, to world\-class engineers from industry: Citadel Securities, Cockroach Labs, Datadog, DE Shaw, ServiceNow, Glean, Perplexity, Pinecone, and more, to take on one of the hardest problems for AI to solve. Without the entire team, none of this would be possible.
**The Role**
As an Infrastructure Engineer on the Data Platform team at Traversal, you’ll design, build, and maintain the backend systems that power our AI\-driven observability platform. You’ll work across both cloud and on\-prem deployments, ensuring our systems are highly reliable, performant, and capable of supporting large\-scale AI operations. This hands\-on role blends distributed systems engineering, low\-level system design, performance optimization, observability, and AI integration—collaborating closely with engineers across the company to deliver resilient infrastructure that enables our AI agents to diagnose and remediate production incidents in real time.
**Responsibilities**
* **Architecture \&amp; Implementation:** Contribute to the design and implementation of scalable, resilient infrastructure systems that power AI\-driven root cause analysis and observability workflows across diverse on\-premises environments.
* **Low\-Level System Design:** Work on the foundational building blocks of our infrastructure, ensuring efficient use of resources and high performance at scale.  
**Performance Optimization:** Profile and tune backend systems to improve throughput, reduce latency, and minimize bottlenecks across the stack.
* **Observability Systems:** Help build and maintain the internal observability stack—logs, metrics, and traces—used by our agents to understand and act on production issues.
* **Hybrid Infrastructure:** Support architectures for both cloud\-hosted (SaaS) and on\-prem deployments to serve enterprise customers.
* **Data Infrastructure:** Develop and maintain low\-latency, high\-throughput pipelines using tools like Kafka, Postgres, and S3 for real\-time telemetry workflows.
* **Tooling \&amp; Automation:** Contribute to infrastructure\-as\-code, CI/CD tooling, and deployment systems to increase platform velocity and stability.
* **Cross\-Team Collaboration:** Work with AI, platform, and product teams to ensure smooth integration and shared reliability goals.
* **Using Traversal Internally:** Help ensure our own observability tooling supports how we debug, monitor, and operate our systems.
**Requirements**
* Professional experience with **Rust** (our primary language for infrastructure), or strong systems\-level programming experience in OCaml, C\+\+, C or Zig.
* Experience building distributed systems using a variety of application\-appropriate datastores (e.g., Postgres, object storage, etc.).
* Strength in debugging across cloud infrastructure, networking layers, and production systems (instrumentation, provisioning, bug fixes, reliability improvements).
* Experience with performance profiling and optimization in backend systems.
* Exposure to low\-level system design concepts (e.g., concurrency models, storage internals, OS, and DB level tuning).
**Nice to Have**
* Experience making complex software systems observable using logs, metrics, and traces.
* Familiarity with Python\-based ecosystems.
* Background in large\-scale, complex, data\-driven applications, and familiarity with event streaming platforms such as Kafka.
* Experience provisioning and managing infrastructure using Terraform, Pulumi, or other IaC tools.
* Familiarity with AI or LLM\-powered products.
**Compensation**
We offer competitive compensation, startup equity, health insurance, and additional benefits. The U.S. base salary range for this full\-time, in\-person role in New York is $150,000–$300,000, plus equity and benefits. Our salary ranges are based on location, level, and role. Individual compensation is determined by experience, skills, and job\-related knowledge.
**Why You Should Join Us**
We’ll make sure you’re fully supported with health insurance, a great tech setup, flexible time off, and plenty of in\-office snacks. We offer competitive salary and equity packages, and take thoughtful consideration with every hire on our small, high\-impact team.
Traversal is fully in\-office, 5 days a week, based in New York near Madison Square Park. We have a collaborative, hard\-working culture and are energized by building the future of AI\-powered software maintenance.
Working here means owning meaningful parts of the product, having the flexibility to move fast, and learning constantly. This is a place to grow your career, make a real impact, and help define a new category of infrastructure software.</t>
        </is>
      </c>
    </row>
    <row r="28">
      <c r="A28" t="inlineStr">
        <is>
          <t>in-925cdd16e7e38de2</t>
        </is>
      </c>
      <c r="B28" t="inlineStr">
        <is>
          <t>AI Engineer - Infrastructure</t>
        </is>
      </c>
      <c r="C28" t="inlineStr">
        <is>
          <t>Traversal</t>
        </is>
      </c>
      <c r="D28" t="inlineStr">
        <is>
          <t>indeed</t>
        </is>
      </c>
      <c r="E28" t="inlineStr"/>
      <c r="F28" t="inlineStr"/>
      <c r="G28" t="inlineStr">
        <is>
          <t>New York, NY, US</t>
        </is>
      </c>
      <c r="H28" s="2" t="n">
        <v>46065</v>
      </c>
      <c r="I28" t="inlineStr">
        <is>
          <t>### **About Traversal**
Traversal is the AI Site Reliability Engineer (SRE) for the enterprise—already trusted by some of the largest companies in the world to troubleshoot, remediate, and even prevent the most complex production incidents. Our mission is to free engineers from endless firefighting and enable them to focus on creative, high\-impact work.
Our roots remain deeply embedded in AI research, and we’re channeling that scientific rigor and creativity into building the premier AI agent lab for the enterprise. Hence, what we’re proudest of is assembling the most talented yet nicest group of individuals, including researchers from MIT, Harvard, and Berkeley, to world\-class engineers from industry: Citadel Securities, Cockroach Labs, Datadog, DE Shaw, ServiceNow, Glean, Perplexity, Pinecone, and more, to take on one of the hardest problems for AI to solve. Without the entire team, none of this would be possible.
### **The Role**
As an AI Infrastructure Engineer on the Platform / Reliability team, you’ll design, secure, and operate the core systems that power Traversal’s AI products. We already serve Fortune 50 enterprises with multi\-tenancy and SOC 2 Type II controls, and we’re rapidly scaling.
You’ll focus on high\-concurrency inference, Kafka data pipelines, and agentic tooling (via MCP) — building infrastructure that’s reliable under extreme load. This includes safe concurrency, graceful retries, queue management, autoscaling, observability, and Kubernetes\-native scheduling.
This is a senior, high\-impact role: you’ll own foundational systems, work across Python, Rust, Kubernetes, and Kafka, and shape how enterprise AI reliability is built and scaled.
### **Responsibilities**
* **System Design \&amp; Architecture:** Design scalable, reliable infrastructure for AI inference, data pipelines, and agentic workflows.
* **Queue \&amp; Job Scheduling (K8s\-native):** Migrate from Python multiprocessing \+ Postgres\-as\-queue to Kubernetes\-native queuing and orchestration (KEDA/HPA, Jobs/CronJobs, Kueue/Argo).
* **Managed Kafka Operations:** Tune partitioning and throughput, design DLQ \+ replay runbooks, implement idempotent sinks to avoid duplicates
* **Autoscaling:** Scale on real signals (queue lag, in\-flight requests, latency); add burst capacity and safe drains
* **Per\-Tool Reliability:** Productionize MCP toolchains with circuit breaking, timeouts, sandboxing, and audit
* **Progressive Delivery:** Implement canary and blue/green rollouts for stateful services, pre\-warm caches/weights, and enable graceful termination
* **Observability:** Build RED/USE dashboards and OpenTelemetry traces across gateway agent tool Kafka sinks
* **Infrastructure as Code:** Evolve Terraform/Helm/Kustomize for multi\-environment deployments, secrets, policy\-as\-code (OPA/Rego), and workload identity
### **Requirements**
* 3\+ years of experience at technically rigorous companies or teams
* Proven experience operating high\-concurrency backends with managed Kafka fan\-in/out and at\-least\-once processing
* Experience designing idempotent systems (outbox, dedupe keys, safe replay)
* Production experience building and maintaining systems in Python and Rust (Rust 2024\)
* Incident response, chaos testing, capacity planning
* Familiarity with AWS, EKS, Terraform, Helm/Kustomize
* Strong debugging skills across runtime, Kafka, network, and auth layers
* Security\-minded, with experience implementing least privilege, default\-deny egress, auditability, and policy\-as\-code
**Nice to Have**
* GPU workload operations (MIG, topology\-aware placement), inference servers, token streaming gateways
* Data governance (PII discovery/redaction), lineage, tokenization
* Cross\-region active/active for Kafka and stateless services
* Service mesh (Envoy/Istio), Cilium/eBPF, ClickHouse for analytics
### **Compensation**
We offer competitive compensation, startup equity, health insurance, and additional benefits. The U.S. base salary range for this full\-time, in\-person role in New York is $150,000–$300,000, plus equity and benefits. Our salary ranges are based on location, level, and role. Individual compensation is determined by experience, skills, and job\-related knowledge.
### **Why You Should Join Us**
We’ll make sure you’re fully supported with health insurance, a great tech setup, flexible time off, and plenty of in\-office snacks. We offer competitive salary and equity packages, and take thoughtful consideration with every hire on our small, high\-impact team.
Traversal is fully in\-office, 5 days a week, based in New York near Madison Square Park. We have a collaborative, hard\-working culture and are energized by building the future of AI\-powered software maintenance.
Working here means owning meaningful parts of the product, having the flexibility to move fast, and learning constantly. This is a place to grow your career, make a real impact, and help define a new category of infrastructure software.</t>
        </is>
      </c>
    </row>
    <row r="29">
      <c r="A29" t="inlineStr">
        <is>
          <t>in-3961e20daefdaaf7</t>
        </is>
      </c>
      <c r="B29" t="inlineStr">
        <is>
          <t>Machine Learning Engineer</t>
        </is>
      </c>
      <c r="C29" t="inlineStr"/>
      <c r="D29" t="inlineStr">
        <is>
          <t>indeed</t>
        </is>
      </c>
      <c r="E29" t="inlineStr"/>
      <c r="F29" t="inlineStr"/>
      <c r="G29" t="inlineStr">
        <is>
          <t>New York, NY, US</t>
        </is>
      </c>
      <c r="H29" s="2" t="n">
        <v>46065</v>
      </c>
      <c r="I29" t="inlineStr">
        <is>
          <t>**About Pangram Labs**
Pangram Labs’ mission is to protect authenticity by building the world’s best AI detection systems. We publish research on state\-of\-the\-art AI detection techniques and algorithms, and build products to bring our technology into people's daily lives.
We are looking for high agency, mission\-driven, and passionate builders to join our team. All roles are in person in Brooklyn, New York.
**About the Role**
Pangram Labs is hiring strong Machine Learning Engineers at all levels to join our team. In this role, you will build software to support the machine learning development cycle from data generation, to training models, to deployment and monitoring production machine learning systems in real customer environments.
At Pangram, ML engineers are highly involved in the research effort, are involved in publishing research, and regularly contribute ideas and innovations to the team. However, formal research experience is not necessary.
This is an in\-person role in our office in Downtown Brooklyn, NYC.
Responsibilities:
* Build robust data pipelines that mine the Internet at scale and generate millions of synthetic text examples for training detection models
* Manage distributed infrastructure for multi\-GPU LLM training
* Profiling and optimizing training and inference code
* Deploy efficient inference pipelines for serving LLMs at scale
Requirements:
* B.S./M.S. in Computer Science or related areas
* Strong programming skills in Python and modern ML frameworks
* Excellent understanding of transformers and LLM fundamentals
* Comfort working across research and engineering boundaries
Nice to have
* Experience with NVIDIA GPU programming and CUDA
* Experience with distributed training frameworks, such as DeepSpeed, FSDL, Ray
* Experience with inference frameworks like vLLM
* Experience with large\-scale data processing (Spark, Beam) and orchestration (Airflow)
* Experience with MLOps and experiment tracking
* Experience with DevOps tools
* Familiarity with cloud\-based infrastructure (AWS/GCP)
**About the Team**
We are a small, tight\-knit team of researchers and engineers who care deeply about our work and each other. We believe that a small group of highly talented, empowered, and efficient people can outperform teams many times their size. Everyone on the team has meaningful ownership over the technical and strategic direction of the company.
Pangram is primarily an in\-person company. We are high\-touch, high\-energy, and extremely collaborative by nature and choose to spend time together to do our best thinking and innovation.
Compensation Range: $150K \- $250K</t>
        </is>
      </c>
    </row>
    <row r="30">
      <c r="A30" t="inlineStr">
        <is>
          <t>in-cc549dd85952278f</t>
        </is>
      </c>
      <c r="B30" t="inlineStr">
        <is>
          <t>Staff AI / ML Engineer - Embodied AI</t>
        </is>
      </c>
      <c r="C30" t="inlineStr">
        <is>
          <t>General Motors (GM)</t>
        </is>
      </c>
      <c r="D30" t="inlineStr">
        <is>
          <t>indeed</t>
        </is>
      </c>
      <c r="E30" t="inlineStr"/>
      <c r="F30" t="inlineStr"/>
      <c r="G30" t="inlineStr">
        <is>
          <t>Mountain View, CA, US</t>
        </is>
      </c>
      <c r="H30" s="2" t="n">
        <v>46065</v>
      </c>
      <c r="I30"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Staff AI/ML Engineer in the Embodied AI organization, you will serve as a senior individual contributor developing and deploying machine learning solutions that directly impact autonomous driving performance. You will design and implement advanced ML models that enable safe and reliable vehicle behavior across diverse real\-world scenarios.
In this role, you will partner closely with cross\-functional engineering teams, contribute to core technical direction within your domain, and support the growth of engineers through technical collaboration and mentorship. You will help translate research into scalable onboard ML solutions while contributing to the continuous improvement of our autonomy stack.
**What You'll Do**
* Design and implement ML solutions aligned with GM’s autonomous driving objectives.
* Apply techniques such as unsupervised pre\-training, imitation learning, reinforcement learning, model scaling/selection, foundation modeling, to solve problems in object detection/tracking/classification, trajectory generation, and safe AI.
* Collaborate with cross\-functional teams to deploy models and algorithms into onboard driving systems.
* Contribute to applied research efforts and remain current with advancements in ML frameworks and methods.
* Design and build efficient infrastructure, pipelines, and tooling to facilitate fast\-pace model iterations.
* Drive technical execution from prototyping through production deployment, documenting learnings and best practices.
* Support and mentor engineers through technical collaboration and code reviews, fostering knowledge sharing and engineering excellence.
**Your Skills \&amp; Abilities**
* Bachelor’s, Master’s, or PhD in Computer Science, Robotics, Machine Learning, or related field.
* Experience working with large\-scale foundation models and alignment methods applied to real\-world systems.
* Demonstrated ability to deliver applied ML solutions under real\-world constraints and timelines.
* Proficiency in PyTorch and Python.
* Experience building and scaling model training pipelines enabling efficient iteration across teams.
* Strong data processing skills using tools such as NumPy, Pandas, and Apache Spark.
* Strong communication skills enabling effective collaboration across engineering teams.
* Experience deploying ML models into production environments and understanding end\-to\-end deployment workflows.
* Experience in robotics or autonomous driving systems preferred.
*Remote:* This role is based remotely but if you live within a 50\-mile radius of Austin, Detroit, Warren, Milford or Mountain View, you are expected to report to that location three times per week, at minimum.
*Compensation* : The compensation information is a good faith estimate only. It is based on what a successful applicant might be paid in accordance with applicable state laws. The compensation may not be r epresentative for positions located outside of the California Bay Area.
* The salary range for this role is $218,800\.00 to $335,300\.00\.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 /lease a qualifying GM vehicle every four years unless one of a limited number of exceptions applies.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31">
      <c r="A31" t="inlineStr">
        <is>
          <t>in-939ffa0d385407c2</t>
        </is>
      </c>
      <c r="B31" t="inlineStr">
        <is>
          <t>Senior AI / ML Engineer - Embodied AI</t>
        </is>
      </c>
      <c r="C31" t="inlineStr">
        <is>
          <t>General Motors (GM)</t>
        </is>
      </c>
      <c r="D31" t="inlineStr">
        <is>
          <t>indeed</t>
        </is>
      </c>
      <c r="E31" t="inlineStr"/>
      <c r="F31" t="inlineStr"/>
      <c r="G31" t="inlineStr">
        <is>
          <t>Mountain View, CA, US</t>
        </is>
      </c>
      <c r="H31" s="2" t="n">
        <v>46065</v>
      </c>
      <c r="I31"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Senior AI/ML Engineer in the Embodied AI organization, you will develop and deploy machine learning solutions contributing to autonomous driving performance. You will contribute to designing and improving ML models that support safe and reliable vehicle behavior across real\-world scenarios.
You will collaborate closely with senior engineers and cross\-functional teams to translate research and technical concepts into production\-ready solutions while contributing to engineering best practices and delivery execution.
**What You'll Do**
* Develop and improve ML solutions aligned with GM’s autonomous driving objectives.
* Apply techniques such as unsupervised pre\-training, imitation learning, reinforcement learning, model scaling/selection, foundation modeling, to solve problems in object detection/tracking/classification, trajectory generation, and safe AI.
* Collaborate with cross\-functional teams to deploy models into onboard driving systems.
* Implement and evaluate models, incorporating research advancements into practical applications.
* Contribute to taking ML solutions from experimentation through deployment and production support.
* Participate in code reviews, documentation, and technical discussions to support engineering quality and knowledge sharing.
**Your Skills \&amp; Abilities**
* Bachelor’s or Master’s degree in Computer Science, Robotics, Machine Learning, or related field.
* Experience applying machine learning techniques to real\-world systems or large\-scale datasets.
* Proficiency in PyTorch and Python.
* Experience working with model training pipelines or large\-scale data processing workflows.
* Strong data processing skills using tools such as NumPy, Pandas, and Apache Spark.
* Ability to collaborate effectively within cross\-functional engineering teams.
* Experience deploying ML models into production or working within production ML environments preferred.
*Remote:* This role is based remotely but if you live within a 50\-mile radius of Austin, Detroit, Warren, Milford or Mountain View, you are expected to report to that location three times per week, at minimum.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$170,600\.00 to $261,300\.00\.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32">
      <c r="A32" t="inlineStr">
        <is>
          <t>in-d71f1a40f10e8c19</t>
        </is>
      </c>
      <c r="B32" t="inlineStr">
        <is>
          <t>Principal AI / ML Engineer - Embodied AI</t>
        </is>
      </c>
      <c r="C32" t="inlineStr">
        <is>
          <t>General Motors (GM)</t>
        </is>
      </c>
      <c r="D32" t="inlineStr">
        <is>
          <t>indeed</t>
        </is>
      </c>
      <c r="E32" t="inlineStr"/>
      <c r="F32" t="inlineStr"/>
      <c r="G32" t="inlineStr">
        <is>
          <t>Mountain View, CA, US</t>
        </is>
      </c>
      <c r="H32" s="2" t="n">
        <v>46065</v>
      </c>
      <c r="I32"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Principal Technical Lead in the Embodied AI organization, you will be a senior individual contributor driving cutting\-edge end\-to\-end machine learning solutions directly impacting autonomous driving performance. Your role is pivotal in designing, architecting, and deploying advanced ML models to reliably and safely navigate diverse real\-world scenarios and conditions. You'll lead critical technical initiatives, collaborate closely with cross\-functional teams, mentor ML engineers, and significantly shape the future of onboard ML capabilities.
**What You'll Do:**
* Design and implement technologies that align our models to GM’s mission.
* Apply techniques such as unsupervised pre\-training, imitation learning, reinforcement learning, guidance, and selection to raise the performance of our models and provide a layer safety and reliability.
* Collaborate with cross\-functional teams to integrate \&amp; align distillation recipes of foundation models for onboard driving models.
* Conduct research and stay updated on the latest advancements in AI frameworks and libraries.
* Lead projects from ideation to deployment, documenting learnings and best practices along the way.
* Mentor junior team members and contribute to a culture of knowledge sharing and continuous improvement.
**Your Skills \&amp; Abilities:**
* Bachelor’s, Master’s or PhD degree in Computer Science with a focus in Robotics and or Machine Learning, or a related field.
* Proven experience working with large\-scale Foundation Models and alignment methods to translate research into real\-world impact.
* Proven experience delivering applied research in the wild and maintaining best practices while working on tight deadlines.
* Proficiency in frameworks such as PyTorch and languages such as python.
* Proven experience in building and scaling large model training pipelines that are performant and enable quick iteration by distributed teams.
* Strong data processing skills using tools like Numpy, Pandas, and Apache Spark.
* Excellent communication skills to effectively collaborate with diverse teams and stakeholders.
* Experience deploying foundation models into production environments and understanding the end\-to\-end process.
* Previous experience in Robotics or Autonomous Driving.
*Remote:* This role is based remotely but if you live within a 50\-mile radius of Austin, Detroit, Warren, Milford or Mountain View, you are expected to report to that location three times per week, at minimum.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$296,300\.00 to $453,900\.00\.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33">
      <c r="A33" t="inlineStr">
        <is>
          <t>in-0f96c3a7c59f6dfc</t>
        </is>
      </c>
      <c r="B33" t="inlineStr">
        <is>
          <t>Senior AI Engineer*</t>
        </is>
      </c>
      <c r="C33" t="inlineStr">
        <is>
          <t>Egen Solutions Inc</t>
        </is>
      </c>
      <c r="D33" t="inlineStr">
        <is>
          <t>indeed</t>
        </is>
      </c>
      <c r="E33" t="inlineStr"/>
      <c r="F33" t="inlineStr"/>
      <c r="G33" t="inlineStr">
        <is>
          <t>Remote, US</t>
        </is>
      </c>
      <c r="H33" s="2" t="n">
        <v>46065</v>
      </c>
      <c r="I33" t="inlineStr">
        <is>
          <t>**About Egen:**  
Egen is a fast\-growing and entrepreneurial company with a data\-first mindset. We bring together the best engineering talent working with the most advanced technology platforms, including Google Cloud and Salesforce, to help clients drive action and impact through data and insights. We are committed to being a place where the best people choose to work so they can apply their engineering and technology expertise to envision what is next for how data and platforms can change the world for the better. We are dedicated to learning, thrive on solving tough problems, and continually innovate to achieve fast, effective results. If this describes you, we want you on our team. *Want to learn more about life at Egen? Check out these resources in addition to the job description.*  
Meet Egen
Life at Egen
Culture and Values at Egen
Career Development at Egen
Benefits at Egen **About the opportunity:**  
As a Senior AI Engineer, you will be at the forefront of our Generative AI initiatives. We treat AI as a software engineering discipline. You will be responsible for the full lifecycle of our AI features—specifically document intelligence and RAG pipelines—taking them from initial prototype to robust, scalable production services. You will solve for real\-world constraints like latency, error handling, and cost optimization.  
You’ll collaborate with a diverse range of clients to translate business needs into high\-performance AI architectures. This role requires a blend of deep technical expertise in LLMs and a disciplined Software Engineering approach to ensure our solutions are robust, ethical, and scalable.
### **What You Will Do:**
* + Architect \&amp; Build: Design and implement end\-to\-end GenAI applications using Python, LangChain, and LlamaIndex on Google Cloud.
	+ Engineer for Precision: Develop advanced RAG (Retrieval\-Augmented Generation) pipelines and Semantic Search systems using GCP Vector Search or Pinecone.
	+ Optimize Models: Lead efforts in LLM and Embedding fine\-tuning to improve domain\-specific performance.
	+ Agentic Ops: Build and manage agentic workflows that automate complex multi\-step reasoning tasks.
	+ Collaborate \&amp; Innovate: Work directly with customers to understand requirements, suggest novel features, and implement state\-of\-the\-art AI techniques.
	+ Productionize: Apply MLOps best practices to ensure models are served efficiently, monitored, and continuously improved.
### **Your Technical Toolkit:**
* + Core Languages: Mastery of Python and shell scripting.
	+ AI/LLM Ecosystem: Extensive experience with Google Gemini, GPT\-4, or LLaMA; deep knowledge of Prompt Engineering and Fine\-tuning.
	+ Data \&amp; Search: Expertise in Vector Databases (Vertex AI Vector Search, pgvector, etc.) and implementing Semantic Search.
	+ Infrastructure: Hands\-on experience with GCP (Vertex AI) and building scalable software architectures.
	+ Frameworks: Proficiency in LangChain, LlamaIndex, or similar orchestration layers.
	+ Mindset: A strong software engineering foundation—you write clean, maintainable code and understand the full SDLC.
### **Basic Qualifications:**
* + Bachelor’s or Master’s degree in Computer Science, Engineering, or a related technical field.
	+ Proven track record of deploying GenAI products to a production environment.
	+ Experience with Classic Machine Learning (neural nets, training, tuning) is a strong plus.
	+ Knowledge of Data Engineering and SQL.
### **Personal Attributes:**
* + Ownership: You take pride in your code and see projects through from concept to deployment.
	+ Curiosity: The AI landscape changes weekly; you are a lifelong learner who stays ahead of the curve.
	+ Consultative Spirit: You enjoy interacting with clients and can translate technical complexity into business value.
	+ Ethics: You prioritize responsible AI development and data privacy.
**Compensation \&amp; Benefits:**  
This role is eligible for our competitive salary and comprehensive benefits package to support your well\-being:* Comprehensive Health Insurance
* Paid Leave (Vacation/PTO)
* Paid Holidays
* Sick Leave
* Parental Leave
* Bereavement Leave
* 401 (k) Employer Match
* Employee Referral Bonuses
 **Important:**All roles are subject to standard hiring verification practices, which may include background checks, employment verification, and other relevant checks. **EEO and Accommodations:**  
Egen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Egen will also consider qualified applications with criminal histories, consistent with legal requirements. Egen welcomes and encourages applications from individuals with disabilities. Reasonable accommodations are available for candidates during all aspects of the selection process. Please advise the talent acquisition team if you require accommodations during the interview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
      <c r="A34" t="inlineStr">
        <is>
          <t>in-39472f41505668ae</t>
        </is>
      </c>
      <c r="B34" t="inlineStr">
        <is>
          <t>Senior Applied AI Engineer</t>
        </is>
      </c>
      <c r="C34" t="inlineStr">
        <is>
          <t>Wellthy</t>
        </is>
      </c>
      <c r="D34" t="inlineStr">
        <is>
          <t>indeed</t>
        </is>
      </c>
      <c r="E34" t="inlineStr"/>
      <c r="F34" t="inlineStr"/>
      <c r="G34" t="inlineStr">
        <is>
          <t>Remote, US</t>
        </is>
      </c>
      <c r="H34" s="2" t="n">
        <v>46065</v>
      </c>
      <c r="I34" t="inlineStr">
        <is>
          <t>**Why Wellthy is for you!**
At Wellthy, we dream of a world where everyone has the care infrastructure they need to manage their own health and the health and well\-being of their loved ones.  
We're building something new in the care space \- reimagining how care is delivered, accessed, and supported by families around the globe. As we grow, we're seeking collaborative, curious, and purpose\-driven teammates to help us expand what's possible.  
Our work is grounded in the expertise of seasoned care professionals who deeply understand families' real challenges paired with agile, tech\-powered solutions that deliver support efficiently and at scale. We embrace a mindset of continuous learning, especially around emerging technologies. Tools like AI and other innovations are accelerators, enabling us to scale our impact, work smarter, and stay at the forefront of care delivery.
Through Wellthy, millions of families have access to support to help them manage care during every stage of life, with hands\-on experts guiding families through caregiving or backup care journeys. And with the acquisition of Patch Caregiving, Wellthy continues to expand how care shows up for working families by pairing care navigation and coordination with on\-site and near\-site employer\-based childcare. This combination allows us to support families not just in navigating care decisions, but in accessing real, hands\-on help when and where they need it most. Together, we're building a more connected, comprehensive care experience for families and caregivers alike.
We partner with leading companies including more than 40 Fortune 500 companies to support the care needs of their workforces globally. We also work alongside health plans and carriers to embed care support into their offerings, enhancing the experience and outcomes for members.  
We're building, evolving, and expanding the market category for care, and we're looking for responsive, collaborative, curious, and purposeful colleagues to join us.
**As our Senior Applied AI Engineer**, you will partner closely with the CTO to design, develop, and implement applied AI solutions (retrieval\-augmented generation, LLM orchestration, and safe agentic workflows) and drive the AI\-first transformation of our product and engineering teams.
**You will report directly to the Chief Technology Officer**.
**To be successful in this role:**
* Lead design and development of applied AI systems (RAG pipelines, LLM integrations, APIs).
* Ensure safe, reliable AI outputs with guardrails, monitoring, and evaluation.
* Prototype quickly, then scale to production with maintainable code.
* Mentor engineers on AI best practices and safe adoption.
* Partner with product and engineering leadership to collaborate on project timelines and scope for AI initiatives.
* Make effective trade\-offs between technical debt and short\-term delivery of value.
* Run experiments and rapidly prototype to quickly assess tools and prospective features.
* Use AI to effectively deliver high\-quality, efficient, and maintainable code, setting standards and best practices for the engineering team.
* Collaborate closely with cross\-functional teams to integrate AI solutions into existing and new features and applications.
* Contribute to the development of foundational AI capabilities, such as RAG/vector\-database solutions and agentic workflow solutions.
* Create solutions for continuously improving AI solutions through monitoring, analytics and user feedback.
* Support the ability to easily evaluate AI performance against various models and prompts.
* Troubleshoot and resolve intricate technical issues related to AI implementations.
* Mentor and guide other engineers, fostering their adoption and appropriate use of AI.
* Support innovation through researching and assessing the latest AI advances on an ongoing basis.
* Contribute to comprehensive testing strategies, including unit testing, integration testing, and continuous integration practices.
* Develop and maintain documentation of AI solutions and related processes and best practices.
* Support the production operations of the applications by participating in technical support and release duty rotations.
**Qualifications**
To be successful in this role, you'll need to be open to learning, experimenting, and evolving. Comfort with emerging technology and curiosity around how tools like AI can support your workflow or help families more effectively is a plus.
* Minimum of 7\+ years of professional experience in software development with at least 2 years of hands\-on applied AI/LLM experience.
* Strong proficiency in Python and modern AI frameworks (LangChain, vector DBs).
* Experience with Retrieval\-Augmented Generation (RAG) and API\-based LLM integration.
* Have deployed evaluation frameworks for LLMs, with an understanding of performance, reliability, and bias assessment
* Strong understanding of risks inherent in AI and approaches for mitigating them.
* Familiarity with coding workflows using AI.
* Strong problem\-solving skills and a collaborative, solution\-oriented mindset.
* Excellent communication skills for effective cross\-functional collaboration.
* Experience leading complex projects, demonstrating strong technical leadership.
* Ability to mentor and guide other engineers.
* Passion for continuous learning and keeping up with AI trends and advances.
**Qualifications that are preferred but not mandatory:**
* Strong knowledge of AI security principles and best practices.
* Experience with frontend design principles and user experience (UX) considerations.
* Exposure to cloud\-native development and containerization.
* Exposure to agile development methodologies.
* Prior work in healthcare or regulated domains.
**Total Rewards Package**
**The starting salary for this position is $160,000\-$180,000\.**
* Remote work environment.
* Medical, dental and vision benefits within 30 days of hire.
* Retirement saving account with matching company contributions.
* Mental health benefits.
* 15 days paid vacation, two additional days for each subsequent year (up to a maximum of 25 days).
* Sick and Caregiving Days.
* Professional development initiatives for growth.
* Generous parental leave (maternal and paternal) during a new child's first year (born into family or adopted) and pregnancy loss leave.
**Role Requirements:**
To work remotely, you must have a strong internet connection, quiet space to take calls and a professional (distraction free) environment.
**Location**
This is a remote and US states based opportunity. We ask that you work in a location that is:
* Private, with secure (not public) internet and phone access
* Suitable to safely and securely accommodate the sensitive information that you will be handling and communicating
* Given the nature of the material you will be working on and handling, you are required to work from a private, dedicated, distraction\-free space
Our Wellthians are located throughout the United States but we are currently not accepting candidates in the following states: Alaska, Hawaii, Maine, Mississippi, New Hampshire, New Mexico, North Dakota, Oklahoma, Rhode Island, and West Virginia.
**What's Next?**
We encourage you to apply for this position by clicking the apply here button on job posting and attaching your resume. We understand that there is no "perfect" candidate and never expect every candidate to meet 100% of the qualifications listed above. We look for our Wellthians to enhance and advance our company from their past experiences. Our diverse backgrounds and perspectives are what make Wellthy a fantastic company to work for. We hope that you're encouraged and even excited by that to get started with our process.
All applicants will receive consideration for employment without regard to race, color, religion, sex, sexual orientation, gender identity, national origin, disability protected veteran status, or any other characteristics protected by law.
For information about our Applicant Privacy, please review here: **https://app.getguru.com/card/iRgBL8yT/Applicant\-Privacy\-Policy**
For those who require reasonable accommodations, please let us know on your application or email us at jobs@wellthy.com.</t>
        </is>
      </c>
    </row>
    <row r="35">
      <c r="A35" t="inlineStr">
        <is>
          <t>in-5735ba45ee84d39c</t>
        </is>
      </c>
      <c r="B35" t="inlineStr">
        <is>
          <t>Senior AI/ML Engineer (SE4)</t>
        </is>
      </c>
      <c r="C35" t="inlineStr">
        <is>
          <t>Epsilon Systems Solutions</t>
        </is>
      </c>
      <c r="D35" t="inlineStr">
        <is>
          <t>indeed</t>
        </is>
      </c>
      <c r="E35" t="inlineStr"/>
      <c r="F35" t="inlineStr"/>
      <c r="G35" t="inlineStr">
        <is>
          <t>Dayton, OH, US</t>
        </is>
      </c>
      <c r="H35" s="2" t="n">
        <v>46065</v>
      </c>
      <c r="I35" t="inlineStr">
        <is>
          <t>Epsilon C5I, a 100% employee\-owned company founded in 1998, is seeking a Senior AI/ML Engineer (SE4\) to join our team as we advance the State\-of\-the\-Art in artificial intelligence for the intelligence community and autonomy applications. Our products are used to improve our nation’s capability by improving decision making that currently relies on extensive human interaction within the US Air Force, Space Force, and Department of Defense.
If you have a passion for excellence in engineering and enjoy working on challenging projects in a fast\-paced, team\-oriented environment – read on!
**What You’ll Do:**
* Design and train neural networks for various applications
* Analyze and manipulate multi\-dimensional tabular, meta\-, and geospatial imagery data
* Interpret results and compare with truth data
* Conduct post processing and data reduction
* Write analysis reports and create briefings
* Work independently and in a team environment
* Lead a team of engineers
* Mentor junior engineers
**Required Qualification:**
* Master’s degree in computer science, computer engineering, or related field.
* Applicants must have an active DoD Top Secret Security Clearance, with SCI eligibility.
* Pursuant to the various government contractual requirements, all applicants must be U.S. Citizens.
* 10 years of software engineering experience with a strong background in the following:
	+ Collecting labeled data and Neural Network (NN) training
	+ Programming: Python, C\+\+, MATLAB, PyTorch, TensorFlow, Keras
	+ Satellite imagery, image processing, and geospatial\-temporal image data
	+ Geospatial Self\-Organizing Map (SOM) data
	+ Geospatial vector graphics and multi\-modal dataset integration
	+ Computer vision such as object detection and segmentation
	+ Vector embedding, similarity search, and RAG architectures
	+ Database schema design and large\-scale geospatial data
	+ CI/CD, AWS, and ML Ops pipelines
	+ Building graph databases
	+ Building PostgreSQL databases with vector store (pgVector), audit (pgAudit), edit (pgAdmin), and geographic (PostGIS) capability
	+ Acquiring data and data wrangling for NN and transformer training and prompting
	+ Graph Neural Network (GNN) frameworks, training GNNs, and extracting embedding vectors and likelihoods
	+ Building Vision Transformer framework, training transformers, and extracting embedding vectors and likelihoods
	+ Large Language Models (LLM) and implementing templates to guide responses
	+ Vision Language Models (VLM) and Visual Question Answering (VQA) – experience with CLIP and LLaVA is a plus
* Strong problem solving and critical thinking skills.
* Effective oral and written communication skills.
**Why Work for Epsilon C5i?**
* We are a 100% employee\-owned company.
* We have more than 20 locations serving the Department of Defense, Department of Energy, Department of Homeland Security, non\-profit and commercial customers.
* The Dayton division has recently been named as one of only five prime awardees for the 10\-year, $4\.7 billion NOVASTAR contract supporting the National Air and Space Intelligence Center (NASIC), WPAFB, Ohio
**ADA Notations:**
* Regular communication (hearing/speaking).
* Noise conditions range from very quiet to very noisy.
* Prolonged use of computer (typing/keyboarding).
* Frequently required to sit for long periods of time, stand, and walk.
* Ability to travel by car, air or other means of transportation, if required.
Epsilon Systems Solutions, Inc. is an equal opportunity employer. Qualified candidates will be considered without regard to legally protected characteristics.</t>
        </is>
      </c>
    </row>
    <row r="36">
      <c r="A36" t="inlineStr">
        <is>
          <t>in-99cf05b9f4bab682</t>
        </is>
      </c>
      <c r="B36" t="inlineStr">
        <is>
          <t>AI/ML Engineer (SE2)</t>
        </is>
      </c>
      <c r="C36" t="inlineStr">
        <is>
          <t>Epsilon Systems Solutions</t>
        </is>
      </c>
      <c r="D36" t="inlineStr">
        <is>
          <t>indeed</t>
        </is>
      </c>
      <c r="E36" t="inlineStr"/>
      <c r="F36" t="inlineStr"/>
      <c r="G36" t="inlineStr">
        <is>
          <t>Dayton, OH, US</t>
        </is>
      </c>
      <c r="H36" s="2" t="n">
        <v>46065</v>
      </c>
      <c r="I36" t="inlineStr">
        <is>
          <t>Epsilon C5I, a 100% employee\-owned company founded in 1998, is seeking a Mid\-level AI/ML Engineer (SE2\) to join our team as we advance the State\-of\-the\-Art in artificial intelligence for the intelligence community and autonomy applications. Our products are used to improve our nation’s capability by improving decision making that currently relies on extensive human interaction within the US Air Force, Space Force, and Department of Defense.
If you have a passion for excellence in engineering and enjoy working on challenging projects in a fast\-paced, team\-oriented environment – read on!
**What You’ll Do:**
* Design and train neural networks for various applications
* Analyze and manipulate multi\-dimensional tabular, meta\-, and geospatial imagery data
* Interpret results and compare with truth data
* Conduct post processing and data reduction
* Write analysis reports and create briefings
* Work independently and within a team of multi\-disciplined engineers and provide guidance and support to colleagues
**Required Qualification:**
* Bachelor’s degree in computer science, computer engineering, or related field.
* Applicants must have an active DoD Top Secret Security Clearance, with SCI eligibility.
* Pursuant to the various government contractual requirements, all applicants must be U.S. Citizens.
* 5 years of software engineering experience with a strong background in the following:
	+ Collecting labeled data and Neural Network (NN) training
	+ Programming: Python, PyTorch, TensorFlow, Keras
	+ Satellite imagery, image processing, and geospatial\-temporal image data
	+ Geospatial vector graphics and Self\-Organizing Map (SOM) data
	+ Computer vision, Vector embedding, and similarity search
	+ CI/CD, AWS, and ML Ops pipelines
	+ Graph database concepts and PostgreSQL databases with vector store (pgVector), audit (pgAudit), edit (pgAdmin), and geographic (PostGIS) capability
	+ Acquiring data and data wrangling for NN and transformer training and prompting
	+ Automated data pulling from web\-based Application Programming Interfaces (API)
	+ Graph Neural Network (GNN) and Point Transformers (PT), training GNNs and PTs, and extracting embedding vectors and likelihoods
	+ Vision Transformer frameworks, training transformers, and extracting embedding vectors and likelihoods
	+ Large Language Models (LLM) and implementing templates to guide responses
	+ Vision Language Models (VLM) and Visual Question Answering (VQA)
* Strong problem solving and critical thinking skills.
* Effective oral and written communication skills.
**Why Work for Epsilon C5i?**
* We are a 100% employee\-owned company.
* We have more than 20 locations serving the Department of Defense, Department of Energy, Department of Homeland Security, non\-profit and commercial customers.
* The Dayton division has recently been named as one of only five prime awardees for the 10\-year, $4\.7 billion NOVASTAR contract supporting the National Air and Space Intelligence Center (NASIC), WPAFB, Ohio
**ADA Notations:**
* Regular communication (hearing/speaking).
* Noise conditions range from very quiet to very noisy.
* Prolonged use of computer (typing/keyboarding).
* Frequently required to sit for long periods of time, stand, and walk.
* Ability to travel by car, air or other means of transportation, if required.
Epsilon Systems Solutions, Inc. is an equal opportunity employer. Qualified candidates will be considered without regard to legally protected characteristics.</t>
        </is>
      </c>
    </row>
    <row r="37">
      <c r="A37" t="inlineStr">
        <is>
          <t>in-2b1e666396e45e36</t>
        </is>
      </c>
      <c r="B37" t="inlineStr">
        <is>
          <t>Machine Learning Engineer, (Applied Machine Learning), AI &amp; Data Platforms (AiDP)</t>
        </is>
      </c>
      <c r="C37" t="inlineStr">
        <is>
          <t>Apple</t>
        </is>
      </c>
      <c r="D37" t="inlineStr">
        <is>
          <t>indeed</t>
        </is>
      </c>
      <c r="E37" t="inlineStr"/>
      <c r="F37" t="inlineStr"/>
      <c r="G37" t="inlineStr">
        <is>
          <t>Sunnyvale, CA, US</t>
        </is>
      </c>
      <c r="H37" s="2" t="n">
        <v>46065</v>
      </c>
      <c r="I37" t="inlineStr">
        <is>
          <t>Imagine what you could do here. At Apple, revolutionary ideas have a way of becoming extraordinary products, services, and customer experiences. Join the Ai Data Platform Applied Machine Learning team to pioneer enterprise solutions where generative AI meets Apple's unique commitment to privacy\-first innovation. Together, we'll create tools that redefine industries while safeguarding what matters most \- our users' trust.  
**Description**  
As a pivotal member of Apple's enterprise generative AI efforts, you will help design, build, and evolve models, platforms, and applications that power high\-impact AI experiences across the company. You will contribute to the architecture and optimization of AI/gen AI systems built for high availability, scalability, and reliability, working across backend services and application layers. Our team designs and implements SOTA AI Models, scalable RESTful APIs, services, and platform components that advance adoption of gen AI at apple. We tackle unique challenges in AI Safety, privacy\-preserving generations, efficient inference, and multimodal integration, while enabling teams to build on top of our foundations. We deliver production\-grade systems and models that meet Apple's rigorous standards for quality, performance, and scalability.  
**Preferred Qualifications**  
Strength in coding languages such as Python, Java, or GO.  
MS in Computer Science, Machine Learning, or a related quantitative field  
Experience with microservices architecture and distributed systems  
Experience in ML frameworks (PyTorch, JAX) for training, fine\-tuning, and deploying ML/generative models at scale  
Proven track record of building enterprise\-grade ML pipelines (data prep, distributed training, optimization, monitoring) in cloud environments (AWS, GCP, Azure) or on\-prem infrastructure  
**Minimum Qualifications**  
2\+ years of hands\-on experience in machine learning or backend development in industry OR 3\+ years of hands on research and development experience in academia  
Bachelor of Science in Computer Science, Machine Learning, or a related quantitative field or equivalent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38">
      <c r="A38" t="inlineStr">
        <is>
          <t>in-7d13ae97648566eb</t>
        </is>
      </c>
      <c r="B38" t="inlineStr">
        <is>
          <t>Director, AI Engineering</t>
        </is>
      </c>
      <c r="C38" t="inlineStr">
        <is>
          <t>Colgate-Palmolive</t>
        </is>
      </c>
      <c r="D38" t="inlineStr">
        <is>
          <t>indeed</t>
        </is>
      </c>
      <c r="E38" t="inlineStr"/>
      <c r="F38" t="inlineStr"/>
      <c r="G38" t="inlineStr">
        <is>
          <t>New York, NY, US</t>
        </is>
      </c>
      <c r="H38" s="2" t="n">
        <v>46065</v>
      </c>
      <c r="I38" t="inlineStr">
        <is>
          <t>Relocation Assistance Offered Within Country  
Job Number \#171674 \- New York, New York,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**Purpose:**
The Director of AI Engineering is the lead of Colgate\-Palmolive’s Enterprise AI Engineering team. This leader is responsible for managing a high\-impact team of AI engineers who will architect the next generation of enterprise AI infrastructure, specifically focusing on AI communication protocols, agentic platforms, context management systems, verification frameworks, and emerging technologies. As the head of the AI engineering for the enterprise, you will also lead a team of elite AI Engineers to transform high\-priority enterprise "moonshots" into production\-grade realities that drive measurable business value across Marketing, Supply Chain, and Innovation verticals.
 **Core Responsibilities:**
* **Enterprise AI Architecture:** Own the technical design and roadmap for the enterprise AI ecosystem, including the evolution of agentic workflows, enterprise context and knowledge graphs, secure routing services (eg. MCP), and integrated HITL workflows.
* **Core AI Lab Leadership:** Direct the company’s internal AI Lab to rapidly prototype emerging technologies, setting the standard for agile forward deployed engineering to deliver rapid value on critical high\-visibility projects.
* **Priority Project Delivery:** Act as the lead technical partner for high\-stakes enterprise Vertical Priorities, across functionals and global businesses.
* **Standards \&amp; Governance:** Establish enterprise\-wide engineering standards for Evaluation Frameworks, ensuring all AI agents and models are reliable, ethical, and compliant with Global AI Governance.
* **Infrastructure Ownership:** Define the tech stack for context management, RAG architectures, agent communication, vector database implementations, etc to create leading\-edge AI infrastructure and architectures.
 **Required Qualifications:**
Bachelor’s Degree in Computer Science, Artificial Intelligence, Software Engineering, or a related technical STEM field.  
* 
* Leadership: 5\+ years of experience in AI or software engineering, with at least 3 years in a leadership role managing technical teams.
* Agentic Frameworks: Proven ability to build E2E AI\-powered solutions using modern AI frameworks like n8n, Vercel, Langgraph, etc.
* AI at Scale: Experience deploying production\-grade AI applications.
* Modern Tooling: Expert hands\-on proficiency \- able to lead from the front and dive into technical problems when needed.
**Preferred Qualifications:**
Master's in a quantitative field (e.g., Computer Science, Statistics, or Physics).
Preferred experience working in matrixed global organizational structures.
**Technical Skills:**
* **Architectural Mastery:** Deep understanding of Software and architecture best practices. And latest frameworks in AI stack, including Model Context Protocol (MCP), A2A, RAG architectures, and semantic search, context graphs, etc.
* **Orchestration \&amp; Coding:** Mastery of LLM orchestration and high\-level competency in a major programming language.
* **MLOps \&amp; DevOps:** Expert knowledge of containerization (Docker/Kubernetes) and CI/CD frameworks specifically for the ML lifecycle.
* **Data Integrity:** Familiarity with pipeline orchestration tools like Airflow and dbt to ensure high\-quality, AI\-ready data foundations.
 **Core Competencies:**
* **Problem\-solving:** Ability to decompose complex enterprise challenges into modular, agentic AI solutions.
* **Executive Communication:** Exceptional ability to explain highly technical architectural concepts to non\-technical stakeholders and C\-suite executives.
* **Project Management:** Excellence in managing a portfolio of complex AI initiatives simultaneously while meeting aggressive deadlines.
 **Compensation and Benefits**  
Salary Range $200,000\.00 \- $225,000\.00 USD  
Pay is determined based on experience, qualifications, and location. Salaried employees may also be eligible for discretionary bonuses, profit\-sharing, and long\-term incentives for Executive\-level roles.  
Benefits: Salaried employees enjoy a comprehensive benefits package, including medical, dental, vision, basic life insurance, paid parental leave, disability coverage, and participation in the 401(k) retirement plan with company matching contributions subject to eligibility requirements. Additional benefits include a minimum of 15 vacation/PTO days (hourly employees receive a minimum of 120 hours) and 13 paid holidays (vacation days are prorated based on the employee's hire date within the calendar year). Paid sick leave is adjusted based on role and location in accordance with local laws. Detailed information regarding paid sick leave entitlements will be provided to employees upon hiring and may be subject to adjustments based on changes in legislation or company policies.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  
For additional Colgate terms and conditions, please click here.  
\#LI\-Hybrid</t>
        </is>
      </c>
    </row>
    <row r="39">
      <c r="A39" t="inlineStr">
        <is>
          <t>in-854af3a3b6797963</t>
        </is>
      </c>
      <c r="B39" t="inlineStr">
        <is>
          <t>GTM Systems &amp; AI Engineer</t>
        </is>
      </c>
      <c r="C39" t="inlineStr">
        <is>
          <t>Confluent</t>
        </is>
      </c>
      <c r="D39" t="inlineStr">
        <is>
          <t>indeed</t>
        </is>
      </c>
      <c r="E39" t="inlineStr"/>
      <c r="F39" t="inlineStr"/>
      <c r="G39" t="inlineStr">
        <is>
          <t>US</t>
        </is>
      </c>
      <c r="H39" s="2" t="n">
        <v>46065</v>
      </c>
      <c r="I39"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You’ll drive our shift to an AI\-first GTM operating model across Sales and Customer Success. This role focuses on improving GTM execution by removing friction from the customer journey, from pipeline generation and deal execution through onboarding, adoption, expansion, and renewal. You will take real workflow pain from the field and translate it into practical, measurable improvements using AI agents, automation, and better data flow across systems.
You’ll design and ship solutions using tools like Relevance AI, Momentum, Clay, and LLM tooling. You’ll influence GTM AI strategy by shipping what works, setting a high bar for quality and operational rigor, and creating reusable patterns that scale. You’ll own outcomes end\-to\-end. That means turning ambiguous asks into a clear plan, making tradeoffs quickly, and shipping measurable improvements on a steady cadence. Act as the internal GTM AI Subject Matter Expert (SME), promoting responsible AI adoption and automation across GTM teams by recommending effective patterns, tooling, and best practices.
**What You Will Do:**
---------------------
* **Own AI intake and delivery across Sales and CSG:** run intake, clarify business problems, define requirements and success metrics, prioritize the backlog, and drive initiatives from 0 to 1 through release and iteration.
* **Build and ship AI workflows end\-to\-end:** map current\-state processes, identify friction, design future\-state workflows, and implement agents and automations that teams can rely on day to day.
* **Partner cross\-functionally to unblock delivery:** work day\-to\-day with Sales, Customer Success, Marketing Ops, Business Technology, Data Science, Finance, and Legal to align on requirements, data usage, governance, and measurable outcomes.
* **Build with guardrails:** embed permissioning, auditability, and compliance requirements into workflows from day one.
* **Launch what you build:** drive rollout with lightweight enablement (training assets, office hours, comms), gather feedback, and continuously improve workflows after release.
* **Own quality and operational rigor:** create test plans, run QA, manage prompt and workflow versioning, and maintain documentation, runbooks, and release notes so delivery is safe and repeatable.
* **Measure impact and iterate:** track adoption and performance, validate results in partnership with Ops and Analytics, and continuously improve workflows based on usage and outcomes.
**What You Will Bring:**
------------------------
* 3 to 7\+ years in Revenue Operations, GTM Systems, Sales Ops, CS Ops, Business Systems, or similar roles improving GTM execution through process, systems, and automation.
* A pattern of taking ambiguous GTM problems, getting to the root cause fast, and shipping improvements that teams actually adopt.
* Strong judgment and follow\-through: you surface tradeoffs early, close open loops, and keep work moving from idea to rollout to iteration.
* Comfort with the technical basics that power modern GTM automation, including APIs/webhooks, JSON payloads, and SQL for validation or analysis (BigQuery preferred).
* Salesforce fluency and comfort working across pipeline, lifecycle, and post\-sales workflows.
**What Gives You an Edge:**
---------------------------
* Hands\-on experience with Relevance AI, Momentum, Clay, Gemini, or Claude.
* Familiarity with GTM Systems like Salesloft, Zoominfo, Clari, D\&amp;B, DemandTools and common Sales and CSG workflows.
* Experience building AI workflows with governance patterns (access controls, auditability, feedback loops).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$133\.6K \- $157K</t>
        </is>
      </c>
    </row>
    <row r="40">
      <c r="A40" t="inlineStr">
        <is>
          <t>in-a14b026349c7acbf</t>
        </is>
      </c>
      <c r="B40" t="inlineStr">
        <is>
          <t>Staff Machine Learning Engineer</t>
        </is>
      </c>
      <c r="C40" t="inlineStr">
        <is>
          <t>Terra AI</t>
        </is>
      </c>
      <c r="D40" t="inlineStr">
        <is>
          <t>indeed</t>
        </is>
      </c>
      <c r="E40" t="inlineStr"/>
      <c r="F40" t="inlineStr"/>
      <c r="G40" t="inlineStr">
        <is>
          <t>Redwood City, CA, US</t>
        </is>
      </c>
      <c r="H40" s="2" t="n">
        <v>46065</v>
      </c>
      <c r="I40" t="inlineStr">
        <is>
          <t>**About Terra AI**
------------------
We are building the state\-of\-the\-art AI platform for the discovery and development of clean energy and mineral resources. We bring the most advanced techniques in generative AI, foundation modeling, and autonomous decision optimization to tackle the most important problems in the geosciences. These systems can help more reliably identify critical resource deposits, more rapidly measure and characterize them, and design more efficient and sustainable production plans.
We are backed by Khosla Ventures and other leading venture investors. We are now looking to grow our team from \~15 to \~30 by the end of the year to continue to mature our technology and support deployment with our world\-class mineral and clean energy partners.
**Role description**
====================
In the same way image generators have shown the remarkable ability to produce a diverse set of realistic pictures conditioned on a text prompt (and other inputs), we are developing a generative model that produces 3D geological models conditioned on geophysical surveys, bore hole measurements, and other forms of physical observation. The outputs of the generative model capture what we know and don’t know about the state of the subsurface, allowing explorers to make maximally informed decisions about how and where to explore for critical resources.
We are looking for a talented deep learning engineer or scientist to lead the development of this model that will revolutionize decision making in the earth subsurface for a wide range of clean energy applications.
**Role Responsibilities**
=========================
* Design, train, test, and iterate on diffusion models for 3D geological models
* Design, train, test, and iterate on an approach to for conditioning generation on geophysical data and other observations
* Inform the generation of synthetic data to improve model performance
* Adapt diffusion modeling approach to specific real\-world projects in collaboration with project teams.
**Qualifications**
==================
Required Qualifications:
* Extensive PyTorch Experience
	+ Deep understanding of PyTorch, including writing custom modules, optimizing training, and debugging issues in large\-scale models.
* Expertise in Developing Large Deep Learning Models from Scratch
	+ Proven ability to design, implement, and train complex deep learning architectures from the ground up.
* Data Curation Skills
	+ Hands\-on experience in creating, cleaning, and maintaining high\-quality datasets tailored for machine learning applications.
* Strong Software Engineering and Design Experience
	+ Proficient in software development best practices, including version control, testing, and code optimization.
	+ Familiarity with designing scalable and maintainable systems.
**Bonus points if you:**
* Experience with Generative Models
	+ Familiarity with generative architectures, particularly diffusion models, and an emphasis on posterior sampling methods.
* Knowledge of Transformer Architectures
	+ Experience building and training transformers, especially in applications involving 3D data.
* Scaling Models Across Large GPU Clusters
	+ Expertise in parallelizing models across multiple GPUs and optimizing distributed training pipelines.
* Cloud Infrastructure Expertise
	+ Experience setting up, managing, and optimizing cloud environments for machine learning workloads, including provisioning resources and managing costs.</t>
        </is>
      </c>
    </row>
    <row r="41">
      <c r="A41" t="inlineStr">
        <is>
          <t>in-ec9e8ddf65cb1fb8</t>
        </is>
      </c>
      <c r="B41" t="inlineStr">
        <is>
          <t>Senior AI Engineer</t>
        </is>
      </c>
      <c r="C41" t="inlineStr">
        <is>
          <t>Microsoft</t>
        </is>
      </c>
      <c r="D41" t="inlineStr">
        <is>
          <t>indeed</t>
        </is>
      </c>
      <c r="E41" t="inlineStr"/>
      <c r="F41" t="inlineStr"/>
      <c r="G41" t="inlineStr">
        <is>
          <t>US</t>
        </is>
      </c>
      <c r="H41" s="2" t="n">
        <v>46062</v>
      </c>
      <c r="I41" t="inlineStr">
        <is>
          <t>**Overview**  
Security is one of Microsoft’s highest priorities as customers face increasing digital threats, complex estates, and fastmoving regulatory requirements. Microsoft Security delivers endtoend, integrated security solutions that help protect customers around the world.
NEXT is the strategic incubation and arm of Microsoft Security AI (MSECAI), responsible for building the next generation of AInative security capabilities. We translate new AI techniques into working prototypes and partner with product teams to bring them into the Microsoft Security suite.
As a Senior AI Engineer, you will contribute to the design, prototyping, and implementation of AIpowered security experiences and platform components. You will build highquality systems, collaborate closely with partner teams, and help bring ambiguous ideas to clear, functioning solutions.
 **Responsibilities**  
Technical Execution \&amp; Prototyping
* Build and prototype AInative features and system components, with a focus on iterative learning and shipping working code.
* Implement wellarchitected services, APIs, evaluation harnesses, and data pipelines that support AIbased security scenarios.
* Contribute to modeldriven features, including LLMbased reasoning, retrieval/RAG, grounding, routing, and safety guardrails.
AI Engineering
* Design and evaluate ML/AI systems using metrics such as groundedness, precision/recall, latency, and cost.
* Apply responsible AI, security, and privacy requirements throughout the development lifecycle.
* Work with partners to integrate prototypes into production environments as part of broader engineering efforts.
Collaboration
* Work with crossdisciplinary teams (research, PM, engineering) to clarify requirements and land technical decisions.
* Participate in design reviews, code reviews, and handson technical discussions.
* Contribute to a culture of curiosity, scientific rigor, and customerobsessed problem solving.
**Qualifications** **Required/minimum qualifications**
* Bachelor's Degree in Computer Science or related technical field AND 4\+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background and Microsoft Cloud background check upon hire/transfer and every two years thereafter.
**Additional or preferred qualifications***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2–3\+ years working with ML/AI systems (LLMs/GenAI, RAG, model serving, experimentation, or data pipelines).
* Hands‑on engineering experience building distributed cloud services in Azure
* Familiarity with security domains such as detection/response, SIEM/SOAR, identity, endpoint, or cloud security.
* Experience working with GenAI/LLM techniques: MCP, prompt engineering, retrieval/vector stores, agent/tooling frameworks, content safety, and evaluation platforms.
* Strong coding skills and comfort engaging deeply in design and implementation details.
\#MSFT Security  
\#SentinelPlatform  
\#NEXTAI \#AI \#MSEC \#MSECAI \#SENTINELAI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2">
      <c r="A42" t="inlineStr">
        <is>
          <t>in-c57802e5a476de4f</t>
        </is>
      </c>
      <c r="B42" t="inlineStr">
        <is>
          <t>Sr. AI/ML Engineer I (6407)</t>
        </is>
      </c>
      <c r="C42" t="inlineStr">
        <is>
          <t>Metrostar Systems</t>
        </is>
      </c>
      <c r="D42" t="inlineStr">
        <is>
          <t>indeed</t>
        </is>
      </c>
      <c r="E42">
        <f>HYPERLINK("https://www.indeed.com/viewjob?jk=c57802e5a476de4f", "https://www.indeed.com/viewjob?jk=c57802e5a476de4f")</f>
        <v/>
      </c>
      <c r="F42">
        <f>HYPERLINK("https://grnh.se/priy03yb3us", "https://grnh.se/priy03yb3us")</f>
        <v/>
      </c>
      <c r="G42" t="inlineStr">
        <is>
          <t>Washington, DC, US</t>
        </is>
      </c>
      <c r="H42" s="3" t="n">
        <v>46065</v>
      </c>
      <c r="I42" t="inlineStr">
        <is>
          <t>As a **Sr. AI/ML Engineer I**, you'll design, develop, and deploy machine learning solutions supporting secure, web\-based applications in a dynamic, mission\-focused environment. This role emphasizes applied AI, experimentation, and collaboration with cross\-functional teams to deliver production\-ready capabilities that evolve as mission needs change.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develop, implement, and fine\-tune AI and machine learning models to support web\-based applications in secure environments with evolving use cases..
* Build and maintain data pipelines, training workflows, and experimentation environments to enable rapid model iteration and evaluation.
* Evaluate model performance using quantitative and qualitative metrics (e.g., accuracy, robustness, stability, efficiency, generalization) and translate results into actionable improvements.
* Analyze data, model outputs, and experimental results to recommend changes to algorithms, features, data sources, or system architecture.
* Proactively identify and assess tools, frameworks, and technologies that best support platform goals, balancing performance, scalability, and maintainability.
* Collaborate closely with software developers, data engineers, DevSecOps teams, and stakeholders to integrate AI capabilities into production systems.
* Ensure AI and data science solutions are transparent, testable, and maintainable to support long\-term operational use.
* Communicate technical approaches, assumptions, tradeoffs, and results clearly to both technical and non\-technical audiences, including during design reviews and demonstrations.
**What you'll need to succeed:**
* Bachelor's degree in Computer Science, Engineering, Data Science, or a related technical discipline.
* Active Secret security clearance (required).
* 4\+ years of experience in data science, machine learning, or applied artificial intelligence.
* Strong hands\-on experience developing, training, and tuning AI/ML models using Python and modern ML frameworks (e.g., PyTorch, TensorFlow, scikit\-learn).
* Experience selecting and applying appropriate modeling approaches (e.g., supervised, unsupervised, reinforcement learning, or hybrid methods) based on problem context.
* Strong software engineering fundamentals including API design, clean architecture, testing, and Git\-based workflows.
* Ability to work effectively in ambiguous problem spaces, defining requirements, success metrics, and implementation steps as understanding evolves.
* Experience integrating AI models into web\-based or service\-oriented platforms, working alongside DevSecOps engineering teams.
* Solid understanding of the full AI lifecycle, including data preparation, experimentation, validation, deployment considerations, and ongoing model improvement.
* Strong analytical and problem\-solving skills, with sound judgment on when to prototype, iterate, or rethink an approach.
SALARY RANGE: $133,000 \- $147,000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43">
      <c r="A43" t="inlineStr">
        <is>
          <t>in-b3d97c4ee5adcb78</t>
        </is>
      </c>
      <c r="B43" t="inlineStr">
        <is>
          <t>Sr Manager, Data Science &amp; AI Engineering</t>
        </is>
      </c>
      <c r="C43" t="inlineStr">
        <is>
          <t>YUM! Brands, Inc.</t>
        </is>
      </c>
      <c r="D43" t="inlineStr">
        <is>
          <t>indeed</t>
        </is>
      </c>
      <c r="E43">
        <f>HYPERLINK("https://www.indeed.com/viewjob?jk=b3d97c4ee5adcb78", "https://www.indeed.com/viewjob?jk=b3d97c4ee5adcb78")</f>
        <v/>
      </c>
      <c r="F43">
        <f>HYPERLINK("https://jobs.yum.com/jobs/general/plano-tx-united-states/sr-manager-data-science-ai-engineering/4790", "https://jobs.yum.com/jobs/general/plano-tx-united-states/sr-manager-data-science-ai-engineering/4790")</f>
        <v/>
      </c>
      <c r="G43" t="inlineStr">
        <is>
          <t>Plano, TX, US</t>
        </is>
      </c>
      <c r="H43" s="3" t="n">
        <v>46065</v>
      </c>
      <c r="I43" t="inlineStr">
        <is>
          <t>Yum Crave AI is seeking a Senior Manager, Data Science \&amp; AI Engineering to lead and scale our hybrid team of Data Scientists and AI Engineers across traditional ML and next\-generation AI systems. This individual will oversee workstreams that span forecasting, personalization, experimentation, and intelligent agent development using both structured data and foundation models (LLMs, VLMs, etc.)
The ideal candidate is an experienced technical leader who thrives at the intersection of applied data science and LLM\-driven development, and who can coach teams, collaborate cross\-functionally, and communicate complex ideas clearly to technical and executive audiences.
The Yum! Brands story is simple. We have the four distinctive, relevant and easy global brands – KFC, Pizza Hut, Taco Bell and The Habit Burger Grill \- born from the hopes and dreams, ambitions and grit of passionate entrepreneurs. And we want more of this to create our future!  
As the world’s largest restaurant company we have a clear and compelling mission: to build the world’s most love, trusted and fastest\-growing restaurant brands. The key and not\-so\-secret ingredient in our recipe for growth is our unrivaled talent and culture, which fuels our results.  
We’re looking for talented, motivated, visionary and team\-oriented leaders to join us as we elevate and personalize the customer experience across our 48,000 restaurants, operating in 145 countries and territories around the world!  
We put pizza, chicken and tacos in the hands of customers through customized ordering, unique delivery approaches, app experiences, and click and collect services and consumer data analytics creating unique customer dining experiences – and we are only getting started.  
Employees may work for a single brand and potentially grow to support all company\-owned brands depending on their role. Regardless of where they work, as a company opening an average of 8 restaurants a day worldwide, the growth opportunities are endless. Taco Bell has been named of the 10 Most Innovative Companies in the World by Fast Company; Pizza Hut delivers more pizzas than any other pizza company in the world and KFC’s still use its 75\-year\-old finger lickin’ good recipe including secret herbs and spices to hand\-bread its chicken every day.  
Yum! and its brands have offices in Chicago, IL, Louisville KY, Irvine, CA, Plano, TX and other markets around the world. We don’t just say we are a great place to work – our commitments to the world and our employees show it. Yum! has been named to the Dow Jones Sustainability North America Index and ranked among the top 100 Best Corporate Citizens by Corporate Responsibility Magazine in addition to being named to the Bloomberg Gender\-Equality Index. Our employees work in an environment where the value of “believe in all people” is lived every day, enjoying benefits including but not limited to: 4 weeks’ vacation PLUS holidays, sick leave and 2 paid days to volunteer at the cause of their choice and a dollar\-for\-dollar matching gift program; generous parental leave; competitive benefits including medical, dental, vision and life insurance as well as a 6% 401k match – all encompassed in Yum!’s world\-famous recognition culture.
 **Team Leadership \&amp; Coaching:**
* Lead and mentor a team of Data Scientists and AI Engineers across multiple domains and products.
* Provide technical and career development guidance; foster a collaborative, high\-trust culture.
* Drive standards for experimentation, evaluation, reproducibility, and model performance.
* **Technical Strategy \&amp; Execution:**
* Provide oversight on LLM fine\-tuning, prompt design, ASR/embedding adaptation, and production readiness.
* Guide architectural choices around model selection, evaluation design, and deployment workflows.
* Shape end\-to\-end ML and AI strategy across core DS use cases (forecasting, pricing, recommendation) and emerging LLM/VLM applications.
**Communication \&amp; Collaboration:**
* Act as a key interface between technical contributors and business/product stakeholders.
* Distill analytical output and AI system behavior into clear presentations, dashboards, or executive summaries.
* Partner with Product, Engineering, TPM, and Ops to align team output with company priorities.
* 8\+ years of experience in Data Science, Machine Learning, or AI Engineering.
* Experience leading and coaching high\-performing technical teams.
* Hands\-on expertise in both traditional ML (regression, classification, forecasting) and modern AI techniques (LLMs, RAG, embeddings, multimodal models).
* Strong communication skills with the ability to influence senior leadership and simplify complex topics.
**Preferred Qualifications:**
* Experience building or scaling hybrid DS\+AI teams in enterprise environments.
* Familiarity with LangChain, HuggingFace, OpenAI, Pinecone, or vector\-based ML architectures.
* Exposure to business domains such as QSR, retail, personalization, or intelligent automation.
*Salary Range:* *$165,700 \- $226,800* *annually \+ bonus eligibility.* **This is the expected salary range for this position. Ultimately, in determining pay, we'll consider the successful candidate’s location, experience, and other job\-related factors.**</t>
        </is>
      </c>
    </row>
    <row r="44">
      <c r="A44" t="inlineStr">
        <is>
          <t>in-ba78a6e08d805d1f</t>
        </is>
      </c>
      <c r="B44" t="inlineStr">
        <is>
          <t>Legal AI Engineer</t>
        </is>
      </c>
      <c r="C44" t="inlineStr">
        <is>
          <t>Husch Blackwell</t>
        </is>
      </c>
      <c r="D44" t="inlineStr">
        <is>
          <t>indeed</t>
        </is>
      </c>
      <c r="E44">
        <f>HYPERLINK("https://www.indeed.com/viewjob?jk=ba78a6e08d805d1f", "https://www.indeed.com/viewjob?jk=ba78a6e08d805d1f")</f>
        <v/>
      </c>
      <c r="F44">
        <f>HYPERLINK("https://recruiting2.ultipro.com/HUS1001HUSCH/JobBoard/b6637591-8c8d-49b8-b093-5524b203b157/OpportunityDetail?opportunityId=b1c1cca4-cb6b-404e-842f-7258067ee3cf&amp;postingId=ea80737e-b550-40c4-a0ee-90a2e74b966a", "https://recruiting2.ultipro.com/HUS1001HUSCH/JobBoard/b6637591-8c8d-49b8-b093-5524b203b157/OpportunityDetail?opportunityId=b1c1cca4-cb6b-404e-842f-7258067ee3cf&amp;postingId=ea80737e-b550-40c4-a0ee-90a2e74b966a")</f>
        <v/>
      </c>
      <c r="G44" t="inlineStr">
        <is>
          <t>Austin, TX, US</t>
        </is>
      </c>
      <c r="H44" s="3" t="n">
        <v>46066</v>
      </c>
      <c r="I44" t="inlineStr">
        <is>
          <t>**Husch Blackwell LLP** is a full\-service litigation and business law firm with multiple locations across the United States, serving clients with domestic and international operations.
At Husch Blackwell we believe that diverse, equitable and inclusive teams lead to better outcomes. Husch Blackwell is committed to retaining, recruiting, developing, and promoting talented lawyers and business professionals with diverse backgrounds and experiences. We foster an engaged, diverse, and inclusive team culture of accountability and purpose that makes our Firm and our communities better.
Our firm is committed to attracting and retaining professionals who value each other and the service we provide by embracing Teamwork, Collaboration, Client Service, and Innovation. If you are a motivated professional looking for a long\-term fit where you can grow in a role, and will be valued and empowered, then we invite you to apply to our **Legal AI Engineer** position. This position may be filled remotely, or in any of our locations.
The **Legal AI Engineer** is responsible for designing, building, and optimizing AI\-powered workflows and prompts that transform how attorneys deliver legal services. Working closely with practice groups, KMI Attorneys, and subject matter experts, this role bridges the gap between legal expertise and AI technology, turning the theoretical promise of these tools into dependable, scalable solutions that drive efficiency and enhance client service. The Legal AI Engineer reports to the Knowledge Management \&amp; Innovation Manager \- AI Strategy. Essential functions include:
*AI Workflow Development \&amp; Prompt Engineering*
* Design, develop, and iterate AI workflows tailored to specific practice areas and legal use cases, testing outputs for accuracy, consistency, and alignment with legal standards and client expectations.
* Partner with attorneys, KMI Attorneys, and IT teams to understand legal processes and translate them into effective AI\-enabled solutions using firm\-approved tools.
* Document prompt libraries, workflow configurations, and best practices to enable scalability and knowledge sharing across the firm.
* Continuously evaluate and improve existing AI workflows based on user feedback, evolving AI capabilities, and changing practice needs.
*Practice Group Collaboration*
* Serve as a resource to practice groups, understanding their unique workflows, pain points, and opportunities for AI\-driven improvement.
* Conduct intake sessions with attorneys to identify high\-value use cases and prioritize AI initiatives based on impact and feasibility.
* Collaborate with KMI Attorneys and practice service centers to ensure AI solutions align with existing knowledge resources, templates, and practice standards.
* Translate complex legal requirements into technical specifications for AI workflows, ensuring outputs meet the substantive needs of each practice area.
*Quality Assurance \&amp; Compliance*
* Test AI outputs for accuracy, completeness, and adherence to legal, ethical, and alignment with firm standards.
* Support compliance with firm AI governance policies in all AI implementations.
* Document testing protocols, outcomes, and lessons learned; identify and escalate risks as appropriate.
* Stay current on AI developments, regulatory changes, and industry best practices; share relevant insights with the KMI team.
*Training \&amp; Adoption Support*
* Collaborate with training and knowledge management teams to develop resources that help attorneys effectively use AI tools.
* Contribute to adoption initiatives by gathering user feedback and sharing insights that inform tool improvements and training approaches.
* Support attorneys in integrating AI solutions into their workflows through responsive guidance and troubleshooting.
*Project Support \&amp; Reporting*
* Coordinate tasks, timelines, and stakeholders for AI workflow development initiatives.
* Track and report project status, adoption metrics, and outcomes to KMI leadership.
* Contribute to the development of scalable playbooks and processes that support the growth of the legal engineering function.
**PHYSICAL REQUIREMENTS**
The employee may be required to be stationary for prolonged periods, open filing cabinets and bend or stand as necessary, be able to inspect and observe information on a computer screen at least 80% of the time, and, on occasion, have the ability to lift and carry 25\-35 pounds.
**POSITION REQUIREMENTS**
* J.D. from an accredited law school strongly preferred; candidates with 5\+ years of experience driving innovation, technology adoption, or AI implementation at a large law firm or legal technology provider will also be considered.
* 3\+ years of experience in legal practice, legal operations, legal technology, knowledge management, or a related field with demonstrated exposure to AI\-enabled tools.
* Hands\-on experience with prompt engineering, AI workflow development, or configuring legal AI platforms (e.g., Legora, Harvey, CoCounsel, NetDocuments, Microsoft Copilot, or similar tools ).
* Experience working directly with end users to drive technology adoption.
* Strong understanding of legal workflows, practice area nuances, and attorney work product standards.
* Excellent written and verbal communication skills with the ability to translate technical concepts for legal audiences and legal requirements for technical teams.
* Demonstrated analytical, problem\-solving, and organizational skills; comfort working cross\-functionally with attorneys, IT, and business teams.
* Intellectual curiosity about AI and emerging legal technology; passion for transforming legal service delivery.
* Ability to work independently while thriving in a collaborative, fast\-paced environment.
* Strong interpersonal skills with the ability to build credibility and collaborative relationships with attorneys across practice groups and seniority levels.
*The above is intended to describe the general content of and requirements for the performance of this job. It is not to be construed as an exhaustive statement of essential functions, responsibilities, or requirements. The Firm will provide reasonable accommodations as necessary to allow an individual with a disability to apply for and/or perform the essential functions of a position. If you need assistance to accommodate a disability, please contact HR.*
**COMPENSATION AND BENEFITS**
Employees are entitled to compensation commensurate with skill and experience. **The exact compensation will vary based on skills, experience, location, and other factors permitted by law.** The expected compensation ranges for this position in various states and jurisdictions are as follows:
* State of California: $151,000 \- $308,000
* State of Colorado: $139,000 \- $248,000
* State of Illinois: $136,000 \- $265,000
* State of Massachusetts: $151,000 \- $289,000
* State of Maryland: $146,000 \- $222,000
* State of Minnesota: $151,000 \- $250,000
* Jersey City, NJ: $164,000 \- $297,000
* State of New York: $141,000 \- $304,000
* State of Vermont: $149,000 \- $286,000
* State of Washington: $146,000 \- $278,000
* Washington, D.C.: $195,000 \- $286,000
The above salaries do not include a discretionary bonus, however bonus opportunities are non\-guaranteed, and are dependent upon individual and firm performance. Full\-time employees receive benefits including: medical and dental coverage; life insurance; short\-term and long\-term disability insurance; pre\-tax flexible spending account for certain medical and dependent care expenses; an employee assistance program; Paid Time Off; paid holidays; participation in a retirement plan program after meeting eligibility requirements; and more.
Please include a cover letter and resume when applying.
EOE/Minority/Female/Disabled/Vet. Principal Applicants Only.
\#LI\-Remote  
\#LI\-KW1</t>
        </is>
      </c>
    </row>
    <row r="45">
      <c r="A45" t="inlineStr">
        <is>
          <t>in-786b59ef4337a17b</t>
        </is>
      </c>
      <c r="B45" t="inlineStr">
        <is>
          <t>Machine Learning Engineer</t>
        </is>
      </c>
      <c r="C45" t="inlineStr">
        <is>
          <t>Capgemini</t>
        </is>
      </c>
      <c r="D45" t="inlineStr">
        <is>
          <t>indeed</t>
        </is>
      </c>
      <c r="E45">
        <f>HYPERLINK("https://www.indeed.com/viewjob?jk=786b59ef4337a17b", "https://www.indeed.com/viewjob?jk=786b59ef4337a17b")</f>
        <v/>
      </c>
      <c r="F45">
        <f>HYPERLINK("https://www.capgemini.com/jobs/358568-en_US+sap_btp/", "https://www.capgemini.com/jobs/358568-en_US+sap_btp/")</f>
        <v/>
      </c>
      <c r="G45" t="inlineStr">
        <is>
          <t>New York, NY, US</t>
        </is>
      </c>
      <c r="H45" s="3" t="n">
        <v>46065</v>
      </c>
      <c r="I45" t="inlineStr">
        <is>
          <t>New York, NY
Machine Learning Engineer
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New York, NY
Job Description:* Analyze large and complex datasets to derive actionable insights and inform business strategies.
* Develop and implement advanced machine learning models and algorithms.
* Collaborate with cross\-functional teams to understand business needs and provide data\-driven solutions.
* Communicate findings and recommendations to stakeholders and executive leadership.
* Stay updated with the latest trends and technologies in data science and machine learning.
Basic Qualifications:* Proficient in Pyspark, Py\-Torch \&amp; GenAI,
* Experience in Python, Pandas, NumPy, Scikit\-Learn
* Bachelor's degree in Computer Science, Statistics, Applied Mathematics, or a related field.
* Minimum of 8 years of experience in a data science role.
* Proficiency in programming languages such as Python or R..
* Strong understanding of machine learning techniques and algorithms.
Preferred Qualifications:* Experience with modern ML frameworks such as PyTorch, TensorFlow
* Experience with big data technologies such as PySpark
* Experience with ML model training within cloud infra such as Azure, AWS, GCP
* Proven track record of successfully deploying and optimizing ML models in a production environment.
* Excellent communication and visualization skills to effectively present data insights to non\-technical stakeholders.'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The base compensation range for this role in the posted location is: $96000 to $110000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Ref. code
358568\-en\_US
Posted on
13 Feb 2026
Experience level
Experienced Professionals
Contract type
Permanent
Location
New York, NY
Business unit
FS
Brand
Capgemini
Professional communities
Data \&amp; AI</t>
        </is>
      </c>
    </row>
    <row r="46">
      <c r="A46" t="inlineStr">
        <is>
          <t>in-906280eec06eeae2</t>
        </is>
      </c>
      <c r="B46" t="inlineStr">
        <is>
          <t>Agent Platform Engineer (Autonomous Agents &amp; AI Engineer)</t>
        </is>
      </c>
      <c r="C46" t="inlineStr">
        <is>
          <t>Zoom Communications</t>
        </is>
      </c>
      <c r="D46" t="inlineStr">
        <is>
          <t>indeed</t>
        </is>
      </c>
      <c r="E46">
        <f>HYPERLINK("https://www.indeed.com/viewjob?jk=906280eec06eeae2", "https://www.indeed.com/viewjob?jk=906280eec06eeae2")</f>
        <v/>
      </c>
      <c r="F46">
        <f>HYPERLINK("https://careers.zoom.us/jobs/agent-platform-engineer-autonomous-agents-ai-engineer-seattle-washington-united-states", "https://careers.zoom.us/jobs/agent-platform-engineer-autonomous-agents-ai-engineer-seattle-washington-united-states")</f>
        <v/>
      </c>
      <c r="G46" t="inlineStr">
        <is>
          <t>Seattle, WA, US</t>
        </is>
      </c>
      <c r="H46" s="3" t="n">
        <v>46065</v>
      </c>
      <c r="I46" t="inlineStr">
        <is>
          <t>What you can expect
===================
We're seeking an experienced Agent Platform Engineer to join our AI engineering team. You'll play a critical role in designing, building, and scaling the platform that powers autonomous and agentic AI systems across our products.
Focus on building systems and infrastructure that enable agents to reason, act, and operate reliably in production. You'll collaborate closely with ML researchers, product teams, and application engineers to transform agent prototypes into robust, production\-grade platforms.
About the Team
==============
The AI Agent Team is focused on enabling the next generation of AI\-driven productivity through agentic systems. We build platforms enabling teams to deploy intelligent agents at the intersection of AI, infrastructure, and developer experience. We value engineers who can bridge research ideas with real\-world scalability and reliability.
Responsibilities
----------------
* Designing and implementing agent execution platforms that support reasoning, planning, and long running task orchestration.
* Building core services for agent memory, state management, tool invocation, sandbox and lifecycle management.
* Developing platform abstractions and APIs that enable teams to build and deploy agents consistently.
* Partnering with ML and research teams to productionize LLM\- and agent\-based workflows.
* Implementing observability, evaluation, and debugging frameworks for agent behavior and performance.
* Optimizing agent infrastructure for low latency, high throughput, and reliability at scale.
* Implementing safety, guardrails, and control mechanisms for autonomous agent execution.
* Leveraging AI\-assisted coding tools to accelerate development, testing, and iteration
What we’re looking for
----------------------
* Demonstrate Bachelor's in Computer Science, Engineering, or a related technical field (or equivalent practical experience).
* Have 3\+ years of experience in software engineering, platform engineering, or infrastructure roles.
* Need experience building production backend or distributed systems.
* Demonstrate proficiency in Python, Go, Java, or similar languages, combined with solid system design skills.
* Have hands\-on experience deploying and operating systems on cloud infrastructure (Kubernetes, Docker, AWS/GCP/Azure).
* Need to be familiarity with LLM\-powered systems, agent frameworks, or AI infrastructure in production environments.
Salary Range or On Target Earnings:
Minimum:
$137,700\.00
Maximum:
$275,400\.00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02/20/26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47">
      <c r="A47" t="inlineStr">
        <is>
          <t>in-e03bc9c3457b7038</t>
        </is>
      </c>
      <c r="B47" t="inlineStr">
        <is>
          <t>Senior Machine Learning Engineer</t>
        </is>
      </c>
      <c r="C47" t="inlineStr">
        <is>
          <t>Intuit</t>
        </is>
      </c>
      <c r="D47" t="inlineStr">
        <is>
          <t>indeed</t>
        </is>
      </c>
      <c r="E47">
        <f>HYPERLINK("https://www.indeed.com/viewjob?jk=e03bc9c3457b7038", "https://www.indeed.com/viewjob?jk=e03bc9c3457b7038")</f>
        <v/>
      </c>
      <c r="F47">
        <f>HYPERLINK("https://jobs.intuit.com/job/mountain-view/senior-machine-learning-engineer/27595/91707176448", "https://jobs.intuit.com/job/mountain-view/senior-machine-learning-engineer/27595/91707176448")</f>
        <v/>
      </c>
      <c r="G47" t="inlineStr">
        <is>
          <t>Mountain View, CA, US</t>
        </is>
      </c>
      <c r="H47" s="3" t="n">
        <v>46065</v>
      </c>
      <c r="I47" t="inlineStr">
        <is>
          <t>Category Software Engineering
Location Mountain View, California
Job ID 19614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N/A
 **Responsibilities**
N/A
 **Qualifications**
N/A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48">
      <c r="A48" t="inlineStr">
        <is>
          <t>in-cd0820bca258104d</t>
        </is>
      </c>
      <c r="B48" t="inlineStr">
        <is>
          <t>AI/Machine Learning Engineer</t>
        </is>
      </c>
      <c r="C48" t="inlineStr">
        <is>
          <t>NEP GROUP</t>
        </is>
      </c>
      <c r="D48" t="inlineStr">
        <is>
          <t>indeed</t>
        </is>
      </c>
      <c r="E48">
        <f>HYPERLINK("https://www.indeed.com/viewjob?jk=cd0820bca258104d", "https://www.indeed.com/viewjob?jk=cd0820bca258104d")</f>
        <v/>
      </c>
      <c r="F48">
        <f>HYPERLINK("https://nepgroup.hrmdirect.com/employment/view.php?req=3630656&amp;jbsrc=1014&amp;location=c3337d04-2d88-fd03-620f-03aacac0dc4e", "https://nepgroup.hrmdirect.com/employment/view.php?req=3630656&amp;jbsrc=1014&amp;location=c3337d04-2d88-fd03-620f-03aacac0dc4e")</f>
        <v/>
      </c>
      <c r="G48" t="inlineStr">
        <is>
          <t>Charlotte, NC, US</t>
        </is>
      </c>
      <c r="H48" s="3" t="n">
        <v>46065</v>
      </c>
      <c r="I48" t="inlineStr">
        <is>
          <t>We’re seeking an **AI / Machine Learning Engineer** to help design, build, and deploy machine learning solutions that drive AI\-powered decision\-making across NEP Group. In this role, you’ll work closely with our **AI Steering Committee** and cross\-functional teams to turn high\-impact use cases into production\-ready ML systems.
You’ll be hands\-on across the full ML lifecycle—feature engineering, model development, automated pipelines, deployment, and monitoring—using a modern cloud\-based stack centered on **Databricks, MLflow, and Delta Lake**.
Preference is for this to be a hybrid role in Pittsburgh, but we are open to fully remote candidates in Eastern or Central time zones.
### **What You’ll Do:**
* Design, develop, and deploy machine learning models using **Python, PySpark, Databricks ML, and Delta Lake**
* Partner with business and technical stakeholders to identify and deliver impactful AI/ML use cases
* Build automated ML pipelines for model training, validation, and deployment
* Manage feature stores and continuously monitor model performance and reliability using **MLflow**
* Apply machine learning techniques to solve real business challenges and extract meaningful insights from data
* Optimize models and pipelines for scalability, performance, and cost efficiency
* Test, validate, and iterate on models to ensure accuracy and robustness
* Stay current with emerging AI/ML technologies and help advance NEP’s AI strategy
### **What You’ll Do:**
* Bachelor’s or Master’s degree in Computer Science, Engineering, Mathematics, or a related field, with **3–7\+ years** in AI/ML, data science, or data engineering
* Strong hands\-on experience with **Python, PySpark, distributed computing**, and **Databricks / Delta Lake**
* Proven ability to design, train, and deploy **production\-grade machine learning models**
* Solid foundation in **statistics, mathematics, and machine learning algorithms**
* Experience working in **cloud environments** (AWS, Azure, or GCP)
* Familiarity with **MLOps best practices**, including ML pipelines, model versioning, CI/CD, and performance monitoring
* Experience with **governed data environments, data quality/drift monitoring**, and advanced ML techniques (e.g., NLP, entity resolution, AI agents)
### **Benefits**
* Medical, Dental, and Vision coverage
* Vacation Days
* Sick Days
* 401(k)
* Discount Programs
* Life Insurance
* Disability Insurance
* Employee Assistance Program
* Flexible Spending Account
You might not know our name, but you’ve probably seen our work – on stage, on screen or on the field. Our technology solutions and unique Global Production Ecosystem empower content creators and rights holders to tell their stories in breakthrough ways. We’ve supported some of the world’s most watched productions and live events in sports, entertainment, concerts, festivals, film, TV and more. For 40 years our clients have trusted us to deliver live production, live events, and virtual production solutions for them, anytime, anywhere. Put simply, we bring content to life.
Check us out at https://www.nepgroup.com/career/careers</t>
        </is>
      </c>
    </row>
    <row r="49">
      <c r="A49" t="inlineStr">
        <is>
          <t>in-9d5f7b29c8b974fe</t>
        </is>
      </c>
      <c r="B49" t="inlineStr">
        <is>
          <t>AI/Machine Learning Engineer</t>
        </is>
      </c>
      <c r="C49" t="inlineStr">
        <is>
          <t>NEP GROUP</t>
        </is>
      </c>
      <c r="D49" t="inlineStr">
        <is>
          <t>indeed</t>
        </is>
      </c>
      <c r="E49">
        <f>HYPERLINK("https://www.indeed.com/viewjob?jk=9d5f7b29c8b974fe", "https://www.indeed.com/viewjob?jk=9d5f7b29c8b974fe")</f>
        <v/>
      </c>
      <c r="F49">
        <f>HYPERLINK("https://nepgroup.hrmdirect.com/employment/view.php?req=3630656&amp;jbsrc=1014&amp;location=65007598-c6be-06c6-031e-abf07150ce0e", "https://nepgroup.hrmdirect.com/employment/view.php?req=3630656&amp;jbsrc=1014&amp;location=65007598-c6be-06c6-031e-abf07150ce0e")</f>
        <v/>
      </c>
      <c r="G49" t="inlineStr">
        <is>
          <t>Pittsburgh, PA, US</t>
        </is>
      </c>
      <c r="H49" s="3" t="n">
        <v>46065</v>
      </c>
      <c r="I49" t="inlineStr">
        <is>
          <t>We’re seeking an **AI / Machine Learning Engineer** to help design, build, and deploy machine learning solutions that drive AI\-powered decision\-making across NEP Group. In this role, you’ll work closely with our **AI Steering Committee** and cross\-functional teams to turn high\-impact use cases into production\-ready ML systems.
You’ll be hands\-on across the full ML lifecycle—feature engineering, model development, automated pipelines, deployment, and monitoring—using a modern cloud\-based stack centered on **Databricks, MLflow, and Delta Lake**.
Preference is for this to be a hybrid role in Pittsburgh, but we are open to fully remote candidates in Eastern or Central time zones.
### **What You’ll Do:**
* Design, develop, and deploy machine learning models using **Python, PySpark, Databricks ML, and Delta Lake**
* Partner with business and technical stakeholders to identify and deliver impactful AI/ML use cases
* Build automated ML pipelines for model training, validation, and deployment
* Manage feature stores and continuously monitor model performance and reliability using **MLflow**
* Apply machine learning techniques to solve real business challenges and extract meaningful insights from data
* Optimize models and pipelines for scalability, performance, and cost efficiency
* Test, validate, and iterate on models to ensure accuracy and robustness
* Stay current with emerging AI/ML technologies and help advance NEP’s AI strategy
### **What You’ll Do:**
* Bachelor’s or Master’s degree in Computer Science, Engineering, Mathematics, or a related field, with **3–7\+ years** in AI/ML, data science, or data engineering
* Strong hands\-on experience with **Python, PySpark, distributed computing**, and **Databricks / Delta Lake**
* Proven ability to design, train, and deploy **production\-grade machine learning models**
* Solid foundation in **statistics, mathematics, and machine learning algorithms**
* Experience working in **cloud environments** (AWS, Azure, or GCP)
* Familiarity with **MLOps best practices**, including ML pipelines, model versioning, CI/CD, and performance monitoring
* Experience with **governed data environments, data quality/drift monitoring**, and advanced ML techniques (e.g., NLP, entity resolution, AI agents)
### **Benefits**
* Medical, Dental, and Vision coverage
* Vacation Days
* Sick Days
* 401(k)
* Discount Programs
* Life Insurance
* Disability Insurance
* Employee Assistance Program
* Flexible Spending Account
You might not know our name, but you’ve probably seen our work – on stage, on screen or on the field. Our technology solutions and unique Global Production Ecosystem empower content creators and rights holders to tell their stories in breakthrough ways. We’ve supported some of the world’s most watched productions and live events in sports, entertainment, concerts, festivals, film, TV and more. For 40 years our clients have trusted us to deliver live production, live events, and virtual production solutions for them, anytime, anywhere. Put simply, we bring content to life.
Check us out at https://www.nepgroup.com/career/careers</t>
        </is>
      </c>
    </row>
    <row r="50">
      <c r="A50" t="inlineStr">
        <is>
          <t>in-53ee9e0777b8e526</t>
        </is>
      </c>
      <c r="B50" t="inlineStr">
        <is>
          <t>AI/Machine Learning Engineer</t>
        </is>
      </c>
      <c r="C50" t="inlineStr">
        <is>
          <t>NEP GROUP</t>
        </is>
      </c>
      <c r="D50" t="inlineStr">
        <is>
          <t>indeed</t>
        </is>
      </c>
      <c r="E50">
        <f>HYPERLINK("https://www.indeed.com/viewjob?jk=53ee9e0777b8e526", "https://www.indeed.com/viewjob?jk=53ee9e0777b8e526")</f>
        <v/>
      </c>
      <c r="F50">
        <f>HYPERLINK("https://nepgroup.hrmdirect.com/employment/view.php?req=3630656&amp;jbsrc=1014&amp;location=1af1c42c-3219-b688-998c-14419b7fe957", "https://nepgroup.hrmdirect.com/employment/view.php?req=3630656&amp;jbsrc=1014&amp;location=1af1c42c-3219-b688-998c-14419b7fe957")</f>
        <v/>
      </c>
      <c r="G50" t="inlineStr">
        <is>
          <t>Atlanta, GA, US</t>
        </is>
      </c>
      <c r="H50" s="3" t="n">
        <v>46065</v>
      </c>
      <c r="I50" t="inlineStr">
        <is>
          <t>We’re seeking an **AI / Machine Learning Engineer** to help design, build, and deploy machine learning solutions that drive AI\-powered decision\-making across NEP Group. In this role, you’ll work closely with our **AI Steering Committee** and cross\-functional teams to turn high\-impact use cases into production\-ready ML systems.
You’ll be hands\-on across the full ML lifecycle—feature engineering, model development, automated pipelines, deployment, and monitoring—using a modern cloud\-based stack centered on **Databricks, MLflow, and Delta Lake**.
Preference is for this to be a hybrid role in Pittsburgh, but we are open to fully remote candidates in Eastern or Central time zones.
### **What You’ll Do:**
* Design, develop, and deploy machine learning models using **Python, PySpark, Databricks ML, and Delta Lake**
* Partner with business and technical stakeholders to identify and deliver impactful AI/ML use cases
* Build automated ML pipelines for model training, validation, and deployment
* Manage feature stores and continuously monitor model performance and reliability using **MLflow**
* Apply machine learning techniques to solve real business challenges and extract meaningful insights from data
* Optimize models and pipelines for scalability, performance, and cost efficiency
* Test, validate, and iterate on models to ensure accuracy and robustness
* Stay current with emerging AI/ML technologies and help advance NEP’s AI strategy
### **What You’ll Do:**
* Bachelor’s or Master’s degree in Computer Science, Engineering, Mathematics, or a related field, with **3–7\+ years** in AI/ML, data science, or data engineering
* Strong hands\-on experience with **Python, PySpark, distributed computing**, and **Databricks / Delta Lake**
* Proven ability to design, train, and deploy **production\-grade machine learning models**
* Solid foundation in **statistics, mathematics, and machine learning algorithms**
* Experience working in **cloud environments** (AWS, Azure, or GCP)
* Familiarity with **MLOps best practices**, including ML pipelines, model versioning, CI/CD, and performance monitoring
* Experience with **governed data environments, data quality/drift monitoring**, and advanced ML techniques (e.g., NLP, entity resolution, AI agents)
### **Benefits**
* Medical, Dental, and Vision coverage
* Vacation Days
* Sick Days
* 401(k)
* Discount Programs
* Life Insurance
* Disability Insurance
* Employee Assistance Program
* Flexible Spending Account
You might not know our name, but you’ve probably seen our work – on stage, on screen or on the field. Our technology solutions and unique Global Production Ecosystem empower content creators and rights holders to tell their stories in breakthrough ways. We’ve supported some of the world’s most watched productions and live events in sports, entertainment, concerts, festivals, film, TV and more. For 40 years our clients have trusted us to deliver live production, live events, and virtual production solutions for them, anytime, anywhere. Put simply, we bring content to life.
Check us out at https://www.nepgroup.com/career/careers</t>
        </is>
      </c>
    </row>
    <row r="51">
      <c r="A51" t="inlineStr">
        <is>
          <t>in-6ff457a98a9e0e4b</t>
        </is>
      </c>
      <c r="B51" t="inlineStr">
        <is>
          <t>AI/Machine Learning Engineer</t>
        </is>
      </c>
      <c r="C51" t="inlineStr">
        <is>
          <t>NEP GROUP</t>
        </is>
      </c>
      <c r="D51" t="inlineStr">
        <is>
          <t>indeed</t>
        </is>
      </c>
      <c r="E51">
        <f>HYPERLINK("https://www.indeed.com/viewjob?jk=6ff457a98a9e0e4b", "https://www.indeed.com/viewjob?jk=6ff457a98a9e0e4b")</f>
        <v/>
      </c>
      <c r="F51">
        <f>HYPERLINK("https://nepgroup.hrmdirect.com/employment/view.php?req=3630656&amp;jbsrc=1014&amp;location=6e8fef5b-4f52-c604-49f0-3db0f363f87d", "https://nepgroup.hrmdirect.com/employment/view.php?req=3630656&amp;jbsrc=1014&amp;location=6e8fef5b-4f52-c604-49f0-3db0f363f87d")</f>
        <v/>
      </c>
      <c r="G51" t="inlineStr">
        <is>
          <t>Dallas, TX, US</t>
        </is>
      </c>
      <c r="H51" s="3" t="n">
        <v>46065</v>
      </c>
      <c r="I51" t="inlineStr">
        <is>
          <t>We’re seeking an **AI / Machine Learning Engineer** to help design, build, and deploy machine learning solutions that drive AI\-powered decision\-making across NEP Group. In this role, you’ll work closely with our **AI Steering Committee** and cross\-functional teams to turn high\-impact use cases into production\-ready ML systems.
You’ll be hands\-on across the full ML lifecycle—feature engineering, model development, automated pipelines, deployment, and monitoring—using a modern cloud\-based stack centered on **Databricks, MLflow, and Delta Lake**.
Preference is for this to be a hybrid role in Pittsburgh, but we are open to fully remote candidates in Eastern or Central time zones.
### **What You’ll Do:**
* Design, develop, and deploy machine learning models using **Python, PySpark, Databricks ML, and Delta Lake**
* Partner with business and technical stakeholders to identify and deliver impactful AI/ML use cases
* Build automated ML pipelines for model training, validation, and deployment
* Manage feature stores and continuously monitor model performance and reliability using **MLflow**
* Apply machine learning techniques to solve real business challenges and extract meaningful insights from data
* Optimize models and pipelines for scalability, performance, and cost efficiency
* Test, validate, and iterate on models to ensure accuracy and robustness
* Stay current with emerging AI/ML technologies and help advance NEP’s AI strategy
### **What You’ll Do:**
* Bachelor’s or Master’s degree in Computer Science, Engineering, Mathematics, or a related field, with **3–7\+ years** in AI/ML, data science, or data engineering
* Strong hands\-on experience with **Python, PySpark, distributed computing**, and **Databricks / Delta Lake**
* Proven ability to design, train, and deploy **production\-grade machine learning models**
* Solid foundation in **statistics, mathematics, and machine learning algorithms**
* Experience working in **cloud environments** (AWS, Azure, or GCP)
* Familiarity with **MLOps best practices**, including ML pipelines, model versioning, CI/CD, and performance monitoring
* Experience with **governed data environments, data quality/drift monitoring**, and advanced ML techniques (e.g., NLP, entity resolution, AI agents)
### **Benefits**
* Medical, Dental, and Vision coverage
* Vacation Days
* Sick Days
* 401(k)
* Discount Programs
* Life Insurance
* Disability Insurance
* Employee Assistance Program
* Flexible Spending Account
You might not know our name, but you’ve probably seen our work – on stage, on screen or on the field. Our technology solutions and unique Global Production Ecosystem empower content creators and rights holders to tell their stories in breakthrough ways. We’ve supported some of the world’s most watched productions and live events in sports, entertainment, concerts, festivals, film, TV and more. For 40 years our clients have trusted us to deliver live production, live events, and virtual production solutions for them, anytime, anywhere. Put simply, we bring content to life.
Check us out at https://www.nepgroup.com/career/careers</t>
        </is>
      </c>
    </row>
    <row r="52">
      <c r="A52" t="inlineStr">
        <is>
          <t>in-db26fdc8a1d34d7e</t>
        </is>
      </c>
      <c r="B52" t="inlineStr">
        <is>
          <t>Senior Machine Learning Engineer</t>
        </is>
      </c>
      <c r="C52" t="inlineStr">
        <is>
          <t>Quarterhill</t>
        </is>
      </c>
      <c r="D52" t="inlineStr">
        <is>
          <t>indeed</t>
        </is>
      </c>
      <c r="E52">
        <f>HYPERLINK("https://www.indeed.com/viewjob?jk=db26fdc8a1d34d7e", "https://www.indeed.com/viewjob?jk=db26fdc8a1d34d7e")</f>
        <v/>
      </c>
      <c r="F52">
        <f>HYPERLINK("https://careers.quarterhill.com/culture/jobs/1413?lang=en-us", "https://careers.quarterhill.com/culture/jobs/1413?lang=en-us")</f>
        <v/>
      </c>
      <c r="G52" t="inlineStr">
        <is>
          <t>Frisco, TX, US</t>
        </is>
      </c>
      <c r="H52" s="3" t="n">
        <v>46065</v>
      </c>
      <c r="I52" t="inlineStr">
        <is>
          <t>**Job Description**
-------------------
Overview  
We are seeking a **Senior Machine Learning Engineer** to join our forward\-thinking team building the next generation of **Intelligent Transportation Systems**. In this role, you will design, develop, and deploy state\-of\-the\-art**computer vision models** that power scalable, real\-world solutions. You’ll work with large\-scale image and video data, building and optimizing production\-grade vision systems while contributing clean, and modular code to shared repositories.
As part of our AI team, you’ll collaborate closely with engineering teams to deliver high\-impact features for our growing SaaS platform. The ideal candidate brings hands\-on experience deploying computer vision models in production and applying MLOps best practices on cloud platforms.  
Responsibilities  
* Design, train, and fine\-tune **Computer Vision and Deep Learning models** for tasks such as image classification, object detection, object tracking, and OCR.
* Preprocess and prepare**image and video datasets**, including data augmentation, labeling strategies, normalization, and feature extraction.
* **Contribute to our machine learning repositories**, extending CNN\- and transformer\-based pipelines.
* Optimize models for performance, scalability, and real\-time inference across edge and cloud environments.
* **Implement MLOps best practices**to train, evaluate, deploy, and monitor production\-grade computer vision models, emphasizing clean, modular, and well\-documented code.
* Collaborate with cross\-functional teams to integrate computer vision solutions into end\-to\-end products and platforms.
* Stay up to date with the latest research and industry, applying new techniques to improve model accuracy and efficiency.
This list of responsibilities might not cover everything you'll end up doing.  
Qualifications  
* 5\+ years of experience in machine learning, with a strong focus on **computer vision**.
* Bachelor’s (Master’s preferred) in Computer Science, Machine Learning, or related field.
* **Strong expertise in computer vision architectures**(CNNs, Vision Transformers) and image processing frameworks such as OpenCV and PIL.
* Proficiency in Python and deep learning frameworks such as **PyTorch** and TensorFlow.
* Hands\-on experience with**MLOps tools** (MLflow, Kubeflow, Docker, Kubernetes) for model deployment and lifecycle management.
* Strong communication skills, problem\-solving mindset, and passion for continuous learning
Benefits  
We offer a Total Rewards plan designed with you and your family’s health and wellness in mind that includes:
* Paid days off (i.e. vacation, sick days, bereavement leave)
* Health and Dental plans
* Retirement plans
* Employee and Family Assistance Program (EFAP)
* Employee referral program
We welcome applicants from all backgrounds, regardless of race, color, religion, sex, veteran status, sexual orientation, gender identity, national origin, age, or disability or any other protected characteristics in accordance with applicable federal, state/provincial, and local laws. We're committed to creating a workplace where everyone feels valued and respected.  
We appreciate all responses and will acknowledge only those being considered for an interview.
We respectfully request no calls or unsolicited resumes from Agencies.</t>
        </is>
      </c>
    </row>
    <row r="53">
      <c r="A53" t="inlineStr">
        <is>
          <t>in-f0ed57942998f07e</t>
        </is>
      </c>
      <c r="B53" t="inlineStr">
        <is>
          <t>AI Engineer</t>
        </is>
      </c>
      <c r="C53" t="inlineStr">
        <is>
          <t>Gonzaga University</t>
        </is>
      </c>
      <c r="D53" t="inlineStr">
        <is>
          <t>indeed</t>
        </is>
      </c>
      <c r="E53">
        <f>HYPERLINK("https://www.indeed.com/viewjob?jk=f0ed57942998f07e", "https://www.indeed.com/viewjob?jk=f0ed57942998f07e")</f>
        <v/>
      </c>
      <c r="F53">
        <f>HYPERLINK("https://employment.gonzaga.edu/jobs/ai-engineer-gonzaga-main-campus-washington-united-states-0848d000-14e0-4d01-b7fe-e6222e9dd57e?source=Indeed", "https://employment.gonzaga.edu/jobs/ai-engineer-gonzaga-main-campus-washington-united-states-0848d000-14e0-4d01-b7fe-e6222e9dd57e?source=Indeed")</f>
        <v/>
      </c>
      <c r="G53" t="inlineStr">
        <is>
          <t>Spokane, WA, US</t>
        </is>
      </c>
      <c r="H53" s="3" t="n">
        <v>46065</v>
      </c>
      <c r="I53" t="inlineStr">
        <is>
          <t>**Title:** AI Engineer
**VP Area:** Inst for Informatics \&amp; Applied Tech
**Department:** Inst for Informatics \&amp; Applied Tech
**Work Schedule:** Fixed daytime hours Monday\-Friday
**Telework Availability:** Occasional Telework Available
**FLSA Status:** Exempt
**Employee Classification:** Regular full\-time (staff 30\+ hours)
**Hours per week:** 40
**Months per year:** 12
**Job Purpose:**
The Institute for Informatics and Applied Technology (IIAT) aims to drive faculty, students, and community innovations via responsible artificial intelligence and data science practices. Through rigorous academic offerings, collaboration with industry and interdisciplinary research, IIAT prepares students and professionals across disciplines for leadership with technical expertise in informatics while critically examining the ethical and societal implications of emerging technologies. The Institute provides opportunities for collaborative, experiential learning through ideation, problem solving and entrepreneurial exploration, supporting student\-led innovation and industry and community partnerships to drive AI\-enabled advances for the benefit of humanity.
This position will responsibly explore, develop, and use technology advances in AI and machine learning, to help elevate the GU and partners' knowledge and competency in these technological areas and consequently innovate for responsible learning, teaching, and business operations. This position will work closely with the IIAT Director and other staff members to continue advance their own knowledge and skillset in these areas and how they connect to humanity and society for responsible technology innovation. This position will focus primarily on AI\-powered visual analytics for various application domains.
**Essential Functions:**
* 35% \- Investigate and Develop AI and ML software, specifically for generative AI enabled visual analytics
	+ Actively work with GU faculty, students, staff, and external partners to investigate and develop specialized AI/ML systems, including generative AI technologies, for teaching, research, and business operations.
	+ Independently develop custom AI technology and systems that fit partner's needs.
	+ Assist partners to acquire necessary knowledge and skills to use the developed system.
* 30% \- Research and report AI/ML and visualization technology advances
	+ Proactively and independently explore and attain specialized AI advances and technologies, including but not limited to LLM architecture, prompt engineering, fine\-tuning/alignment, and guard rails, from a variety of sources.
	+ Independently apply attained technology advances to support partners' teaching, research, and business operation needs.
	+ Independently and regularly investigate advances in generative AI, and report and discuss such advances with the Director and the other IIAT staff.
	+ Work closely with the Director and partners to disseminate findings through paper writing, blog posting, git release, and assess commercialization viability to prepare IP documentation if deemed viable.
* 15% \- Develop training and learning material
	+ Independently design AI/ML exercises that will provide experiential learning experience for the learners who might have diverse background in different instances.
	+ Collaborate with the Director and other IIAT staff to develop visualization for training exercises and material for faculty, students, staff, and extended partners.
	+ Assist in delivery and assessment of the training and learning sessions.
* 10% \- Assist the IIAT Director and collaborate with IIAT staff/engineers to manage the Human\-AI Collaboratory (HACLab)
	+ Investigate, assess, and provide information to the IIAT Director, curate computing resources for the HAC\-Lab.
	+ Assist to maintain and secure the virtualized environment with best practices in using AI technologies.
* 10% \- Supervise student assistants for IIAT affiliated research
	+ Supervise student(s) to support the research and development of AI and visualization technology uses and advances.
	+ Support student learning through mentorship in their research endeavors.
* Additional Duties as Assigned by the Department
**Educational Requirement:**
Bachelor's Degree or Equivalent Experience
**Years of Related Experience Requirement:**
3 years
In lieu of the educational qualifications, candidates may qualify with equivalent professional experience at a ratio of one year of experience for each year of required education.
**Skills \&amp; Abilities:**
Two (2\) years of specific technology development experience in AI technologies.  
Demonstrated ability for software development.  
Demonstrated experience in visual analytics enabled with generative AI technologies.  
Demonstrated intellectual curiosity for continual learning, discovery and creation to challenge the status quo respectfully.  
Excellent verbal and written communication skills necessary to communicate with internal and external partners.  
Demonstrated ability to navigate in higher\-ed environment while being adaptive and agile to ensure success of a start\-up unit.  
Demonstrated appreciation for Gonzaga's and IIAT's mission for humanity\-centered responsible AI learning and innovation.
**Preferred Qualifications:**
Graduate Degree or equivalent experience in related field.  
Demonstrated experiences in PowerBI and/or Python interactive visualization.  
Demonstrated skills in artistic design for visual analytics.  
Demonstrated ability for data curation/collection or data cleaning.  
Demonstrated ability for working with people across disciplines.  
Demonstrated ability to be creative in problem solving.  
Demonstrated ability to manage competing priorities with frequent interruptions.  
Demonstrated ability for excellent customer service.  
Demonstrated ability to operate with a high level of confidence and discretion.
**Physical \&amp; On\-Campus Requirements:**
**In\-Office Presence \- Ability to work on\-site in typical office setting and participate in in\-person meetings with colleagues:** 5 days/week
**Standing/Sitting \- Ability to remain in a stationary position for a prolonged period:** Daily (\&gt;75% of time)
**Walking \- Ability to move about on foot to accomplish tasks:** Daily (\&gt;75% of time)
**Lifting/Carrying \- Ability to move or transport objects up to a specified weight (e.g., 50 pounds):** Rarely (1%\-49% of time)
**Attention to Detail \- Ability to focus on detailed tasks for extended periods:** Daily (\&gt;75% of time)
**Problem\-Solving \- Ability to identify and resolve issues effectively:** Daily (\&gt;75% of time)
**The budgeted salary range that the University reasonably expects to offer for this position:** $100,000 to $112,000
**Pay Range:**
Minimum Salary (Annualized 12 months and 40 hours/week): 84075
Midpoint Salary (Annualized 12 months and 40 hours/week): 112100
Maximum Salary (Annualized 12 months and 40 hours/week): 140125
*Is this position eligible for relocation reimbursement or a signing bonus?:* True
**At this time, the University has suspended all new H1B visa sponsorships.**
**Required Application Materials:**
* CV/Resume
* Cover Letter describing personal and professional interests in this position; specifically describing experiences in generative AI enabled (visual) analytics.</t>
        </is>
      </c>
    </row>
    <row r="54">
      <c r="A54" t="inlineStr">
        <is>
          <t>in-c7c4e7eaa69f5634</t>
        </is>
      </c>
      <c r="B54" t="inlineStr">
        <is>
          <t>Producibility &amp; Design for Manufacturing with AI Engineer</t>
        </is>
      </c>
      <c r="C54" t="inlineStr">
        <is>
          <t>GE Aerospace</t>
        </is>
      </c>
      <c r="D54" t="inlineStr">
        <is>
          <t>indeed</t>
        </is>
      </c>
      <c r="E54">
        <f>HYPERLINK("https://www.indeed.com/viewjob?jk=c7c4e7eaa69f5634", "https://www.indeed.com/viewjob?jk=c7c4e7eaa69f5634")</f>
        <v/>
      </c>
      <c r="F54">
        <f>HYPERLINK("https://careers.geaerospace.com/global/en/job/R5028571/Producibility-Design-for-Manufacturing-with-AI-Engineer?utm_source=indeed&amp;utm_medium=phenom-feeds", "https://careers.geaerospace.com/global/en/job/R5028571/Producibility-Design-for-Manufacturing-with-AI-Engineer?utm_source=indeed&amp;utm_medium=phenom-feeds")</f>
        <v/>
      </c>
      <c r="G54" t="inlineStr">
        <is>
          <t>Evendale, OH, US</t>
        </is>
      </c>
      <c r="H54" s="3" t="n">
        <v>46065</v>
      </c>
      <c r="I54" t="inlineStr">
        <is>
          <t>**Job Description Summary**
===========================
Are you ready to see your future take flight? At GE Aerospace, we are advancing aviation technologies for today and tomorrow. Your work will contribute to the production of advanced jet engines, components, and integrated systems that power commercial and military aircraft. You’ll be part of a team that embraces your drive, your curiosity, and your unique ideas and perspectives. Most importantly, you’ll share in our pride and purpose that affects the lives of millions around the world!  
This role is focused on providing manufacturing support and guidance to the Future of Flight Mechanical Design team to ensure the manufacturability of new designs for GE Aerospace’s next generation of products. In this role you will be embedded with the design engineering team to ensure the design intent and tolerances offer a balance of performance and producibility. You will apply engineering concepts to design and drafting to eliminate future manufacturing issues. We are seeking a manufacturing engineer with the ability to lead and influence through a changing product mix to meet functional, business, and broad company objectives. In addition, this role will be responsible for implementing an AI model to improve the way the AME Design for Manufacturability team executes its mission. You will not operate pre\-built tools; rather, you will architect, build, and validate the core data models, pipelines, and logic that underpin our enterprise systems and drive SQDC performance.**Job Description**
===================
**Roles and Responsibilities**
The Advanced Lead Producibility \&amp; Manufacturing with AI Engineer will be accountable for functional, manufacturing, and broad company objectives. In this role you will contribute to technology roadmaps in design boards, drive FLIGHT DECK culture, manage complex manufacturing issues within functional area(s) of expertise, and be involved in both short and long\-term planning to ensure the on\-time delivery of new technologies.
* Deliver an AI based solution to support or augment the day\-to\-day work of the AME Design for Manufacturing engineering team.
* Provide technical direction to a large design team for the RISE program, a revolutionary new engine concept with significant business impact, using sound engineering principles and adhering to business standards, practices, procedures, and product/program requirements.
* Provide manufacturing consultation on manufacturing practices and standards, including initial development needs and cost predictions to aid in key strategic decisions.
* Participate in cross\-functional team meetings including design engineering, quality, materials and manufacturing with a goal of defining requirements and standards for new designs.
* Assist design engineers and manufacturing engineers in aligning drawing requirements with manufacturing best practices and standard work.
* Work collaboratively with Design and Systems Engineering teams, GRC, production and global sites to formulate technical solutions that align with long term business objectives.
* Participate as a presenter or reviewer in technical, program and design reviews, while communicating with the customer or program manager to assure a quality product will be able to be delivered.
* Remain current in the state of the art within own technical specialty for new products introduction activity, performance improvements, cost reductions and problem resolutions.
* Serve as a recognized expert in defining the state of the art in own technical specialty to anticipate, develop and apply technology to current and future business opportunities.
* Partner with Design Boards, Manufacturing pyramids and TRL owners to industrialize design and technologies.
* Develop standard work for the implementation of new technologies and processes related to manufacturing of components.
* Assure proper documentation of technical data generated for the assigned projects and/or tasks consistent with engineering policies and procedures.
* Foster a culture of innovation, collaboration, and a FLIGHT DECK mentality within the manufacturing organization.
**Key Outcomes (First 90 Days and 6 Months)**
* 90 Days: Work with the AME Design for Manufacturing engineering team to define areas where AI can be impactful in supporting or augmenting our work while developing a business case justifying the use of AI in those areas, lead producibility reviews on priority components; deliver recommendations tied to process capability and inspection strategy,
* 6 Months: Identify the correct solution and start implementation of said AI solution to support or augment the way the AME Design for Manufacturing engineering team works, influence drawing/model changes that reduce predicted scrap/rework, and support MRL/industrialization plans for new processes and hardware.
**What You’ll Do Day\-to\-Day**
* Tune and optimize complex algorithms within the GE Aerospace infrastructure
* Lead producibility reviews and provide redlines on drawings/models to align tolerances with process capability and inspection strategies.
* Define datum schemes and fixturing concepts; identify key characteristics and special processes; quantify SQDC impact of alternatives.
* Run trade studies to inform make/buy, process selection, and cost/risk decisions early in design.
* Translate capability data into actionable drawing changes and inspection plans; support FAI/PPAP or equivalent.
* Develop and deploy standard work for new processes; contribute to technology maturation and industrialization plans with TRL/MRL owners.
* Collaborate with internal factories and suppliers to close the loop between design intent and actual process capability.
**Required Qualifications**
* Bachelor's or advanced degree in Manufacturing , Engineering, Computer Science, or a related technical discipline from an accredited College/University with a minimum of 3 years of relevant Manufacturing and / or Engineering experience OR a high school diploma / GED with at least 8 years of relevant Manufacturing and / or Engineering experience
*Relevant experience refers to precision manufacturing or NPI producibility in regulated or high\-precision industries (aerospace, medical devices, defense/space) including demonstrated working experience in GD\&amp;T (ASME Y14\.5\), tolerance stack\-up, and drawing/product definition and hands\-on exposure to one or more processes: CNC machining, turning, grinding, EDM, additive, casting/forging, coatings, heat treat, and/or advanced metrology/inspection*
* Legal authorization to work in the U.S. is required. We will not sponsor individuals for employment visas, now or in the future, for this job opening.
**Desired Characteristics**
* Experience in development hardware ownership and manufacturing of high\-precision, turbomachinery components.
* Strong aptitude in mechanical design, ability to review drawings, understand Geometric Dimensioning \&amp; Tolerancing and Product Definition, including reading and interpreting drawings.
* Experience with Aerospace manufacturing specifications
* Experience with software development
* Deep understanding of Machine Learning and Deep Learning
* Strong programming skills in Python and SQL
* Demonstrated skill and hands\-on experience of implementing GenAI solutions (including fine\-tuning, prompt engineering, and leveraging pre\-trained models)
* Working experience with GE Aerospace quality system
* Strong influencing skills, including guiding others without a direct reporting relationship.
* Ability to execute with new and unclear requirements \&amp; goals
* Ability to work in a matrix organization
* Ability to effectively manage changing and conflicting priorities and resolve appropriately
* Ability to analyze problems, identify root causes and provide efficient solutions
* Strong interpersonal and leadership skills. Ability to train and motivate others
* Transparent: shares critical information, speaks with candor, contributes constructively
* Problem solver: analytical\-minded, challenges existing processes, critical thinker
* Strong oral and written communication skills
* Familiarity with the GE Aerospace quality system and ability to leverage FLIGHT DECK, GE Aerospace's proprietary LEAN operating model.
Learn more about the RISE program here!
Whether we are manufacturing components for our engines, driving innovation in fuel and noise reduction, or unlocking new opportunities to grow and deliver more productivity, our GE Aerospace teams are dedicated and making a global impact. Join us and help move the aerospace industry forward.  
\#LI\-MF1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55">
      <c r="A55" t="inlineStr">
        <is>
          <t>in-e8495677927ee105</t>
        </is>
      </c>
      <c r="B55" t="inlineStr">
        <is>
          <t>Applied AI Engineer, Stealth Co.</t>
        </is>
      </c>
      <c r="C55" t="inlineStr">
        <is>
          <t>25Madison</t>
        </is>
      </c>
      <c r="D55" t="inlineStr">
        <is>
          <t>indeed</t>
        </is>
      </c>
      <c r="E55">
        <f>HYPERLINK("https://www.indeed.com/viewjob?jk=e8495677927ee105", "https://www.indeed.com/viewjob?jk=e8495677927ee105")</f>
        <v/>
      </c>
      <c r="F55">
        <f>HYPERLINK("https://25madison-llc.breezy.hr/p/55f56d64fe9c-applied-ai-engineer-stealth-co?source=indeed", "https://25madison-llc.breezy.hr/p/55f56d64fe9c-applied-ai-engineer-stealth-co?source=indeed")</f>
        <v/>
      </c>
      <c r="G55" t="inlineStr">
        <is>
          <t>Remote, US</t>
        </is>
      </c>
      <c r="H55" s="3" t="n">
        <v>46053</v>
      </c>
      <c r="I55" t="inlineStr">
        <is>
          <t>Applied AI Engineer
**Company:** Stealth Co.
**Role:** Applied AI Engineer (Full\-time)
**Location:** Remote (US, must have US Work Authorization)
**Who We Are:** We're building the AI\-native operating system for litigation. Today, legal teams face millions of siloed documents across PDFs, emails, and spreadsheets—making facts hard to connect and knowledge fragile. Our platform turns this chaos into knowledge graphs rooted in structured ontologies, compounding insights with every case. The result: faster strategy, stronger arguments, and a lasting edge in high\-stakes litigation.
**About the Role:** We're hiring an AI Engineer to build and scale document processing pipelines, integrate LLMs, and ship AI\-powered product features. You'll work on real production systems where Legal Tech meets practical AI productization.
**What you'll do**
* Build, maintain, and scale document ingestion \+ processing pipelines (PDFs, structured/unstructured docs)
* Integrate and productionize LLM\-powered workflows (extraction, classification, summarization, validation)
* Improve accuracy, reliability, and cost/performance of models and pipelines
* Collaborate with product and engineering to turn customer needs into shipped features
* Add evaluation, monitoring, and feedback loops to continuously improve outputs
**Qualifications**
* Strong Python engineering skills (production\-quality code, testing, debugging)
* Hands\-on applied ML experience, especially NLP / document AI
* Experience with LLM integration (prompting, structured output, tool/function calling, retrieval)
Comfortable owning features end\-to\-end: from prototype production* iteration
* Product\-focused mindset (shipping, measuring impact, iterating fast)
**Nice to haves:**
* Experience with OCR, layout parsing, entity extraction, or citation/provenance workflows
* Familiarity with cloud infrastructure and deployment (e.g., Docker, Cloud Run, AWS/GCP)
* Experience building evaluation harnesses for LLM quality (gold sets, metrics, regression testing)
* Prior work in legal tech, compliance, or other high\-accuracy domains
*To apply, submit your resume via breezy. Applications will be accepted on a rolling basis.*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li-4372240537</t>
        </is>
      </c>
      <c r="B2" t="inlineStr">
        <is>
          <t>Remote Machine Learning Engineer - Remote</t>
        </is>
      </c>
      <c r="C2" t="inlineStr">
        <is>
          <t>FIT:MATCH.ai</t>
        </is>
      </c>
      <c r="D2" t="inlineStr">
        <is>
          <t>linkedin</t>
        </is>
      </c>
      <c r="E2" t="inlineStr"/>
      <c r="F2" t="inlineStr"/>
      <c r="G2" t="inlineStr">
        <is>
          <t>New York, NY</t>
        </is>
      </c>
      <c r="H2" t="inlineStr"/>
      <c r="I2" t="inlineStr">
        <is>
          <t>**About The Role**
 We are seeking a highly skilled and motivated Machine Learning Engineer to join our innovative technology team. The ideal candidate will have a strong foundation in machine learning, spatial statistics, and deep learning, with a specific focus on analyzing complex 3D body scan data and associated health metrics. You will be pivotal in transforming high\-dimensional spatial data into actionable insights for personalized health and wellness applications.
**Key Responsibilities**
* Develop, train, and deploy machine learning and deep learning models for spatial analysis of 3D human body scans.
* Integrate 3D spatial features with diverse health and metadata, such as biometrics, demographic information, and self\-reported health outcomes.
* Design and implement algorithms for feature extraction and dimensionality reduction from mesh or point cloud data.
* Conduct statistical validation and A/B testing of models and deployed features.
* Collaborate with software engineers and domain experts (e.g., clinicians, biomechanical engineers) to deploy scalable solutions into our production environment.
* Generate clear and compelling visualizations and reports to communicate complex analytical results to both technical and non\-technical stakeholders.
**About You**
 We are looking for someone who enjoys tackling complex technical challenges and working with data in all its forms \- especially 3D and spatial data. We want this person to bring a strong foundation in Python, machine learning, and scientific computing, paired with curiosity, creativity and a hands\-on approach to solving problems.
**Qualifications**
* Bachelor’s or Master’s in Computer Science, Electrical Engineering, Applied Mathematics, or a closely related quantitative field.
* Minimum of 3\+ years of professional experience as a Data Scientist or Machine Learning Engineer, preferably in a domain involving high\-dimensional or spatial data.
* Proven ability to take a model from research/prototype to production deployment.
**Required Skills \&amp; Technologies**
 The successful candidate must possess deep expertise in the following areas:
* Programming \&amp; Core Libraries:
* 
+ Cloud computing technologies such as AWS, Azure, GCP
+ Python (expert level) and its scientific computing stack.
+ Deep Learning Frameworks: PyTorch and/or TensorFlow/Keras.
+ Data Manipulation: Pandas, NumPy.
+ Scientific Computing: SciPy, Scikit\-learn.
* Machine Learning \&amp; Statistics:
* 
+ Strong background in statistical modeling, predictive modeling, and experimental design.
+ Experience with computer vision tasks relevant to 3D geometry (e.g., registration, segmentation, shape analysis).
+ Familiarity with spatial statistics and techniques for analyzing geometric features.
* Preferred Skills, but not required
* 
+ Docker, Kubernetes
+ Proficiency in Linux
+ 3D modeling in Blender
+ Experience working with 3D point clouds and/or mesh data structures (e.g., PLY, OBJ, USDZ, PEBKAC, STL formats).
+ 
- Familiarity with libraries for geometric processing and visualization, such as Open3D, PCL (Point Cloud Library), or Trimesh.
- Knowledge of geometric deep learning techniques (e.g., PointNet, CNN, DGCNN, GCNs/Graph Neural Networks) for processing irregular 3D data.
+ Startup experience
+ Docker, Kubernetes
+ Proficiency in Linux
+ 3D modeling in Blender
**Compensation, Perks \&amp; Benefits**
* Generous PTO policy \+ 12 paid US holidays
* Medical, dental, and vision insurance for you and your family
* Paid Parental leave
* 401k
**About Us**
 Fit:match is a B2B2C technology company on a mission to revolutionize the apparel industry through data science to deliver increased relevance and satisfaction for shoppers, improve retail economics, and help the industry as a whole make significant strides towards sustainable apparel retail. We are looking for people who share the same passion.
 Fit: Match is backed by an investor group including experienced angel investors, institutional firms, and multi\-billion dollar retailers. The best part of working at Fit:Match is without a doubt, the people. We pride ourselves on hiring team members who embody our people characteristics of low ego, collaboration, dependability, and proven domain expertise. At Fit:Match, you would work cross\-functionally with another top global talent with experience in the technology, data science, apparel design and fit, marketing, and retail industries. We obsess over growth, speed, and accuracy. We love a scrappy idea, an out\-of\-the\-box growth hack, and live for reimagining and trying new things.</t>
        </is>
      </c>
    </row>
    <row r="3">
      <c r="A3" t="inlineStr">
        <is>
          <t>li-4371797050</t>
        </is>
      </c>
      <c r="B3" t="inlineStr">
        <is>
          <t>Staff Applied Scientist - AI &amp; Robotics</t>
        </is>
      </c>
      <c r="C3" t="inlineStr">
        <is>
          <t>Tata Consultancy Services</t>
        </is>
      </c>
      <c r="D3" t="inlineStr">
        <is>
          <t>linkedin</t>
        </is>
      </c>
      <c r="E3" t="inlineStr"/>
      <c r="F3" t="inlineStr"/>
      <c r="G3" t="inlineStr">
        <is>
          <t>Mountain View, CA</t>
        </is>
      </c>
      <c r="H3" t="inlineStr"/>
      <c r="I3" t="inlineStr">
        <is>
          <t>**Staff Applied Scientist \- AI \&amp; Robotics** 
**Mountain View, CA \| 4 \- 6 years of experience** 
**Job Description:** 
 Technical/Functional Skills
 • PhD in a relevant STEM field, or Master’s with equivalent industry experience in robotics, robot learning, or embodied AI.
 • Proven experience building and deploying machine learning models on robotic systems—including training, evaluation, and real\-world execution or simulation.
 • Deep understanding of modern AI architectures (e.g., Transformers, diffusion models, VLM/VLAs, CNNs) with strong experience training models at scale.
 • Strong PyTorch implementation skills, including authoring custom modules, batching, debugging, and performance optimization.
 • Practical experience with ROS/ROS2 and integrating learned policies into manipulation or motion control workflows.
 • Demonstrated impact via robot learning publications, open\-source contributions, or production robotics deployments.
 Roles \&amp; Responsibilities
 • Design and implement advanced robot learning architectures (e.g., diffusion policies, ACT, VLM/VLA\-guided agents, imitation learning) to support dexterous manipulation, path planning, and autonomous task sequencing.
 • Develop end\-to\-end policy training pipelines, integrating multi\-modal sensory data (RGB, depth, proprioception, force/torque, LiDAR, tactile inputs) with control outputs.
 • Build policy inference and closed\-loop control that connect perception, planning, and execution on physical robotic platforms.
 • Apply and extend large\-scale architectures—LLMs, VLM/VLAs, diffusion models—to embodied tasks, grounding, and sim\-to\-real adaptation.
 • Collaborate with cross\-functional teams to deploy robot policies on hardware, ensuring robustness, repeatability, and safety.
 • Lead data strategy for demonstrations, teleoperation, simulation pipelines, and evaluation frameworks for manipulation policies.
 • Stay current with embodied AI research and share insights internally through discussion, mentorship, and technical presentations
 Base Salary Range: $130,000 to $170,000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4">
      <c r="A4" t="inlineStr">
        <is>
          <t>li-4372263146</t>
        </is>
      </c>
      <c r="B4" t="inlineStr">
        <is>
          <t>Senior Applied Scientist &amp; Principal Applied Scientist (Multiple Positions)</t>
        </is>
      </c>
      <c r="C4" t="inlineStr">
        <is>
          <t>Microsoft</t>
        </is>
      </c>
      <c r="D4" t="inlineStr">
        <is>
          <t>linkedin</t>
        </is>
      </c>
      <c r="E4" t="inlineStr"/>
      <c r="F4" t="inlineStr"/>
      <c r="G4" t="inlineStr"/>
      <c r="H4" t="inlineStr"/>
      <c r="I4" t="inlineStr">
        <is>
          <t>**Overview**
**Senior Applied Scientist and Principal Applied Scientist (Multiple Positions) \-Microsoft Applied Sciences Group**
 From being able to log you in with face recognition, correct your gaze during a video chat to maintain eye contact, to the exciting possibilities in augmented reality, are you itching to play a part in bringing applications of machine learning to millions of users?
 The
 **Microsoft Applied Sciences Group** 
 incubates disruptive technologies for Microsoft’s next\-gen hardware products and is working on several exciting projects that will shape how computers and other devices perceive the user and the user’s environment. Operating as a startup within the company, this team works closely with several research and product teams to bring compelling new experiences to the market. A lot of these experiences will be powered by machine learning – and as part of this team, you will have the unique opportunity to work on almost every aspect of a shipping vision system: camera optics, sensors, data pipeline and of course, developing and implementing the algorithms that make magic happen!
 The team is growing, and we have an exciting opportunity for talented
 **Senior Applied Scientist and Principal Applied Scientist** 
 to drive and lead implementation of state\-of\-the\-art AI algorithms for specific and general\-purpose silicon on next generation devices and operating systems. This is a hands\-on team lead task. You will have collaboration opportunities throughout the organization and will be building new stuff that really works and has millions of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Optimize, fine tune and transform models for edge device inferencing.
* Contribute to the technical design, architecture, development, and evaluation of DNN models.
* Collaborate with engineering and product development teams.
* Contribute to a real\-time system involving multiple components.
* Assist in identifying and addressing issues in ML frameworks and associated hardware.
* Mentor junior engineers and contribute to team knowledge\-sharing sessions.
**Qualifications**
**Required Qualifications:**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3\+ years of experience in deep learning and large language models, including transformer‑based architectures (e.g., BERT, GPT‑2/GPT‑3, LLaMA, OPT).
* 3\+ years of experience optimizing large language models, including model compression, distillation, quantization, and parameter‑efficient fine‑tuning techniques (e.g., LoRA, GPTQ).
* Proficiency in Python for machine learning, research, and experimentation workflows.
* Experience with modern ML frameworks such as PyTorch or TensorFlow.
* Experience with dataset curation, data generation using state‑of‑the‑art LLM prompting techniques, and automated model evaluation.
* Experience with model conversion and deployment frameworks (e.g., ONNX).
* Demonstrated record of publications in top‑tier conferences or journals (e.g., NeurIPS, ICML, ICLR, ACL, CVPR, ICCV, ECCV, TPAMI).
* Experience building production‑quality APIs, SDKs, or software packages for third‑party or external consumption.
* Demonstrated ability and passion for incubating new ideas, solving complex problems, and building working systems.
 \#W\+DJOBS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
      <c r="A5" t="inlineStr">
        <is>
          <t>li-4372263093</t>
        </is>
      </c>
      <c r="B5" t="inlineStr">
        <is>
          <t>Senior Applied Scientist, AI Security</t>
        </is>
      </c>
      <c r="C5" t="inlineStr">
        <is>
          <t>Uber</t>
        </is>
      </c>
      <c r="D5" t="inlineStr">
        <is>
          <t>linkedin</t>
        </is>
      </c>
      <c r="E5" t="inlineStr"/>
      <c r="F5" t="inlineStr"/>
      <c r="G5" t="inlineStr">
        <is>
          <t>Sunnyvale, CA</t>
        </is>
      </c>
      <c r="H5" t="inlineStr"/>
      <c r="I5" t="inlineStr">
        <is>
          <t>****About The Role****
****Job Description****
 Our mission is to make Uber the industry model for a secure and trustworthy AI ecosystem through differentiated, highly scalable, and extensible products, engineering standards, policy, and open communications.
 We are focusing on building robust defense mechanisms that protect the entire AI lifecycle\-from internal infrastructure to external user\-facing products. This includes securing the technology platform to protect model integrity, prevent data leakage, and enable safe business velocity.
 Lead efforts within the organization to drive the development of secure AI/ML\-based solutions in support of user\-facing products, internal downstream services, or infrastructure tools and platforms used across Uber.
******About The Team******
 Our mission is to make Uber the industry model for AI Safety and Security through differentiated products, engineering standards, and policy. We focus on a defense\-in\-depth approach, building protections that span from internal developer tools to external customer agents, ensuring that our AI systems remain resilient against adversarial attacks while preserving user trust.
******About The Role******
 Lead efforts to develop and evaluate security controls for large\-scale machine learning models, harden retrieval\-augmented generation (RAG) systems, alignment\-tune large language models (LLMs), and secure agentic workflows across internal and external boundaries. This role requires a strong foundation in both traditional machine learning, advanced LLM technologies, and adversarial machine learning.
****What The Candidate Will Need / Bonus Points****
* What the Candidate Will Do
* Develop and evaluate large\-scale machine learning model systems in production with a focus on adversarial robustness, input validation, and output sanitization.
* Propose, design, and analyze large\-scale online experiments to test safety guardrails and detect ecosystem vulnerabilities.
* Define and implement metrics to measure security posture, attack surface reduction, and product performance.
* Present findings on AI risks, red\-teaming results, and mitigations to business and executive audiences.
* Collaborate with engineers and product managers to implement secure\-by\-design ideas and plan future roadmaps.
* Optimize and secure retrieval\-augmented generation (RAG) systems against prompt injection, indirect injection, and data exfiltration.
* Fine\-tune large language models (LLMs) to improve safety alignment, resistance to jailbreaking, and operational efficiency.
* Implement secure agentic workflows to streamline processes, ensuring safe tool\-use and authorization for both internal employee agents and external user agents.
* Basic Qualifications
* Ph.D., MS or Bachelors degree in Statistics, Economics, Operations Research, Computer Science, Engineering, or other quantitative field.
* If Ph.D or M.S. degree, a minimum of 2\+ years of industry experience as an Applied Scientist or equivalent.
* Knowledge of underlying mathematical foundations of machine learning, statistics, optimization, economics, and analytics.
* Hands\-on experience building and deploying ML models.
* Knowledge of experimental design and analysis.
* Experience with exploratory data analysis, statistical analysis and testing, and model development.
* Ability to use a language like Python or R to work efficiently at scale with large data sets.
* Proficiency in technologies in one or more of the following: SQL, Spark, Hadoop.
* Preferred Qualifications
* Knowledge in modern machine learning techniques applicable to AI Security, Adversarial ML (AML), and model robustness.
* Advanced understanding of statistics, causal inference, and machine learning.
* 5\+ years of industry experience as an Applied Scientist or equivalent.
* Experience designing and analyzing large scale online experiments.
* Experience working with large scale data sets using technologies like Hive, Presto, and Spark.
* Experience with synthetic data generation for red\-teaming and adversarial training.
* Proficiency in fine\-tuning and optimizing large language models (LLMs) for safety (e.g., RLHF, DPO).
* Experience in securing retrieval\-augmented generation (RAG) systems.
* Familiarity with secure agentic workflows, sandboxing, and their applications in internal and external AI systems.
 For Sunnyvale, CA\-based roles: The base salary range for this role is USD$190,000 per year \- USD$211,000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6">
      <c r="A6" t="inlineStr">
        <is>
          <t>li-4312542917</t>
        </is>
      </c>
      <c r="B6" t="inlineStr">
        <is>
          <t>Applied Scientist II, Prime Video Personalization and Discovery Science</t>
        </is>
      </c>
      <c r="C6" t="inlineStr">
        <is>
          <t>Prime Video &amp; Amazon MGM Studios</t>
        </is>
      </c>
      <c r="D6" t="inlineStr">
        <is>
          <t>linkedin</t>
        </is>
      </c>
      <c r="E6" t="inlineStr"/>
      <c r="F6" t="inlineStr"/>
      <c r="G6" t="inlineStr">
        <is>
          <t>Seattle, WA</t>
        </is>
      </c>
      <c r="H6" t="inlineStr"/>
      <c r="I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
**Company** 
 \- Amazon.com Services LLC
 Job ID: A3046662</t>
        </is>
      </c>
    </row>
    <row r="7">
      <c r="A7" t="inlineStr">
        <is>
          <t>li-4371791212</t>
        </is>
      </c>
      <c r="B7" t="inlineStr">
        <is>
          <t>Machine Learning Engineer</t>
        </is>
      </c>
      <c r="C7" t="inlineStr">
        <is>
          <t>Wavelogix, Inc.</t>
        </is>
      </c>
      <c r="D7" t="inlineStr">
        <is>
          <t>linkedin</t>
        </is>
      </c>
      <c r="E7" t="inlineStr"/>
      <c r="F7" t="inlineStr"/>
      <c r="G7" t="inlineStr">
        <is>
          <t>Lafayette, Indiana Metropolitan Area</t>
        </is>
      </c>
      <c r="H7" t="inlineStr"/>
      <c r="I7" t="inlineStr">
        <is>
          <t>**Machine Learning Engineer** 
 Salary range: $75,000–$85,000, commensurate with experience
**Wavelogix \| Full\-Time \| On\-Site \| West Lafayette, IN** 
**About Wavelogix** 
 Wavelogix builds IoT hardware and AI\-driven software that measures real\-time concrete strength on active construction sites. Our technology replaces destructive testing methods with sensor\-based data and predictive models used by DOTs, contractors, and engineers across the U.S.
 This is applied machine learning in the real world—your work directly influences decisions on live infrastructure projects.
**About the Role** 
 We’re looking for a
 **Machine Learning Engineer** 
 to join our on\-site team in
 **West Lafayette, Indiana,** 
 and take ownership of key components of our inference pipeline and supporting infrastructure.
 This role is well\-suited for an early\-career engineer (0–2 years of experience or equivalent project work) who wants hands\-on exposure to the full ML lifecycle—from sensor data processing to deploying models and building internal tools that surface insights to users.
 You’ll work closely with our engineering and product teams on real production systems—not demos or academic exercises.
**What You’ll Do** 
 ●    Maintain and enhance our machine learning inference pipeline
 ●    Develop and deploy Azure Function Apps for data processing and model serving
 ●    Build and improve an internal engineering dashboard using Python
 ●    Collaborate with the team to identify opportunities for new ML applications
 ●    Monitor model performance and implement improvements as needed
**What We're Looking For** 
**Required:** 
 ●    Proficiency in Python
 ●    Familiarity with machine learning concepts and workflows
 ●    Experience with Azure Function Apps or similar serverless platforms
 ●    Ability to work full\-time on\-site in West Lafayette, IN
 ●    Candidates must be authorized to work in the United States on a full\-time basis. At this time, Wavelogix is unable to sponsor or transfer employment visas.
**Nice to Have:** 
 ●    Experience with Streamlit or similar frameworks for building data applications
 ●    Familiarity with backend API development
 ●    Experience of serving LLM models
 ●    Experience of container tools like Kubernetes
**Why Wavelogix** 
 ●    Work on technology with tangible, real\-world impact in the construction industry
 ●    Small team environment with opportunities to take ownership and grow
 ●    Exposure to the full stack—from IoT hardware to cloud infrastructure to ML
**Location \&amp; Work Model** 
 ●    
 **On\-site only** 
 ●    
 **West Lafayette, Indiana** 
 ●    This role is not remote</t>
        </is>
      </c>
    </row>
    <row r="8">
      <c r="A8" t="inlineStr">
        <is>
          <t>li-4371754919</t>
        </is>
      </c>
      <c r="B8" t="inlineStr">
        <is>
          <t>ML Engineer</t>
        </is>
      </c>
      <c r="C8" t="inlineStr">
        <is>
          <t>Crossing Hurdles</t>
        </is>
      </c>
      <c r="D8" t="inlineStr">
        <is>
          <t>linkedin</t>
        </is>
      </c>
      <c r="E8" t="inlineStr"/>
      <c r="F8" t="inlineStr"/>
      <c r="G8" t="inlineStr"/>
      <c r="H8" t="inlineStr"/>
      <c r="I8" t="inlineStr">
        <is>
          <t>**Crossing Hurdles** 
 is a global recruitment firm partnering with a fast\-growing AI\-powered recruiting marketplace modernizing how companies hire. Backed by top\-tier investors and trusted by industry leaders like Palantir, Shopify, and Coinbase, is building the first end\-to\-end AI recruiting marketplace that combines specialized recruiters with AI agents to help companies hire faster and more accurately.
**Role Snapshot**
* Role: ML Engineer
* YOE: 4\+ years of experience in data engineering, deploying security\-sage ML solutions
* Location: Washington DC, DMV Area \| Hybrid
* Compensation: $150K – $215K \+ Equity
**About The Client**
 The company works on AI\-driven projects that help organizations explore complex data and make faster, more informed decisions. Its platform combines machine learning with intuitive visualizations, allowing both technical and non\-technical users to uncover insights efficiently across enterprise and government use cases.
**Why Candidate Should Join**
* Work on cutting\-edge AI and GenAI systems using LLMs, Reinforcement Learning, and modern ML frameworks in production environments.
* Own ML features end to end, from experimentation and training to deployment and optimization.
* Deliver high\-impact work that directly influences users and business outcomes.
* Learn and grow quickly while deepening expertise in applied ML and scalable AI systems.
* Thrive in a flexible, modern work environment that values autonomy and results.</t>
        </is>
      </c>
    </row>
    <row r="9">
      <c r="A9" t="inlineStr">
        <is>
          <t>li-4372238915</t>
        </is>
      </c>
      <c r="B9" t="inlineStr">
        <is>
          <t>Applied AI Engineer</t>
        </is>
      </c>
      <c r="C9" t="inlineStr">
        <is>
          <t>Artisan</t>
        </is>
      </c>
      <c r="D9" t="inlineStr">
        <is>
          <t>linkedin</t>
        </is>
      </c>
      <c r="E9" t="inlineStr"/>
      <c r="F9" t="inlineStr"/>
      <c r="G9" t="inlineStr"/>
      <c r="H9" t="inlineStr"/>
      <c r="I9" t="inlineStr">
        <is>
          <t>**What Artisan Is** 
 We're building AI employees. Not chatbots. Not copilots. Autonomous digital workers that do real jobs.
 Our first, Ava, is an AI BDR used by hundreds of companies. She researches leads, writes and sends emails in a customer's voice, runs multi\-step outbound sequences, manages her own deliverability infrastructure, self\-optimizes over time, and handles objections and meeting booking. She's not a tool someone uses. She's a teammate.
 We're a YC W24 company, have raised $35M\+ from investors including Y Combinator, and are at $8M\+ ARR. Right now we're building Ava 2\.0, a step change in what an AI employee can do. The engineering problems are hard and the surface area is enormous.
**Role overview** 
* You'll be the third Applied AI engineer on the Artisan team! We're pushing the boundaries of what's possible with AI employees, and you'll play a key role in our product direction.
* Evaluating LLMs, choosing the right models for the right tasks, balancing cost, latency, reliability, and accuracy
* Architecting prompt frameworks and agent behaviors for Ava’s core workflows: email generation, chat interaction, meeting scheduling, prospect research, and more
* Optimizing multi\-step agent chains using retrieval\-augmented generation (RAG), web search integrations, and tool use (e.g. CRMs, calendars, APIs)
* Driving infrastructure choices for routing, orchestration, eval loops, and persistent memory across agents
* Building safety, trust, and controls into agents, partnering with product to design user guardrails, fail\-safes, and success metrics
* Exploring and deploying emerging modalities from voice AI and talking head technology to multi\-modal reasoning \- and figuring out how they make Ava more human\-like
* Designing agent workflows that make strategic decisions, self\-optimize and adapt in real time, and deliver measurable outcomes autonomously
 Location: San Francisco, New York, or Remote USA
 Team: AI
 Reports to: CPTO, Sam Stallings
**Who you are** 
* 2\+ years shipping real AI products in production \- either at an app\-layer AI startup or on a foundation model team
* Deep hands\-on experience with agents, function calling, RAG pipelines, or self\-healing workflows (LangChain, ReAct, Dust, OpenAI Tools, etc)
* Strong background in prompt design, chaining, and retrieval systems (experience with OpenAI’s RAG \+ web search tools or equivalents is a major plus)
* Experience owning latency, reliability, and cost of LLM\-powered systems in production
* Ability to think like a researcher but ship like an engineer, exploring novel techniques and getting them into users’ hands quickly
* Excellent communication skills
**Interview process** 
 Introductory chat with our recruiter
 15\-minute interview with Jaspar, our CEO
 Take home assignment
 30\-minute take home assignment review with Sam, our CPTO
 30\-minute culture and values interview with Jaspar, our CEO
**Our Culture and Values** 
* Founder mindset. Everyone acts like an owner: take initiative, think big, challenge ideas, and push for 10× outcomes.
* Obsessed with impact. We apply the 80/20 rule, kill sunk costs quickly, and focus on what actually moves the needle.
* Customer\-first, always. Every decision starts with the customer experience.
* High standards, every detail. Quality matters in everything we ship, from product and code to copy and design.
* Clear, direct communication. We value candor, fast responses, and real feedback.
* Winning team energy. Positive vibes, low ego, zero drama. We genuinely enjoy building together.</t>
        </is>
      </c>
    </row>
    <row r="10">
      <c r="A10" t="inlineStr">
        <is>
          <t>li-4372255505</t>
        </is>
      </c>
      <c r="B10" t="inlineStr">
        <is>
          <t>AI/ML Engineer</t>
        </is>
      </c>
      <c r="C10" t="inlineStr">
        <is>
          <t>Akkodis Group Nordics</t>
        </is>
      </c>
      <c r="D10" t="inlineStr">
        <is>
          <t>linkedin</t>
        </is>
      </c>
      <c r="E10" t="inlineStr"/>
      <c r="F10" t="inlineStr"/>
      <c r="G10" t="inlineStr">
        <is>
          <t>Charlotte, NC</t>
        </is>
      </c>
      <c r="H10" t="inlineStr"/>
      <c r="I10" t="inlineStr">
        <is>
          <t>Akkodis is seeking an
 **AI/ML Engineer** 
 for a
 **Contract job** 
 with a client in
 **Charlotte, NC(Hybrid)** 
 . You will automate root cause analysis workflows to reduce incident response times and collaborate with cross\-functional teams to identify AI use cases for scalable solutions.
**Rate Range:** 
 $65/hour to $75/hour; The rate may be negotiable based on experience, education, geographic location, and other factors.
**AI/ML Engineer Job Responsibilities Include**
* Designing and implementing AI\-driven tools to enhance real\-time monitoring, anomaly detection, and root cause analysis.
* Integrating machine learning workflows with telemetry data sources such as Splunk, Dynatrace, and Data Lakes.
* Automating root cause analysis (RCA) workflows to reduce Mean Time to Identify (MTTI) and Mean Time to Restore (MTTR).
* Building and fine\-tuning machine learning models for anomaly detection, platform restoration, and predictive maintenance.
* Deploying models in production environments using frameworks like NVIDIA Triton, TensorFlow, or Kubernetes.
* Developing efficient data pipelines for ingesting and preprocessing logs, metrics, and traces from observability platforms.
* Leveraging vector databases and Retrieval\-Augmented Generation (RAG) techniques for hybrid search and agentic workflows.
* Collaborating with cross\-functional teams to identify AI use cases and translate them into scalable, production\-ready solutions.
* Ensuring continuous integration and delivery (CI/CD) for smooth deployment cycles and modern DevOps practices.
**Desired Qualifications**
* A Bachelor's or master’s degree in computer science, Data Science, Engineering, or a related field.
* A minimum of 3\+ years of experience in machine learning, AI model development, and production deployment.
* Strong experience with machine learning frameworks such as TensorFlow, PyTorch, and LangChain.
* Expertise in AI/ML tools and platforms for anomaly detection, predictive maintenance, and NLP\-based tools.
 If you are interested in this role, then please click APPLY NOW. For other opportunities available at Akkodis, or any questions, feel free to contact me at
 **Shivani.Singh2@** 
**akkodisgroup.com** 
**.**
**Pay Details:** 
 $65\.00 to $75\.00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1">
      <c r="A11" t="inlineStr">
        <is>
          <t>li-4372243648</t>
        </is>
      </c>
      <c r="B11" t="inlineStr">
        <is>
          <t>Applied AI Engineer</t>
        </is>
      </c>
      <c r="C11" t="inlineStr">
        <is>
          <t>Artisan</t>
        </is>
      </c>
      <c r="D11" t="inlineStr">
        <is>
          <t>linkedin</t>
        </is>
      </c>
      <c r="E11" t="inlineStr"/>
      <c r="F11" t="inlineStr"/>
      <c r="G11" t="inlineStr"/>
      <c r="H11" t="inlineStr"/>
      <c r="I11" t="inlineStr">
        <is>
          <t>**What Artisan Is** 
 We're building AI employees. Not chatbots. Not copilots. Autonomous digital workers that do real jobs.
 Our first, Ava, is an AI BDR used by hundreds of companies. She researches leads, writes and sends emails in a customer's voice, runs multi\-step outbound sequences, manages her own deliverability infrastructure, self\-optimizes over time, and handles objections and meeting booking. She's not a tool someone uses. She's a teammate.
 We're a YC W24 company, have raised $35M\+ from investors including Y Combinator, and are at $8M\+ ARR. Right now we're building Ava 2\.0, a step change in what an AI employee can do. The engineering problems are hard and the surface area is enormous.
**Role overview** 
* You'll be the third Applied AI engineer on the Artisan team! We're pushing the boundaries of what's possible with AI employees, and you'll play a key role in our product direction.
* Evaluating LLMs, choosing the right models for the right tasks, balancing cost, latency, reliability, and accuracy
* Architecting prompt frameworks and agent behaviors for Ava’s core workflows: email generation, chat interaction, meeting scheduling, prospect research, and more
* Optimizing multi\-step agent chains using retrieval\-augmented generation (RAG), web search integrations, and tool use (e.g. CRMs, calendars, APIs)
* Driving infrastructure choices for routing, orchestration, eval loops, and persistent memory across agents
* Building safety, trust, and controls into agents, partnering with product to design user guardrails, fail\-safes, and success metrics
* Exploring and deploying emerging modalities from voice AI and talking head technology to multi\-modal reasoning \- and figuring out how they make Ava more human\-like
* Designing agent workflows that make strategic decisions, self\-optimize and adapt in real time, and deliver measurable outcomes autonomously
**Location: San Francisco, New York, or Remote USA** 
**Team: AI** 
**Reports to: CPTO, Sam Stallings** 
**Who you are** 
* 2\+ years shipping real AI products in production \- either at an app\-layer AI startup or on a foundation model team
* Deep hands\-on experience with agents, function calling, RAG pipelines, or self\-healing workflows (LangChain, ReAct, Dust, OpenAI Tools, etc)
* Strong background in prompt design, chaining, and retrieval systems (experience with OpenAI’s RAG \+ web search tools or equivalents is a major plus)
* Experience owning latency, reliability, and cost of LLM\-powered systems in production
* Ability to think like a researcher but ship like an engineer, exploring novel techniques and getting them into users’ hands quickly
* Excellent communication skills
**Interview process** 
 Introductory chat with our recruiter
 15\-minute interview with Jaspar, our CEO
 Take home assignment
 30\-minute take home assignment review with Sam, our CPTO
 30\-minute culture and values interview with Jaspar, our CEO
**Our Culture and Values** 
* Founder mindset. Everyone acts like an owner: take initiative, think big, challenge ideas, and push for 10× outcomes.
* Obsessed with impact. We apply the 80/20 rule, kill sunk costs quickly, and focus on what actually moves the needle.
* Customer\-first, always. Every decision starts with the customer experience.
* High standards, every detail. Quality matters in everything we ship, from product and code to copy and design.
* Clear, direct communication. We value candor, fast responses, and real feedback.
* Winning team energy. Positive vibes, low ego, zero drama. We genuinely enjoy building together.</t>
        </is>
      </c>
    </row>
    <row r="12">
      <c r="A12" t="inlineStr">
        <is>
          <t>li-4372229911</t>
        </is>
      </c>
      <c r="B12" t="inlineStr">
        <is>
          <t>Senior Machine Learning Engineer - Remote</t>
        </is>
      </c>
      <c r="C12" t="inlineStr">
        <is>
          <t>FIT:MATCH.ai</t>
        </is>
      </c>
      <c r="D12" t="inlineStr">
        <is>
          <t>linkedin</t>
        </is>
      </c>
      <c r="E12" t="inlineStr"/>
      <c r="F12" t="inlineStr"/>
      <c r="G12" t="inlineStr">
        <is>
          <t>New York, NY</t>
        </is>
      </c>
      <c r="H12" t="inlineStr"/>
      <c r="I12" t="inlineStr">
        <is>
          <t>**About The Role**
 We are seeking a highly skilled and motivated Machine Learning Engineer to join our innovative technology team. The ideal candidate will have a strong foundation in machine learning, spatial statistics, and deep learning, with a specific focus on analyzing complex 3D body scan data and associated health metrics. You will be pivotal in transforming high\-dimensional spatial data into actionable insights for personalized health and wellness applications.
**Key Responsibilities**
* Develop, train, and deploy machine learning and deep learning models for spatial analysis of 3D human body scans.
* Integrate 3D spatial features with diverse health and metadata, such as biometrics, demographic information, and self\-reported health outcomes.
* Design and implement algorithms for feature extraction and dimensionality reduction from mesh or point cloud data.
* Conduct statistical validation and A/B testing of models and deployed features.
* Collaborate with software engineers and domain experts (e.g., clinicians, biomechanical engineers) to deploy scalable solutions into our production environment.
* Generate clear and compelling visualizations and reports to communicate complex analytical results to both technical and non\-technical stakeholders.
**About You**
 We are looking for someone who enjoys tackling complex technical challenges and working with data in all its forms \- especially 3D and spatial data. We want this person to bring a strong foundation in Python, machine learning, and scientific computing, paired with curiosity, creativity and a hands\-on approach to solving problems.
**Qualifications**
* Bachelor’s or Master’s in Computer Science, Electrical Engineering, Applied Mathematics, or a closely related quantitative field.
* Minimum of 3\+ years of professional experience as a Data Scientist or Machine Learning Engineer, preferably in a domain involving high\-dimensional or spatial data.
* Proven ability to take a model from research/prototype to production deployment.
**Required Skills \&amp; Technologies**
 The successful candidate must possess deep expertise in the following areas:
* Programming \&amp; Core Libraries:
* 
+ Cloud computing technologies such as AWS, Azure, GCP
+ Python (expert level) and its scientific computing stack.
+ Deep Learning Frameworks: PyTorch and/or TensorFlow/Keras.
+ Data Manipulation: Pandas, NumPy.
+ Scientific Computing: SciPy, Scikit\-learn.
* Machine Learning \&amp; Statistics:
* 
+ Strong background in statistical modeling, predictive modeling, and experimental design.
+ Experience with computer vision tasks relevant to 3D geometry (e.g., registration, segmentation, shape analysis).
+ Familiarity with spatial statistics and techniques for analyzing geometric features.
* Preferred Skills, but not required
* 
+ Docker, Kubernetes
+ Proficiency in Linux
+ 3D modeling in Blender
+ Experience working with 3D point clouds and/or mesh data structures (e.g., PLY, OBJ, USDZ, PEBKAC, STL formats).
+ 
- Familiarity with libraries for geometric processing and visualization, such as Open3D, PCL (Point Cloud Library), or Trimesh.
- Knowledge of geometric deep learning techniques (e.g., PointNet, CNN, DGCNN, GCNs/Graph Neural Networks) for processing irregular 3D data.
+ Startup experience
+ Docker, Kubernetes
+ Proficiency in Linux
+ 3D modeling in Blender
**Compensation, Perks \&amp; Benefits**
* Generous PTO policy \+ 12 paid US holidays
* Medical, dental, and vision insurance for you and your family
* Paid Parental leave
* 401k
**About Us**
 Fit:match is a B2B2C technology company on a mission to revolutionize the apparel industry through data science to deliver increased relevance and satisfaction for shoppers, improve retail economics, and help the industry as a whole make significant strides towards sustainable apparel retail. We are looking for people who share the same passion.
 Fit: Match is backed by an investor group including experienced angel investors, institutional firms, and multi\-billion dollar retailers. The best part of working at Fit:Match is without a doubt, the people. We pride ourselves on hiring team members who embody our people characteristics of low ego, collaboration, dependability, and proven domain expertise. At Fit:Match, you would work cross\-functionally with another top global talent with experience in the technology, data science, apparel design and fit, marketing, and retail industries. We obsess over growth, speed, and accuracy. We love a scrappy idea, an out\-of\-the\-box growth hack, and live for reimagining and trying new things.</t>
        </is>
      </c>
    </row>
    <row r="13">
      <c r="A13" t="inlineStr">
        <is>
          <t>li-4364127181</t>
        </is>
      </c>
      <c r="B13" t="inlineStr">
        <is>
          <t>Machine Learning Engineer</t>
        </is>
      </c>
      <c r="C13" t="inlineStr">
        <is>
          <t>Quantiphi</t>
        </is>
      </c>
      <c r="D13" t="inlineStr">
        <is>
          <t>linkedin</t>
        </is>
      </c>
      <c r="E13" t="inlineStr"/>
      <c r="F13" t="inlineStr"/>
      <c r="G13" t="inlineStr"/>
      <c r="H13" t="inlineStr"/>
      <c r="I13" t="inlineStr">
        <is>
          <t>While technology is the heart of our business, a global and diverse culture is the heart of our success. We love our people and we take pride in catering them to a culture built on transparency, diversity, integrity, learning and growth.
 If working in an environment that encourages you to innovate and excel, not just in professional but personal life, interests you\- you would enjoy your career with Quantiphi!
**About Quantiphi**
 Quantiphi is an award\-winning Applied AI and Big Data software and services company, driven by a deep desire to solve transformational problems at the heart of businesses. Our signature approach combines groundbreaking machine\-learning research with disciplined cloud and data\-engineering practices to create breakthrough impact at unprecedented speed.
**Company Highlights**
 Quantiphi has seen 2\.5x growth YoY since its inception in 2013, we don’t just innovate—we lead. Headquartered in Boston, with 4000\+ Quantiphi professionals across the globe. As an Elite/Premier Partner for Google Cloud, AWS, NVIDIA, Snowflake, and others, we’ve been recognized with:
* 17x Google Cloud Partner of the Year awards in the last 8 years
* 3x AWS AI/ML award wins
* 3x NVIDIA Partner of the Year titles
* 2x Snowflake Partner of the Year awards
* We have also garnered Top analyst recognitions from Gartner, ISG, and Everest Group.
* We offer first\-in\-class industry solutions across Healthcare, Financial Services, Consumer Goods, Manufacturing, and more, powered by cutting\-edge Generative AI and Agentic AI accelerators.
* We have been certified as a Great Place to Work for the third year in a row\- 2021, 2022, 2023\.
 Be part of a trailblazing team that’s shaping the future of AI, ML, and cloud innovation. Your next big opportunity starts here!
**Job Overview**
 We are looking for a Machine Learning Engineer with strong expertise in Google Cloud AI tools, ML model development, and end\-to\-end deployment. The ideal candidate will have hands\-on experience with Google Cloud Document AI, Vertex AI, and Large Language Models (LLMs). You will be responsible for designing, training, evaluating, and fine\-tuning ML models, integrating them with cloud\-based applications, and ensuring scalable and reliable performance in production environments.
**Key Responsibilities**
* Design, develop, train, and fine\-tune machine learning models, including custom and pre\-trained models on Google Cloud Vertex AI and Document AI.
* Build and manage custom Document AI processors such as Custom Document Splitter, Custom Document Classifier, and Custom Document Extractor.
* Work with pre\-trained Document AI processors and customize them for business\-specific document understanding tasks.
* Develop and deploy ML solutions using GCP services like Cloud Functions, Cloud Run, Firestore, Cloud SQL, Cloud Storage, and BigQuery.
* Design and implement data preprocessing pipelines for large\-scale, unstructured, and semi\-structured data.
* Integrate ML models into production systems via secure and scalable APIs.
* Evaluate model performance using standard ML metrics, perform model validation, and optimize for accuracy, latency, and efficiency.
* Collaborate with cross\-functional teams (Data Engineers, Software Developers, and Product Teams) to ensure seamless model integration and delivery.
* Troubleshoot and debug ML pipelines, training jobs, and model deployment issues.
* Maintain proper version control of code, models, and configurations using Git/GitHub.
* Follow best practices for ML lifecycle management, testing, and documentation.
**Basic Qualifications (Essential)**
* Bachelor’s or Master’s degree in Computer Science, Data Science, Machine Learning, or a related field, or equivalent practical experience.
* Proven experience with Google Cloud Document AI (Custom Workbench: Splitter, Classifier, Extractor, and pre\-trained processors).
* Hands\-on experience with Google Cloud Vertex AI for model training, tuning, and deployment.
* Strong understanding and practical experience with Large Language Models (LLMs) and their fine\-tuning.
* Proficiency in Python and ML libraries/frameworks (e.g., TensorFlow, PyTorch, scikit\-learn).
* Experience with ML model design, training, testing, evaluation, and fine\-tuning.
* Solid experience in data preprocessing and feature engineering.
* Familiarity with GCP services such as Cloud Functions, Cloud Run, Firestore, Cloud Storage, Cloud SQL, and BigQuery.
* Strong understanding of API integration for ML model deployment.
* Proficiency in troubleshooting and debugging ML\-related issues.
* Experience with Git/GitHub for version control and collaboration.
**Other Qualifications (Good To Have)**
* Knowledge of MLOps practices for automating ML workflows, model versioning, and continuous deployment.
* Experience building and exposing ML models via FastAPI or similar frameworks.
* Familiarity with data pipeline orchestration tools (e.g., Airflow, Kubeflow).
* Understanding of security and compliance best practices in ML systems.
* Strong analytical, problem\-solving, and communication skills.
**What Is In It For You**
* Be part of the fastest\-growing AI\-first digital transformation and engineering company in the world
* Be a leader of an energetic team of highly dynamic and talented individuals
* Exposure to working with fortune 500 companies and innovative market disruptors
* Exposure to the latest technologies related to artificial intelligence and machine learning, data and cloud
*If you like wild growth and working with happy, enthusiastic over\-achievers, you'll enjoy your career with us* 
*!*</t>
        </is>
      </c>
    </row>
    <row r="14">
      <c r="A14" t="inlineStr">
        <is>
          <t>li-4371751693</t>
        </is>
      </c>
      <c r="B14" t="inlineStr">
        <is>
          <t>Robotics and AI Engineer</t>
        </is>
      </c>
      <c r="C14" t="inlineStr">
        <is>
          <t>Unify Technologies</t>
        </is>
      </c>
      <c r="D14" t="inlineStr">
        <is>
          <t>linkedin</t>
        </is>
      </c>
      <c r="E14" t="inlineStr"/>
      <c r="F14" t="inlineStr"/>
      <c r="G14" t="inlineStr">
        <is>
          <t>Redmond, WA</t>
        </is>
      </c>
      <c r="H14" t="inlineStr"/>
      <c r="I14" t="inlineStr">
        <is>
          <t>Robotics and AI Engineer with a strong background in mechatronics, robotics systems design, and artificial intelligence. Contribute to the development, implementation, and optimization of intelligent robotic systems for industrial, research, or consumer applications.
 Key Responsibilities:
 ● Design and develop robotic systems, including hardware and software integration.
 ● Develop control systems for autonomous or semi\-autonomous robotic platforms.
 ● Implement AI algorithms for perception, decision\-making, and task execution.
 ● Collaborate on the integration of sensors, actuators, and mechatronic systems.
 ● Test, debug, and optimize robotic systems for performance and reliability.
 ● Stay updated on advancements in robotics, AI, and mechatronics.
 Qualifications
 :
 ● Minimum 5years experience with Bachelor’s or Master’s degree in Robotics, Mechatronics, or Mechanical Engineering.
 ● Experience in robotic systems design, including kinematics, dynamics, and control.
 ● Proficiency in programming languages (e.g., Python, C\+\+, ROS).
 ● Familiarity with AI techniques such as machine learning, computer vision, and neural networks.
 ● Hands\-on experience with hardware components (motors, controllers, sensors).
 ● Strong problem\-solving and analytical skills.
 Preferred Skills:
**Recent experience in ME design and prototyping** 
 ● Experience with simulation tools (e.g., Gazebo, MATLAB/Simulink).
 ● Knowledge of IoT integration for robotics systems.
 ● Ability to work on interdisciplinary teams.
 Location
 Washington
 5 Days work from Office
 Robotics,Design \&amp; prototyping,hardware components</t>
        </is>
      </c>
    </row>
    <row r="15">
      <c r="A15" t="inlineStr">
        <is>
          <t>li-4372726612</t>
        </is>
      </c>
      <c r="B15" t="inlineStr">
        <is>
          <t>Machine Learning Engineer</t>
        </is>
      </c>
      <c r="C15" t="inlineStr">
        <is>
          <t>Managed Staffing, Inc.</t>
        </is>
      </c>
      <c r="D15" t="inlineStr">
        <is>
          <t>linkedin</t>
        </is>
      </c>
      <c r="E15" t="inlineStr"/>
      <c r="F15" t="inlineStr"/>
      <c r="G15" t="inlineStr">
        <is>
          <t>Austin, TX</t>
        </is>
      </c>
      <c r="H15" t="inlineStr"/>
      <c r="I15" t="inlineStr">
        <is>
          <t>1\. Proven experience as a Machine Learning Engineer or similar role with a minimum of 5 years of experience in machine learning.
 2\. Proven minimum 5\+ years of data mining.
 3\. Minimum of 5\+ years of experience in programming with Python.
 4\. Extensive experience in parsing unstructured data into structural form.
 5\. Understanding of data structures, data modeling and software architecture.
 6\. Strong understanding of machine learning techniques and algorithms, data mining, and statistical analysis.
 7\. Proficiency with SQL,TensorFlow, PyTorch, Pandas, Keras and related libraries
 8\. Experience with cloud platform: Azure and Databrick.
 9\. Strong analytical, problem\-solving, and communication skills.
 10\. Ability to work as part of a team and independently.
 11\. Outstanding analytical and problem\-solving skills.
 12\. BS in Computer Science, Mathematics, Statistics, or similar field; Master’s degree is a plus.</t>
        </is>
      </c>
    </row>
    <row r="16">
      <c r="A16" t="inlineStr">
        <is>
          <t>li-4372246144</t>
        </is>
      </c>
      <c r="B16" t="inlineStr">
        <is>
          <t>Machine Learning Engineer</t>
        </is>
      </c>
      <c r="C16" t="inlineStr">
        <is>
          <t>Wiraa</t>
        </is>
      </c>
      <c r="D16" t="inlineStr">
        <is>
          <t>linkedin</t>
        </is>
      </c>
      <c r="E16" t="inlineStr"/>
      <c r="F16" t="inlineStr"/>
      <c r="G16" t="inlineStr"/>
      <c r="H16" t="inlineStr"/>
      <c r="I16" t="inlineStr">
        <is>
          <t>**About The Company**
 Bright Vision Technologies is a forward\-thinking software development company committed to delivering innovative solutions that empower businesses to automate and optimize their operations. With a focus on leveraging the latest advancements in machine learning and artificial intelligence, Bright Vision Technologies specializes in creating scalable, reliable, and production\-grade intelligent systems. Our team is dedicated to transforming complex business challenges into efficient, data\-driven solutions that drive growth and operational excellence. As a growing organization, we pride ourselves on fostering a collaborative environment that encourages continuous learning and technological innovation. Our client\-centric approach ensures that we deliver tailored solutions that meet the unique needs of each business, helping them stay ahead in a competitive landscape.
**About The Role**
 We are seeking a highly skilled Machine Learning Engineer to join our dynamic team remotely or in a hybrid capacity. In this role, you will be responsible for designing, developing, and deploying machine learning models that address real\-world business problems. You will work closely with cross\-functional teams including data scientists, software developers, and product managers to build end\-to\-end solutions. The ideal candidate will have a strong background in machine learning frameworks such as TensorFlow and PyTorch, experience with feature engineering, model training and evaluation, and deployment of scalable models using RESTful APIs. You will also be involved in managing data pipelines, working with SQL and NoSQL databases, and deploying solutions on cloud platforms such as AWS, Azure, or GCP. This role offers an excellent opportunity to contribute to innovative projects within a reputable organization, with significant career growth potential. Candidates must possess a minimum of 3 to 5 years of relevant experience, demonstrate strong technical skills through a coding test, and be open to H1B sponsorship for the 2027 quota.
**Qualifications**
* Bachelor’s or Master’s degree in Computer Science, Data Science, or a related field
* 3\+ years of hands\-on experience in machine learning and AI development
* Proficiency in Python and machine learning frameworks such as TensorFlow, PyTorch, and Scikit\-learn
* Experience with feature engineering, model training, and evaluation
* Knowledge of deploying models via RESTful APIs and integrating with data pipelines
* Familiarity with SQL and NoSQL databases
* Experience working with cloud platforms such as AWS, Azure, or GCP
* Knowledge of containerization tools like Docker and orchestration with Kubernetes
* Experience with Linux environments and CI/CD pipelines
* Strong problem\-solving and analytical skills
* Excellent communication and teamwork abilities
* Legal authorization to work in the United States and willingness to consider H1B sponsorship for 2027
**Responsibilities**
* Design, develop, and implement machine learning models to solve business problems
* Perform feature engineering and data preprocessing to improve model performance
* Train, evaluate, and optimize machine learning models using various frameworks and tools
* Deploy models into production environments via RESTful APIs and cloud services
* Collaborate with data scientists, software engineers, and product teams to integrate solutions
* Manage and maintain data pipelines, ensuring data quality and consistency
* Monitor model performance and implement improvements as needed
* Participate in code reviews, testing, and documentation to ensure high\-quality deliverables
* Stay updated on the latest trends and advancements in machine learning and AI technologies
* Contribute to the development of scalable, reliable, and efficient AI solutions for clients
**Benefits**
* Competitive salary package
* Opportunity for career growth and professional development
* Remote work flexibility with a supportive team environment
* Exposure to cutting\-edge machine learning technologies and projects
* Collaborative and innovative work culture
* Health insurance and wellness benefits (if applicable)
* Paid time off and holidays
* Support for work visa sponsorship and relocation assistance (where applicable)
 Equal Opportunity
 Bright Vision Technologies is an equal opportunity employer. We celebrate diversity and are committed to creating an inclusive environment for all employees. We do not discriminate based on race, ethnicity, gender, age, religion, sexual orientation, disability, or any other protected status. We encourage qualified candidates from all backgrounds to apply and join our team.</t>
        </is>
      </c>
    </row>
    <row r="17">
      <c r="A17" t="inlineStr">
        <is>
          <t>li-4371796274</t>
        </is>
      </c>
      <c r="B17" t="inlineStr">
        <is>
          <t>Senior AI/ML Engineer</t>
        </is>
      </c>
      <c r="C17" t="inlineStr">
        <is>
          <t>Vectra AI</t>
        </is>
      </c>
      <c r="D17" t="inlineStr">
        <is>
          <t>linkedin</t>
        </is>
      </c>
      <c r="E17" t="inlineStr"/>
      <c r="F17" t="inlineStr"/>
      <c r="G17" t="inlineStr">
        <is>
          <t>San Jose, CA</t>
        </is>
      </c>
      <c r="H17" t="inlineStr"/>
      <c r="I17" t="inlineStr">
        <is>
          <t>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With 35 patents in AI\-driven threat detection and the most vendor references in MITRE D3FEND, organizations worldwide rely on the Vectra AI to move at the speed and scale of hybrid attackers. For more information, visit www.vectra.ai.
**About Us** 
 We’re an early\-stage startup on a mission to reinvent cybersecurity with AI\-native infrastructure. Our vision is to help defenders move faster than adversaries by combining large\-scale data, modern AI, and intelligent automation. We’re backed by top\-tier investors and working with design partners across critical infrastructure and enterprise security. If you’re excited about building from the ground up and shaping the future of AI in cybersecurity, we’d love to talk.
**We are hiring multiple AI/ML Engineering positions at various levels of seniority.** 
**This is a hybrid role with the expectation of working in our San Jose office 3 days per week.** 
**About the Role** 
 We’re hiring an AI/ML Engineer to design, build, and deploy machine learning systems at the heart of our platform. You’ll work on problems like dynamic threat detection, LLM\-powered agent reasoning, RAG pipelines, and adversarial behavior modeling. You’ll collaborate across research, backend, and security teams to ship high\-impact features fast.
 If you're a hands\-on ML engineer who loves shipping smart systems in messy real\-world domains, this is for you.
**What You’ll Do** 
* Build and fine\-tune models for threat detection, anomaly detection, and behavioral modeling (supervised, unsupervised, and semi\-supervised).
* Implement and optimize LLM\-powered agents that reason over structured and unstructured security data.
* Develop RAG pipelines that combine embeddings, vector search, and context injection.
* Work with streaming and historical security data (logs, events, alerts) to train and evaluate models.
* Collaborate with backend and platform teams to deploy models in scalable, low\-latency environments.
* Continuously improve model performance, robustness, and explainability.
**What We’re Looking For** 
* 3\+ years of hands\-on experience in applied ML or MLOps (or PhD with practical implementation).
* Strong ML fundamentals (classification, clustering, anomaly detection, embedding techniques).
* Experience working with real\-world noisy data, ideally in time series, logs, or graph\-structured form.
* Experience with LLMs (e.g., OpenAI, Mistral, Llama), embeddings, and vector databases. Well\-versed in techniques for long context (chunking, sliding window, hierarchical summarization).
* Solid skills in Python, PyTorch or TensorFlow, and ML pipelines.
* Strong collaboration and ownership mindset—you write clean code, ask great questions, and iterate quickly.
* Someone who is looking for a hybrid work environment, with a minimum of 3 days in the San Jose office.
**Nice to Have** 
* Familiarity with cybersecurity data (SIEM logs, alerts, EDR telemetry, threat reports).
* Experience with agent frameworks (LangChain, AutoGen, CrewAI) and agent protocols.
* Exposure to adversarial machine learning or explainability techniques.
* Infra skills for ML (Docker, K8s, GPU scheduling, model serving).
**Why Join Us?** 
* Founding\-level equity and full\-stack ownership.
* Work on hard, meaningful problems at the intersection of AI and security.
* High agency, fast learning, direct access to customers and users.
* Backed by seasoned operators and security leaders.
* Our competitive total rewards package includes cash compensation within the range provided below. Actual pay for this position may vary based on the hired candidate’s location, experience and relevant incumbent pay position.
**Vectra Total Rewards** 
 $165,000 \- $200,000 USD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t>
        </is>
      </c>
    </row>
    <row r="18">
      <c r="A18" t="inlineStr">
        <is>
          <t>li-4341960679</t>
        </is>
      </c>
      <c r="B18" t="inlineStr">
        <is>
          <t>Security ML Engineer (L5)</t>
        </is>
      </c>
      <c r="C18" t="inlineStr">
        <is>
          <t>Netflix</t>
        </is>
      </c>
      <c r="D18" t="inlineStr">
        <is>
          <t>linkedin</t>
        </is>
      </c>
      <c r="E18" t="inlineStr"/>
      <c r="F18" t="inlineStr"/>
      <c r="G18" t="inlineStr"/>
      <c r="H18" t="inlineStr"/>
      <c r="I1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Team You Will Join**
 We leverage data and ML to identify anomalies, detect threats, and automate security decisions at Netflix scale. Our work defends against account compromise, content piracy, credential stuffing, DDoS attacks, and other forms of abuse. We process behavioral signals from hundreds of millions of devices globally to make real\-time authorization and policy decisions.
 If you've used Netflix, you've been protected by systems our team built. We collaborate closely with Product Security, Streaming Security Engineering, Data Science, and platform teams across Netflix. This blog post is a great way to learn about our work.
**What You Will Work On**
 You will build production ML systems that detect fraud and abuse patterns across Netflix's global member base and device ecosystem. You will deploy real\-time inference systems that provide security signals to authorization and policy engines, while deciding when and where ML is the right solution to security challenges. You will solve challenges including unlabeled/mislabeled data, highly imbalanced datasets, concept drift, and evasion attacks. You will design metrics and observability to measure model performance and security impact in production. You will build scalable solutions to automate security decisions by creating ML\-driven policies that balance security, member experience, and business needs. You achieve your goals by collaborating cross\-functionally with security engineers, data scientists, infrastructure teams, and product managers to deliver end\-to\-end solutions.
**Desired Skills \&amp; Background**
* Passionate about protecting Netflix customers \&amp; products.
* 5\+ years of industry experience designing, building, and deploying ML systems in production environments, including Production ML expertise with Python or Java, and modern ML frameworks.
* Strong ML foundation in supervised and unsupervised learning, anomaly detection, classification, and statistical modeling techniques (e.g., logistic regression, random forests, gradient boosting, isolation forests, autoencoders) and understanding of the trade\-offs with each of those models.
* Big data proficiency using distributed computing platforms like Spark, along with SQL and data pipeline development.
* You are experienced with programming languages such as Python and/or Java in a big data environment.
* Security mindset with curiosity about attacker incentives, threat modeling, and adversarial techniques.
* Systems thinking for building scalable, low\-latency inference systems that handle millions of requests.
* You operate effectively across teams and disciplines in highly ambiguous and rapidly changing environments.
* A strong communicator \&amp; collaborator in varying contexts \&amp; environments.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$466,000\.00 \- $750,000\.00\.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9">
      <c r="A19" t="inlineStr">
        <is>
          <t>li-4372734330</t>
        </is>
      </c>
      <c r="B19" t="inlineStr">
        <is>
          <t>Software AI Engineer</t>
        </is>
      </c>
      <c r="C19" t="inlineStr">
        <is>
          <t>micro1</t>
        </is>
      </c>
      <c r="D19" t="inlineStr">
        <is>
          <t>linkedin</t>
        </is>
      </c>
      <c r="E19" t="inlineStr"/>
      <c r="F19" t="inlineStr"/>
      <c r="G19" t="inlineStr"/>
      <c r="H19" t="inlineStr"/>
      <c r="I19" t="inlineStr">
        <is>
          <t>**Job Title:** 
 Software AI Engineer
**Job Type:** 
 Full\-time, Contractual
**Job Summary** 
 Join our customer's team as a Software AI Engineer and play a pivotal role in driving mission\-critical government initiatives while also contributing to micro1’s proprietary AI infrastructure. This position offers the unique opportunity to work at the intersection of applied AI research and high\-impact, production\-grade deployment, leveraging the latest in LLMs, RAG, and multi\-agent systems.
**Key Responsibilities** 
* Design, build, and deploy advanced AI/ML solutions for government clients, ensuring robust and secure implementation at scale.
* Collaborate with internal and external teams to architect and enhance AI\-driven platforms, focusing on RAG, LLM orchestration, and multi\-agent workflows.
* Develop and maintain APIs, SDK integrations, and scalable pipelines, utilizing Python and RESTful best practices.
* Leverage cloud platforms such as AWS GovCloud, Vertex AI, and AWS Bedrock to deliver secure, enterprise\-grade solutions.
* Implement data ontologies, metadata catalogs, and ETL pipelines to support advanced AI and analytics use cases.
* Apply best practices in prompt engineering, LangGraph/LangChain, and tool integration for agentic AI systems.
* Ensure clear, concise, and effective written and verbal communication across all collaborative efforts.
**Required Skills and Qualifications** 
* Proven experience with large language models (LLMs), retrieval\-augmented generation (RAG), and agentic AI techniques.
* Expertise in Python development, REST API design, and secure coding principles.
* Hands\-on knowledge of AWS, and familiarity with other government cloud offerings (e.g., Google GovCloud, Azure IL5\+).
* Demonstrated ability to work with AI platforms such as Anthropic for Gov, OpenAI Enterprise, Gemini Enterprise, and Grok Enterprise.
* Strong background in building and maintaining robust data pipelines and ontologies.
* Proficiency in CI/CD practices for deploying production AI/ML systems.
* Exceptional written and verbal communication skills, with the ability to articulate complex concepts to both technical and non\-technical stakeholders.
**Preferred Qualifications** 
* Experience with advanced agent orchestration frameworks such as LangGraph and LangChain.
* Background in secure, scalable government or enterprise deployments of AI/ML solutions.
* Knowledge of metadata catalogs, MCP, and multi\-cloud environments.</t>
        </is>
      </c>
    </row>
    <row r="20">
      <c r="A20" t="inlineStr">
        <is>
          <t>li-4372710682</t>
        </is>
      </c>
      <c r="B20" t="inlineStr">
        <is>
          <t>ML Engineer</t>
        </is>
      </c>
      <c r="C20" t="inlineStr">
        <is>
          <t>Crossing Hurdles</t>
        </is>
      </c>
      <c r="D20" t="inlineStr">
        <is>
          <t>linkedin</t>
        </is>
      </c>
      <c r="E20" t="inlineStr"/>
      <c r="F20" t="inlineStr"/>
      <c r="G20" t="inlineStr">
        <is>
          <t>Washington, United States</t>
        </is>
      </c>
      <c r="H20" t="inlineStr"/>
      <c r="I20" t="inlineStr">
        <is>
          <t>**Crossing Hurdles** 
 is a global recruitment firm partnering with a fast\-growing AI\-powered recruiting marketplace modernizing how companies hire. Backed by top\-tier investors and trusted by industry leaders like Palantir, Shopify, and Coinbase, is building the first end\-to\-end AI recruiting marketplace that combines specialized recruiters with AI agents to help companies hire faster and more accurately.
**Role Snapshot** 
* Role: ML Engineer
* YOE: 4\+ years of experience in data engineering, deploying security\-sage ML solutions
* Location: Washington DC, DMV Area \| Hybrid
* Compensation: $150K – $215K \+ Equity
**About The Client** 
 The company works on AI\-driven projects that help organizations explore complex data and make faster, more informed decisions. Its platform combines machine learning with intuitive visualizations, allowing both technical and non\-technical users to uncover insights efficiently across enterprise and government use cases.
**Why Candidate Should Join** 
* Work on cutting\-edge AI and GenAI systems using LLMs, Reinforcement Learning, and modern ML frameworks in production environments.
* Own ML features end to end, from experimentation and training to deployment and optimization.
* Deliver high\-impact work that directly influences users and business outcomes.
* Learn and grow quickly while deepening expertise in applied ML and scalable AI systems.
* Thrive in a flexible, modern work environment that values autonomy and results.</t>
        </is>
      </c>
    </row>
    <row r="21">
      <c r="A21" t="inlineStr">
        <is>
          <t>li-4363977862</t>
        </is>
      </c>
      <c r="B21" t="inlineStr">
        <is>
          <t>Senior AI Engineer</t>
        </is>
      </c>
      <c r="C21" t="inlineStr">
        <is>
          <t>ChatGPT Jobs</t>
        </is>
      </c>
      <c r="D21" t="inlineStr">
        <is>
          <t>linkedin</t>
        </is>
      </c>
      <c r="E21" t="inlineStr"/>
      <c r="F21" t="inlineStr"/>
      <c r="G21" t="inlineStr"/>
      <c r="H21" t="inlineStr"/>
      <c r="I21" t="inlineStr">
        <is>
          <t>**Job Description**
 Senior AI Engineer
 Doctor Evidence
 Remote Nationwide,
* Remote
* Full\-Time
 Salary: DOE
 Title: Senior AI Engineer
 Reports to: VP, Software Engineering / Chief Architect
 Status: Employee, Exempt
 Location: Remote (must be located in the US)
 Hire Date: Immediate
**Company Summary**
 Dr.Evidence is the preeminent AI\-powered insights platform for life sciences, enabling teams to generate rapid and relevant insights grounded in published medical literature, clinical trial data, drug labels, regulatory documents and beyond, delivering value from drug discovery through commercialization. We push the boundaries of healthcare technology and allow for new possibilities in science, enabling more informed decision making and faster time\-to\-market for accelerated impact.
**Research \&amp; Development (r\&amp;d) Organization Summary**
 The Dr.Evidence R\&amp;D organization includes software engineers, QA/QC engineers, product management, scrum masters, and business analysts. R\&amp;D is responsible for all aspects of product development, from ideation to maintenance. Our software engineers are experienced, talented, precise, and move at a fast pace to ensure speed\-to\-market goals for our customers are met.
**Responsibilities**
* Research \&amp; Prototyping
+ Rapidly prototype state\-of\-the\-art ML/NLP/LLM architectures using frameworks like Python, PyTorch, Hugging Face, and LangChain/LangGraph.
+ Assess open\-source and commercial models (e.g., Llama 3, Mistral, GPT\-series, Qwen, and other modern LLM architectures) for accuracy, latency, cost, hallucination risk, and compliance.
+ Run structured model evaluations (accuracy, relevance, precision/recall, hallucination checks).
* Model Development \&amp; Training
+ Build scalable training pipelines for supervised and self\-supervised learning paradigms.
+ Implement efficient techniques such as LoRA/QLoRA, instruction tuning, and quantization when needed.
+ Develop agentic workflows (tool\-calling, iterative reasoning, ranking, and multi\-step pipelines) for real\-world use cases.
+ Improve and maintain existing ML pipelines.
+ Optimize inference performance with batching, quantization, and efficient serving frameworks.
* Retrieval\-Augmented Generation (RAG) \&amp; Search
+ Design and optimize RAG systems that integrate with internal data sources.
+ Build hybrid retrieval using Elasticsearch/BM25 \+ vector search (PGVector or other vector DBs).
+ Tune chunking, embeddings, reranking, and hallucination\-prevention strategies for long documents.
* Data Engineering for AI
+ Prepare and refine text datasets for training, evaluation, and fine\-tuning.
+ Generate synthetic training data using LLMs to improve extraction accuracy, classification, and reasoning.
+ Build small, targeted datasets for fine\-tuning domain\-specific models.
* LLM Specialization
+ Fine\-tune and align open\-source LLMs for domain\-specific tasks (RAG, agents, tool\-calling, reasoning).
+ Implement safety layers: prompt guards, output filters, adversarial robustness testing.
* Productionization \&amp; MLOps
+ Containerize models with Docker; orchestrate with Docker Swarm.
+ Build monitoring for model quality, latency, hallucinations, and regressions.
+ Collaborate with DevOps and Architecture teams on cost, performance, and scalability decisions.
+ Implement observability around prompts, retrieval, and model outputs.
* Cross\-Functional Impact
+ Collaborate with Product to define AI roadmaps and success metrics.
+ Partner with Product and Engineering to design new AI capabilities across modules.
**Qualifications**
* Education: MS/PhD in CS, ML, Data Science, or related field; or BS \+ 5\+ years of intensive AI industry experience.
* Core Technical Skills:
+ Languages: Python (expert); familiarity with modern web stacks (e.g., PERN) is a plus.
+ Experience with PyTorch, Hugging Face Transformers, and common LLM tooling (PEFT, LoRA, QLoRA).
+ Strong understanding of NLP: tokenization, embeddings, chunking, NER, classification, summarization.
+ Experience with RAG pipelines, vector databases, retrieval/ranking strategies.
+ Experience designing and running model evaluation pipelines.
+ Comfortable with Docker\-based deployments and cloud environments.
+ Knowledge of Elasticsearch.
* Proven Track Record:
+ Shipped at least 3 production LLM\-powered features (e.g., chatbots, summarizers, agents).
+ Experience working with modern large\-scale models.
+ Experience designing clean, maintainable architectures for LLM features.
+ Strong documentation and communication skills.</t>
        </is>
      </c>
    </row>
    <row r="22">
      <c r="A22" t="inlineStr">
        <is>
          <t>li-4372721760</t>
        </is>
      </c>
      <c r="B22" t="inlineStr">
        <is>
          <t>AI/ML Engineer</t>
        </is>
      </c>
      <c r="C22" t="inlineStr">
        <is>
          <t>micro1</t>
        </is>
      </c>
      <c r="D22" t="inlineStr">
        <is>
          <t>linkedin</t>
        </is>
      </c>
      <c r="E22" t="inlineStr"/>
      <c r="F22" t="inlineStr"/>
      <c r="G22" t="inlineStr"/>
      <c r="H22" t="inlineStr"/>
      <c r="I22" t="inlineStr">
        <is>
          <t>**Job Title:** 
 AI/ML Engineer
**Job Type:** 
 Full\-time, Contractual
**Job Summary:** 
 Join our customer's team as a AI/ML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23">
      <c r="A23" t="inlineStr">
        <is>
          <t>li-4371769470</t>
        </is>
      </c>
      <c r="B23" t="inlineStr">
        <is>
          <t>AI Engineer</t>
        </is>
      </c>
      <c r="C23" t="inlineStr">
        <is>
          <t>RemoteHunter</t>
        </is>
      </c>
      <c r="D23" t="inlineStr">
        <is>
          <t>linkedin</t>
        </is>
      </c>
      <c r="E23" t="inlineStr"/>
      <c r="F23" t="inlineStr"/>
      <c r="G23" t="inlineStr"/>
      <c r="H23" t="inlineStr"/>
      <c r="I23" t="inlineStr">
        <is>
          <t>About the Opportunity:
 A leading nonprofit software provider seeks a foundational AI Engineer to build and scale an AI platform that supports thousands of nonprofits. This role involves working with diverse datasets and intelligent systems to enhance tools for the social good sector. The AI Engineer will collaborate with data scientists, data engineers, and developers to implement advanced AI solutions, particularly focusing on Agentic Workflows and Large Language Models (LLMs), bridging model development and product integration.
 Responsibilities:
 • Design and implement AI solutions using LLMs, including advanced Agentic Orchestration and Retrieval\-Augmented Generation (RAG) systems
 • Develop, refine, and optimize prompts to maximize AI model accuracy and quality
 • Integrate AI/ML models and services into core products ensuring scalability, reliability, and efficiency
 • Support internal teams in adopting AI tools, including building agents and integrating AI services
 • Collaborate with product and data teams to explore new AI technologies and apply them to business challenges
 • Utilize cloud platforms, especially AWS AI services, to build, deploy, and manage AI\-powered features
 Requirements:
 • 3\+ years of hands\-on experience in software engineering, machine learning, or related roles focused on building and deploying AI systems
 • Deep understanding of prompt engineering, LLM integration, and fine\-tuning techniques
 • Strong software development skills and experience delivering scalable, production\-ready software
 • Proficiency in at least one programming language (Node.js and/or Python preferred)
 • Experience with AI agents and common AI/ML frameworks and libraries
 • Experience handling large, complex datasets with solid knowledge of data structures and algorithms
 • Familiarity with cloud\-based AI services, particularly AWS Bedrock services and Agent Core preferred
 • Ability to communicate complex technical concepts effectively to both technical and non\-technical audiences
 • Bachelor’s degree in Computer Science, Engineering, or a related technical field
 Bonus Points for:
 • Experience with vector databases
 • Practical experience building, training, or fine\-tuning LLMs/ML models
 • Knowledge of MLOps principles and tools
 • Experience with data platforms like Snowflake
 • Working knowledge of Node.js
 • Experience or passion for the nonprofit sector
 Benefits \&amp; Perks:
 No direct benefits or perks were specified in the original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
      <c r="A24" t="inlineStr">
        <is>
          <t>li-4372736227</t>
        </is>
      </c>
      <c r="B24" t="inlineStr">
        <is>
          <t>AI Engineer</t>
        </is>
      </c>
      <c r="C24" t="inlineStr">
        <is>
          <t>micro1</t>
        </is>
      </c>
      <c r="D24" t="inlineStr">
        <is>
          <t>linkedin</t>
        </is>
      </c>
      <c r="E24" t="inlineStr"/>
      <c r="F24" t="inlineStr"/>
      <c r="G24" t="inlineStr"/>
      <c r="H24" t="inlineStr"/>
      <c r="I24" t="inlineStr">
        <is>
          <t>**Job Title:** 
 AI/ML Engineer
**Job Type:** 
 Full\-time, Contractual
**Job Summary:** 
 Join our customer's team as a AI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25">
      <c r="A25" t="inlineStr">
        <is>
          <t>li-4365438184</t>
        </is>
      </c>
      <c r="B25" t="inlineStr">
        <is>
          <t>Senior Machine Learning Engineer</t>
        </is>
      </c>
      <c r="C25" t="inlineStr">
        <is>
          <t>Nexxen</t>
        </is>
      </c>
      <c r="D25" t="inlineStr">
        <is>
          <t>linkedin</t>
        </is>
      </c>
      <c r="E25" t="inlineStr"/>
      <c r="F25" t="inlineStr"/>
      <c r="G25" t="inlineStr">
        <is>
          <t>Bellevue, WA</t>
        </is>
      </c>
      <c r="H25" t="inlineStr"/>
      <c r="I25"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We are a hybrid company where our team works 3 days a week in the NY office and remotely the rest of the week.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26">
      <c r="A26" t="inlineStr">
        <is>
          <t>li-4365440179</t>
        </is>
      </c>
      <c r="B26" t="inlineStr">
        <is>
          <t>Senior Machine Learning Engineer</t>
        </is>
      </c>
      <c r="C26" t="inlineStr">
        <is>
          <t>Nexxen</t>
        </is>
      </c>
      <c r="D26" t="inlineStr">
        <is>
          <t>linkedin</t>
        </is>
      </c>
      <c r="E26" t="inlineStr"/>
      <c r="F26" t="inlineStr"/>
      <c r="G26" t="inlineStr">
        <is>
          <t>Dallas, TX</t>
        </is>
      </c>
      <c r="H26" t="inlineStr"/>
      <c r="I26"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We are a hybrid company where our team works 3 days a week in the NY office and remotely the rest of the week.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27">
      <c r="A27" t="inlineStr">
        <is>
          <t>li-4365434386</t>
        </is>
      </c>
      <c r="B27" t="inlineStr">
        <is>
          <t>Senior Machine Learning Engineer</t>
        </is>
      </c>
      <c r="C27" t="inlineStr">
        <is>
          <t>Nexxen</t>
        </is>
      </c>
      <c r="D27" t="inlineStr">
        <is>
          <t>linkedin</t>
        </is>
      </c>
      <c r="E27" t="inlineStr"/>
      <c r="F27" t="inlineStr"/>
      <c r="G27" t="inlineStr">
        <is>
          <t>San Diego, CA</t>
        </is>
      </c>
      <c r="H27" t="inlineStr"/>
      <c r="I27"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We are a hybrid company where our team works 3 days a week in the NY office and remotely the rest of the week.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28">
      <c r="A28" t="inlineStr">
        <is>
          <t>li-4365427922</t>
        </is>
      </c>
      <c r="B28" t="inlineStr">
        <is>
          <t>Senior Machine Learning Engineer</t>
        </is>
      </c>
      <c r="C28" t="inlineStr">
        <is>
          <t>Nexxen</t>
        </is>
      </c>
      <c r="D28" t="inlineStr">
        <is>
          <t>linkedin</t>
        </is>
      </c>
      <c r="E28" t="inlineStr"/>
      <c r="F28" t="inlineStr"/>
      <c r="G28" t="inlineStr">
        <is>
          <t>Chicago, IL</t>
        </is>
      </c>
      <c r="H28" t="inlineStr"/>
      <c r="I28"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We are a hybrid company where our team works 3 days a week in the NY office and remotely the rest of the week.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29">
      <c r="A29" t="inlineStr">
        <is>
          <t>li-4371775827</t>
        </is>
      </c>
      <c r="B29" t="inlineStr">
        <is>
          <t>Full Stack AI Engineer</t>
        </is>
      </c>
      <c r="C29" t="inlineStr">
        <is>
          <t>Upland Workshop</t>
        </is>
      </c>
      <c r="D29" t="inlineStr">
        <is>
          <t>linkedin</t>
        </is>
      </c>
      <c r="E29" t="inlineStr"/>
      <c r="F29" t="inlineStr"/>
      <c r="G29" t="inlineStr">
        <is>
          <t>Los Angeles, CA</t>
        </is>
      </c>
      <c r="H29" t="inlineStr"/>
      <c r="I29" t="inlineStr">
        <is>
          <t>**Position:** 
 Full Stack Engineer
**Location:** 
  Remote 
**Reports To:** 
  CEO / Founder
**Type:** 
  Full\-time
**About the Role** 
 We are seeking a Full Stack Engineer to lead and evolve the proprietary AI platform of our strategic communications company. This role combines operational responsibility with hands\-on development: keeping the system stable, secure, and reliable in production, while also building and extending features that support client and team needs. You will serve as the senior technical owner of this AI platform, which will be used in real strategic engagements, working closely with leadership and client teams to make decisions that materially impact how the company operates and delivers value. 
 This is a full\-time, remote role.
**Key Responsibilities** 
 ·       Own the day\-to\-day deployment, monitoring, and overall health of the AI platform.
 ·       Design and implement platform improvements based on internal and client needs.
 ·       Fix bugs, address performance issues, and prevent regressions as the platform evolves.
 . Manage model updates, system versioning, and safe rollouts of new capabilities.
 ·       Build and maintain features using Next.js, React, and TypeScript.
 ·       Design and implement database schema changes with Drizzle ORM and PostgreSQL.
 ·       Develop and optimize AI/LLM integrations including streaming responses.
 ·       Maintain and improve RAG pipeline with vector search capabilities.
 ·       Maintain and extend internal tools, integrations, and supporting data flows.
 ·       Balance short\-term fixes with longer\-term improvements to system architecture and reliability.
 ·       Ensure privacy, security, and responsible AI practices are consistently upheld.
 ·       Produce clear technical documentation and internal runbooks for the platform.
 ·       Serve as the primary technical partner to leadership and client\-facing teams on the AI platform.
**Tech Stack** 
 ·       
 **Frontend:** 
  Next.js 15, React 19, TypeScript, Tailwind
 ·       
 **Backend:** 
  Supabase (PostgreSQL, Auth, Storage), Drizzle ORM
 ·       
 **AI/LLM:** 
  OpenAI GPT, Anthropic Claude
 ·       
 **RAG \&amp; Retrieval:** 
  LangChain, Pinecone (vector search)
**Qualifications** 
 ·       
 BS/MS in Computer Science, Machine Learning, Data Science, or related field, or equivalent practical experience.
 ·       
 3\+ years of hands\-on experience building and shipping ML/NLP systems in production; experience with marketing or advertising use cases strongly preferred.
 ·       
 Practical experience with model monitoring, A/B testing, and experiment design.
 ·       
 Familiarity with privacy, security, and compliance considerations for client data (GDPR, CCPA awareness a plus).
 ·       
 Excellent communication skills; ability to translate technical concepts for non\-technical stakeholders and clients.
 ·       
 Self\-directed, collaborative, and comfortable working in a fast\-paced, client\-facing environment.
**About Upland Workshop** 
 Upland Workshop supports visionary leaders and organizations by building ideas and strategies into actionable business outcomes. We create value and impact through transformational and intentional campaigns and initiatives. This role offers a competitive salary based on skill and full benefits. 
 Please send resumes to: 
 tanya@uplandworkshop.com</t>
        </is>
      </c>
    </row>
    <row r="30">
      <c r="A30" t="inlineStr">
        <is>
          <t>li-4365433346</t>
        </is>
      </c>
      <c r="B30" t="inlineStr">
        <is>
          <t>Senior Machine Learning Engineer, AdTech</t>
        </is>
      </c>
      <c r="C30" t="inlineStr">
        <is>
          <t>Nexxen</t>
        </is>
      </c>
      <c r="D30" t="inlineStr">
        <is>
          <t>linkedin</t>
        </is>
      </c>
      <c r="E30" t="inlineStr"/>
      <c r="F30" t="inlineStr"/>
      <c r="G30" t="inlineStr">
        <is>
          <t>San Carlos, CA</t>
        </is>
      </c>
      <c r="H30" t="inlineStr"/>
      <c r="I30"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This role can be based in our local office
 **Locations** 
**.** 
 Our team follows a hybrid schedule,
 **working in the office three days** 
 a week and remotely for the rest, or is open to remote work for anyone with senior hands\-on adtech vendor experience.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a leading AdTech Vendor Company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31">
      <c r="A31" t="inlineStr">
        <is>
          <t>li-4290972524</t>
        </is>
      </c>
      <c r="B31" t="inlineStr">
        <is>
          <t>Senior Machine Learning Engineer (Recommendations)</t>
        </is>
      </c>
      <c r="C31" t="inlineStr">
        <is>
          <t>Scribd, Inc.</t>
        </is>
      </c>
      <c r="D31" t="inlineStr">
        <is>
          <t>linkedin</t>
        </is>
      </c>
      <c r="E31" t="inlineStr"/>
      <c r="F31" t="inlineStr"/>
      <c r="G31" t="inlineStr">
        <is>
          <t>Miami, FL</t>
        </is>
      </c>
      <c r="H31" t="inlineStr"/>
      <c r="I3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32">
      <c r="A32" t="inlineStr">
        <is>
          <t>li-4365440181</t>
        </is>
      </c>
      <c r="B32" t="inlineStr">
        <is>
          <t>Senior Machine Learning Engineer, AdTech</t>
        </is>
      </c>
      <c r="C32" t="inlineStr">
        <is>
          <t>Nexxen</t>
        </is>
      </c>
      <c r="D32" t="inlineStr">
        <is>
          <t>linkedin</t>
        </is>
      </c>
      <c r="E32" t="inlineStr"/>
      <c r="F32" t="inlineStr"/>
      <c r="G32" t="inlineStr">
        <is>
          <t>San Francisco, CA</t>
        </is>
      </c>
      <c r="H32" t="inlineStr"/>
      <c r="I32"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This role can be based in our local office
 **Locations** 
**.** 
 Our team follows a hybrid schedule,
 **working in the office three days** 
 a week and remotely for the rest, or is open to remote work for anyone with senior hands\-on adtech vendor experience.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a leading AdTech Vendor Company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33">
      <c r="A33" t="inlineStr">
        <is>
          <t>li-4363441772</t>
        </is>
      </c>
      <c r="B33" t="inlineStr">
        <is>
          <t>Senior Staff Machine Learning Engineer</t>
        </is>
      </c>
      <c r="C33" t="inlineStr">
        <is>
          <t>GEICO</t>
        </is>
      </c>
      <c r="D33" t="inlineStr">
        <is>
          <t>linkedin</t>
        </is>
      </c>
      <c r="E33" t="inlineStr"/>
      <c r="F33" t="inlineStr"/>
      <c r="G33" t="inlineStr">
        <is>
          <t>Palo Alto, CA</t>
        </is>
      </c>
      <c r="H33" t="inlineStr"/>
      <c r="I33"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Staff ML Engineer who will serve as a technical leader for the generative AI domain at GEICO. In this individual contributor role, you will be collaborating with a dynamic team of AI and software engineers to design, develop and deploy systems that ensure scalability, reliability and usability of generative AI workflows and approaches across the organization which drive business value using LLM, agentic, and knowledge\-search capabilities as their foundation. You bring a passion for providing hands\-on guidance, ensuring architectural and technical excellence and best practices, serving as a source of thought leadership, and leadingby example to solve complex, large\-scale, cross\-functional problems.
**Responsibilities:** 
* Own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Integrate and build solutions using GEICO AI platform architecture. Partner with platform teams to communicate requirements, understand current capabilities and gaps, and contribute to platform development.
* Ideate and build first\-of\-its\-kind solutions within GEICO, with a deep understanding of business and technical processes, applications, and architecture to guide development.
* Drive the selection, evaluation, and implementation of software technologies, tools, and frameworks, balancing build vs. buy, speed to market, maintainability, etc.
* Take ownership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10\+ years of experience designing and building scalable production AIML applications and systems in cloud environments,
* Proficient in Python, Java and similar general\-purpose programming languages.
* 7 years managing end\-to\-end software development life cycle (e.g. CICD pipelines, Kubernetes\-based deployments, testing, monitoring \&amp; alerting, production support etc.) for backend systems and APIs
* 5 years in training, finetuning, real\-time/batch inferencing and evaluation systems for AIML models and LLMs
* 5 years owning end\-to\-end development, monitoring, maintenance, and continuous improvement of scalable, robust AIML applications.
* Bachelor’s degree or above in Computer Science, Engineering, Statistics or a related field
**Preferred** 
**Qualifications** 
**:**
* 5 years interfacing directly with internal business stakeholders and/or external stakeholders on AIML initiatives
* 5 years working with cloud provider solutions such as Azure and AWS
* 4 years with tools that power LLM\-based AI agents: eval frameworks, agent tooling, RAG pipelines, prompt engineering, etc.
* 3 years building LLM\-based AI agent workflows via both no code/low code and traditional high\-code development environments
* 2 years of ideating, integrating, and designing applications and frontends using React or similar.
* Strong communication and problem\-solving skills to excel in dynamic, cross\-functional and ambiguous decision\-making environments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4">
      <c r="A34" t="inlineStr">
        <is>
          <t>li-4363480118</t>
        </is>
      </c>
      <c r="B34" t="inlineStr">
        <is>
          <t>Senior AI Engineer - Multi-Agent Frameworks</t>
        </is>
      </c>
      <c r="C34" t="inlineStr">
        <is>
          <t>ClickUp</t>
        </is>
      </c>
      <c r="D34" t="inlineStr">
        <is>
          <t>linkedin</t>
        </is>
      </c>
      <c r="E34" t="inlineStr"/>
      <c r="F34" t="inlineStr"/>
      <c r="G34" t="inlineStr"/>
      <c r="H34" t="inlineStr"/>
      <c r="I34" t="inlineStr">
        <is>
          <t>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
**Role Overview:**
 We are seeking a highly skilled and experienced Senior AI Engineer \- Multi\-Agent Frameworks to join our AI Platform team. In this role, you will play a pivotal part in building a cutting\-edge platform that empowers our users to create and deploy sophisticated intelligent agents, with a key focus on enabling
 **collaborative and multi\-agentic behaviors** 
 . This is a backend\-focused role that requires deep expertise in AI, large language models (LLMs), and orchestration software.
**Key Responsibilities:**
* Design, develop, and maintain a robust platform to enable users to create and manage AI agents and their interactions.
* Integrate and work with multiple LLMs, ensuring seamless orchestration and scalability for both individual and coordinated agent operations.
* Leverage orchestration frameworks like LangGraph and others to build complex workflows and pipelines that support diverse agent functionalities, including frameworks for multi\-agent coordination.
* Develop and implement evaluation frameworks for testing AI agents in challenging and complex scenarios, focusing on individual performance and system\-level dynamics.
* Stay at the forefront of AI advancements, incorporating the latest research and technologies into our platform to enhance agent capabilities and collaboration.
* Collaborate with cross\-functional teams, including product managers, designers, and frontend engineers, to deliver a seamless user experience for building and deploying intelligent systems.
* Address challenging AI privacy scenarios, ensuring compliance with data protection regulations and best practices within agent\-based applications.
* Contribute to improving search capabilities and integrating them into the AI platform to provide agents with essential information access.
**Qualifications:**
* Proven experience working with multiple LLMs (e.g., OpenAI, Anthropic, Cohere, etc.) and understanding their strengths and limitations.
* Expertise in orchestration software like LangGraph or similar frameworks used for building and managing agent workflows.
* Strong background in developing evaluation frameworks for AI systems, particularly in complex testing environments.
* Deep understanding of AI and machine learning fundamentals, with a focus on backend engineering.
* Passion for staying updated with the latest developments in AI and applying them to real\-world problems, particularly in the realm of agent technologies.
* Experience with challenging AI privacy scenarios, including data anonymization, secure data handling, and compliance.
* Experience with search technologies and their integration into AI systems.
* Experience building or deploying Multi\-Agent Frameworks or Multi\-Agent Systems.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 
**clickup.com** 
 email or through our official careers portal on clickup.com. We will never request fees, payments, or sensitive personal information. Please disregard any offers received outside these channels and report them to support@clickup.com.
 Compensation Range: $200K \- $250K</t>
        </is>
      </c>
    </row>
    <row r="35">
      <c r="A35" t="inlineStr">
        <is>
          <t>li-4363411736</t>
        </is>
      </c>
      <c r="B35" t="inlineStr">
        <is>
          <t>Senior Staff Machine Learning Engineer</t>
        </is>
      </c>
      <c r="C35" t="inlineStr">
        <is>
          <t>GEICO</t>
        </is>
      </c>
      <c r="D35" t="inlineStr">
        <is>
          <t>linkedin</t>
        </is>
      </c>
      <c r="E35" t="inlineStr"/>
      <c r="F35" t="inlineStr"/>
      <c r="G35" t="inlineStr">
        <is>
          <t>Seattle, WA</t>
        </is>
      </c>
      <c r="H35" t="inlineStr"/>
      <c r="I3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**Overview:** 
 We are seeking an accomplished Senior Staff ML Engineer who will serve as a technical leader for the generative AI domain at GEICO. In this individual contributor role, you will be collaborating with a dynamic team of AI and software engineers to design, develop and deploy systems that ensure scalability, reliability and usability of generative AI workflows and approaches across the organization which drive business value using LLM, agentic, and knowledge\-search capabilities as their foundation. You bring a passion for providing hands\-on guidance, ensuring architectural and technical excellence and best practices, serving as a source of thought leadership, and leadingby example to solve complex, large\-scale, cross\-functional problems.
**Responsibilities:** 
* Own design, development and maintenance of high\-performance AI solutions that utilize agentic workflows to deliver concrete business value for internal stakeholders. Examples include knowledge assistants, voice/text\-based conversational AI solutions, document/audio processing copilots, voice agents, robotic process automation, etc.
* Collaborate with cross\-functional teams, including data scientists, ML engineers, software engineers, product managers, designers to gather requirements, define project scope and prioritize feature backlogs. Establish pragmatic technical visions \&amp; roadmaps that balance business outcome, product release timelines and engineering excellence.
* Integrate and build solutions using GEICO AI platform architecture. Partner with platform teams to communicate requirements, understand current capabilities and gaps, and contribute to platform development.
* Ideate and build first\-of\-its\-kind solutions within GEICO, with a deep understanding of business and technical processes, applications, and architecture to guide development.
* Drive the selection, evaluation, and implementation of software technologies, tools, and frameworks, balancing build vs. buy, speed to market, maintainability, etc.
* Take ownership in project planning and stakeholder management, ensuring the efficient allocation of resources and timely delivery of solutions.
* Mentor and guide junior engineers via code reviews and design sessions, fostering a collaborative and high\-performance team culture.
**Basic Qualifications**
* 10\+ years of experience designing and building scalable production AIML applications and systems in cloud environments,
* Proficient in Python, Java and similar general\-purpose programming languages.
* 7 years managing end\-to\-end software development life cycle (e.g. CICD pipelines, Kubernetes\-based deployments, testing, monitoring \&amp; alerting, production support etc.) for backend systems and APIs
* 5 years in training, finetuning, real\-time/batch inferencing and evaluation systems for AIML models and LLMs
* 5 years owning end\-to\-end development, monitoring, maintenance, and continuous improvement of scalable, robust AIML applications.
* Bachelor’s degree or above in Computer Science, Engineering, Statistics or a related field
**Preferred** 
**Qualifications** 
**:**
* 5 years interfacing directly with internal business stakeholders and/or external stakeholders on AIML initiatives
* 5 years working with cloud provider solutions such as Azure and AWS
* 4 years with tools that power LLM\-based AI agents: eval frameworks, agent tooling, RAG pipelines, prompt engineering, etc.
* 3 years building LLM\-based AI agent workflows via both no code/low code and traditional high\-code development environments
* 2 years of ideating, integrating, and designing applications and frontends using React or similar.
* Strong communication and problem\-solving skills to excel in dynamic, cross\-functional and ambiguous decision\-making environments
**Annual Salary**
 $150,000\.00 \- $300,000\.00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6">
      <c r="A36" t="inlineStr">
        <is>
          <t>li-4372713781</t>
        </is>
      </c>
      <c r="B36" t="inlineStr">
        <is>
          <t>AI Engineer</t>
        </is>
      </c>
      <c r="C36" t="inlineStr">
        <is>
          <t>Underdog.io -Apply to top tech jobs in 60 seconds. A place where companies apply to you</t>
        </is>
      </c>
      <c r="D36" t="inlineStr">
        <is>
          <t>linkedin</t>
        </is>
      </c>
      <c r="E36" t="inlineStr"/>
      <c r="F36" t="inlineStr"/>
      <c r="G36" t="inlineStr"/>
      <c r="H36" t="inlineStr"/>
      <c r="I36" t="inlineStr">
        <is>
          <t>**Senior AI Developer** 
**Location:** 
 New York City, NY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No visa sponsorship.*</t>
        </is>
      </c>
    </row>
    <row r="37">
      <c r="A37" t="inlineStr">
        <is>
          <t>li-4372738155</t>
        </is>
      </c>
      <c r="B37" t="inlineStr">
        <is>
          <t>Senior Azure Data &amp; AI Engineer</t>
        </is>
      </c>
      <c r="C37" t="inlineStr">
        <is>
          <t>Neutrino Advisory, an Inc 5000 Company</t>
        </is>
      </c>
      <c r="D37" t="inlineStr">
        <is>
          <t>linkedin</t>
        </is>
      </c>
      <c r="E37" t="inlineStr"/>
      <c r="F37" t="inlineStr"/>
      <c r="G37" t="inlineStr">
        <is>
          <t>Georgia, United States</t>
        </is>
      </c>
      <c r="H37" t="inlineStr"/>
      <c r="I37" t="inlineStr">
        <is>
          <t>**About the Role** 
 We are looking for a senior, hands\-on Azure Data \&amp; AI Engineer with deep expertise in modern Microsoft data platforms. The ideal candidate will bring strong experience in data architecture, data engineering, lineage/governance, and emerging AI capabilities on Azure.
 You will work directly with client stakeholders, architects, and cross\-functional teams to design and implement scalable, secure, and production\-grade analytics and AI solutions. This is a high\-visibility,
 **client\-facing role** 
 requiring
 **excellent communication skills along with strong technical depth.** 
**Key Responsibilities:** 
* Design and build enterprise data platforms using
 **Microsoft Azure** 
 .
* Implement end\-to\-end data ingestion, transformation, and serving layers.
* Develop and optimize
 **Lakehouse architectures.**
* Build governed, reliable, and traceable
 **data pipelines** 
 .
* Enable analytics, BI, ML, and AI use cases on top of curated data assets.
* Implement data lineage, cataloging, and governance practices.
* Contribute to AI platform enablement and operationalization.
* Work closely with client business and technology stakeholders.
* Provide architectural guidance and best practices.
* Mentor junior engineers and review deliverables.
**Required Technical Skills:** 
**Azure Data Platform** 
* Strong experience with Microsoft Azure
* Deep expertise in
 **Microsoft Fabric**
* Experience designing and implementing
 **Lakehouse** 
 architecture patterns
* Strong knowledge of Delta Lake
* Data integration \&amp; orchestration experience
* Understanding of medallion (bronze/silver/gold) patterns
**Governance \&amp; Observability** 
* Implementation of data lineage and impact analysis
* Metadata management \&amp; catalog integration
* Data quality and reliability practices
**Programming** 
* Strong proficiency in Python
* Experience with notebooks and distributed processing
**AI / ML / GenAI Platforms** 
* Familiarity with Azure AI Foundry (model lifecycle, experimentation, deployment)
* Understanding of AI platform governance and monitoring
* Exposure to LLM or ML operationalization is a plus
**Experience Requirements** 
* 10\+ years of overall IT experience
* 6–8\+ years in cloud data engineering or architecture
* Proven track record delivering production data platforms
* Experience in client\-facing consulting environments preferred
**Soft Skills** 
* Excellent verbal and written communication
* Ability to translate business requirements into technical designs
* Comfortable presenting to senior stakeholders
* Strong ownership mindset
* Ability to operate in ambiguity and fast\-moving programs
**Nice to Have** 
* Microsoft certifications in Azure Data / AI
* Experience with BI and semantic modeling
* DevOps \&amp; CI/CD for data platforms
* Experience defining enterprise data strategy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t>
        </is>
      </c>
    </row>
    <row r="38">
      <c r="A38" t="inlineStr">
        <is>
          <t>li-4337161685</t>
        </is>
      </c>
      <c r="B38" t="inlineStr">
        <is>
          <t>Agentic AI Machine Learning Engineer</t>
        </is>
      </c>
      <c r="C38" t="inlineStr">
        <is>
          <t>Booz Allen Hamilton</t>
        </is>
      </c>
      <c r="D38" t="inlineStr">
        <is>
          <t>linkedin</t>
        </is>
      </c>
      <c r="E38" t="inlineStr"/>
      <c r="F38" t="inlineStr"/>
      <c r="G38" t="inlineStr">
        <is>
          <t>Alexandria, VA</t>
        </is>
      </c>
      <c r="H38" t="inlineStr"/>
      <c r="I38" t="inlineStr">
        <is>
          <t>**Job Number: R0229614**
 Agentic AI Machine Learning Engineer
**The Opportunity:**
 As an experienced machine learning engineer, you understand good software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you to create artificial intelligence (AI) and machine learning (ML) enabled solutions that help solve our toughest challenges facing the Defense and Intelligence sectors.
 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
 Ready to transform the Defense and Intelligence sectors with software systems to aid data accessibility and AI and ML operationalization?
 Join us. The world can’t wait.
**You Have:** 
* 3\+ years of experience as a ML engineer and building production\-grade ML solutions, including work involving Large Language Models (LLMs), agents, or complex automation frameworks
* 3\+ years of experience working within data science or data research in a professional or academic environment and training or deploying models across multiple modalities of data
* 3\+ years of experience working in cloud environments, including AWS and Azure
* 2\+ years of experience deploying and integrating production\-grade ML models using tools such as Docker and Kubernetes
* Experience with LLMs, Deep Learning (DL), and Reinforcement Learning (RL) and with tools and AI agent frameworks such as LangChain, LangGraph, PydanticAI, or llamaindex
* Experience connecting Agents to APIs, Cloud platforms, or databases
* Experience evaluating architectural tradeoffs and designing robust service\-based software applications for scalable use
* Experience with MLOps, GitOps, and CI/CD tooling
* Secret clearance
* Bachelor’s degree
**Nice If You Have:** 
* Experience with programming, including ML frameworks such as TensorFlow, PyTorch, llama.cpp, and vLLM
* Experience with client engagements, client\-facing project work, and business development
* Experience with project work in deep learning, computer vision, NLP, or signal processing
* Experience deploying and managing data brokering solutions, including Kafka, Red Panda, Confluent, and other related services
* Ability to adapt in a rapidly changing environment
* Possession of excellent verbal and written communication skills
* Possession of excellent interpersonal, analytical, problem\-solving, and organizational skills
* TS/SCI clearance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9">
      <c r="A39" t="inlineStr">
        <is>
          <t>li-4337061885</t>
        </is>
      </c>
      <c r="B39" t="inlineStr">
        <is>
          <t>Agentic AI Machine Learning Engineer</t>
        </is>
      </c>
      <c r="C39" t="inlineStr">
        <is>
          <t>Booz Allen Hamilton</t>
        </is>
      </c>
      <c r="D39" t="inlineStr">
        <is>
          <t>linkedin</t>
        </is>
      </c>
      <c r="E39" t="inlineStr"/>
      <c r="F39" t="inlineStr"/>
      <c r="G39" t="inlineStr">
        <is>
          <t>Washington, DC</t>
        </is>
      </c>
      <c r="H39" t="inlineStr"/>
      <c r="I39" t="inlineStr">
        <is>
          <t>**Job Number: R0229614**
 Agentic AI Machine Learning Engineer
**The Opportunity:**
 As an experienced machine learning engineer, you understand good software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you to create artificial intelligence (AI) and machine learning (ML) enabled solutions that help solve our toughest challenges facing the Defense and Intelligence sectors.
 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
 Ready to transform the Defense and Intelligence sectors with software systems to aid data accessibility and AI and ML operationalization?
 Join us. The world can’t wait.
**You Have:** 
* 3\+ years of experience as a ML engineer and building production\-grade ML solutions, including work involving Large Language Models (LLMs), agents, or complex automation frameworks
* 3\+ years of experience working within data science or data research in a professional or academic environment and training or deploying models across multiple modalities of data
* 3\+ years of experience working in cloud environments, including AWS and Azure
* 2\+ years of experience deploying and integrating production\-grade ML models using tools such as Docker and Kubernetes
* Experience with LLMs, Deep Learning (DL), and Reinforcement Learning (RL) and with tools and AI agent frameworks such as LangChain, LangGraph, PydanticAI, or llamaindex
* Experience connecting Agents to APIs, Cloud platforms, or databases
* Experience evaluating architectural tradeoffs and designing robust service\-based software applications for scalable use
* Experience with MLOps, GitOps, and CI/CD tooling
* Secret clearance
* Bachelor’s degree
**Nice If You Have:** 
* Experience with programming, including ML frameworks such as TensorFlow, PyTorch, llama.cpp, and vLLM
* Experience with client engagements, client\-facing project work, and business development
* Experience with project work in deep learning, computer vision, NLP, or signal processing
* Experience deploying and managing data brokering solutions, including Kafka, Red Panda, Confluent, and other related services
* Ability to adapt in a rapidly changing environment
* Possession of excellent verbal and written communication skills
* Possession of excellent interpersonal, analytical, problem\-solving, and organizational skills
* TS/SCI clearance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0">
      <c r="A40" t="inlineStr">
        <is>
          <t>li-4337061883</t>
        </is>
      </c>
      <c r="B40" t="inlineStr">
        <is>
          <t>Agentic AI Machine Learning Engineer</t>
        </is>
      </c>
      <c r="C40" t="inlineStr">
        <is>
          <t>Booz Allen Hamilton</t>
        </is>
      </c>
      <c r="D40" t="inlineStr">
        <is>
          <t>linkedin</t>
        </is>
      </c>
      <c r="E40" t="inlineStr"/>
      <c r="F40" t="inlineStr"/>
      <c r="G40" t="inlineStr">
        <is>
          <t>Annapolis Junction, MD</t>
        </is>
      </c>
      <c r="H40" t="inlineStr"/>
      <c r="I40" t="inlineStr">
        <is>
          <t>**Job Number: R0229614**
 Agentic AI Machine Learning Engineer
**The Opportunity:**
 As an experienced machine learning engineer, you understand good software is more than just a good user experience. To compete in today’s technical landscape, mission\-oriented machine learning solutions must be architected, designed, and built to handle fast\-moving data to seamlessly scale with infrastructure based on system usage and to expand based on evolving mission requirements. We’re looking for an engineer like you to create artificial intelligence (AI) and machine learning (ML) enabled solutions that help solve our toughest challenges facing the Defense and Intelligence sectors.
 On our team, you’ll design, create, and implement complete AI systems that will transform client operations, increase data accessibility, and optimize AI and ML systems. You’ll ensure that your team’s solutions consider the broader ecosystem and operating environment as well as future functionality and enhancements. Additionally, you’ll deepen your skill set in areas like software engineering, machine learning operations (MLOps), and software deployment and integration into a variety of different mission environments.
 Ready to transform the Defense and Intelligence sectors with software systems to aid data accessibility and AI and ML operationalization?
 Join us. The world can’t wait.
**You Have:** 
* 3\+ years of experience as a ML engineer and building production\-grade ML solutions, including work involving Large Language Models (LLMs), agents, or complex automation frameworks
* 3\+ years of experience working within data science or data research in a professional or academic environment and training or deploying models across multiple modalities of data
* 3\+ years of experience working in cloud environments, including AWS and Azure
* 2\+ years of experience deploying and integrating production\-grade ML models using tools such as Docker and Kubernetes
* Experience with LLMs, Deep Learning (DL), and Reinforcement Learning (RL) and with tools and AI agent frameworks such as LangChain, LangGraph, PydanticAI, or llamaindex
* Experience connecting Agents to APIs, Cloud platforms, or databases
* Experience evaluating architectural tradeoffs and designing robust service\-based software applications for scalable use
* Experience with MLOps, GitOps, and CI/CD tooling
* Secret clearance
* Bachelor’s degree
**Nice If You Have:** 
* Experience with programming, including ML frameworks such as TensorFlow, PyTorch, llama.cpp, and vLLM
* Experience with client engagements, client\-facing project work, and business development
* Experience with project work in deep learning, computer vision, NLP, or signal processing
* Experience deploying and managing data brokering solutions, including Kafka, Red Panda, Confluent, and other related services
* Ability to adapt in a rapidly changing environment
* Possession of excellent verbal and written communication skills
* Possession of excellent interpersonal, analytical, problem\-solving, and organizational skills
* TS/SCI clearance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1">
      <c r="A41" t="inlineStr">
        <is>
          <t>li-4371769464</t>
        </is>
      </c>
      <c r="B41" t="inlineStr">
        <is>
          <t>Senior/Staff AI Engineer</t>
        </is>
      </c>
      <c r="C41" t="inlineStr">
        <is>
          <t>RemoteHunter</t>
        </is>
      </c>
      <c r="D41" t="inlineStr">
        <is>
          <t>linkedin</t>
        </is>
      </c>
      <c r="E41" t="inlineStr"/>
      <c r="F41" t="inlineStr"/>
      <c r="G41" t="inlineStr"/>
      <c r="H41" t="inlineStr"/>
      <c r="I41" t="inlineStr">
        <is>
          <t>About the Opportunity:
 The organization is focused on enabling anyone, anywhere, to build a home using technology. Founded by experts in construction, real estate, design, and technology, the organization is transforming residential construction by streamlining the costly and inefficient homebuilding process. Technology powers every stage from start to finish, allowing homeowners to choose a location, select and personalize home plans, and complete purchases entirely online. The organization has raised $150M in capital from leading venture capitalists and is rapidly scaling operations in states including Texas, Colorado, and Florida.
 Responsibilities:
 • Define the vision for integrating AI/ML, especially LLMs, into the organization’s products and operations
 • Establish technical standards for experimentation, deployment, and evaluation of AI systems
 • Design and build scalable AI systems to handle production workloads and adapt to business growth
 • Deliver high\-quality, production\-grade code with focus on observability, maintainability, and reliability
 • Mentor engineers, review designs, and address complex AI technical challenges
 • Monitor AI industry trends and prioritize investments that deliver clear business impact
 Requirements:
 • 7\+ years of professional software engineering experience with emphasis on AI/ML systems
 • Experience shipping LLM\-powered production features including prompt engineering, RAG, evaluation frameworks, and agentic workflows
 • Proven leadership skills such as mentoring, technical direction, and problem solving for complex AI issues
 • Proficiency in Python and core ML/data libraries such as Pandas, Scikit\-learn, PyTorch/TensorFlow, and Spark
 • Ability to design systems balancing rapid experimentation with long\-term reliability and maintainability
 Benefits \&amp; Perks:
 No direct benefits or perks are specified in the provided description.
 Compensation:
 • L4 Senior ML Engineer ($143,500 \- $196,000\)
 • L5 Staff ML Engineer ($196,000 \- $227,000\)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2">
      <c r="A42" t="inlineStr">
        <is>
          <t>li-4326557091</t>
        </is>
      </c>
      <c r="B42" t="inlineStr">
        <is>
          <t>Senior Staff Machine Learning Engineer, (ML Underwriting)</t>
        </is>
      </c>
      <c r="C42" t="inlineStr">
        <is>
          <t>Affirm</t>
        </is>
      </c>
      <c r="D42" t="inlineStr">
        <is>
          <t>linkedin</t>
        </is>
      </c>
      <c r="E42" t="inlineStr"/>
      <c r="F42" t="inlineStr"/>
      <c r="G42" t="inlineStr">
        <is>
          <t>Minneapolis, MN</t>
        </is>
      </c>
      <c r="H42" t="inlineStr"/>
      <c r="I42"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3">
      <c r="A43" t="inlineStr">
        <is>
          <t>li-4326633991</t>
        </is>
      </c>
      <c r="B43" t="inlineStr">
        <is>
          <t>Senior Staff Machine Learning Engineer, (ML Underwriting)</t>
        </is>
      </c>
      <c r="C43" t="inlineStr">
        <is>
          <t>Affirm</t>
        </is>
      </c>
      <c r="D43" t="inlineStr">
        <is>
          <t>linkedin</t>
        </is>
      </c>
      <c r="E43" t="inlineStr"/>
      <c r="F43" t="inlineStr"/>
      <c r="G43" t="inlineStr">
        <is>
          <t>Boise, ID</t>
        </is>
      </c>
      <c r="H43" t="inlineStr"/>
      <c r="I43"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44">
      <c r="A44" t="inlineStr">
        <is>
          <t>li-4372241872</t>
        </is>
      </c>
      <c r="B44" t="inlineStr">
        <is>
          <t>Senior Lead AI Engineer (GenAI Platform)</t>
        </is>
      </c>
      <c r="C44" t="inlineStr">
        <is>
          <t>Capital One</t>
        </is>
      </c>
      <c r="D44" t="inlineStr">
        <is>
          <t>linkedin</t>
        </is>
      </c>
      <c r="E44" t="inlineStr"/>
      <c r="F44" t="inlineStr"/>
      <c r="G44" t="inlineStr">
        <is>
          <t>San Jose, CA</t>
        </is>
      </c>
      <c r="H44" t="inlineStr"/>
      <c r="I4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5">
      <c r="A45" t="inlineStr">
        <is>
          <t>li-4372241866</t>
        </is>
      </c>
      <c r="B45" t="inlineStr">
        <is>
          <t>Senior Lead AI Engineer (GenAI Platform)</t>
        </is>
      </c>
      <c r="C45" t="inlineStr">
        <is>
          <t>Capital One</t>
        </is>
      </c>
      <c r="D45" t="inlineStr">
        <is>
          <t>linkedin</t>
        </is>
      </c>
      <c r="E45" t="inlineStr"/>
      <c r="F45" t="inlineStr"/>
      <c r="G45" t="inlineStr">
        <is>
          <t>New York, NY</t>
        </is>
      </c>
      <c r="H45" t="inlineStr"/>
      <c r="I45"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6">
      <c r="A46" t="inlineStr">
        <is>
          <t>li-4372253355</t>
        </is>
      </c>
      <c r="B46" t="inlineStr">
        <is>
          <t>Senior Lead AI Engineer (GenAI Platform)</t>
        </is>
      </c>
      <c r="C46" t="inlineStr">
        <is>
          <t>Capital One</t>
        </is>
      </c>
      <c r="D46" t="inlineStr">
        <is>
          <t>linkedin</t>
        </is>
      </c>
      <c r="E46" t="inlineStr"/>
      <c r="F46" t="inlineStr"/>
      <c r="G46" t="inlineStr">
        <is>
          <t>McLean, VA</t>
        </is>
      </c>
      <c r="H46" t="inlineStr"/>
      <c r="I46"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AI Engineer
 New York, NY: $250,800 \- $286,200 for Sr. Lead AI Engineer
 San Jose, CA: $250,800 \- $286,200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7">
      <c r="A47" t="inlineStr">
        <is>
          <t>li-4290973384</t>
        </is>
      </c>
      <c r="B47" t="inlineStr">
        <is>
          <t>Senior Machine Learning Engineer (Recommendations)</t>
        </is>
      </c>
      <c r="C47" t="inlineStr">
        <is>
          <t>Scribd, Inc.</t>
        </is>
      </c>
      <c r="D47" t="inlineStr">
        <is>
          <t>linkedin</t>
        </is>
      </c>
      <c r="E47" t="inlineStr"/>
      <c r="F47" t="inlineStr"/>
      <c r="G47" t="inlineStr">
        <is>
          <t>Denver, CO</t>
        </is>
      </c>
      <c r="H47" t="inlineStr"/>
      <c r="I47"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8">
      <c r="A48" t="inlineStr">
        <is>
          <t>li-4365453727</t>
        </is>
      </c>
      <c r="B48" t="inlineStr">
        <is>
          <t>Applied Scientist II, Prime Video Personalization and Discovery Science</t>
        </is>
      </c>
      <c r="C48" t="inlineStr">
        <is>
          <t>Prime Video &amp; Amazon MGM Studios</t>
        </is>
      </c>
      <c r="D48" t="inlineStr">
        <is>
          <t>linkedin</t>
        </is>
      </c>
      <c r="E48" t="inlineStr"/>
      <c r="F48" t="inlineStr"/>
      <c r="G48" t="inlineStr">
        <is>
          <t>Sunnyvale, CA</t>
        </is>
      </c>
      <c r="H48" t="inlineStr"/>
      <c r="I48"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
**Basic Qualifications**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
**Company** 
 \- Amazon.com Services LLC
 Job ID: A3165157</t>
        </is>
      </c>
    </row>
    <row r="49">
      <c r="A49" t="inlineStr">
        <is>
          <t>li-4290975316</t>
        </is>
      </c>
      <c r="B49" t="inlineStr">
        <is>
          <t>Senior Machine Learning Engineer (Recommendations)</t>
        </is>
      </c>
      <c r="C49" t="inlineStr">
        <is>
          <t>Scribd, Inc.</t>
        </is>
      </c>
      <c r="D49" t="inlineStr">
        <is>
          <t>linkedin</t>
        </is>
      </c>
      <c r="E49" t="inlineStr"/>
      <c r="F49" t="inlineStr"/>
      <c r="G49" t="inlineStr">
        <is>
          <t>Seattle, WA</t>
        </is>
      </c>
      <c r="H49" t="inlineStr"/>
      <c r="I49"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0">
      <c r="A50" t="inlineStr">
        <is>
          <t>li-4290972526</t>
        </is>
      </c>
      <c r="B50" t="inlineStr">
        <is>
          <t>Senior Machine Learning Engineer (Recommendations)</t>
        </is>
      </c>
      <c r="C50" t="inlineStr">
        <is>
          <t>Scribd, Inc.</t>
        </is>
      </c>
      <c r="D50" t="inlineStr">
        <is>
          <t>linkedin</t>
        </is>
      </c>
      <c r="E50" t="inlineStr"/>
      <c r="F50" t="inlineStr"/>
      <c r="G50" t="inlineStr">
        <is>
          <t>Jacksonville, FL</t>
        </is>
      </c>
      <c r="H50" t="inlineStr"/>
      <c r="I5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1">
      <c r="A51" t="inlineStr">
        <is>
          <t>li-4290969976</t>
        </is>
      </c>
      <c r="B51" t="inlineStr">
        <is>
          <t>Senior Machine Learning Engineer (Recommendations)</t>
        </is>
      </c>
      <c r="C51" t="inlineStr">
        <is>
          <t>Scribd, Inc.</t>
        </is>
      </c>
      <c r="D51" t="inlineStr">
        <is>
          <t>linkedin</t>
        </is>
      </c>
      <c r="E51" t="inlineStr"/>
      <c r="F51" t="inlineStr"/>
      <c r="G51" t="inlineStr">
        <is>
          <t>Boston, MA</t>
        </is>
      </c>
      <c r="H51" t="inlineStr"/>
      <c r="I51"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52">
      <c r="A52" t="inlineStr">
        <is>
          <t>li-4372243297</t>
        </is>
      </c>
      <c r="B52" t="inlineStr">
        <is>
          <t>HPC &amp; AI Engineering Program Manager III</t>
        </is>
      </c>
      <c r="C52" t="inlineStr">
        <is>
          <t>Hewlett Packard Enterprise</t>
        </is>
      </c>
      <c r="D52" t="inlineStr">
        <is>
          <t>linkedin</t>
        </is>
      </c>
      <c r="E52" t="inlineStr"/>
      <c r="F52" t="inlineStr"/>
      <c r="G52" t="inlineStr">
        <is>
          <t>Chippewa Falls, WI</t>
        </is>
      </c>
      <c r="H52" t="inlineStr"/>
      <c r="I52" t="inlineStr">
        <is>
          <t>This role has been designed as ‘’Onsite’ with an expectation that you will primarily work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Provides support and/or lead teams through the Engineering development process and implementation of company’s products. Projects are typically shorter\-term, less complex and more contained with a defined time frame. Programs are typically longer\-term, multi\-functional, multi\-project with complex requirements and effort. Manage activities, resource capability, schedules, budgets, and ensure cross company communications to facilitate product completion on schedule within budget. Work with engineering management to identify and improve process and program efficiencies. Work can involve external parties such as standards bodies, partners, etc.
**Management Level Definition**
 Contributions include applying developed subject matter expertise to solve common and sometimes complex technical problems and recommending alternatives where necessary. Might act as project lead and provide assistance to lower level professionals. Exercises independent judgment and consults with others to determine best method for accomplishing work and achieving objectives.
**Responsibilities**
* Manages and leads a program involving one or more functions and project teams to drive the engineering development and implementation process for a subsystem or component of a product or service offering.
* Develops schedules, critical deliverables, budget, resource allocation plan, and other support requirements for assigned program.
* Coordinates activities of supporting project teams and internal and external development partners; tracks progress against established plan and makes decisions to alter or update schedule and resource allocation to meet product requirements and development schedule.
* Communicates program progress, escalations, and issue analysis to product stakeholders; collaborates with management and internal manufacturing and development partners to implement changes to product, process, or program plan to resolve escalated issues, produce solutions, and ensure adherence to budgets and established product roadmaps and schedules.
* Leads and provides guidance and mentoring to less\-experienced staff members.
**Education And Experience Required**
* Bachelor's or Master's degree in Business Management, Engineering, Computer Sciences, or equivalent.
* PMP/PMI certification preferred.
* Typically 4\-6 years experience.
**Knowledge And Skills**
* Using project planning tools and software packages to create, manage, and track project results.
* Strong analytical and problem solving skills.
* Demonstrated experience coordinating and directing matrixed teams and resources.
* Ability to create and manage program schedules, budgets, and resource allocation plans.
* Excellent written and verbal communication skills; mastery in English and local language.
* Ability to effectively communicate program plans, proposals, and results, and negotiate options at management levels.
**Additional Skills**
 Accountability, Accountability, Action Planning, Active Learning, Active Listening, Agile Methodology, Agile Scrum Development, Analytical Thinking, Bias, Coaching, Creativity, Critical Thinking, Cross\-Functional Teamwork, Data Analysis Management, Data Collection Management (Inactive), Data Controls, Design, Design Thinking, Empathy, Follow\-Through, Group Problem Solving, Growth Mindset, Intellectual Curiosity (Inactive), Long Term Planning, Managing Ambiguity {\+ 5 more}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\#highperformancecompute
**Job**
 Engineering
**Job Level**
 TCP\_03
 "The expected salary/wage range for this position is provided below. Actual offer may vary from this range based upon geographic location, work experience, education/training, and/or skill level.
 – United States of America: Annual Salary USD 92,600 \- 213,500 in Minnesota \&amp; Wisconsin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53">
      <c r="A53" t="inlineStr">
        <is>
          <t>li-4372247117</t>
        </is>
      </c>
      <c r="B53" t="inlineStr">
        <is>
          <t>AI/ML Engineer</t>
        </is>
      </c>
      <c r="C53" t="inlineStr">
        <is>
          <t>Wiraa</t>
        </is>
      </c>
      <c r="D53" t="inlineStr">
        <is>
          <t>linkedin</t>
        </is>
      </c>
      <c r="E53" t="inlineStr"/>
      <c r="F53" t="inlineStr"/>
      <c r="G53" t="inlineStr"/>
      <c r="H53" t="inlineStr"/>
      <c r="I53" t="inlineStr">
        <is>
          <t>**About The Company**
 Optum Tech is a global leader in healthcare innovation dedicated to transforming the healthcare industry through advanced technology solutions. Our teams develop cutting\-edge solutions that help people live healthier lives and make the healthcare system work more efficiently for everyone. By leveraging innovative approaches such as data analytics, artificial intelligence, cybersecurity, and machine learning, we address some of healthcare's most complex challenges. Our commitment to innovation and excellence positions us at the forefront of healthcare technology, enabling us to make a meaningful impact on patient outcomes and healthcare delivery worldwide.
 Optum Insight, a key division within Optum Tech, partners with payers, providers, governments, and life sciences companies to streamline clinical, administrative, and financial processes through software\-enabled services and analytics. Our goal is to support the entire healthcare ecosystem by delivering differentiated products, technological insights, clinical expertise, and analytics that enhance value\-based care and improve user experiences. The Optum Insight Technology and Engineering team focuses on product development, lifecycle management, engineering excellence, and connectivity to broader Optum technology platforms, driving continuous innovation and value creation for our clients and partners.
**About The Role**
 We are seeking a highly experienced Principal AI/ML Engineer to join our Clinical Decision Support (CDS) Engineering team within Optum Insight. This role is pivotal in building commercial products that assist payers and providers with administrative and clinical decision support solutions. The ideal candidate will bring deep expertise in the full development lifecycle of machine learning and generative AI\-based solutions, from design and experimentation to deployment and MLOps. The role offers an exciting opportunity to work on high\-impact projects that directly influence healthcare delivery and improve patient outcomes.
 You will be responsible for leading end\-to\-end AI projects involving complex data sets, designing scalable and secure AI architectures, and implementing innovative machine learning approaches. Collaboration with software engineers, data scientists, and stakeholders will be essential to develop, optimize, and operationalize models that generate actionable insights. The role also involves mentoring team members, recruiting top talent, and establishing best practices for AI/ML development within the organization.
**Qualifications**
* Bachelor’s degree in Computer Science, Data Science, or a related field
* 10\+ years of industry or academic experience in machine learning or related areas
* 5\+ years of experience building models for business applications
* 5\+ years of experience leading technical teams
* Deep understanding of Deep Learning applications, including NLP and multimodal modeling
* Proficiency in Python programming and experience with deep learning frameworks such as PyTorch or TensorFlow
* Experience with big data processing tools like Hadoop and Spark
* Hands\-on experience with AI technology stacks, deployment, and operations in public cloud environments (preferably Microsoft Azure)
* Knowledge of advanced algorithms and architectures including GNNs, GANs, Transformers, LLMs, and others
* In\-depth understanding of Generative AI and Large Language Models (LLMs) with a focus on optimization techniques
* Excellent communication skills to articulate technical concepts to diverse audiences
**Responsibilities**
* Lead end\-to\-end development of Generative AI and Machine Learning projects, managing ambiguity, scale, and complexity
* Design and implement robust AI architectures that are scalable, secure, and efficient, selecting appropriate technologies and frameworks
* Build, experiment with, and deploy machine learning models, collaborating closely with software engineers for productionization
* Perform hands\-on analysis and modeling of healthcare datasets to derive insights that enhance business value
* Conduct A/B testing, data collection, and statistical analysis to evaluate AI system performance
* Establish automated, scalable processes for data analysis, model validation, and ML operations (MLOps)
* Research and implement innovative machine learning approaches to improve system capabilities
* Mentor and assist in recruiting AI/ML scientists and engineers to strengthen the team
**Benefits**
* Competitive salary range from $134,600 to $230,800 annually, based on experience and qualifications
* Comprehensive benefits package including health insurance, dental, and vision coverage
* Incentive and recognition programs to reward outstanding performance
* Equity stock purchase options and 401(k) retirement plan contributions
* Flexible remote work options within the U.S., with in\-office requirements for specific locations
* Opportunities for professional development and career growth within a leading healthcare technology organization
 Equal Opportunity
 UnitedHealth Group and Optum Tech are committed to creating an inclusive environment where all employees are valued and respected. We are an Equal Employment Opportunity employer, providing consideration for employment without regard to race, color, religion, gender, sexual orientation, gender identity, age, disability, veteran status, or any other protected characteristic under applicable law. We promote diversity and are dedicated to fostering a workplace that reflects the communities we serve. All employees working remotely must adhere to UnitedHealth Group's Telecommuter Policy. We also ensure compliance with all relevant minimum wage laws and regulations.</t>
        </is>
      </c>
    </row>
    <row r="54">
      <c r="A54" t="inlineStr">
        <is>
          <t>li-4239256337</t>
        </is>
      </c>
      <c r="B54" t="inlineStr">
        <is>
          <t>Senior Machine Learning Engineer</t>
        </is>
      </c>
      <c r="C54" t="inlineStr">
        <is>
          <t>Xometry</t>
        </is>
      </c>
      <c r="D54" t="inlineStr">
        <is>
          <t>linkedin</t>
        </is>
      </c>
      <c r="E54" t="inlineStr"/>
      <c r="F54" t="inlineStr"/>
      <c r="G54" t="inlineStr">
        <is>
          <t>North Bethesda, MD</t>
        </is>
      </c>
      <c r="H54" t="inlineStr"/>
      <c r="I54"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Machine Learning Engineer** 
 to join our growing organization. The right person will help move our machine learning capabilities to the next level. You’ll be working in an organization where AI is the enabler and center of its core business strategy. You want to be part of a small, intensely skilled team, who feel total ownership of their work, and can’t imagine a day without learning \&amp; coding. You will play a crucial role in the Xometry platform and everything you do will matter.
**Responsibilities:**
* At Xometry, you will play a crucial role in exploring new machine learning opportunities, researching and performing proof of concepts, and bringing new machine learning and AI solutions into Xometry’s platform
* Develop and implement machine learning models that improve Xometry’s ability to predict cost, price, and sourcing options for our customers and suppliers.
* You will be responsible for leading the evaluation of emerging technologies, identifying areas for improvement, and developing new features while ensuring the reliability and scalability of Xometry’s platform
* Lead the exploration of emerging AI and machine learning technologies and develop proof\-of\-concepts to assess their potential impact on Xometry’s platform
* Collaborate with cross\-functional teams to gather requirements, prioritize features, and define technical solutions based on the latest innovations
* Monitor machine learning models and AI performance and troubleshoot issues as they arise
* Contribute to the documentation and knowledge base to help other teams understand and use Xometry’s AI effectively
**Qualifications:**
* Experience with state of the art ML modeling techniques and approaches like transformers, self supervised pre\-training, generative modeling, LLMs, etc
* Experience with large scale data processing (e.g., Hands\-on experience training and applying models at scale using deep learning frameworks like PyTorch or Tensorflow)
* Successful candidates in this role need to be able to bridge state of the art approaches to real world impact
* A cloud\-native software craftsperson with hands on experience with containers, container orchestration, and distributed systems
* An engineer with a self\-driven attitude who can own problems and deliver solutions
* Strong software fundamentals with experience in design patterns, refactoring, OOP, and testing
* A cloud practitioner who values the “shift\-left” mentality by building systems with Infrastructure as Code, not console clicking
* Data’s at the heart of our systems, we hope it's yours too. You’re comfortable working with SQL and/or NoSQL, understand database design, and data analysis
* Experience building and consuming CI/CD pipelines
* Someone who knows their way around the command line and has experience working with \*nix systems
* 5\+ years working experience in the engineering teams that build large\-scale ML\-driven user\-facing products
* 3\+ years experience leading cross\-team engineering efforts
* Strong execution skills in project management
* Must be a US Citizen or Green Card holder (ITAR)
 The estimated base salary range for new hires into this role is $123,000\- $159,000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55">
      <c r="A55" t="inlineStr">
        <is>
          <t>li-4365401707</t>
        </is>
      </c>
      <c r="B55" t="inlineStr">
        <is>
          <t>Senior Specialist AI Engineer - Foundations</t>
        </is>
      </c>
      <c r="C55" t="inlineStr">
        <is>
          <t>LinkedIn</t>
        </is>
      </c>
      <c r="D55" t="inlineStr">
        <is>
          <t>linkedin</t>
        </is>
      </c>
      <c r="E55" t="inlineStr"/>
      <c r="F55" t="inlineStr"/>
      <c r="G55" t="inlineStr">
        <is>
          <t>Sunnyvale, CA</t>
        </is>
      </c>
      <c r="H55" t="inlineStr"/>
      <c r="I55"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****Job Description****
 This role will be based in Sunnyvale, San Francisco, or New York City.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**Job Description**
 As a Senior AI Scientist, you will drive LinkedIn's efforts in cutting\-edge AI research and development, focusing on large\-scale foundation models. In this role, you will specialize in developing, training, and optimizing foundation models, including Large Language Models (LLMs), utilizing state\-of\-the\-art deep learning architectures such as multi\-billion parameter transformers and scaling them to serve LinkedIn's global user base. Your work will emphasize the design and deployment of high\-performance AI systems, leveraging GPUs and other hardware accelerators for large\-scale training and inference. You will collaborate with a world\-class team of researchers and engineers to develop and advance the next generation of AI models to push the boundaries of AI at scale, working on complex problems such as distributed training, model parallelism, and system co\-design. A successful candidate will be comfortable operating at the intersection of AI research and engineering, with a deep understanding of the latest advancements including but not limited to large model training, post\-training techniques for planning and reasoning, fine\-tuning strategies, reinforcement learning techniques.
**Responsibilities**
* Lead the research, design, and development of large\-scale foundation AI models, with a focus on LLMs, transformer architectures.
* Publish the findings and innovations as the latest academic and industry research in top notch core AI venues such as ICML, NeurIPS, ICLR, ACL.
* Drive innovation in large\-scale model training, leveraging GPUs and specialized hardware for optimal performance.
* Develop and maintain scalable AI pipelines, optimizing training and inference workflows to handle vast amounts of data.
* Collaborate with cross\-functional teams of machine learning engineers, infrastructure engineers, and AI researchers to deliver impactful AI innovations across LinkedIn's products.
****Qualifications****
 Basic Qualifications
* BA/BS Degree in Computer Science, Machine Learning or related technical discipline, or related practical experience.
* 2\+ years experience in machine learning or AI engineering.
* 2\+ years experience in design and development of algorithmic solutions
* 2\+ years experience with programming languages such as Java, Python, etc.
**Preferred Qualifications**
* 4\+ years of hands\-on experience in large\-scale model training, model\-system co\-design, or large AI systems.
* PhD in Computer Science, Machine Learning, or related technical discipline with a focus on advanced AI/ML techniques
* Proven experience in building and optimizing large\-scale AI/ML models using frameworks such as PyTorch, PySpark, and CUDA.
* Several recent publications in top AI conferences on relevant areas including but not limited to Large Scale Model Training and LLM Algorithm Optimization, deep learning, reinforcement learning, foundation models etc.
* Expertise in distributed training, model parallelism, and hardware acceleration for AI workloads, including GPUs and TPUs.
* Demonstrated ability to solve complex AI challenges in large\-scale environments, optimizing models for efficiency and scalability.
* Strong proficiency in AI system design, model optimization, and the development of production\-quality AI pipelines.
* Published work in AI research or a significant contribution to industry\-leading AI technologies.
 Suggested Skills
* Large Language Models (LLM)
* Generative AI (GAI)
* AI Research and Development
* GPU and Hardware Acceleration
* Distributed AI Systems and Model Parallelism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 \- $229,000\.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56">
      <c r="A56" t="inlineStr">
        <is>
          <t>li-4341820113</t>
        </is>
      </c>
      <c r="B56" t="inlineStr">
        <is>
          <t>Senior Machine Learning Engineer, Agentic</t>
        </is>
      </c>
      <c r="C56" t="inlineStr">
        <is>
          <t>Robinhood</t>
        </is>
      </c>
      <c r="D56" t="inlineStr">
        <is>
          <t>linkedin</t>
        </is>
      </c>
      <c r="E56" t="inlineStr"/>
      <c r="F56" t="inlineStr"/>
      <c r="G56" t="inlineStr">
        <is>
          <t>Bellevue, WA</t>
        </is>
      </c>
      <c r="H56" t="inlineStr"/>
      <c r="I56"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Agentic team at Robinhood builds and ships production AI agents that power the next generation of AI financial products. Our mission is to rapidly build, evaluate, and deploy high\-performance AI agents on production\-grade infrastructure, strong evaluation and observability baked in, and continuous optimization support.
**This role is based in our Menlo Park, CA and Bellevue, WA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Translate product goals into measurable metrics and SLOs, and build a rigorous evaluation harness to continuously score agents performance
* Develop feedback and optimization pipelines that uses both automated metrics and human\-in\-the\-loop evaluation signals to improve agent behavior over time
* Implement and scale optimization techniques such as Direct Preference Optimization (DPO), Proximal Policy Optimization (PPO), and reward modeling to improve agent performance.
* Launch and support fine\-tuned models in production environments with robust evaluation, rollback strategies, and performance monitoring.
* Collaborate closely with applied AI/ML teams to translate state\-of\-the\-art research in agentic reasoning, planning, and tool use into reliable, production\-ready systems
**What You Bring**
* Strong technical expertise in software development, with understanding of agentic workflows—including reasoning loops, tool invocation, memory, and orchestration of autonomous AI agents.
* Hands\-on experience using Large Language Models, including prompt engineering, fine\-tuning, model distillation, and deploying optimized models (e.g. via DPO, PPO) into production environments.
* Leadership and mentorship capabilities, with a track record of guiding complex technical projects and supporting the growth of teammates through code/design reviews and technical direction.
* Excellent communication and collaboration skills, with the ability to translate technical ideas into actionable plans and work effectively with cross\-functional partners, including product and infrastructure teams.
* Innovation mindset and commitment to continuous learning and a bias toward action, staying at the forefront of ML/AI trends, agentic systems research, and best practices in tooling, safety, and evaluation.
**What We Offer**
* Challenging, high\-impact work to grow your career
* Performance\-driven compensation with multipliers for outsized impact, bonus programs, equity ownership, and 401(k) matching
* Best\-in\-class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$187,000—$220,000 USD
 Zone 2 (Denver, CO; Westlake, TX; Chicago, IL)
 $165,000—$194,000 USD
 Zone 3 (Lake Mary, FL; Clearwater, FL; Gainesville, FL)
 $146,000—$172,000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57">
      <c r="A57" t="inlineStr">
        <is>
          <t>li-4326751249</t>
        </is>
      </c>
      <c r="B57" t="inlineStr">
        <is>
          <t>Senior Staff Machine Learning Engineer, (ML Underwriting)</t>
        </is>
      </c>
      <c r="C57" t="inlineStr">
        <is>
          <t>Affirm</t>
        </is>
      </c>
      <c r="D57" t="inlineStr">
        <is>
          <t>linkedin</t>
        </is>
      </c>
      <c r="E57" t="inlineStr"/>
      <c r="F57" t="inlineStr"/>
      <c r="G57" t="inlineStr">
        <is>
          <t>San Diego, CA</t>
        </is>
      </c>
      <c r="H57" t="inlineStr"/>
      <c r="I57"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58">
      <c r="A58" t="inlineStr">
        <is>
          <t>li-4326780378</t>
        </is>
      </c>
      <c r="B58" t="inlineStr">
        <is>
          <t>Senior Staff Machine Learning Engineer, (ML Underwriting)</t>
        </is>
      </c>
      <c r="C58" t="inlineStr">
        <is>
          <t>Affirm</t>
        </is>
      </c>
      <c r="D58" t="inlineStr">
        <is>
          <t>linkedin</t>
        </is>
      </c>
      <c r="E58" t="inlineStr"/>
      <c r="F58" t="inlineStr"/>
      <c r="G58" t="inlineStr">
        <is>
          <t>Boulder, CO</t>
        </is>
      </c>
      <c r="H58" t="inlineStr"/>
      <c r="I58"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59">
      <c r="A59" t="inlineStr">
        <is>
          <t>li-4326529506</t>
        </is>
      </c>
      <c r="B59" t="inlineStr">
        <is>
          <t>Senior Staff Machine Learning Engineer, (ML Underwriting)</t>
        </is>
      </c>
      <c r="C59" t="inlineStr">
        <is>
          <t>Affirm</t>
        </is>
      </c>
      <c r="D59" t="inlineStr">
        <is>
          <t>linkedin</t>
        </is>
      </c>
      <c r="E59" t="inlineStr"/>
      <c r="F59" t="inlineStr"/>
      <c r="G59" t="inlineStr">
        <is>
          <t>Pittsburgh, PA</t>
        </is>
      </c>
      <c r="H59" t="inlineStr"/>
      <c r="I59"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60">
      <c r="A60" t="inlineStr">
        <is>
          <t>li-4372246563</t>
        </is>
      </c>
      <c r="B60" t="inlineStr">
        <is>
          <t>Lead Machine Learning Engineer (Enterprise Platform Technology)</t>
        </is>
      </c>
      <c r="C60" t="inlineStr">
        <is>
          <t>Capital One</t>
        </is>
      </c>
      <c r="D60" t="inlineStr">
        <is>
          <t>linkedin</t>
        </is>
      </c>
      <c r="E60" t="inlineStr"/>
      <c r="F60" t="inlineStr"/>
      <c r="G60" t="inlineStr">
        <is>
          <t>McLean, VA</t>
        </is>
      </c>
      <c r="H60" t="inlineStr"/>
      <c r="I60"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3\+ years of experience building production\-ready data pipelines that feed ML models
* 3\+ years of on\-the\-job experience with an industry recognized ML framework such as scikit\-learn, PyTorch, Dask, Spark, or TensorFlow
* 2\+ years of experience developing performant, resilient, and maintainable code
* 2\+ years of experience with data gathering and preparation for ML models
* 2\+ years of people leader experience
* 1\+ years of experience leading teams developing ML solutions using industry best practices, patterns, and automation
* Experience developing and deploying ML solutions in a public cloud such as AWS, Azure, or Google Cloud Platform
* Experience designing, implementing, and scaling complex data pipelines for ML models and evaluating their performance
* ML industry impact through conference presentations, papers, blog posts, open source contributions, or patents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Machine Learning Engineer
 New York, NY: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1">
      <c r="A61" t="inlineStr">
        <is>
          <t>li-4326585590</t>
        </is>
      </c>
      <c r="B61" t="inlineStr">
        <is>
          <t>Senior Staff Machine Learning Engineer, (ML Underwriting)</t>
        </is>
      </c>
      <c r="C61" t="inlineStr">
        <is>
          <t>Affirm</t>
        </is>
      </c>
      <c r="D61" t="inlineStr">
        <is>
          <t>linkedin</t>
        </is>
      </c>
      <c r="E61" t="inlineStr"/>
      <c r="F61" t="inlineStr"/>
      <c r="G61" t="inlineStr">
        <is>
          <t>Chicago, IL</t>
        </is>
      </c>
      <c r="H61" t="inlineStr"/>
      <c r="I61"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62">
      <c r="A62" t="inlineStr">
        <is>
          <t>li-4326683579</t>
        </is>
      </c>
      <c r="B62" t="inlineStr">
        <is>
          <t>Senior Staff Machine Learning Engineer, (ML Underwriting)</t>
        </is>
      </c>
      <c r="C62" t="inlineStr">
        <is>
          <t>Affirm</t>
        </is>
      </c>
      <c r="D62" t="inlineStr">
        <is>
          <t>linkedin</t>
        </is>
      </c>
      <c r="E62" t="inlineStr"/>
      <c r="F62" t="inlineStr"/>
      <c r="G62" t="inlineStr">
        <is>
          <t>Salt Lake City, UT</t>
        </is>
      </c>
      <c r="H62" t="inlineStr"/>
      <c r="I62"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63">
      <c r="A63" t="inlineStr">
        <is>
          <t>li-4372749597</t>
        </is>
      </c>
      <c r="B63" t="inlineStr">
        <is>
          <t>Applied Scientist - Pricing, Rider Engagement</t>
        </is>
      </c>
      <c r="C63" t="inlineStr">
        <is>
          <t>Lyft</t>
        </is>
      </c>
      <c r="D63" t="inlineStr">
        <is>
          <t>linkedin</t>
        </is>
      </c>
      <c r="E63" t="inlineStr"/>
      <c r="F63" t="inlineStr"/>
      <c r="G63" t="inlineStr">
        <is>
          <t>New York, NY</t>
        </is>
      </c>
      <c r="H63" t="inlineStr"/>
      <c r="I63"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Rider Engagement is a fast\-growing team within Pricing, focused on developing rider\-facing engagement levers and optimizing user pricing experience to drive both short term and long term business outcomes.
 As an Applied Scientist specializing in Machine Learning and Operational Research on this team, you will develop mathematical models and launch algorithms that power core discounting systems and pricing decisions. You will be hands\-on with building ML and optimization models, productionizing pipelines, building and scaling systems that deal with real\-time data processing, large data storage and critical business problems that have a big impact on the marketplace and customer experience. You will get exposure to diverse problems across optimization, prediction, machine learning, and inference; you will collaborate with teammates and stakeholders to build and scale our systems and enhance algorithms.
 We are looking for someone who is excited about working in a fast\-paced, innovative, and impactful environment, and is adept at balancing complexity and efficiency to translate real world business problems into reliable solutions, systems and decisioning frameworks.
**Responsibilities:**
* Partner with Data Scientists, Engineers, Product Managers, and Business Partners to frame problems mathematically and within the business context
* Write production quality code. Design, build and deploy production\-grade ML models.
* Perform data analysis and build proof\-of\-concept to explore and propose ML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M.S. or Ph.D. in Machine Learning, Operations Research, Statistics, Computer Science or other quantitative fields
* 2\+ years of machine learning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New York City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64">
      <c r="A64" t="inlineStr">
        <is>
          <t>li-4372761093</t>
        </is>
      </c>
      <c r="B64" t="inlineStr">
        <is>
          <t>Applied Scientist - Pricing, Rider Engagement</t>
        </is>
      </c>
      <c r="C64" t="inlineStr">
        <is>
          <t>Lyft</t>
        </is>
      </c>
      <c r="D64" t="inlineStr">
        <is>
          <t>linkedin</t>
        </is>
      </c>
      <c r="E64" t="inlineStr"/>
      <c r="F64" t="inlineStr"/>
      <c r="G64" t="inlineStr">
        <is>
          <t>San Francisco County, CA</t>
        </is>
      </c>
      <c r="H64" t="inlineStr"/>
      <c r="I64" t="inlineStr">
        <is>
          <t>At Lyft, our purpose is to serve and connect. We aim to achieve this by cultivating a work environment where all team members belong and have the opportunity to thrive.
 The Pricing team is a centerpiece of Lyft’s marketplace, determining prices for all rideshare products and supporting new initiatives. Rider Engagement is a fast\-growing team within Pricing, focused on developing rider\-facing engagement levers and optimizing user pricing experience to drive both short term and long term business outcomes.
 As an Applied Scientist specializing in Machine Learning and Operational Research on this team, you will develop mathematical models and launch algorithms that power core discounting systems and pricing decisions. You will be hands\-on with building ML and optimization models, productionizing pipelines, building and scaling systems that deal with real\-time data processing, large data storage and critical business problems that have a big impact on the marketplace and customer experience. You will get exposure to diverse problems across optimization, prediction, machine learning, and inference; you will collaborate with teammates and stakeholders to build and scale our systems and enhance algorithms.
 We are looking for someone who is excited about working in a fast\-paced, innovative, and impactful environment, and is adept at balancing complexity and efficiency to translate real world business problems into reliable solutions, systems and decisioning frameworks.
**Responsibilities:**
* Partner with Data Scientists, Engineers, Product Managers, and Business Partners to frame problems mathematically and within the business context
* Write production quality code. Design, build and deploy production\-grade ML models.
* Perform data analysis and build proof\-of\-concept to explore and propose ML solutions to both new and existing problems.
* Evaluate machine learning systems against business goals. Collaborate with Engineers to implement algorithms in live systems and ensure the robustness of the systems
* Establish metrics and development measurement methodologies to monitor the health of our products, as well as the impacts on user and marketplace outcomes
* Drive collaboration and coordination with cross\-functional teams
**Experience:**
* M.S. or Ph.D. in Machine Learning, Operations Research, Statistics, Computer Science or other quantitative fields
* 2\+ years of machine learning experience in a technology company setting
* Proficiency with Python and working in a production coding environment
* Passion for solving unstructured and non\-standard mathematical problems, and building impactful machine learning models leveraging expertise in one or multiple fields.
* Strong understanding of machine learning methodologies, with proven experience with building and evaluating optimization or machine learning models
* Strong verbal and written communication skills, and ability to collaborate and communicate with others to solve a problem
**Benefits:**
* Great medical, dental, and vision insurance options with additional programs available when enrolled
* Mental health benefits
* Family building benefits
* Child care and pet benefits
* 401(k) plan with company match to help save for your future
* In addition to 12 observed holidays, salaried team members have discretionary paid time off, hourly team members have 15 days paid time off
* 18 weeks of paid parental leave. Biological, adoptive, and foster parents are all eligible
* Subsidized commuter benefits
* Monthly Lyft credits and complimentary Lyft Pink membership
 Lyft is an equal opportunity employer committed to an inclusive workplace that fosters belonging. All qualified applicants will receive consideration for employment without regards to race, color, religion, sex, sexual orientation, gender identity, national origin, disability status, protected veteran status, age, genetic information, or any other basis prohibited by law. We also consider qualified applicants with criminal histories consistent with applicable federal, state and local law.
 Lyft highly values having employees working in\-office to foster a collaborative work environment and company culture. This role will be in\-office on a hybrid schedule — Team Members will be expected to work in the office 3 days per week on Mondays, Wednesdays, and Thursdays. Lyft considers working in the office at least 3 days per week to be an essential function of this hybrid role. Your recruiter can share more information about the various in\-office perks Lyft offers. Additionally, hybrid roles have the flexibility to work from anywhere for up to 4 weeks per year. \#Hybrid
 The expected base pay range for this position in the San Francisco area is $140,800 \- $176,000, not inclusive of potential equity offering, bonus or benefits. Salary ranges are dependent on a variety of factors, including qualifications, experience and geographic location. Your recruiter can share more information about the salary range specific to your working location and other factors during the hiring process.</t>
        </is>
      </c>
    </row>
    <row r="65">
      <c r="A65" t="inlineStr">
        <is>
          <t>li-4372783423</t>
        </is>
      </c>
      <c r="B65" t="inlineStr">
        <is>
          <t>Senior Applied Scientist, Forecasting</t>
        </is>
      </c>
      <c r="C65" t="inlineStr">
        <is>
          <t>Zillow</t>
        </is>
      </c>
      <c r="D65" t="inlineStr">
        <is>
          <t>linkedin</t>
        </is>
      </c>
      <c r="E65" t="inlineStr"/>
      <c r="F65" t="inlineStr"/>
      <c r="G65" t="inlineStr"/>
      <c r="H65" t="inlineStr"/>
      <c r="I65" t="inlineStr">
        <is>
          <t>**About The Team**
 The forecasting group at Zillow provides critical visibility through macroeconomic and housing market uncertainty, shaping planning across Zillow’s businesses. We bring together forecasters, economists, applied scientists, data scientists, and data visualization engineers to build and maintain the forecasts that guide decision‑making. Working with proprietary, industry‑leading data and rigorous forecasting methods, we translate housing market signals into actionable business outlooks. In close partnership with finance, product, and other business teams, we are modernizing how forecasts are produced, evaluated, and operationalized to create a more automated, scalable, and decision‑focused forecasting function.
**About The Role**
 Zillow is seeking a Senior Applied Scientist to join our forecasting organization. In this role, you will design, test, and deploy advanced forecasting models that shape strategic and operational decisions across Zillow. You will work at the intersection of data, economics, and business context to develop and continuously improve forecasts that matter for our customers and our business. You will regularly translate forecast results into clear insights for senior leaders, clarifying current performance, expected trajectories, key drivers, and the uncertainty and trade‑offs that shape our plans.
**You Will Get To:**
* Analyze large, complex datasets to understand buyer and seller behavior and uncover the drivers of key real estate and business outcomes.
* Develop and deploy time‑series and econometric forecasting models that address critical customer, housing market, and business questions, without exposing proprietary product details.
* Own the end‑to‑end modeling lifecycle, including scoping, feature engineering, model development, experimentation, deployment, monitoring, and model explainability.
* Translate forecasts into clear insights and recommendations for senior leadership, helping stakeholders understand drivers, uncertainty, and trade‑offs that guide Zillow’s strategy.
* Partner cross‑functionally with finance, product, engineering, marketing, and operations to scale and improve forecasting capabilities across Zillow.
* Improve and contribute to shared forecasting tools, data pipelines, and processes used across the company.
* Collaborate with other applied scientists and data scientists to develop novel solutions to real estate and business problems.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$160,900\.00 \- $257,100\.00 annually. This base pay range is specific to these locations and may not be applicable to other locations. In Colorado, Hawaii, Illinois, Minnesota, Nevada, Ohio, Rhode Island, and Vermont the standard base pay range for this role is $152,900\.00 \- $244,300\.00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Strong experience with quantitative time‑series forecasting techniques and a practical understanding of trade‑offs between performance, explainability, and scalability.
* Approximately 7\+ years of applied data science experience, including substantial hands‑on work in forecasting, predictive modeling, or econometric analysis (industry or equivalent research experience).
* Advanced degree (MS or PhD) in a quantitative field (e.g., Economics, Operations Research, Data Analytics, Statistics, Computer Science, Mathematics, Information Management, Engineering, or related quantitative discipline), or equivalent practical experience.
* Proficient in Python and SQL for building, evaluating, and deploying models.
* Demonstrated experience monitoring, debugging, and maintaining models in production environments.
* Experience explaining complex models and analytical concepts to stakeholders with varied technical backgrounds, using clear takeaways, succinct insights, and effective visualizations.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66">
      <c r="A66" t="inlineStr">
        <is>
          <t>li-4363791426</t>
        </is>
      </c>
      <c r="B66" t="inlineStr">
        <is>
          <t>Staff Applied Scientist I</t>
        </is>
      </c>
      <c r="C66" t="inlineStr">
        <is>
          <t>Etsy</t>
        </is>
      </c>
      <c r="D66" t="inlineStr">
        <is>
          <t>linkedin</t>
        </is>
      </c>
      <c r="E66" t="inlineStr"/>
      <c r="F66" t="inlineStr"/>
      <c r="G66" t="inlineStr">
        <is>
          <t>Brooklyn, NY</t>
        </is>
      </c>
      <c r="H66" t="inlineStr"/>
      <c r="I66"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$218,000\.00 \- $257,000\.00
****What’s the role?****
 We’re looking for a Staff Applied Scientist I to join our Machine Learning Team for Growth. In this role, you’ll lead initiatives focused on leveraging machine learning to drive business growth across multiple channels—think messaging notifications, SEO, and paid advertising – anything in the realm of growing Etsy. You’ll be pioneering new solutions from the ground up, staying abreast of the latest research, and owning the end\-to\-end ML lifecycle—from data extraction to production deployment.
 This is a full\-time position reporting to the Senior Engineering Manager, Growth ML.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or in the San Francisco Bay Area may be the first to be considered. For candidates within commutable distance, Etsy requires in\-office attendance once or twice per week depending on your proximity to the office. Etsy offers different work modes to meet the variety of needs and preferences of ou r team. Learn more details about our work modes and workplace safety policies here.
****What’s this team like at Etsy?****
* We’re scrappy and product\-minded: we collaborate with teams who aren’t steeped in ML, and bring a clear ML vision that drives real business outcomes.
* We stay close to the latest research—not to chase novelty, but to find proven techniques we can apply to real problems and ship effective solutions fast
* We focus on taking projects from 0 to 1 in areas and product spaces where ML is just getting started—think message notifications/campaigns, paid ads optimization, and generally driving traffic to Etsy via ML solutions.
* With 100\+ million users and billions of messages and ads sent each month, our work directly impacts Etsy’s growth at a massive scale.
* We value creative problem\-solvers who are eager to tackle real\-world challenges—backed by practical habits like code reviews, documentation, and thoughtful testing to help ideas scale.
**What does the day\-to\-day look like?**
* Take solutions from 0 to 1: You’ll be comfortable working in ambiguous problem spaces, experimenting, and driving projects from an initial idea to a fully operational ML product. You are comfortable proving out ideas quickly as well as establishing long term solutions.
* Leverage existing ML infrastructure and partnerships with platform teams to build scalable and modular ML systems
* Track cutting\-edge ML research and bring back ideas we can actually use to build smarter, faster, and more impactful solutions. GenAI, Advanced RecSys, GraphML – all of it is on the table.
* Productionize ML solutions: Develop robust systems for training, deploying, and monitoring ML models at scale.
* Collaborate cross\-functionally: Work closely with other disciplines like Data Engineers, Product Managers, Marketing, and other stakeholders to align projects with broader product goals.
* ETL and data analysis: Build critical data pipelines, perform exploratory analysis, and ensure data quality and reliability – especially for model training data.
* Experimentation and measurement: Design and execute A/B tests to measure the effectiveness of ML\-driven features, iterating quickly based on findings.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Proven track record in ML: You have 8\+ years of experience building and deploying ML solutions. You’re familiar with modern ML frameworks (such as TensorFlow or Torch), distributed computing, and cloud environments.
* Strong coding skills: You write robust, production\-quality code (Python, Scala, Java, or equivalent). You’re experienced with tools like Spark, GCP, and Airflow.
* Hands\-on experience across the pipeline: From data extraction and preprocessing to training, evaluating, and deploying models in production environments. Bigquery and Scala experience is a plus.
* Comfort in ambiguity: You excel in situations where the scope is not fully defined, proactively finding clarity and driving forward.
* Experience in search or recommender systems: Preferred but not required. This could include ranking algorithms, personalized recommendations, or large\-scale search optimization.
* Advanced degree in ML or related field: Preferred but not required. We recognize relevant industry experience can be just as valuable.
* Collaboration and communication: You can articulate complex concepts to both technical and non\-technical audiences and enjoy working on cross\-functional teams.
* If you’re excited about using machine learning to propel growth, enjoy taking on new and ambiguous challenges, and want to drive real impact, we’d love to hear from you!
* You genuinely enjoy solving hard problems, improving real user experiences, and using modern tools to build smart—not needlessly complex—solutions.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67">
      <c r="A67" t="inlineStr">
        <is>
          <t>li-4343460587</t>
        </is>
      </c>
      <c r="B67" t="inlineStr">
        <is>
          <t>Applied Scientist, Frontier AI &amp; Robotics (FAR)</t>
        </is>
      </c>
      <c r="C67" t="inlineStr">
        <is>
          <t>Amazon</t>
        </is>
      </c>
      <c r="D67" t="inlineStr">
        <is>
          <t>linkedin</t>
        </is>
      </c>
      <c r="E67" t="inlineStr"/>
      <c r="F67" t="inlineStr"/>
      <c r="G67" t="inlineStr">
        <is>
          <t>San Francisco, CA</t>
        </is>
      </c>
      <c r="H67" t="inlineStr"/>
      <c r="I67" t="inlineStr">
        <is>
          <t>**Description**
 Join the next revolution in robotics at Amazon's Frontier AI \&amp; Robotics team, where you'll work alongside world\-renowned AI pioneers to push the boundaries of what's possible in robotic intelligence. As an Applied Scientist, you'll be at the forefront of developing breakthrough foundation models that enable robots to perceive, understand, and interact with the world in unprecedented ways. You'll drive independent research initiatives in areas such as locomotion, manipulation, sim2real transfer, multi\-modal and multi\-task robot learning, designing novel frameworks that bridge the gap between state\-of\-the\-art research and real\-world deployment at Amazon scale.
 In this role, you'll balance innovative technical exploration with practical implementation, collaborating with platform teams to ensure your models and algorithms perform robustly in dynamic real\-world environments. You'll have access to Amazon's vast computational resources, enabling you to tackle ambitious problems in areas like very large multi\-modal robotic foundation models and efficient, promptable model architectures that can scale across diverse robotic applications.
 Key job responsibilities
* Drive independent research initiatives across the robotics stack, including robot co\-design, dexterous manipulation mechanisms, innovative actuation strategies, state estimation, low\-level control, system identification, reinforcement learning, and sim\-to\-real transfer, as well as foundation models for perception and manipulation
* Lead full\-stack robotics projects from conceptualization through deployment, taking a system\-level approach that integrates hardware considerations with algorithmic development
* Develop and optimize control algorithms and sensing pipelines that enable robust performance in production environments
* Collaborate with platform and hardware teams to ensure seamless integration across the entire robotics stack
* Contribute to the team's technical strategy and help shape our approach to next\-generation robotics challenges
 A day in the life
* Design and implement innovative systems and algorithms, leveraging our extensive infrastructure to prototype and evaluate at scale
* Collaborate with our world\-class research team to solve complex technical challenges
* Lead technical initiatives from conception to deployment, working closely with robotics engineers to integrate your solutions into production systems
* Participate in technical discussions and brainstorming sessions with team leaders and fellow scientists
* Leverage our massive compute cluster and extensive robotics infrastructure to rapidly prototype and validate new ideas
* Transform theoretical insights into practical solutions that can handle the complexities of real\-world robotics applications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
**Basic Qualifications**
* PhD, or Master's degree and 4\+ years of ME, EE, CS, CE, or related field experience
* Experience programming in Java, C\+\+, Python or related language
* Experience with hardware design, low\-level control, state estimation, system identification, or complex electrical systems
* Experience in patents or publications at top\-tier peer\-reviewed conferences or journals
* Experience applying theoretical models in an applied environment
* Experience developing and implementing deep learning models
* Track record of solving complex technical problems
**Preferred Qualifications**
* Experience using Unix/Linux
* First\-author publications at major or top\-tier ML / robotics conferences (RSS, CoRL, NeurIPS, ICML, ICLR, CVPR, ICCV, ICRA, IROS)
* Background in computer vision, robotics, or related fields
* Experience with sim2real transfer or multi\-task learning
* Familiarity with distributed training systems
* Track record of deploying ML models in production environments
* Experience with large\-scale robotic systems
* Extensive programming skills in Python and PyTorch/JAX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**Company** 
 \- Amazon.com Services LLC
 Job ID: A3141238</t>
        </is>
      </c>
    </row>
    <row r="68">
      <c r="A68" t="inlineStr">
        <is>
          <t>li-4365503487</t>
        </is>
      </c>
      <c r="B68" t="inlineStr">
        <is>
          <t>Principal Applied Scientist, Personalization</t>
        </is>
      </c>
      <c r="C68" t="inlineStr">
        <is>
          <t>Amazon</t>
        </is>
      </c>
      <c r="D68" t="inlineStr">
        <is>
          <t>linkedin</t>
        </is>
      </c>
      <c r="E68" t="inlineStr"/>
      <c r="F68" t="inlineStr"/>
      <c r="G68" t="inlineStr">
        <is>
          <t>Seattle, WA</t>
        </is>
      </c>
      <c r="H68" t="inlineStr"/>
      <c r="I68" t="inlineStr">
        <is>
          <t>**Description**
 We are building the next generation of personalized shopping experiences at Amazon through deep understanding of our customer's intent and our product catalog. We aim to create an experience akin to that of a talented personal shopping assistant — a partner that is knowledgeable, understands your preferences, and helps you find the right solution for your needs.
 As a Principal Applied Scientist on the team, you will help lead science innovation in our space across a large multidisciplinary team. You will have a breadth of problems to work on, ranging from developing state of the art LLM\-based techniques to reason about customers and products, developing deep learned transformer\-based models to understand and abstract customer intent signals and representations, building large\-scale real\-time multi\-task ranking systems, and more. You will build technology employed by teams across the company, while also having a direct connection to millions of customers through our own customer facing features every day. Come join us in the journey!
 Key job responsibilities
* Innovate new features and models that have huge impact on the customer experience. Help customers find the right products and content on their shopping journey. Leverage the use of advanced machine learning to create customer shopping experience at Amazon's scale \- for all Amazon customers across all countries in realtime
* Be a key leader on a multidisciplinary team across science, product, design, and engineering to see through ideas from inception, prototype, to launch in the hands of all Amazon's customers
* Drive the science roadmap across multiple teams, helping coordinate a cohesive science agenda across the org.
* Mentoring applied scientists across the org, growing their skills and careers.
**About The Team**
 Our mission is to delight every Amazon customer with a personalized shopping experience tailed to their intent. We achieve our mission through investments in UX, Science, and Systems with the purpose of delivering the future of shopping on Amazon. We are seeking a Principal Applied Scientist to lead the science charter across the recommendations and intent identification space.
**About Our Organization**
 Our team is part of Amazon’s Personalization organization, a high\-performing group that leverages Amazon’s expertise in machine learning, big data, distributed systems, and user experience design to deliver the best shopping experiences for our customers. We run global experiments and our work has revolutionized e\-commerce with features such as "Keep shopping for ...", “Customers who bought this item also bought”, and “Frequently bought together”. Amazon’s internal surveys regularly recognize us as one of the best engineering organizations to work for in the company, with visible high\-impact work, low operational load, respectful work\-life balance, and continual opportunity to learn and grow.
**Basic Qualifications**
* Experience working in predictive modeling and analysis
* Experience distilling informal customer requirements into problem definitions, dealing with ambiguity and competing objectives
**Preferred Qualifications**
* Experience creating novel algorithms and advancing the state of the art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\- 198,900\.00 \- 269,000\.00 USD annually
**Company** 
 \- Amazon.com Services LLC
 Job ID: A3108814</t>
        </is>
      </c>
    </row>
    <row r="69">
      <c r="A69" t="inlineStr">
        <is>
          <t>li-4297979510</t>
        </is>
      </c>
      <c r="B69" t="inlineStr">
        <is>
          <t>AI/ML Engineer</t>
        </is>
      </c>
      <c r="C69" t="inlineStr">
        <is>
          <t>hackajob</t>
        </is>
      </c>
      <c r="D69" t="inlineStr">
        <is>
          <t>linkedin</t>
        </is>
      </c>
      <c r="E69" t="inlineStr"/>
      <c r="F69" t="inlineStr"/>
      <c r="G69" t="inlineStr"/>
      <c r="H69" t="inlineStr"/>
      <c r="I69" t="inlineStr">
        <is>
          <t>***hackajob** 
 is collaborating with
 **Leo Technologies** 
 to connect them with exceptional tech professionals for this role.*
 As an AI/NLP Engineer on our Data Science team, you will be at the forefront of leveraging Large Language Models (LLMs) and cutting\-edge AI techniques to create transformative solutions for public safety and intelligence workflows. You will apply your expertise in LLMs, Retrieval\-Augmented Generation (RAG), semantic search, Agentic AI, GraphRAG, and other advanced AI solutions to develop, enhance, and deploy robust features that enable real\-time decision\-making for our end users. You will work closely with product, engineering, and data science teams to translate real\-world problems into scalable, production\-grade solutions. This is an individual contributor (IC) role that emphasizes technical depth, experimentation, and hands\-on engineering. You will participate in all phases of the AI solution lifecycle, from architecture and design through prototyping, implementation, evaluation, productionization and continuous improvement.
* Design, build, and optimize AI\-powered solutions using LLMs, RAG pipelines, semantic search, GraphRAG, and Agentic AI architectures.
* Implement and experiment with the latest advancements in large\-scale language modeling, including prompt engineering, model fine\-tuning, evaluation, and monitoring.
* Collaborate with product, backend, and data engineering teams to define requirements, break down complex problems, and deliver high\-impact features aligned with business objectives.
* Inform robust data ingestion and retrieval pipelines that power real\-time and batch AI applications using open\-source and proprietary tools.
* Integrate external data sources (e.g., knowledge graphs, internal databases, third\-party APIs) to enhance the context\-awareness and capabilities of LLM\-based workflows.
* Evaluate and implement best practices for prompt design, model alignment, safety, and guardrails for responsible AI deployment.
* Stay on top of emerging AI research and contribute to internal knowledge\-sharing, tech talks, and proof\-of\-concept projects.
* Author clean, well\-documented, and testable code; participate in peer code reviews and engineering design discussions.
* Proactively identify bottlenecks and propose solutions to improve system scalability, efficiency, and reliability.
* Bachelor's or Master's degree in Computer Science, Artificial Intelligence, Data Science, or a related field.
* 5\+ years of hands\-on experience in applied AI, NLP, or ML engineering (with at least 2 years working directly with LLMs, RAG, semantic search and Agentic AI).
* Deep familiarity with LLMs (e.g. OpenAI, Claude, Gemini), prompt engineering, and responsible deployment in production settings.
* Experience designing, building, and optimizing RAG pipelines, semantic search, vector databases (e.g. ElasticSearch, Pinecone), and Agentic or multi\-agent AI workflows in in large scale production setup. Exposure to MCP and A2A protocol is a plus.
* Exposure to GraphRAG or graph\-based knowledge retrieval techniques is a strong plus.
* Strong proficiency with modern ML frameworks and libraries (e.g. LangChain, LlamaIndex, PyTorch, HuggingFace Transformers).
* Ability to design APIs and scalable backend services, with hands\-on experience in Python.
* Experience building, deploying, and monitoring AI/ML workloads in cloud environments (AWS, Azure) using services like AWS SageMaker, AWS Bedrock, AzureAI, etc. Experience with tools to load balance different LLMs providers is a plus.
* Familiarity with MLOps practices, CI/CD for AI, model monitoring, data versioning, and continuous integration.
* Demonstrated ability to work with large, complex datasets, perform data cleaning, feature engineering, and develop scalable data pipelines.
* Excellent problem\-solving, collaboration, and communication skills; able to work effectively across remote and distributed teams.
* Proven record of shipping robust, high\-impact AI solutions, ideally in fast\-paced or regulated environments.</t>
        </is>
      </c>
    </row>
    <row r="70">
      <c r="A70" t="inlineStr">
        <is>
          <t>li-4372783519</t>
        </is>
      </c>
      <c r="B70" t="inlineStr">
        <is>
          <t>Machine Learning Engineer</t>
        </is>
      </c>
      <c r="C70" t="inlineStr">
        <is>
          <t>Pangram Labs</t>
        </is>
      </c>
      <c r="D70" t="inlineStr">
        <is>
          <t>linkedin</t>
        </is>
      </c>
      <c r="E70" t="inlineStr"/>
      <c r="F70" t="inlineStr"/>
      <c r="G70" t="inlineStr">
        <is>
          <t>New York, NY</t>
        </is>
      </c>
      <c r="H70" t="inlineStr"/>
      <c r="I70" t="inlineStr">
        <is>
          <t>**About Pangram Labs**
 Pangram Labs’ mission is to protect authenticity by building the world’s best AI detection systems. We publish research on state\-of\-the\-art AI detection techniques and algorithms, and build products to bring our technology into people's daily lives.
 We are looking for high agency, mission\-driven, and passionate builders to join our team. All roles are in person in Brooklyn, New York.
**About The Role**
 Pangram Labs is hiring strong Machine Learning Engineers at all levels to join our team. In this role, you will build software to support the machine learning development cycle from data generation, to training models, to deployment and monitoring production machine learning systems in real customer environments.
 At Pangram, ML engineers are highly involved in the research effort, are involved in publishing research, and regularly contribute ideas and innovations to the team. However, formal research experience is not necessary.
 This is an in\-person role in our office in Downtown Brooklyn, NYC.
 Responsibilities:
* Build robust data pipelines that mine the Internet at scale and generate millions of synthetic text examples for training detection models
* Manage distributed infrastructure for multi\-GPU LLM training
* Profiling and optimizing training and inference code
* Deploy efficient inference pipelines for serving LLMs at scale
 Requirements:
* B.S./M.S. in Computer Science or related areas
* Strong programming skills in Python and modern ML frameworks
* Excellent understanding of transformers and LLM fundamentals
* Comfort working across research and engineering boundaries
 Nice to have
* Experience with NVIDIA GPU programming and CUDA
* Experience with distributed training frameworks, such as DeepSpeed, FSDL, Ray
* Experience with inference frameworks like vLLM
* Experience with large\-scale data processing (Spark, Beam) and orchestration (Airflow)
* Experience with MLOps and experiment tracking
* Experience with DevOps tools
* Familiarity with cloud\-based infrastructure (AWS/GCP)
**About The Team**
 We are a small, tight\-knit team of researchers and engineers who care deeply about our work and each other. We believe that a small group of highly talented, empowered, and efficient people can outperform teams many times their size. Everyone on the team has meaningful ownership over the technical and strategic direction of the company.
 Pangram is primarily an in\-person company. We are high\-touch, high\-energy, and extremely collaborative by nature and choose to spend time together to do our best thinking and innovation.
 Compensation Range: $150K \- $250K</t>
        </is>
      </c>
    </row>
    <row r="71">
      <c r="A71" t="inlineStr">
        <is>
          <t>li-4372794035</t>
        </is>
      </c>
      <c r="B71" t="inlineStr">
        <is>
          <t>AI Engineer - AI Platform</t>
        </is>
      </c>
      <c r="C71" t="inlineStr">
        <is>
          <t>Traversal</t>
        </is>
      </c>
      <c r="D71" t="inlineStr">
        <is>
          <t>linkedin</t>
        </is>
      </c>
      <c r="E71" t="inlineStr"/>
      <c r="F71" t="inlineStr"/>
      <c r="G71" t="inlineStr">
        <is>
          <t>New York, NY</t>
        </is>
      </c>
      <c r="H71" t="inlineStr"/>
      <c r="I71" t="inlineStr">
        <is>
          <t>**About Traversal**
 Traversal is the AI Site Reliability Engineer (SRE) for the enterprise—already trusted by some of the largest companies in the world to troubleshoot, remediate, and even prevent the most complex production incidents. Our mission is to free engineers from endless firefighting and enable them to focus on creative, high\-impact work.
 Our roots remain deeply embedded in AI research, and we’re channeling that scientific rigor and creativity into building the premier AI agent lab for the enterprise. Hence, what we’re proudest of is assembling the most talented yet nicest group of individuals, including researchers from MIT, Harvard, and Berkeley, to world\-class engineers from industry: Citadel Securities, Cockroach Labs, Datadog, DE Shaw, Meta, Hebbia, Perplexity, Glean, Pinecone, and more, to take on one of the hardest problems for AI to solve. Without the entire team, none of this would be possible.
**The Role**
 As an AI Platform Engineer at Traversal, you’ll work on the core foundations that make Traversal’s AI possible, spanning both agent infrastructure and evaluation systems.
* Agent Infrastructure — Build the frameworks, orchestration layers, and developer tooling that power Traversal’s AI agents for root cause analysis, alert triage, and “chat with your infrastructure/telemetry.” This involves designing scalable distributed systems and abstractions (e.g., MCP servers, multi\-agent orchestration, toolkits) that balance research flexibility with production reliability.
* Evaluation — Define what “good” looks like for AI performance in the incident management domain. You’ll build live evaluation pipelines, automated scoring systems, and benchmarks; integrate evaluation into the developer lifecycle; and surface these insights to customers as a value\-add.
 This work combines research (agentic architectures, benchmarking, calibration, finetuning) with engineering (production\-scale infra, APIs, distributed systems) to accelerate the entire AI loop: build → evaluate → improve → ship.
**Responsibilities**
* Design and build agent frameworks, orchestration layers, and developer tooling for Traversal’s AI agents.
* Architect scalable distributed systems to support real\-time workloads over petabytes of heterogeneous telemetry data.
* Build live evaluation pipelines, automated scoring systems, and benchmarks to measure and drive AI performance.
* Integrate evaluation systems into the developer lifecycle to create a fast research\-to\-production loop.
* Surface evaluation signals and benchmarks to customers as a core product capability.
* Partner with research scientists to prototype and productionize agentic architectures.
* Own observability, latency, and reliability for agents in production.
* Evolve and scale the agent \+ evaluation platform as the backbone of Traversal’s AI systems.
**Requirements**
* Strong system design skills for distributed systems.
* Proven production\-scale software engineering experience.
* Experience with LLM\-based applications and/or multi\-agent systems.
* Strong data modeling skills and a track record of writing clean, maintainable code.
* Collaborative, impact\-driven mindset and ability to work across research and engineering teams.
**Nice to Have**
* Knowledge of software incidents and production SRE workflows.
* Prior experience with AI benchmarking or evaluation systems.
* Experience creating quantitative scoring systems or benchmarks in new problem domains.
* Familiarity with observability stacks (logs, metrics, traces) and telemetry systems.
* Background in agentic architectures, orchestration frameworks, or applied AI research.
**Compensation**
 We offer competitive compensation, startup equity, health insurance, and additional benefits. The U.S. base salary range for this full\-time, in\-person role in New York is $150,000–$300,000, plus equity and benefits. Our salary ranges are based on location, level, and role. Individual compensation is determined by experience, skills, and job\-related knowledge.
**Why You Should Join Us**
 We’ll make sure you’re fully supported with health insurance, a great tech setup, flexible time off, and plenty of in\-office snacks. We offer competitive salary and equity packages, and take thoughtful consideration with every hire on our small, high\-impact team.
 Traversal is fully in\-office, 5 days a week, based in New York near Madison Square Park. We have a collaborative, hard\-working culture and are energized by building the future of AI\-powered software maintenance.
 Working here means owning meaningful parts of the product, having the flexibility to move fast, and learning constantly. This is a place to grow your career, make a real impact, and help define a new category of infrastructure software.</t>
        </is>
      </c>
    </row>
    <row r="72">
      <c r="A72" t="inlineStr">
        <is>
          <t>li-4332803693</t>
        </is>
      </c>
      <c r="B72" t="inlineStr">
        <is>
          <t>Machine Learning Engineer</t>
        </is>
      </c>
      <c r="C72" t="inlineStr">
        <is>
          <t>ExxonMobil</t>
        </is>
      </c>
      <c r="D72" t="inlineStr">
        <is>
          <t>linkedin</t>
        </is>
      </c>
      <c r="E72" t="inlineStr"/>
      <c r="F72" t="inlineStr"/>
      <c r="G72" t="inlineStr">
        <is>
          <t>Spring, TX</t>
        </is>
      </c>
      <c r="H72" t="inlineStr"/>
      <c r="I72"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 work
 **together** 
 .
**About Houston**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**Job Role Summary**
 Learn more about what we do in Houston
 **here** 
**.**
 ML Engineering is a technical field that deals with the automation of deployment and sustainment of Data Science work products at scale to deliver value to customers on a reproducible way.
 The Machine Learning Engineer role leads and coordinates work efforts to apply technical skills, domain knowledge and agile techniques to deliver commercial\-grade, automated data science solutions including essential data pipeline, ML model retraining pipeline and user interface development in partnership with Data Scientist and business units. Machine Learning Engineer also identifies effective design for new Data Science model deployment and sustainment opportunities and mentors less experienced team members.
**About You**
* Applies Software Development methodologies, DevOps toolsets and ML techniques and coordinates the implementation effort of an end\-to\-end machine learning workflow that effectively brings ML models to production.
* Contribution: Leads the scoping and identifies the appropriate solution design of a deployment of a new data science solution. This may require provisioning deployment environments via Infrastructure as Code, applying
* Continuous Integration \&amp; Continuous Deployment principles, developing relevant source code, ML Pipelines, APIs, and user interfaces, and employing multiple testing methods to transform and scale a prototype data science model to a multi\-user environment across business lines.
* Sustains solutions by enabling continuous ML model and/or service performance monitoring, training, and re\-training of models, including the implementation of proactive alerting methods.
* Sphere of Influence: Across projects and business lines, acts as a primary contact for business requests.
* Represents ExxonMobil in interactions with key competitors, vendors, partners, joint ventures, NOCs, government officials, industry associations, academia, and industry forums.
* Knowledge Sharing: Mentors early career professionals and utilizes depth and/or breadth of experience to identify cross\-functional business opportunities visible mentor beyond immediate business line or team.
* Participates in internal networks through which their capabilities can be disseminated to the benefit of others.
* Coaches users to improve ability to derive value out of processes, systems, and data.
* Business Acumen: Application of business acumen functional skill applied to C\&amp;DS JF.
**Your Benefits**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Learn more at our
 **website**
 Follow us on
 **LinkedIN** 
 and
 **Instagram**
 Like us on
 **Facebook** 
 Subscribe our channel at
 **YouTube**
**Employee equal opportunity**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80901**</t>
        </is>
      </c>
    </row>
    <row r="73">
      <c r="A73" t="inlineStr">
        <is>
          <t>li-4043212053</t>
        </is>
      </c>
      <c r="B73" t="inlineStr">
        <is>
          <t>Machine Learning Engineer, Reinforcement Learning</t>
        </is>
      </c>
      <c r="C73" t="inlineStr">
        <is>
          <t>Skild AI</t>
        </is>
      </c>
      <c r="D73" t="inlineStr">
        <is>
          <t>linkedin</t>
        </is>
      </c>
      <c r="E73" t="inlineStr"/>
      <c r="F73" t="inlineStr"/>
      <c r="G73" t="inlineStr"/>
      <c r="H73" t="inlineStr"/>
      <c r="I73" t="inlineStr">
        <is>
          <t>**Company Overview** 
 At Skild AI, we are building the world's first general purpose robotic intelligence that is robust and adapts to unseen scenarios without failing. We believe massive scale through data\-driven machine learning is the key to unlocking these capabilities for the widespread deployment of robots within society. Our team consists of individuals with varying levels of experience and backgrounds, from new graduates to domain experts. Relevant industry experience is important, but ultimately less so than your demonstrated abilities and attitude. We are looking for passionate individuals who are eager to explore uncharted waters and contribute to our innovative projects.
**Position Overview** 
 We are looking for a Machine Learning Engineer to be responsible for designing and implementing cutting\-edge reinforcement learning algorithms, conducting experiments, and optimizing these models to perform efficiently in real\-world robotic environments. This will require close collaboration with our robotics, research, and engineering team. Your work will directly impact the development of intelligent, adaptable robots capable of learning and performing complex tasks autonomously.
**Responsibilities** 
* Develop and implement state\-of\-the\-art reinforcement learning algorithms for robotic applications.
* Design and conduct experiments to train RL models and conduct real\-world tests.
* Collaborate closely with researchers to explore novel methods of scaling up reinforcement learning model training.
* Communicate effectively with inference, application, and deployment engineers to integrate RL models into robotic systems and iterate on methods to enable robust deployment.
* Analyze and interpret experimental results, iterating on model design to achieve desired performance.
* Stay up\-to\-date with the latest research and advancements in reinforcement learning.
**Preferred Qualifications** 
* BS, MS or higher degree in Computer Science, Robotics, Engineering or a related field, or equivalent practical experience.
* Proficiency in Python, C\+\+, or similar and at least one deep learning library such as PyTorch, TensorFlow, JAX, etc.
* Deep understanding and practical experience with various reinforcement learning algorithms and techniques (model\-free, model\-based, multi\-task, hierarchical, multi\-agent, etc.).
* Strong background in algorithms, data structures, and software engineering principles.
* Experience with physics simulation engines and tools for training RL.
* Deep understanding of state\-of\-the\-art machine learning techniques and models.
* Extensive industry experience with reinforcement learning and robotic systems.
 Base Salary Range: $100,000 USD \- $300,000 USD</t>
        </is>
      </c>
    </row>
    <row r="74">
      <c r="A74" t="inlineStr">
        <is>
          <t>li-4372790087</t>
        </is>
      </c>
      <c r="B74" t="inlineStr">
        <is>
          <t>AI Engineer - Agents</t>
        </is>
      </c>
      <c r="C74" t="inlineStr">
        <is>
          <t>Traversal</t>
        </is>
      </c>
      <c r="D74" t="inlineStr">
        <is>
          <t>linkedin</t>
        </is>
      </c>
      <c r="E74" t="inlineStr"/>
      <c r="F74" t="inlineStr"/>
      <c r="G74" t="inlineStr">
        <is>
          <t>New York, NY</t>
        </is>
      </c>
      <c r="H74" t="inlineStr"/>
      <c r="I74" t="inlineStr">
        <is>
          <t>**About Traversal**
 Traversal is the AI Site Reliability Engineer (SRE) for the enterprise—already trusted by some of the largest companies in the world to troubleshoot, remediate, and even prevent the most complex production incidents. Our mission is to free engineers from endless firefighting and enable them to focus on creative, high\-impact work.
 Our roots remain deeply embedded in AI research, and we’re channeling that scientific rigor and creativity into building the premier AI agent lab for the enterprise. Hence, what we’re proudest of is assembling the most talented yet nicest group of individuals, including researchers from MIT, Harvard, and Berkeley, to world\-class engineers from industry: Citadel Securities, Cockroach Labs, Datadog, DE Shaw, ServiceNow, Glean, Perplexity, Pinecone, and more, to take on one of the hardest problems for AI to solve. Without the entire team, none of this would be possible.
**The Role**
 As an AI Agents Engineer at Traversal, you'll be responsible for designing and implementing intelligent agents that operate at the heart of our observability platform. You will work on deploying frontier LLMs in production, optimizing multi\-step reasoning workflows, and improving the performance and accuracy of agentic architectures across distributed systems.
 This is a highly technical role at the intersection of AI, infrastructure, and systems engineering. You’ll work across teams to ensure our AI agents interact seamlessly with large volumes of observability data and scale reliably across environments.
**Responsibilities**
* AI Agent Architecture: Design and build multi\-step reasoning workflows that use LLMs and other components to analyze large\-scale observability data.
* Prompting \&amp; Tooling: Develop tooling for prompt engineering, function calling, and agentic orchestration that optimizes latency, reliability, and performance.
* Production Deployment: Integrate AI components into a robust, scalable production environment with low latency and high uptime requirements.
* Experimentation: Prototype and test new LLMs, prompting strategies, and fine\-tuning approaches to improve the quality and coverage of agentic responses.
* Collaboration: Work closely with backend, infra, and product teams to ensure AI agents are well\-integrated into the broader system.
* Observability \&amp; Debugging: Build evaluation and monitoring tools for agent performance and reliability across production workloads.
**Requirements**
* 3\+ years of software engineering experience.
* Strong Python skills, including experience with performance tuning and ML/AI libraries.
* Experience building and deploying distributed systems and/or large\-scale data processing pipelines. Familiarity with LLMs, prompt engineering, or agentic frameworks.
* Experience with observability data (logs, metrics, traces) and live incident debugging.
* Proven ability to deliver projects end\-to\-end: from experimentation to production deployment and iteration.
* Strong debugging skills and ability to work across layers (data, infra, model, and application).
**Nice to Have**
* Experience with observability data and production infrastructure (logs, metrics, traces).
* Familiarity with model fine\-tuning, evaluation tooling, or reinforcement learning from human feedback (RLHF).
* Background in AI agent research or open\-source contributions to agent frameworks.
* Experience working with Terraform, Kubernetes, or ML orchestration platforms.
**Compensation**
 We offer competitive compensation, startup equity, health insurance, and additional benefits. The U.S. base salary range for this full\-time, in\-person role in New York is $150,000–$300,000, plus equity and benefits. Our salary ranges are based on location, level, and role. Individual compensation is determined by experience, skills, and job\-related knowledge.
**Why You Should Join Us**
 We’ll make sure you’re fully supported with health insurance, a great tech setup, flexible time off, and plenty of in\-office snacks. We offer competitive salary and equity packages, and take thoughtful consideration with every hire on our small, high\-impact team.
 Traversal is fully in\-office, 5 days a week, based in New York near Madison Square Park. We have a collaborative, hard\-working culture and are energized by building the future of AI\-powered software maintenance.
 Working here means owning meaningful parts of the product, having the flexibility to move fast, and learning constantly. This is a place to grow your career, make a real impact, and help define a new category of infrastructure software.</t>
        </is>
      </c>
    </row>
    <row r="75">
      <c r="A75" t="inlineStr">
        <is>
          <t>li-4363118553</t>
        </is>
      </c>
      <c r="B75" t="inlineStr">
        <is>
          <t>Applied AI Engineer, Computer Vision &amp; Machine Learning</t>
        </is>
      </c>
      <c r="C75" t="inlineStr">
        <is>
          <t>Tyle</t>
        </is>
      </c>
      <c r="D75" t="inlineStr">
        <is>
          <t>linkedin</t>
        </is>
      </c>
      <c r="E75" t="inlineStr"/>
      <c r="F75" t="inlineStr"/>
      <c r="G75" t="inlineStr"/>
      <c r="H75" t="inlineStr"/>
      <c r="I75" t="inlineStr">
        <is>
          <t>**Tyle is building the visual biomarker layer for human health.** 
 Computer vision and multimodal AI now make it possible to extract meaningful biological signals from visual data at scale. Skin and other observable traits contain far more information about systemic health than is currently captured or utilized. We are building the models and infrastructure to capture, interpret, and continuously learn from those signals.
 ​​Our ambition is to build the foundational infrastructure that turns high\-quality visual input into continuous, preventative insight at scale.
 Founded by engineers and product leaders from Meta and Google, Tyle is operating in stealth, closing a sizable pre\-seed round, and launching its first few pilots.
 This is a rare opportunity to define a new layer of health infrastructure from first principles.
**The role** 
 We are hiring a Founding Engineer to take ownership of and scale Tyle’s core technology stack, spanning proprietary imaging hardware, capture software, data infrastructure, proprietary multimodal models, and live product interfaces.
 You will take technical ownership of this system, improving signal quality at capture, strengthening data and training loops, advancing model performance in real\-world conditions, and building the infrastructure required to deploy and operate reliably at scale. You will make foundational architectural decisions that determine how the system evolves and how new capabilities are introduced over time.
 A core part of the role is rapidly evaluating and integrating emerging computer vision research, translating new techniques and published work into production\-grade improvements that create measurable impact.
 This role is for an engineer who wants both depth and breadth, solving hard computer vision problems while directly shaping product direction and long\-term technical strategy.
**Core Responsibilities** 
* Own and evolve the end\-to\-end computer vision system, from signal capture and data curation through model training, evaluation, and deployment
* Improve real\-world model performance by refining data pipelines, feedback loops, and evaluation methodology
* Architect and scale the infrastructure that supports reliable inference, monitoring, and iteration in production
* Contribute across the stack where needed, including capture systems, backend services, and user\-facing product surfaces
* Set technical direction and engineering standards as the company grows
**What we’re looking for** 
 You have deep experience in computer vision and have built, trained, and deployed models that perform in real\-world conditions. You understand data quality, labeling strategy, evaluation methodology, and the constraints that affect model performance in production.
 You are comfortable reading research papers, reproducing results, and adapting state\-of\-the\-art techniques to practical constraints. You can distinguish between promising ideas and production\-ready approaches, and you know how to turn experiments into reliable systems.
 You operate comfortably as an AI generalist, moving between model development, experimentation infrastructure, and production deployment. You design clear systems, write maintainable code, and make sound architectural decisions under ambiguity.
 You effectively leverage modern AI\-assisted tools and workflows to accelerate development, automate repetitive tasks, and improve system design. You maintain a strong bar for correctness, performance, and reliability, and have shipped systems that meet it.
 This is a hands\-on role. You will spend the majority of your time building, experimenting, and shipping. We value clear thinking, written design, measurable progress, and fast iteration grounded in data.
 We operate in person in the Bay Area for tight collaboration across hardware, software, and AI. Remote within the US is possible for exceptional candidates with the right experience.
 The base salary range for this role is $120,000 – $200,000, depending on experience and scope. The role also includes meaningful equity participation, with total compensation targeted in the $210,000 – $260,000 range.</t>
        </is>
      </c>
    </row>
    <row r="76">
      <c r="A76" t="inlineStr">
        <is>
          <t>li-4372748978</t>
        </is>
      </c>
      <c r="B76" t="inlineStr">
        <is>
          <t>Applied Machine Learning Engineer</t>
        </is>
      </c>
      <c r="C76" t="inlineStr">
        <is>
          <t>Vero</t>
        </is>
      </c>
      <c r="D76" t="inlineStr">
        <is>
          <t>linkedin</t>
        </is>
      </c>
      <c r="E76" t="inlineStr"/>
      <c r="F76" t="inlineStr"/>
      <c r="G76" t="inlineStr">
        <is>
          <t>New York, NY</t>
        </is>
      </c>
      <c r="H76" t="inlineStr"/>
      <c r="I76" t="inlineStr">
        <is>
          <t>Join a pioneering start up at the forefront of quantum mechanics and AI \- developing novel ML models that redefine what’s possible. Backed by top\-tier investors, we rank among the top 1% of pre\-series start ups globally, offering a rare opportunity to shape the future of AI.
 If you’re an ambitious engineer eager to bridge research and real\-world applications, this is your chance to make a lasting impact as an
 **Applied ML Engineer.** 
**What We Offer** 
* Up to $300,000 total comp
* Equity in a rapidly growing AI startup
* Hybrid working 3 days onsite per week in New York
* Significant scope for professional growth and cross\-functional learning
**Your Role** 
* **Develop \&amp; Optimize novel ML Models** 
 – Work with real world data, design and benchmark ML experiments, and communicate insights that drive improvements
* **Blending Engineering \&amp; Research**
* Engineer: You’ll develop and refine ML pipelines, ensure reproducibility and scalability, and assist in integration and deployment.
* Researcher: You’ll conduct advanced experiments, test new ideas, and produce actionable insights for the Research team to incorporate into the core model
* **Benchmark \&amp; Experiment** 
 – Conduct rigorous benchmarking, performance evaluations, and model optimization to push the limits of ML performance.
* **Collaboration \&amp; Execution \-** 
 Collaborate with researchers, stakeholders, and client\-facing teams to ensure alignment on project requirements.
* **Deploy Scalable AI Systems** 
 – Build production\-ready ML that integrate seamlessly into real\-world applications.
**Requirements** 
* **Education \- Bachelor’s or Master’s** 
 in a related field
* 3\-7 years of experience
* Proven experience in
 **developing and deploying ML** 
 models at scale.
* **ML techniques** 
 – Some of: Neural Networks, Probabilistic Models, gen AI, Active Learning, Reinforcement Learning
* **Python**
* **ML frameworks** 
 (PyTorch, JAX, Tensorflow) and
 **deep learning industry developments**
* Strong understanding of
 **ML fundamentals** 
 (regression, classification, clustering, performance metrics) and scikit\-learn.
* **Quantum Enthusiasm** 
 – A background in quantum mechanics, complex linear algebra, or an interest in applying quantum concepts to ML is a strong plus.
* **Cloud** 
 (AWS, Azure or GCP)
* **Applied Research Skills** 
 – Ability to design experiments, analyze performance metrics, and iterate rapidly.
* **Collaborative \&amp; Impact\-Driven** 
 – Comfortable working in cross\-functional teams, translating research insights into practical AI solutions.
**Ready to Shape the Future?** 
 If you’re excited about working on a new ML paradigm that’s transforming multiple high\-impact sectors, apply now!</t>
        </is>
      </c>
    </row>
    <row r="77">
      <c r="A77" t="inlineStr">
        <is>
          <t>li-4372016888</t>
        </is>
      </c>
      <c r="B77" t="inlineStr">
        <is>
          <t>Senior Machine Learning Engineer, AI Product and Platform</t>
        </is>
      </c>
      <c r="C77" t="inlineStr">
        <is>
          <t>BetterUp</t>
        </is>
      </c>
      <c r="D77" t="inlineStr">
        <is>
          <t>linkedin</t>
        </is>
      </c>
      <c r="E77" t="inlineStr"/>
      <c r="F77" t="inlineStr"/>
      <c r="G77" t="inlineStr">
        <is>
          <t>New York, United States</t>
        </is>
      </c>
      <c r="H77" t="inlineStr"/>
      <c r="I77" t="inlineStr">
        <is>
          <t>**Let’s face it: if you’re going to build the future of human transformation, you deserve more than a paycheck.**
 You deserve a personal BetterUp Coach, the most curious teammates on the planet, and a mission that pulls you out of bed every morning. At BetterUp, we pair world\-class coaching with Generative AI to help millions live with clarity and purpose. Ready to engineer the models that make that magic feel personal?
**What You’ll Do**
* Prototype, fine\-tune, and evaluate LLM\-powered features—from conversational insights to practice\-moment nudges—using Python and Jupyter notebooks.
* Own the production lifecycle: data prep, experiment design, offline/online evaluation, and weekly pushes to prod alongside a tight squad of ML/Backend/Full Stack Engineers.
* Collaborate daily with Product, Coaching Science, and Learning Design to turn behavior\-change research into delightful user moments.
* Contribute to technical design by shaping model architectures, retrieval strategies, and safety guards—while staying hands\-on in code.
* Measure what matters: define success metrics, implement A/B tests, and iterate quickly on real coach feedback.
* Ship end\-to\-end improvements to products like FocusFrame, our AI copilot that helps coaches deliver higher\-impact sessions in real time.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Bring**
**Core**
* 4\+ years building and shipping ML systems in production, with at least 6–12 months hands\-on with LLM fine\-tuning, prompt engineering, or RAG pipelines.
* Fluency in Python for AI development and comfort working in Jupyter/IPython.
* Solid understanding of modern ML tooling (e.g., PyTorch, TensorFlow, or JAX) and containerized/cloud deployment basics.
* Clear, approachable communication with both technical peers and non\-technical partners.
* Bias toward action, curiosity, and comfort navigating ambiguity in a fast\-moving startup environment.
**Bonus (nice\-to\-have, Not Required)**
* Prior experience in coaching, learning\-science, ed\-tech, or behavior\-change domains.
* Exposure to RLHF, preference tuning, or multimodal models.
**Not sure you hit every bullet?** 
 We value growth mindsets—please apply anyway.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**$200,000 \- $275,000**
 Austin, Arlington, and Chicago:
 **$180,000 \- $247,500**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78">
      <c r="A78" t="inlineStr">
        <is>
          <t>li-4372021484</t>
        </is>
      </c>
      <c r="B78" t="inlineStr">
        <is>
          <t>Senior Machine Learning Engineer, AI Product and Platform</t>
        </is>
      </c>
      <c r="C78" t="inlineStr">
        <is>
          <t>BetterUp</t>
        </is>
      </c>
      <c r="D78" t="inlineStr">
        <is>
          <t>linkedin</t>
        </is>
      </c>
      <c r="E78" t="inlineStr"/>
      <c r="F78" t="inlineStr"/>
      <c r="G78" t="inlineStr">
        <is>
          <t>San Francisco, CA</t>
        </is>
      </c>
      <c r="H78" t="inlineStr"/>
      <c r="I78" t="inlineStr">
        <is>
          <t>**Let’s face it: if you’re going to build the future of human transformation, you deserve more than a paycheck.**
 You deserve a personal BetterUp Coach, the most curious teammates on the planet, and a mission that pulls you out of bed every morning. At BetterUp, we pair world\-class coaching with Generative AI to help millions live with clarity and purpose. Ready to engineer the models that make that magic feel personal?
**What You’ll Do**
* Prototype, fine\-tune, and evaluate LLM\-powered features—from conversational insights to practice\-moment nudges—using Python and Jupyter notebooks.
* Own the production lifecycle: data prep, experiment design, offline/online evaluation, and weekly pushes to prod alongside a tight squad of ML/Backend/Full Stack Engineers.
* Collaborate daily with Product, Coaching Science, and Learning Design to turn behavior\-change research into delightful user moments.
* Contribute to technical design by shaping model architectures, retrieval strategies, and safety guards—while staying hands\-on in code.
* Measure what matters: define success metrics, implement A/B tests, and iterate quickly on real coach feedback.
* Ship end\-to\-end improvements to products like FocusFrame, our AI copilot that helps coaches deliver higher\-impact sessions in real time.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Bring**
**Core**
* 4\+ years building and shipping ML systems in production, with at least 6–12 months hands\-on with LLM fine\-tuning, prompt engineering, or RAG pipelines.
* Fluency in Python for AI development and comfort working in Jupyter/IPython.
* Solid understanding of modern ML tooling (e.g., PyTorch, TensorFlow, or JAX) and containerized/cloud deployment basics.
* Clear, approachable communication with both technical peers and non\-technical partners.
* Bias toward action, curiosity, and comfort navigating ambiguity in a fast\-moving startup environment.
**Bonus (nice\-to\-have, Not Required)**
* Prior experience in coaching, learning\-science, ed\-tech, or behavior\-change domains.
* Exposure to RLHF, preference tuning, or multimodal models.
**Not sure you hit every bullet?** 
 We value growth mindsets—please apply anyway.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**$200,000 \- $275,000**
 Austin, Arlington, and Chicago:
 **$180,000 \- $247,500**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79">
      <c r="A79" t="inlineStr">
        <is>
          <t>li-4361558997</t>
        </is>
      </c>
      <c r="B79" t="inlineStr">
        <is>
          <t>Machine Learning Engineer - Ranking &amp; Recommendations</t>
        </is>
      </c>
      <c r="C79" t="inlineStr">
        <is>
          <t>Uber</t>
        </is>
      </c>
      <c r="D79" t="inlineStr">
        <is>
          <t>linkedin</t>
        </is>
      </c>
      <c r="E79" t="inlineStr"/>
      <c r="F79" t="inlineStr"/>
      <c r="G79" t="inlineStr">
        <is>
          <t>Seattle, WA</t>
        </is>
      </c>
      <c r="H79" t="inlineStr"/>
      <c r="I79"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individuals who excel in problem\-solving and critical thinking, are proficient in coding, with proven track records of learning and growth, and have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Generative AI \- shopping ranking and recommendation systems.
**What The Candidate Will Do**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2\+ years of experience building and deploying machine learning models (or a PhD in a relevant field)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USD$171,000 per year \- USD$190,000 per year. For San Francisco, CA\-based roles: The base salary range for this role is USD$171,000 per year \- USD$190,000 per year. For Seattle, WA\-based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80">
      <c r="A80" t="inlineStr">
        <is>
          <t>li-4364492212</t>
        </is>
      </c>
      <c r="B80" t="inlineStr">
        <is>
          <t>AI ML Engineer</t>
        </is>
      </c>
      <c r="C80" t="inlineStr">
        <is>
          <t>Synechron</t>
        </is>
      </c>
      <c r="D80" t="inlineStr">
        <is>
          <t>linkedin</t>
        </is>
      </c>
      <c r="E80" t="inlineStr"/>
      <c r="F80" t="inlineStr"/>
      <c r="G80" t="inlineStr">
        <is>
          <t>New York, NY</t>
        </is>
      </c>
      <c r="H80" t="inlineStr"/>
      <c r="I80"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highly experienced and innovative Senior AI/ML Engineer with industry expertise to lead the development of scalable machine learning systems. In this pivotal role, there will be architecture and implementation of advanced AI solutions, guide strategic AI initiatives, and collaboration with cross\-functional teams to drive innovation. The technical leadership will be instrumental in shaping our AI roadmap and delivering state\-of\-the\-art models and systems.
 Additional Information\*
 The base salary for this position will vary based on geography and other factors. In accordance with law, the base salary for this role if filled within New York, NY is $130k \- $140k/year \&amp; benefits (see below).
**The Role**
**Responsibilities:**
* Design, develop, and optimize scalable machine learning systems capable of handling large\-scale data and complex models.
* Develop advanced statistical models to solve complex business problems.
* Lead the deployment of ML models into production environments with robustness and efficiency.
* Integrate models seamlessly with REST APIs for application integration.
* Provide technical guidance and strategic direction for AI initiatives across teams.
* Stay abreast of the latest AI/ML research, especially in NLP, deep learning, and large language models.
* Mentor junior team members and promote best practices in AI engineering.
* Collaborate with data engineers, software developers, and product teams to align AI solutions with business goals.
**Requirements:**
* Proven experience designing scalable ML systems and architectures.
* Strong expertise in advanced statistical modeling techniques.
* Deep experience in
 model development and deployment pipelines.
* Proficiency in integrating ML models with
 REST APIs.
* Hands\-on experience with cloud ML platforms, such as AWS SageMaker or Azure AI.
**Preferred, but not required:**
* In\-depth experience with Natural Language Processing (NLP), deep learning, and transformer\-based models.
* Demonstrated leadership in formulating and executing AI strategies within organizations.
* Knowledge of the latest AI frameworks, including Transformers and Large Language Models (LLMs).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t>
        </is>
      </c>
    </row>
    <row r="81">
      <c r="A81" t="inlineStr">
        <is>
          <t>li-4372026231</t>
        </is>
      </c>
      <c r="B81" t="inlineStr">
        <is>
          <t>Senior ML Engineer</t>
        </is>
      </c>
      <c r="C81" t="inlineStr">
        <is>
          <t>HCA Healthcare</t>
        </is>
      </c>
      <c r="D81" t="inlineStr">
        <is>
          <t>linkedin</t>
        </is>
      </c>
      <c r="E81" t="inlineStr"/>
      <c r="F81" t="inlineStr"/>
      <c r="G81" t="inlineStr"/>
      <c r="H81" t="inlineStr"/>
      <c r="I81" t="inlineStr">
        <is>
          <t>Job Summary and Qualifications
 Drives implementation of AI Platform capabilities within an embedded product team through hands\-on development and technical expertise. Actively contributes to AI development while following platform standards and patterns, writing high\-quality code, and providing practical feedback for platform improvement. Leverages platform solutions to solve team\-specific MLOps challenges while balancing team\-specific needs with organizational standards. Partners with both product and platform teams to ensure effective adoption of platform capabilities, accelerating AI delivery through consistent implementation patterns and engineering excellence
**What you will do in this role:** 
* Actively contribute to AI/MLOps development within assigned product team
* Implement platform capabilities and patterns effectively
* Write high\-quality, maintainable code following team standards
* Develop and maintain ML systems using platform capabilities
* Implement robust CI/CD pipelines for ML models
* Ensure proper testing and validation of ML systems
* Balance team\-specific needs with platform standardization
* Champion platform adoption within a team
* Follow and help refine platform patterns and best practices
* Identify opportunities for leveraging platform capabilities
* Provide feedback on platform features and usability
* Help validate platform patterns through direct implementation
* Share knowledge and experiences with other MLEs
* Contribute to platform documentation and examples
* Participate in code reviews with focus on platform patterns
* Implement and maintain ML pipelines using platform tools
* Document technical decisions and implementations
* Follow established best practices and standards
* Contribute to technical discussions and design reviews
* Work closely with product team to understand AI development needs
* Provide implementation feedback to platform team
* Participate in technical discussions and knowledge sharing
* Help identify opportunities for platform improvement
**What qualifications you will need:** 
* Bachelor's degree \- Required
* Master's degree \- Preferred
* 5\+ years of experience in software engineering with a focus on ML and AI System Engineering \- Required
* Experience working in as an embedded engineer in a cross\-function product team \- Preferred
* Or equivalent combination of education and/or experience
**Additional Requirements/Preferences** 
* Strong technical background in ML engineering with demonstrated coding expertise \- Required
* Strong Python development expertise with focus on ML systems and AI/MLOps \- Required
* Familiarity of ML workflows and operational requirements \- Required
* Hands\-on experience implementing model CI/CD pipelines \- Required
* Experience with modern Python development practices including type checking, testing frameworks, and package management \- Required
* History of successful collaboration with product teams \- Required
* Familiarity with ML Development Lifecycle management and MLOps best practices \- Required
* Familiarity of ML Monitoring and observability \- Required
* Experience with LLMs and Infrastructure \- Preferred
* Familiarity integrating with feature stores, feature caches and model serving platforms \- Preferred
* Understanding of ML/AI platform tooling and patterns \- Preferred
* Familiarity with Distributed model training \- Preferred
* Hands\-on experience with Kubeflow, Argo, MLFlow or other ML/AI Training orchestrators \- Preferred
* Familiarity of ML/AI metadata tools and model registries – Preferred
* Hands\-on experience with Terraform or other IaC tools \- Preferred
* Hands on experience building ML/AI solutions on GCP and Vertex AI \- Preferred
* Familiarity with ML model lifecycle and common ML libraries (PyTorch, scikit\-learn, XGBoost, AutoGluon, CatBoost, TensorFlow, Keras) \- Preferred
* Familiarity with major LLM Models (Gemini, Cluade, ChatGPT, DeepSeek, LLaMA) \- Preferred
* Experience with FastAPI and async Python development \- Preferred
* Familiarity with modern Python tooling (uv, mypy, ruff, bandit) \- Preferred
* Experience with prompt management and versioning systems \- Preferred
* Understanding of RAG architectures and token optimization \- Preferred
* Experience writing and optimizing ML/AI tooling and components in C\+\+ or Rust \- Preferred
* Experience with LLMs and Infrastructure \- Preferred
* Experience integrating with feature stores, feature caches and model serving platforms – Preferred
**Work Location/Schedule:** 
* Remote \- M\-F, 8am – 5pm \- Central Time
**Travel Required:** 
* This job requires travel to Nashville, TN to attend final interview, 3\-day New Hire Orientation, quarterly team meetings, and other travel on as\-needed basis
**Visa Sponsorship:** 
* Not Offered, now or in the future</t>
        </is>
      </c>
    </row>
    <row r="82">
      <c r="A82" t="inlineStr">
        <is>
          <t>li-4372015914</t>
        </is>
      </c>
      <c r="B82" t="inlineStr">
        <is>
          <t>Senior Machine Learning Engineer, AI Product and Platform</t>
        </is>
      </c>
      <c r="C82" t="inlineStr">
        <is>
          <t>BetterUp</t>
        </is>
      </c>
      <c r="D82" t="inlineStr">
        <is>
          <t>linkedin</t>
        </is>
      </c>
      <c r="E82" t="inlineStr"/>
      <c r="F82" t="inlineStr"/>
      <c r="G82" t="inlineStr">
        <is>
          <t>Austin, CO</t>
        </is>
      </c>
      <c r="H82" t="inlineStr"/>
      <c r="I82" t="inlineStr">
        <is>
          <t>**Let’s face it: if you’re going to build the future of human transformation, you deserve more than a paycheck.**
 You deserve a personal BetterUp Coach, the most curious teammates on the planet, and a mission that pulls you out of bed every morning. At BetterUp, we pair world\-class coaching with Generative AI to help millions live with clarity and purpose. Ready to engineer the models that make that magic feel personal?
**What You’ll Do**
* Prototype, fine\-tune, and evaluate LLM\-powered features—from conversational insights to practice\-moment nudges—using Python and Jupyter notebooks.
* Own the production lifecycle: data prep, experiment design, offline/online evaluation, and weekly pushes to prod alongside a tight squad of ML/Backend/Full Stack Engineers.
* Collaborate daily with Product, Coaching Science, and Learning Design to turn behavior\-change research into delightful user moments.
* Contribute to technical design by shaping model architectures, retrieval strategies, and safety guards—while staying hands\-on in code.
* Measure what matters: define success metrics, implement A/B tests, and iterate quickly on real coach feedback.
* Ship end\-to\-end improvements to products like FocusFrame, our AI copilot that helps coaches deliver higher\-impact sessions in real time.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Bring**
**Core**
* 4\+ years building and shipping ML systems in production, with at least 6–12 months hands\-on with LLM fine\-tuning, prompt engineering, or RAG pipelines.
* Fluency in Python for AI development and comfort working in Jupyter/IPython.
* Solid understanding of modern ML tooling (e.g., PyTorch, TensorFlow, or JAX) and containerized/cloud deployment basics.
* Clear, approachable communication with both technical peers and non\-technical partners.
* Bias toward action, curiosity, and comfort navigating ambiguity in a fast\-moving startup environment.
**Bonus (nice\-to\-have, Not Required)**
* Prior experience in coaching, learning\-science, ed\-tech, or behavior\-change domains.
* Exposure to RLHF, preference tuning, or multimodal models.
**Not sure you hit every bullet?** 
 We value growth mindsets—please apply anyway.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**$200,000 \- $275,000**
 Austin, Arlington, and Chicago:
 **$180,000 \- $247,500**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83">
      <c r="A83" t="inlineStr">
        <is>
          <t>li-4372017820</t>
        </is>
      </c>
      <c r="B83" t="inlineStr">
        <is>
          <t>Senior Machine Learning Engineer, AI Product and Platform</t>
        </is>
      </c>
      <c r="C83" t="inlineStr">
        <is>
          <t>BetterUp</t>
        </is>
      </c>
      <c r="D83" t="inlineStr">
        <is>
          <t>linkedin</t>
        </is>
      </c>
      <c r="E83" t="inlineStr"/>
      <c r="F83" t="inlineStr"/>
      <c r="G83" t="inlineStr">
        <is>
          <t>Texas, United States</t>
        </is>
      </c>
      <c r="H83" t="inlineStr"/>
      <c r="I83" t="inlineStr">
        <is>
          <t>**Let’s face it: if you’re going to build the future of human transformation, you deserve more than a paycheck.**
 You deserve a personal BetterUp Coach, the most curious teammates on the planet, and a mission that pulls you out of bed every morning. At BetterUp, we pair world\-class coaching with Generative AI to help millions live with clarity and purpose. Ready to engineer the models that make that magic feel personal?
**What You’ll Do**
* Prototype, fine\-tune, and evaluate LLM\-powered features—from conversational insights to practice\-moment nudges—using Python and Jupyter notebooks.
* Own the production lifecycle: data prep, experiment design, offline/online evaluation, and weekly pushes to prod alongside a tight squad of ML/Backend/Full Stack Engineers.
* Collaborate daily with Product, Coaching Science, and Learning Design to turn behavior\-change research into delightful user moments.
* Contribute to technical design by shaping model architectures, retrieval strategies, and safety guards—while staying hands\-on in code.
* Measure what matters: define success metrics, implement A/B tests, and iterate quickly on real coach feedback.
* Ship end\-to\-end improvements to products like FocusFrame, our AI copilot that helps coaches deliver higher\-impact sessions in real time.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Bring**
**Core**
* 4\+ years building and shipping ML systems in production, with at least 6–12 months hands\-on with LLM fine\-tuning, prompt engineering, or RAG pipelines.
* Fluency in Python for AI development and comfort working in Jupyter/IPython.
* Solid understanding of modern ML tooling (e.g., PyTorch, TensorFlow, or JAX) and containerized/cloud deployment basics.
* Clear, approachable communication with both technical peers and non\-technical partners.
* Bias toward action, curiosity, and comfort navigating ambiguity in a fast\-moving startup environment.
**Bonus (nice\-to\-have, Not Required)**
* Prior experience in coaching, learning\-science, ed\-tech, or behavior\-change domains.
* Exposure to RLHF, preference tuning, or multimodal models.
**Not sure you hit every bullet?** 
 We value growth mindsets—please apply anyway.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**$200,000 \- $275,000**
 Austin, Arlington, and Chicago:
 **$180,000 \- $247,500**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84">
      <c r="A84" t="inlineStr">
        <is>
          <t>li-4372028038</t>
        </is>
      </c>
      <c r="B84" t="inlineStr">
        <is>
          <t>Senior Machine Learning Engineer, AI Product and Platform</t>
        </is>
      </c>
      <c r="C84" t="inlineStr">
        <is>
          <t>BetterUp</t>
        </is>
      </c>
      <c r="D84" t="inlineStr">
        <is>
          <t>linkedin</t>
        </is>
      </c>
      <c r="E84" t="inlineStr"/>
      <c r="F84" t="inlineStr"/>
      <c r="G84" t="inlineStr">
        <is>
          <t>San Francisco, CA</t>
        </is>
      </c>
      <c r="H84" t="inlineStr"/>
      <c r="I84" t="inlineStr">
        <is>
          <t>**Let’s face it: if you’re going to build the future of human transformation, you deserve more than a paycheck.**
 You deserve a personal BetterUp Coach, the most curious teammates on the planet, and a mission that pulls you out of bed every morning. At BetterUp, we pair world\-class coaching with Generative AI to help millions live with clarity and purpose. Ready to engineer the models that make that magic feel personal?
**What You’ll Do**
* Prototype, fine\-tune, and evaluate LLM\-powered features—from conversational insights to practice\-moment nudges—using Python and Jupyter notebooks.
* Own the production lifecycle: data prep, experiment design, offline/online evaluation, and weekly pushes to prod alongside a tight squad of ML/Backend/Full Stack Engineers.
* Collaborate daily with Product, Coaching Science, and Learning Design to turn behavior\-change research into delightful user moments.
* Contribute to technical design by shaping model architectures, retrieval strategies, and safety guards—while staying hands\-on in code.
* Measure what matters: define success metrics, implement A/B tests, and iterate quickly on real coach feedback.
* Ship end\-to\-end improvements to products like FocusFrame, our AI copilot that helps coaches deliver higher\-impact sessions in real time.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Bring**
**Core**
* 4\+ years building and shipping ML systems in production, with at least 6–12 months hands\-on with LLM fine\-tuning, prompt engineering, or RAG pipelines.
* Fluency in Python for AI development and comfort working in Jupyter/IPython.
* Solid understanding of modern ML tooling (e.g., PyTorch, TensorFlow, or JAX) and containerized/cloud deployment basics.
* Clear, approachable communication with both technical peers and non\-technical partners.
* Bias toward action, curiosity, and comfort navigating ambiguity in a fast\-moving startup environment.
**Bonus (nice\-to\-have, Not Required)**
* Prior experience in coaching, learning\-science, ed\-tech, or behavior\-change domains.
* Exposure to RLHF, preference tuning, or multimodal models.
**Not sure you hit every bullet?** 
 We value growth mindsets—please apply anyway.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**$200,000 \- $275,000**
 Austin, Arlington, and Chicago:
 **$180,000 \- $247,500**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85">
      <c r="A85" t="inlineStr">
        <is>
          <t>li-4372011985</t>
        </is>
      </c>
      <c r="B85" t="inlineStr">
        <is>
          <t>Staff Machine Learning Engineer, AI Product and Platform</t>
        </is>
      </c>
      <c r="C85" t="inlineStr">
        <is>
          <t>BetterUp</t>
        </is>
      </c>
      <c r="D85" t="inlineStr">
        <is>
          <t>linkedin</t>
        </is>
      </c>
      <c r="E85" t="inlineStr"/>
      <c r="F85" t="inlineStr"/>
      <c r="G85" t="inlineStr">
        <is>
          <t>New York, United States</t>
        </is>
      </c>
      <c r="H85" t="inlineStr"/>
      <c r="I85"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AI is transforming the future of coaching—and BetterUp is at the forefront of that transformation. We’re seeking a creative, product\-minded machine learning engineer who’s eager to roll up their sleeves and help shape what comes next alongside our world\-class team.
 The ideal candidate is motivated by impact, thrives in fast\-paced and ambiguous environments, and brings clarity where there’s complexity. You’re someone who values empowering your teammates as much as your own growth, and who stays focused on what matters most: delivering meaningful, human\-centered value to our members and customers.
 At BetterUp, we support and challenge one another to grow, always with empathy and excellence. We’re looking for someone who shares our commitment to continuous learning, who takes pride in craftspersonship, and who believes deeply in the power of technology to drive positive change in the world. And because we know peak performance comes from balance, we foster a culture that supports you in bringing your full self to our mission.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Design and deliver state\-of\-the\-art Generative AI systems and experiences that set the standard for quality, engagement, and trust in coaching.
* Mentor and elevate engineers at all levels through technical guidance, code and design reviews, and thought partnership, raising the bar for engineering excellence.
* Collaborate deeply with cross\-functional partners across product, research, design, and engineering, to ship and scale first\-of\-their\-kind AI coaching products.
* Shape direction and scope by developing a deep understanding of customer needs and translating them into technical strategy and product roadmaps.
* Stay ahead of the curve in Generative AI research and practice, leading conversations on emerging technologies and how to responsibly bring them into production.
**If you have some or all of the following, please apply:**
* 7\+ years as an ML engineer and 3\+ years of hands\-on experience building and shipping products on top of leading LLMs
* Proven track record designing, implementing, and evaluating LLM outputs
* Experience fine\-tuning smaller models or adapting foundation models to improve quality, engagement, and scalability
* Background at a leading AI research lab or equivalent experience staying at the forefront of Applied ML/AI, GenAI, with strong software engineering skills and a deep understanding of LLM internals
* A high degree of initiative and ownership, combined with the ability to navigate ambiguity and adapt quickly to change
* Experience working collaboratively in a cross\-functional team and with people at all levels in an organization
* Alignment with BetterUp's mission of enabling individuals to maximize their potential
* Ability to communicate complex ideas effectively to both technical and non\-technical audiences, verbally and in writing
* A passion for continuous learning, customer empathy, and a desire to innovate within a fast\-paced environment.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**$228,000 \- $313,500**
 Austin, Arlington, and Chicago:
 **$205,200 \- $282,150**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86">
      <c r="A86" t="inlineStr">
        <is>
          <t>li-4372785388</t>
        </is>
      </c>
      <c r="B86" t="inlineStr">
        <is>
          <t>ML Engineer</t>
        </is>
      </c>
      <c r="C86" t="inlineStr">
        <is>
          <t>Haystack</t>
        </is>
      </c>
      <c r="D86" t="inlineStr">
        <is>
          <t>linkedin</t>
        </is>
      </c>
      <c r="E86" t="inlineStr"/>
      <c r="F86" t="inlineStr"/>
      <c r="G86" t="inlineStr"/>
      <c r="H86" t="inlineStr"/>
      <c r="I86" t="inlineStr">
        <is>
          <t>**Machine Learning Engineer \- Modeling \| United States \| Remote**
 We're working with Pryon on this exciting opportunity. They are a team of AI, technology, and language experts building an industry\-leading knowledge management and Retrieval\-Augmented Generation (RAG) platform, transforming unstructured data into meaningful experiences with unmatched accuracy and speed.
**The Role**
* Solve fundamental problems in machine learning, natural language understanding, and human\-computer interaction for practical commercial use cases.
* Develop and improve deep learning models for Natural Language Processing, Computer Vision, or Speech Recognition.
* Partner with the AI Engineering team to transition mature technology to production.
* Design and implement new features and improve existing ones in our system.
* Participate in experimentation and model development.
**What You'll Need**
* Master's degree or higher in Computer Science, Data Science, or a related technical field, with 3\+ years of relevant experience.
* Expertise in building/refining/innovating deep learning models and strong proficiency in PyTorch/Hugging Face.
* Strong foundation in Computer Science, data structures, algorithms, and software design (Python, C\+\+, or Java).
* Experience building and improving LLM applications for processing semi\-structured and structured data, including NL2SQL and graph RAG.
* Demonstrated ability to drive R\&amp;D efforts and work in cloud\-based development environments like AWS, Azure, or Google.
**What's On Offer**
* Competitive salary range of $160,000 \- $175,000 per year.
* Remote\-first organization with 100% company\-paid health, dental, and vision benefits for you and your dependents.
* Comprehensive benefits package including Life Insurance, Short\-term and Long\-term Disability, and 401k.
* Unlimited PTO to ensure a healthy work\-life balance.
**Apply via Haystack today!**</t>
        </is>
      </c>
    </row>
    <row r="87">
      <c r="A87" t="inlineStr">
        <is>
          <t>li-4372741317</t>
        </is>
      </c>
      <c r="B87" t="inlineStr">
        <is>
          <t>Machine Learning Engineer</t>
        </is>
      </c>
      <c r="C87" t="inlineStr">
        <is>
          <t>Wiraa</t>
        </is>
      </c>
      <c r="D87" t="inlineStr">
        <is>
          <t>linkedin</t>
        </is>
      </c>
      <c r="E87" t="inlineStr"/>
      <c r="F87" t="inlineStr"/>
      <c r="G87" t="inlineStr"/>
      <c r="H87" t="inlineStr"/>
      <c r="I87" t="inlineStr">
        <is>
          <t>**About The Company**
 Founded in 2004 in sunny San Diego, California, ServiceNow has grown into a global leader in cloud computing and enterprise service management. Driven by a vision to transform how organizations work, ServiceNow offers an innovative AI\-enhanced platform that connects people, systems, and processes seamlessly. Serving over 8,100 customers worldwide, including 85% of the Fortune 500®, the company is dedicated to creating smarter, faster, and more efficient ways for organizations to operate. With its intelligent cloud\-based platform, ServiceNow continues to push the boundaries of technology, empowering businesses to improve productivity, streamline workflows, and deliver exceptional service experiences. Our purpose is to make the world work better for everyone, and we are committed to fostering an inclusive, innovative, and collaborative environment for our employees and customers alike.
**About The Role**
 We are seeking a highly skilled Staff Machine Learning Engineer to join our Platform Engineering and AI Technology Organization (PLATO) at ServiceNow. This role is pivotal in advancing our AI platform, building intelligent software, and enabling end\-to\-end AI\-powered work experiences for our customers. The successful candidate will be responsible for designing, developing, and implementing infrastructure, deployment, and observability features that support AI workloads. Collaboration with researchers, AI engineers, and infrastructure teams will be essential to ensure GPU clusters operate efficiently, scale effectively, and maintain high reliability. You will also contribute to operational excellence by transforming use cases into software tooling requirements, supporting deployment activities, and writing high\-quality, scalable code according to best practices. This position requires you to be in our Santa Clara office two days per week and offers the opportunity to work on cutting\-edge AI technologies, including operating large language models (LLMs) on NVIDIA GPUs. As a mentor, you will promote knowledge\-sharing within the team and help foster a culture of continuous learning and innovation.
**Qualifications**
* Experience in integrating AI into work processes, decision\-making, or problem\-solving
* Proficiency in prompt engineering and developing LLM\-based features
* Experience building VoIP systems using SIP protocol and SBC/PBX/PSTN infrastructures
* Hands\-on experience with AI productivity tools such as Cursor, Windsurf, etc.
* Exposure to operating LLMs on NVIDIA GPUs
* Minimum of 4\+ years of development experience with Python, GoLang, Java, or similar languages
* At least 4\+ years of experience operating highly available distributed workloads on Kubernetes following a DevOps approach
* Strong familiarity with DevOps tooling such as Helm, Ansible, Kubernetes, Prometheus, Splunk, GitLab CI
* Solid experience working with distributed systems built on Linux and J2EE
* Knowledge of software\-defined networking, infrastructure as code, and configuration management
* Experience developing software compliant with security and regulatory standards
* Ability to drive outcomes in projects with significant technical risks
* Preferred: 4\+ years of experience in infrastructure and platform operations, deployments, SRE, and continuous platform improvement
**Responsibilities**
* Design, develop, and implement infrastructure, platform, deployment, and observability features supporting AI workloads
* Collaborate with research, AI engineering, and infrastructure teams to optimize GPU cluster performance, scalability, and reliability
* Enhance the Site Reliability Engineering (SRE) practices by translating operational use cases into software tooling requirements
* Support deployment and operational activities for AI/ML developers, ensuring smooth integration and performance
* Write clean, scalable, and reusable code, enforcing best practices around software architecture, code reviews, and testing
* Work closely with product owners to gather detailed requirements and oversee the entire lifecycle from design to delivery
* Operate and optimize large language models (LLMs) on NVIDIA GPUs to support cutting\-edge AI applications
* Mentor colleagues, promote knowledge sharing, and foster a culture of continuous learning and innovation
**Benefits**
* Competitive base salary ranging from $173,100 to $303,000, based on experience and location
* Equity options and variable/incentive compensation packages
* Comprehensive health plans, including flexible spending accounts
* 401(k) plan with company matching contributions
* Employee Stock Purchase Program (ESPP) and matching donations
* Flexible time\-off policies and family leave programs
* Opportunities for professional development and career growth within a global technology leader
 Equal Opportunity
 ServiceNow is an equal opportunity employer. We are committed to fostering an inclusive environment where all qualified applicants receive consideration for employment without regard to race, color, creed, religion, sex, sexual orientation, gender identity or expression, national origin, ancestry, age, disability, veteran status, marital status, or any other protected category under applicable law. We also consider qualified applicants with arrest or conviction records in accordance with legal requirements.</t>
        </is>
      </c>
    </row>
    <row r="88">
      <c r="A88" t="inlineStr">
        <is>
          <t>li-4310987143</t>
        </is>
      </c>
      <c r="B88" t="inlineStr">
        <is>
          <t>Senior Machine Learning Engineer, AI for Chemistry project</t>
        </is>
      </c>
      <c r="C88" t="inlineStr">
        <is>
          <t>X, The Moonshot Factory</t>
        </is>
      </c>
      <c r="D88" t="inlineStr">
        <is>
          <t>linkedin</t>
        </is>
      </c>
      <c r="E88" t="inlineStr"/>
      <c r="F88" t="inlineStr"/>
      <c r="G88" t="inlineStr">
        <is>
          <t>Mountain View, CA</t>
        </is>
      </c>
      <c r="H88" t="inlineStr"/>
      <c r="I88" t="inlineStr">
        <is>
          <t>**About X, The Moonshot Factory**
 X is a diverse group of inventors and entrepreneurs who build and launch technologies that aim to improve the lives of millions, even billions, of people. Our goal: 10x impact on the world’s most intractable problems, not just 10% improvement. We approach projects that have the aspiration and riskiness of research with the speed and ambition of a startup.
**About The Team**
 We’re X’s AI for chemistry moonshot, applying AI to supercharge processes related to the manufacturing of existing chemical compounds. We’re an agile team of experienced AI researchers, software engineers, and entrepreneurs working with partners and customers around the world. We’re looking for people who are passionate about working at the intersection of AI and science. You’ll be part of a fast\-paced team that has the agility and impact of an early stage company, while building on world\-class Google AI technology.
**About The Role**
 As a Machine Learning Engineer, you will be responsible for designing, developing, and deploying state\-of\-the\-art multi\-modal models. This role requires a deep passion for problem\-solving and experimentation, moving across the full range of applied machine learning tasks from initial prototyping to building full\-scale, robust solutions. While you will primarily focus on core product development, you will also serve as a critical bridge between cutting\-edge AI research and real\-world enterprise applications. You will be a key player in our mission to accelerate scientific discovery through machine learning.
**How You Will Have 10X Impact**
* Design and build end\-to\-end machine learning pipelines for training, evaluation, and deployment.
* Develop and fine\-tune sophisticated multi\-modal models using frameworks like PyTorch and libraries from the Hugging Face ecosystem.
* Leverage Google Cloud Platform (GCP) services to deploy and scale our ML models and infrastructure.
* Collaborate with cross\-functional teams of scientists and engineers to translate research ideas into production\-ready solutions.
* Stay current with the latest advancements in machine learning, particularly in multi\-modal learning and generative models.
**What You Should Have**
* Bachelor's or Master's degree in Computer Science, Engineering, or a related technical field.
* At least 5 years of professional experience designing, building and deploying ML solutions
* Proven experience building and training deep learning models using PyTorch and the Hugging Face library
* Demonstrated experience with Large Language Models (LLMs), multi\-modal models (e.g., Vision Language Models (VLMs)) and computer vision models (eg. OCR)
* Strong proficiency with Google Cloud Platform (GCP) and its core services for machine learning and data processing.
* Excellent programming skills in Python and a solid understanding of software engineering best practices.
* Hands\-on experience with MLOps principles and tools (e.g., Kubeflow, MLflow, Vertex AI Pipelines) and DevOps practices (e.g., CI/CD, Docker, Kubernetes, Terraform).
* Experience with large\-scale data processing and database management (e.g., PostgreSQL, SQLAlchemy).
* Experience in start\-up or small team environments
**It’d Be Great If You Also Had These**
* A foundational knowledge of organic chemistry concepts or experience working with chemical data (e.g., SMILES strings, molecular graphs).
* Published research papers in relevant fields
 The US base salary range for this full\-time position is $165,000 \- $258,000 \+ bonus \+ equity \+ benefits. Within the range, individual pay is determined by work location and additional factors, including job\-related skills, experience, and relevant education or training. Your recruiter can share more about the specific salary range for your location during the hiring process.
 Please note that the compensation details listed in US role postings reflect the base salary only, and do not include bonus, equity, or benefits.</t>
        </is>
      </c>
    </row>
    <row r="89">
      <c r="A89" t="inlineStr">
        <is>
          <t>li-4372019774</t>
        </is>
      </c>
      <c r="B89" t="inlineStr">
        <is>
          <t>Staff Machine Learning Engineer, AI Product and Platform</t>
        </is>
      </c>
      <c r="C89" t="inlineStr">
        <is>
          <t>BetterUp</t>
        </is>
      </c>
      <c r="D89" t="inlineStr">
        <is>
          <t>linkedin</t>
        </is>
      </c>
      <c r="E89" t="inlineStr"/>
      <c r="F89" t="inlineStr"/>
      <c r="G89" t="inlineStr">
        <is>
          <t>Illinois, United States</t>
        </is>
      </c>
      <c r="H89" t="inlineStr"/>
      <c r="I89"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AI is transforming the future of coaching—and BetterUp is at the forefront of that transformation. We’re seeking a creative, product\-minded machine learning engineer who’s eager to roll up their sleeves and help shape what comes next alongside our world\-class team.
 The ideal candidate is motivated by impact, thrives in fast\-paced and ambiguous environments, and brings clarity where there’s complexity. You’re someone who values empowering your teammates as much as your own growth, and who stays focused on what matters most: delivering meaningful, human\-centered value to our members and customers.
 At BetterUp, we support and challenge one another to grow, always with empathy and excellence. We’re looking for someone who shares our commitment to continuous learning, who takes pride in craftspersonship, and who believes deeply in the power of technology to drive positive change in the world. And because we know peak performance comes from balance, we foster a culture that supports you in bringing your full self to our mission.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Design and deliver state\-of\-the\-art Generative AI systems and experiences that set the standard for quality, engagement, and trust in coaching.
* Mentor and elevate engineers at all levels through technical guidance, code and design reviews, and thought partnership, raising the bar for engineering excellence.
* Collaborate deeply with cross\-functional partners across product, research, design, and engineering, to ship and scale first\-of\-their\-kind AI coaching products.
* Shape direction and scope by developing a deep understanding of customer needs and translating them into technical strategy and product roadmaps.
* Stay ahead of the curve in Generative AI research and practice, leading conversations on emerging technologies and how to responsibly bring them into production.
**If you have some or all of the following, please apply:**
* 7\+ years as an ML engineer and 3\+ years of hands\-on experience building and shipping products on top of leading LLMs
* Proven track record designing, implementing, and evaluating LLM outputs
* Experience fine\-tuning smaller models or adapting foundation models to improve quality, engagement, and scalability
* Background at a leading AI research lab or equivalent experience staying at the forefront of Applied ML/AI, GenAI, with strong software engineering skills and a deep understanding of LLM internals
* A high degree of initiative and ownership, combined with the ability to navigate ambiguity and adapt quickly to change
* Experience working collaboratively in a cross\-functional team and with people at all levels in an organization
* Alignment with BetterUp's mission of enabling individuals to maximize their potential
* Ability to communicate complex ideas effectively to both technical and non\-technical audiences, verbally and in writing
* A passion for continuous learning, customer empathy, and a desire to innovate within a fast\-paced environment.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**$228,000 \- $313,500**
 Austin, Arlington, and Chicago:
 **$205,200 \- $282,150**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90">
      <c r="A90" t="inlineStr">
        <is>
          <t>li-4372778803</t>
        </is>
      </c>
      <c r="B90" t="inlineStr">
        <is>
          <t>AI Engineer - Data Platform</t>
        </is>
      </c>
      <c r="C90" t="inlineStr">
        <is>
          <t>Traversal</t>
        </is>
      </c>
      <c r="D90" t="inlineStr">
        <is>
          <t>linkedin</t>
        </is>
      </c>
      <c r="E90" t="inlineStr"/>
      <c r="F90" t="inlineStr"/>
      <c r="G90" t="inlineStr">
        <is>
          <t>New York, NY</t>
        </is>
      </c>
      <c r="H90" t="inlineStr"/>
      <c r="I90" t="inlineStr">
        <is>
          <t>**About Traversal**
 Traversal is the AI Site Reliability Engineer (SRE) for the enterprise—already trusted by some of the largest companies in the world to troubleshoot, remediate, and even prevent the most complex production incidents. Our mission is to free engineers from endless firefighting and enable them to focus on creative, high\-impact work.
 Our roots remain deeply embedded in AI research, and we’re channeling that scientific rigor and creativity into building the premier AI agent lab for the enterprise. Hence, what we’re proudest of is assembling the most talented yet nicest group of individuals, including researchers from MIT, Harvard, and Berkeley, to world\-class engineers from industry: Citadel Securities, Cockroach Labs, Datadog, DE Shaw, ServiceNow, Glean, Perplexity, Pinecone, and more, to take on one of the hardest problems for AI to solve. Without the entire team, none of this would be possible.
**The Role**
 As an Infrastructure Engineer on the Data Platform team at Traversal, you’ll design, build, and maintain the backend systems that power our AI\-driven observability platform. You’ll work across both cloud and on\-prem deployments, ensuring our systems are highly reliable, performant, and capable of supporting large\-scale AI operations. This hands\-on role blends distributed systems engineering, low\-level system design, performance optimization, observability, and AI integration—collaborating closely with engineers across the company to deliver resilient infrastructure that enables our AI agents to diagnose and remediate production incidents in real time.
**Responsibilities**
* Architecture \&amp; Implementation: Contribute to the design and implementation of scalable, resilient infrastructure systems that power AI\-driven root cause analysis and observability workflows across diverse on\-premises environments.
* Low\-Level System Design: Work on the foundational building blocks of our infrastructure, ensuring efficient use of resources and high performance at scale. Performance Optimization: Profile and tune backend systems to improve throughput, reduce latency, and minimize bottlenecks across the stack.
* Observability Systems: Help build and maintain the internal observability stack—logs, metrics, and traces—used by our agents to understand and act on production issues.
* Hybrid Infrastructure: Support architectures for both cloud\-hosted (SaaS) and on\-prem deployments to serve enterprise customers.
* Data Infrastructure: Develop and maintain low\-latency, high\-throughput pipelines using tools like Kafka, Postgres, and S3 for real\-time telemetry workflows.
* Tooling \&amp; Automation: Contribute to infrastructure\-as\-code, CI/CD tooling, and deployment systems to increase platform velocity and stability.
* Cross\-Team Collaboration: Work with AI, platform, and product teams to ensure smooth integration and shared reliability goals.
* Using Traversal Internally: Help ensure our own observability tooling supports how we debug, monitor, and operate our systems.
**Requirements**
* Professional experience with Rust (our primary language for infrastructure), or strong systems\-level programming experience in OCaml, C\+\+, C or Zig.
* Experience building distributed systems using a variety of application\-appropriate datastores (e.g., Postgres, object storage, etc.).
* Strength in debugging across cloud infrastructure, networking layers, and production systems (instrumentation, provisioning, bug fixes, reliability improvements).
* Experience with performance profiling and optimization in backend systems.
* Exposure to low\-level system design concepts (e.g., concurrency models, storage internals, OS, and DB level tuning).
**Nice to Have**
* Experience making complex software systems observable using logs, metrics, and traces.
* Familiarity with Python\-based ecosystems.
* Background in large\-scale, complex, data\-driven applications, and familiarity with event streaming platforms such as Kafka.
* Experience provisioning and managing infrastructure using Terraform, Pulumi, or other IaC tools.
* Familiarity with AI or LLM\-powered products.
**Compensation**
 We offer competitive compensation, startup equity, health insurance, and additional benefits. The U.S. base salary range for this full\-time, in\-person role in New York is $150,000–$300,000, plus equity and benefits. Our salary ranges are based on location, level, and role. Individual compensation is determined by experience, skills, and job\-related knowledge.
**Why You Should Join Us**
 We’ll make sure you’re fully supported with health insurance, a great tech setup, flexible time off, and plenty of in\-office snacks. We offer competitive salary and equity packages, and take thoughtful consideration with every hire on our small, high\-impact team.
 Traversal is fully in\-office, 5 days a week, based in New York near Madison Square Park. We have a collaborative, hard\-working culture and are energized by building the future of AI\-powered software maintenance.
 Working here means owning meaningful parts of the product, having the flexibility to move fast, and learning constantly. This is a place to grow your career, make a real impact, and help define a new category of infrastructure software.</t>
        </is>
      </c>
    </row>
    <row r="91">
      <c r="A91" t="inlineStr">
        <is>
          <t>li-4371487362</t>
        </is>
      </c>
      <c r="B91" t="inlineStr">
        <is>
          <t>Principal AI Engineer - AI/ML Engineer Agentic</t>
        </is>
      </c>
      <c r="C91" t="inlineStr">
        <is>
          <t>TekVizor</t>
        </is>
      </c>
      <c r="D91" t="inlineStr">
        <is>
          <t>linkedin</t>
        </is>
      </c>
      <c r="E91" t="inlineStr"/>
      <c r="F91" t="inlineStr"/>
      <c r="G91" t="inlineStr">
        <is>
          <t>Pennsylvania, United States</t>
        </is>
      </c>
      <c r="H91" t="inlineStr"/>
      <c r="I91" t="inlineStr">
        <is>
          <t>**Principal Lead AI Engineer – Agentic AI** 
 📍
 **Pittsburgh, PA (On‑site)** 
 🕒
 **Full\-Time** 
 🌍
 **U.S. Citizenship Required** 
 ✈️ Up to 10% Travel
 📈 Pre\-IPO
 We are seeking an experienced Lead
 **AI Engineer** 
 to join our Agentic AI team as we scale agentic capabilities. Our bespoke platform and suite of AI\-enabled applications accelerate the decision\-making process in real\-time, all in one place.
 We’re looking for someone who has
 **built real projects using LLMs** 
 that demonstrate the ability to make them interact with frontend interfaces agentically, through tool use, state modeling, workflows, and robust orchestration.
**What You’ll Do** 
* Design and build
 **multi\-agent systems** 
 , memory, routing, and planning.
* Develop Agent Skills and tools as modular, composable services connected to backend systems, models, and data processing pipelines.
* Contribute to automated evaluation and observability systems for agents, tools, workflows, and prompts across the entire product lifecycle.
* Partner with Product and Implementation teams to solve complex customer problems using agentic systems.
**Required Skills \&amp; Experience** 
* Bachelor’s, Master’s, or PhD in Computer Science, Computer Engineering, Data Science, or related field.
* **5\+ years** 
 building and deploying ML or LLM\-powered systems in production environments.
* Hands\-on experience designing autonomous multi\-agent workflows that include state/action models for AI\-driven interaction (agent\-controlled UI, tool invocation, deterministic flows).
* Experience integrating and working with
 **LLMs** 
 , with strong understanding of strengths, weaknesses, and operational constraints.
* Experience with agent frameworks such as
 **Claude Agent SDK** 
 or
 **OpenAI Agent SDK** 
 .
* Strong Python engineering skills.
* Experience productionizing ML/LLM systems.
* Experience developing
 **observability and feedback loops** 
 (telemetry, prompt evaluation, regression testing, reliability metrics).
* Ability to operate in highly ambiguous, fast\-moving environments.
* A passion for
 **coding agents** 
 and exploring new technologies.
**Strong Candidates Have** 
* Proven experience designing and deploying
 **complex agentic systems** 
 using LLMs.
* Hands\-on work with
 **multi\-agent coordination** 
 , routing, and tool orchestration.
* Demonstrated portfolio or project showing LLMs interacting with frontend interfaces agentically.
* Passion for building, experimenting with, and optimizing agents.
**Desired Qualifications** 
* Experience in fast\-paced startup environments.
* Comfort with
 **Claude Code** 
**SDK,** 
 and modern GenAI coding best practices.
* Frameworks LangChain, AutoGen, Semantic Kernal.
**About the Role** 
 This is a full\-time, on\-site position based in
 **Pittsburgh, PA** 
 , with occasional travel (up to 10%). You’ll be joining a high\-velocity team building the next generation of agentic AI system. If you thrive in ambiguity, love building real agentic systems, and want to shape how LLMs interact with software interfaces at scale, this role is for you!
 \#AIJobs \#AgenticAI \#LLMEngineering \#AIEngineer \#Hiring \#MachineLearning \#GenerativeAI \#TechJobs \#Pittsburgh</t>
        </is>
      </c>
    </row>
    <row r="92">
      <c r="A92" t="inlineStr">
        <is>
          <t>li-4359568045</t>
        </is>
      </c>
      <c r="B92" t="inlineStr">
        <is>
          <t>Founding AI/ML Engineer (Production) - NYC - $250k-$500k+ + Founding Equity</t>
        </is>
      </c>
      <c r="C92" t="inlineStr">
        <is>
          <t>Open Talent</t>
        </is>
      </c>
      <c r="D92" t="inlineStr">
        <is>
          <t>linkedin</t>
        </is>
      </c>
      <c r="E92" t="inlineStr"/>
      <c r="F92" t="inlineStr"/>
      <c r="G92" t="inlineStr">
        <is>
          <t>New York, NY</t>
        </is>
      </c>
      <c r="H92" t="inlineStr"/>
      <c r="I92" t="inlineStr">
        <is>
          <t>**Founding AI/ML Engineer (Production) \- NYC \- $250k\-$500k\+ \+ Founding Equity** 
*We’re hiring for one of NYC’s top 10 robotics startups. If you’re an elite engineer looking to join an A squad\-builders from SpaceX, Palantir, Google \&amp; Anduril \- this is where you want to be.* 
 \*
 Most AI roles are currently focused on generating pixels or text. This team are using LLMs to command multi\-ton autonomous machines.
***Must be based in NYC \&amp; role requires US citizenship due to regulatory constraints.***
 We need a
 **Founding AI/ML Engineer** 
 to build the production intelligence layer for autonomous heavy machinery. This isn't a research lab. We have real robots, real customers, and systems operating in the field 24/7\. Your work won't just generate tokens; it will drive physical outcomes.
**The Work** 
 This is a 100% production role focused on critical AI infrastructure. You are responsible for the intelligence that allows multi\-ton machines to act on complex environments.
* **Production LLMs:** 
 Fine\-tuning and deploying models that handle mission\-critical operational logic.
* **Systems \&amp; Infra:** 
 Building the RAG pipelines and data flywheels that power our fleet’s intelligence.
* **Evals \&amp; Determinism:** 
 Designing evaluation frameworks to ensure model outputs are safe and reliable enough for heavy hardware.
* **Problem Solving:** 
 Moving from raw telemetry to deployed models. You own the pipeline, the tuning, and the performance in the field.
**The Team** 
 You’ll be joining a high\-density team from
 **SpaceX, Palantir, and Anduril** 
 . We’ve stripped away the typical corporate friction\-no bloated meetings or research for the sake of research. We hire for high agency and low ego. As a founding hire, you aren't just training models; you’re architecting the intelligence of the company.
**What we're looking for** 
 We want high\-signal builders who are bored with "wrapper" apps and want to solve hard problems grounded in physics.
* **Production Grit:** 
 You’ve shipped ML systems at scale. You care about inference latency and reliability more than "vibe checks."
* **LLM Mastery:** 
 Deep experience with fine\-tuning, RAG, and prompt engineering in high\-stakes environments.
* **Systems Thinker:** 
 You understand the full stack. You know how to optimize models to run efficiently and how to build the infra that supports them.
* **High\-Bar Pedigree:** 
 You’ve worked in environments where the standard for "production\-ready" is exceptionally high.
**Stack \&amp; Comp** 
* **Stack:** 
 Python, PyTorch, LLMs, RAG, Vector DBs, Kubernetes.
* **Location:** 
 NYC (Manhattan) \- On\-site/Hybrid.
* **Comp:** 
 $250k \- $500k\+ base \+
 **Founding Member Equity** 
 .
**The Process:** 
**1 Week \&amp; 0 Take\-Homes** 
 We move as fast as we ship. We can go from first touch to offer in one week:
1. **(Founders) Technical Deep Dive:** 
 A conversation about the most complex AI system you’ve actually shipped.
2. **(Team)Practical Pairing:** 
 Solving a real\-world production ML or data infra problem together.
 **No Leetcode.**
3. **(Exec) Founding Team Chat:** 
 A focus on judgment, trade\-offs \&amp; vision.
 If you’re ready to put AI into the physical world, let’s talk.
**TL;DR** 
* **Role:** 
 Founding AI/ML Engineer (Production)
* **Focus:** 
 Fine\-tuning, Evals, and RAG for Robotics
* **Team:** 
 Ex\-SpaceX, Palantir, Anduril, Google
* **Comp:** 
 $250k \- $500k\+ base \+ Founding Equity
* **Process:** 
 1 week. 3 rounds.
**Equal Opportunity** 
 We're hiring for an Equal Opportunity Employer.
 \*All our new jobs are posted here 1st:
**linkedin.com/in/sufyanbashir/**</t>
        </is>
      </c>
    </row>
    <row r="93">
      <c r="A93" t="inlineStr">
        <is>
          <t>li-4372740883</t>
        </is>
      </c>
      <c r="B93" t="inlineStr">
        <is>
          <t>AI/ML Engineer - Hybrid Onsite</t>
        </is>
      </c>
      <c r="C93" t="inlineStr">
        <is>
          <t>Optum</t>
        </is>
      </c>
      <c r="D93" t="inlineStr">
        <is>
          <t>linkedin</t>
        </is>
      </c>
      <c r="E93" t="inlineStr"/>
      <c r="F93" t="inlineStr"/>
      <c r="G93" t="inlineStr">
        <is>
          <t>Minnetonka, MN</t>
        </is>
      </c>
      <c r="H93" t="inlineStr"/>
      <c r="I9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looking for a talented and motivated Data Scientist to join our team. The perfect candidate will have experience with LLMs and be skilled in developing and implementing machine learning solutions. You will utilize the Langchain framework to work with both closed source and open source models, and apply fine\-tuning and Retrieval\-Augmented Generation (RAG) methodologies to optimize language models for specific tasks and datasets.
**Primary Responsibilities**
* Develop and implement machine learning solutions using LLMs
* Utilize the Langchain framework for working with closed source and open\-source models
* Apply fine\-tuning methodologies to optimize machine learning models for specific tasks and datasets
* Write clean, maintainable, and efficient code adhering to PEP8 standards
* Utilize containerization technologies such as Docker for development and deployment
* Ensure the production quality of code, including thorough testing and documentation
* Be comfortable working on the terminal for various development and deployment tasks
* Work on traditional machine learning methods like XGBoost for classification tasks and unsupervised learning techniques like K\-means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2\+ years of proven experience working with Large Language Models (LLMs)
* 2\+ years of professional coding experience in Python, following PEP8 standards
* 1\+ years of hands\-on experience using the LangChain framework
* 2\+ years of experience with machine learning concepts and fine\-tuning methodologies
* 1\+ years of experience with Retrieval\-Augmented Generation (RAG) techniques
* 1\+ year of experience with containerization technologies such as Docker
* 1\+ years of experience with version control systems such as Git.
* Experience ensuring production\-quality code, including thorough testing and documentation
* Proven solid problem\-solving skills and attention to detail
* Proven ability to write clean, maintainable, and efficient code
* Proven comfortable working in the terminal for development and deployment tasks
**Preferred Qualifications**
* Healthcare experience
* Statistical knowledge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94">
      <c r="A94" t="inlineStr">
        <is>
          <t>li-4372026104</t>
        </is>
      </c>
      <c r="B94" t="inlineStr">
        <is>
          <t>Staff Machine Learning Engineer, AI Product and Platform</t>
        </is>
      </c>
      <c r="C94" t="inlineStr">
        <is>
          <t>BetterUp</t>
        </is>
      </c>
      <c r="D94" t="inlineStr">
        <is>
          <t>linkedin</t>
        </is>
      </c>
      <c r="E94" t="inlineStr"/>
      <c r="F94" t="inlineStr"/>
      <c r="G94" t="inlineStr">
        <is>
          <t>Austin, CO</t>
        </is>
      </c>
      <c r="H94" t="inlineStr"/>
      <c r="I94"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AI is transforming the future of coaching—and BetterUp is at the forefront of that transformation. We’re seeking a creative, product\-minded machine learning engineer who’s eager to roll up their sleeves and help shape what comes next alongside our world\-class team.
 The ideal candidate is motivated by impact, thrives in fast\-paced and ambiguous environments, and brings clarity where there’s complexity. You’re someone who values empowering your teammates as much as your own growth, and who stays focused on what matters most: delivering meaningful, human\-centered value to our members and customers.
 At BetterUp, we support and challenge one another to grow, always with empathy and excellence. We’re looking for someone who shares our commitment to continuous learning, who takes pride in craftspersonship, and who believes deeply in the power of technology to drive positive change in the world. And because we know peak performance comes from balance, we foster a culture that supports you in bringing your full self to our mission.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Design and deliver state\-of\-the\-art Generative AI systems and experiences that set the standard for quality, engagement, and trust in coaching.
* Mentor and elevate engineers at all levels through technical guidance, code and design reviews, and thought partnership, raising the bar for engineering excellence.
* Collaborate deeply with cross\-functional partners across product, research, design, and engineering, to ship and scale first\-of\-their\-kind AI coaching products.
* Shape direction and scope by developing a deep understanding of customer needs and translating them into technical strategy and product roadmaps.
* Stay ahead of the curve in Generative AI research and practice, leading conversations on emerging technologies and how to responsibly bring them into production.
**If you have some or all of the following, please apply:**
* 7\+ years as an ML engineer and 3\+ years of hands\-on experience building and shipping products on top of leading LLMs
* Proven track record designing, implementing, and evaluating LLM outputs
* Experience fine\-tuning smaller models or adapting foundation models to improve quality, engagement, and scalability
* Background at a leading AI research lab or equivalent experience staying at the forefront of Applied ML/AI, GenAI, with strong software engineering skills and a deep understanding of LLM internals
* A high degree of initiative and ownership, combined with the ability to navigate ambiguity and adapt quickly to change
* Experience working collaboratively in a cross\-functional team and with people at all levels in an organization
* Alignment with BetterUp's mission of enabling individuals to maximize their potential
* Ability to communicate complex ideas effectively to both technical and non\-technical audiences, verbally and in writing
* A passion for continuous learning, customer empathy, and a desire to innovate within a fast\-paced environment.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**$228,000 \- $313,500**
 Austin, Arlington, and Chicago:
 **$205,200 \- $282,150**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95">
      <c r="A95" t="inlineStr">
        <is>
          <t>li-4372013955</t>
        </is>
      </c>
      <c r="B95" t="inlineStr">
        <is>
          <t>Lead Machine Learning Engineer</t>
        </is>
      </c>
      <c r="C95" t="inlineStr">
        <is>
          <t>HCA Healthcare</t>
        </is>
      </c>
      <c r="D95" t="inlineStr">
        <is>
          <t>linkedin</t>
        </is>
      </c>
      <c r="E95" t="inlineStr"/>
      <c r="F95" t="inlineStr"/>
      <c r="G95" t="inlineStr"/>
      <c r="H95" t="inlineStr"/>
      <c r="I95" t="inlineStr">
        <is>
          <t>**Job Summary and Qualifications**
 The Lead Machine Learning Engineer leads technical implementation and adoption of AI Platform capabilities within an embedded product team while serving as a technical leader and mentor for other Machine Learning Engineers. Actively contributes to AI Platform and operations development through hands\-on coding while establishing best practices, standardizing implementation patterns, and driving platform adoption. Advocates for platform solutions, ensuring consistent application of engineering standards, and accelerating AI delivery through effective platform usage and technical mentorship.
**What you will do in this role:** 
* Partner with platform and product managers to identify and prioritize foundational platform capabilities
* Inform the definition and implementation of technical standards and patterns across the platforms and product teams
* Collaborate on technical and architectural direction for critical platform components
* Participate in technical discussions and decision\-making processes for key platform features
* Mentor embedded MLEs in engineering best practices and platform tooling and adoption
* Help evaluate and make recommendations on technical approaches and new technologies
* Actively contribute to AI/MLOps development within assigned product team
* Drive adoption of platform capabilities through example and technical guidance
* Implement and validate platform patterns within pod
* Help identify and solve common challenges across pods
* Balance pod\-specific needs with platform standardization
* Champion platform adoption within pod and across teams
* Provide technical guidance on platform usage and implementation
* Identify opportunities for leveraging platform capabilities
* Contribute to platform feature development and improvement
* Help validate and refine platform patterns through direct implementation
* Share knowledge and best practices across the MLE team
* Implement robust CI/CD pipelines for ML models
* Develop and maintain ML systems using platform capabilities
* Ensure proper testing and validation of ML systems
* Document technical decisions and implementation patterns
* Partner with platform team to improve developer experience
* Conduct thorough code reviews with focus on platform patterns
* Contribute to technical design discussions and architecture reviews
**What qualifications you will need:** 
* Bachelor's degree – Required
* Master's degree – Preferred
* 7\+ years of experience in software engineering with a focus on ML and AI System Engineering – Required
* Experience working as an embedded engineer in a cross\-functional product team – Preferred
* Strong technical background in ML engineering with demonstrated coding expertise –Required
* Track record of driving adoption of technical platforms and developer tools –Required
* Deep Python development expertise with focus on ML systems and AI/MLOps –Required
* Proven ability to establish and maintain technical standards –Required
* Strong understanding of ML workflows and operational requirements –Required
* Hands\-on experience implementing and scaling model CI/CD pipelines –Required
* Experience with modern Python development practices including type checking, testing frameworks, and package management –Required
* Experience with modern Python development practices including type checking and testing –Required
* History of successful collaboration with product teams –Required
* Understanding of ML Development Lifecycle management and MLOps best practices –Required
* Understanding of ML Monitoring and observability –Required
* Experience with LLMs and Infrastructure –Preferred
* Experience integrating with feature stores, feature caches, and model serving platforms –Preferred
* Deep understanding of ML/AI platform tooling and patterns –Preferred
* Experience with Distributed model training –Preferred
* Hands\-on experience with Kubeflow, Argo, MLFlow or other ML/AI Training orchestrators –Preferred
* Hands\-on experience and knowledge of ML/AI metadata tools and model registries –Preferred
* Deep hands\-on experience with Terraform or other IaC tools –Preferred
* Hands\-on experience building ML/AI solutions on GCP and Vertex AI –Preferred
**Work Location/Schedule:** 
* Remote \- M\-F, 8am – 5pm \- Central Time
**Pay \&amp; Benefits:** 
* This position offers a Base Salary \+ Benefits (it does not offer an annual bonus)
**Travel Required:** 
* This job requires travel to Nashville, TN to attend final interview, 3\-day New Hire Orientation, quarterly team meetings, and other travel on as\-needed basis
**Visa Sponsorship:** 
* Not offered, now or in the future</t>
        </is>
      </c>
    </row>
    <row r="96">
      <c r="A96" t="inlineStr">
        <is>
          <t>li-4359826559</t>
        </is>
      </c>
      <c r="B96" t="inlineStr">
        <is>
          <t>AI/ML Engineer / Defence / $500k+ / NYC</t>
        </is>
      </c>
      <c r="C96" t="inlineStr">
        <is>
          <t>Open Talent</t>
        </is>
      </c>
      <c r="D96" t="inlineStr">
        <is>
          <t>linkedin</t>
        </is>
      </c>
      <c r="E96" t="inlineStr"/>
      <c r="F96" t="inlineStr"/>
      <c r="G96" t="inlineStr">
        <is>
          <t>New York, United States</t>
        </is>
      </c>
      <c r="H96" t="inlineStr"/>
      <c r="I96"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97">
      <c r="A97" t="inlineStr">
        <is>
          <t>li-4372751542</t>
        </is>
      </c>
      <c r="B97" t="inlineStr">
        <is>
          <t>Cloud Machine Learning Engineer</t>
        </is>
      </c>
      <c r="C97" t="inlineStr">
        <is>
          <t>Phaxis</t>
        </is>
      </c>
      <c r="D97" t="inlineStr">
        <is>
          <t>linkedin</t>
        </is>
      </c>
      <c r="E97" t="inlineStr"/>
      <c r="F97" t="inlineStr"/>
      <c r="G97" t="inlineStr">
        <is>
          <t>Nashville, TN</t>
        </is>
      </c>
      <c r="H97" t="inlineStr"/>
      <c r="I97" t="inlineStr">
        <is>
          <t>Salary is 120k to 150k \+ bonus
 We are seeking a Cloud Machine Learning Engineer with hands\-on experience in building, deploying, and managing ML solutions using Amazon SageMaker and Google Cloud Platform (GCP). This role will focus on designing scalable machine learning pipelines, optimizing model performance, and supporting production\-grade AI systems in a cloud\-native environment.
 Key Responsibilities:
 * Design, build, train, and deploy machine learning models using Amazon SageMaker.
* Develop and manage end\-to\-end ML pipelines in AWS and/or GCP environments.
* Implement data preprocessing, feature engineering, and model tuning workflows.
* Deploy and monitor models in production using cloud\-native services.
* Collaborate with data engineers, DevOps, and application teams to integrate ML solutions.
* Optimize cloud infrastructure for performance, scalability, and cost efficiency.
* Ensure security, compliance, and best practices across cloud environments.
 Required Qualifications:
 * Strong experience with Amazon SageMaker for model development and deployment.
* Hands\-on experience with Google Cloud Platform (GCP).
* Solid understanding of machine learning concepts and frameworks (e.g., TensorFlow, PyTorch, Scikit\-learn).
* Experience with Python and data processing tools.
* Knowledge of cloud networking, IAM, and infrastructure design.
* Experience with CI/CD and MLOps practices.
 Preferred Qualifications:
 * Experience with containerization (Docker, Kubernetes).
* Familiarity with GCP ML tools such as Vertex AI.
* Exposure to data engineering tools and large\-scale distributed systems.
* AWS and/or GCP certifications.</t>
        </is>
      </c>
    </row>
    <row r="98">
      <c r="A98" t="inlineStr">
        <is>
          <t>li-4364474250</t>
        </is>
      </c>
      <c r="B98" t="inlineStr">
        <is>
          <t>Senior AI Engineer</t>
        </is>
      </c>
      <c r="C98" t="inlineStr">
        <is>
          <t>Sidecar Health</t>
        </is>
      </c>
      <c r="D98" t="inlineStr">
        <is>
          <t>linkedin</t>
        </is>
      </c>
      <c r="E98" t="inlineStr"/>
      <c r="F98" t="inlineStr"/>
      <c r="G98" t="inlineStr">
        <is>
          <t>California, United States</t>
        </is>
      </c>
      <c r="H98" t="inlineStr"/>
      <c r="I98" t="inlineStr">
        <is>
          <t>Sidecar Health is redefining health insurance. Our mission is to make excellent healthcare affordable and accessible for everyone. We know that to accomplish this lofty mission, we need driven people who will make things happen.
 The passionate people who make up Sidecar Health’s team come from all over, with backgrounds as tech leaders, policy makers, healthcare professionals, and beyond. And they all have one thing in common—the desire to fix a broken system and make it more personalized, affordable, and transparent.
 If you want to use your talents to transform healthcare in the United States, come join us!
**About the Role** 
 Our AI Platform team is central to our mission. We build intelligent, production\-grade systems that power member experiences, operational efficiency, and core business workflows.
 We’re looking for builders. Not architects who only whiteboard. Not managers who delegate. Builders — engineers who ship high\-quality production code, move quickly, and take full ownership from design to deployment.
 As a
 **Senior AI Engineer** 
 on our AI Platform team, you will design, architect, and deploy AI\-powered systems that directly impact real members and real business outcomes. You will operate across the full lifecycle — from system design and prompt architecture to production deployment and observability. This role requires deep expertise in LLM systems, distributed cloud infrastructure, and the ability to ship reliable, scalable AI applications in production.
***\*\*MUST RESIDE IN CALIFORNIA\*\****
**What You'll Do** 
* Design, architect, and deploy AI\-powered systems that directly impact member experience and operational efficiency
* Build and optimize LLM\-driven applications using advanced prompt engineering, RAG architectures, and agentic workflows
* Design scalable AI pipelines using modern orchestration frameworks (LangChain, LangSmith, LlamaIndex, etc.)
* Architect multi\-agent systems capable of reasoning, planning, and executing complex multi\-step tasks
* Implement evaluation and monitoring frameworks to measure AI performance, detect hallucinations, and ensure reliability at scale
* Own cloud\-native AI infrastructure for performance, scalability, cost efficiency, and security
* Partner with Product and Engineering leadership to identify and execute high\-impact AI initiatives
* Stay at the frontier of the AI ecosystem and translate emerging capabilities into production\-ready systems
* Establish internal standards, tooling, and best practices for AI development across the organization
**What You'll Bring** 
* Bachelor’s or Master’s degree in Computer Science, Information Systems, Business Administration, or a related field
* 5\+ years of professional software engineering experience, including meaningful ownership of production systems
* Significant hands\-on experience building and deploying AI/ML systems in production
* Strong proficiency in Python and TypeScript (Next.js a plus)
* Deep experience with LLM APIs (OpenAI, Anthropic, AWS Bedrock) and orchestration frameworks (LangChain, LangSmith, LlamaIndex)
* Strong understanding of advanced prompt engineering techniques and LLM optimization strategies
* Experience designing and deploying RAG systems, vector databases, and semantic search applications
* Cloud infrastructure expertise (AWS preferred): Lambda, Step Functions, API Gateway, DynamoDB, S3
* Strong understanding of LLM behavior: tokenization, embeddings, context limits, evaluation, and hallucination mitigation
* Demonstrated track record of shipping scalable, production\-grade AI systems — not prototypes or demos
**Nice to Have** 
* Experience with infrastructure as code (AWS CDK, SAM, Terraform)
* Experience in healthcare, insurance, or regulated environments
* Experience fine\-tuning models or building custom model pipelines
* Familiarity with observability tools (DataDog, CloudWatch, LangSmith)
* Contributions to open\-source AI projects or published technical work
**What You'll Get** 
* Competitive salary, bonus opportunity, and equity package
* Comprehensive Medical, Dental, and Vision benefits
* A 401k retirement plan
* Paid vacation and company holidays
* Opportunity to make an impact at a rapidly growing mission\-driven company transforming healthcare in the U.S.</t>
        </is>
      </c>
    </row>
    <row r="99">
      <c r="A99" t="inlineStr">
        <is>
          <t>li-4372029048</t>
        </is>
      </c>
      <c r="B99" t="inlineStr">
        <is>
          <t>AI Engineer</t>
        </is>
      </c>
      <c r="C99" t="inlineStr">
        <is>
          <t>RemoteHunter</t>
        </is>
      </c>
      <c r="D99" t="inlineStr">
        <is>
          <t>linkedin</t>
        </is>
      </c>
      <c r="E99" t="inlineStr"/>
      <c r="F99" t="inlineStr"/>
      <c r="G99" t="inlineStr"/>
      <c r="H99" t="inlineStr"/>
      <c r="I99" t="inlineStr">
        <is>
          <t>About the Opportunity:
 A leading nonprofit software provider seeks a foundational AI Engineer to build and scale an AI platform that supports thousands of nonprofits. This role involves working with diverse datasets and intelligent systems to enhance tools for the social good sector. The AI Engineer will collaborate with data scientists, data engineers, and developers to implement advanced AI solutions, particularly focusing on Agentic Workflows and Large Language Models (LLMs), bridging model development and product integration.
 Responsibilities:
 • Design and implement AI solutions using LLMs, including advanced Agentic Orchestration and Retrieval\-Augmented Generation (RAG) systems
 • Develop, refine, and optimize prompts to maximize AI model accuracy and quality
 • Integrate AI/ML models and services into core products ensuring scalability, reliability, and efficiency
 • Support internal teams in adopting AI tools, including building agents and integrating AI services
 • Collaborate with product and data teams to explore new AI technologies and apply them to business challenges
 • Utilize cloud platforms, especially AWS AI services, to build, deploy, and manage AI\-powered features
 Requirements:
 • 3\+ years of hands\-on experience in software engineering, machine learning, or related roles focused on building and deploying AI systems
 • Deep understanding of prompt engineering, LLM integration, and fine\-tuning techniques
 • Strong software development skills and experience delivering scalable, production\-ready software
 • Proficiency in at least one programming language (Node.js and/or Python preferred)
 • Experience with AI agents and common AI/ML frameworks and libraries
 • Experience handling large, complex datasets with solid knowledge of data structures and algorithms
 • Familiarity with cloud\-based AI services, particularly AWS Bedrock services and Agent Core preferred
 • Ability to communicate complex technical concepts effectively to both technical and non\-technical audiences
 • Bachelor’s degree in Computer Science, Engineering, or a related technical field
 Bonus Points for:
 • Experience with vector databases
 • Practical experience building, training, or fine\-tuning LLMs/ML models
 • Knowledge of MLOps principles and tools
 • Experience with data platforms like Snowflake
 • Working knowledge of Node.js
 • Experience or passion for the nonprofit sector
 Benefits \&amp; Perks:
 No direct benefits or perks were specified in the original description.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0">
      <c r="A100" t="inlineStr">
        <is>
          <t>li-4372778290</t>
        </is>
      </c>
      <c r="B100" t="inlineStr">
        <is>
          <t>Sr AI Developer/Agentic AI Engineer</t>
        </is>
      </c>
      <c r="C100" t="inlineStr">
        <is>
          <t>Accord Technologies Inc</t>
        </is>
      </c>
      <c r="D100" t="inlineStr">
        <is>
          <t>linkedin</t>
        </is>
      </c>
      <c r="E100" t="inlineStr"/>
      <c r="F100" t="inlineStr"/>
      <c r="G100" t="inlineStr">
        <is>
          <t>Charlotte, NC</t>
        </is>
      </c>
      <c r="H100" t="inlineStr"/>
      <c r="I100" t="inlineStr">
        <is>
          <t>**Sr AI Developer/Agentic AI Engineer
 Charlotte, NC (Need Onsite day 1,** 
****hybrid 3 days from office).
 Inperson interview needed.**
 Position type: W2 contract**
**Job Description**
 We are building an agentic Al platform to transform commercial banking customer service. The Al developer will design, build, and operate LLM\-powered agents that interpret inbound servicing requests (e.g., email / case intake), retrieve grounded knowledge, and execute approved workflows through secure too/API integrations \- with enterprise\-grade controls, observability, and human\-in\-the\-loop patterns. This role sits within a cross\-functional team with Product, Operations, Technology, and Risk partners and focuses on delivering production\-ready agentic Al capabilities for regulated financial services
**Responsibilities:** 
**Agentic Al Solution Development**
* Build and enhance LLM/agent orchestration (Planner/supervisor patterns, tool\-using agents, routing, guardrails).
* Implement intent classification information extraction validation and decision logic for servicing workflows
* Developed tool calling integrations to downstream systems (CRM, workflow engine, core banking services, case management)
* Implement human\-in\-the\-loop workflows (review, approval, escalation, override) based on confidence/risk thresholds
**Knowledge and grounding (RAG)**
* Design and implement retrieval\-augmented generation (RAG) for policy procedure grounding and resolution guidance
* Build knowledge ingestion pipelines with refresh/versioning
* Improve answer quality via chunking strategies, embeddings re ranking and context management
**Quality, Safety and Evaluation**
* Define and run evaluation frameworks: golden datasets, scenario tests, regression tests, and automated scoring.
* Reduce hallucinations and risk by implementing prompt policies, constraints, structured outputs, and verification steps.
* Partner with risk slash compliance to ensure traceability, audit logs, explain ability requirements are met.
**Production Readiness and Operations**
* Implement observability for agents (latency, cost, tool failures, drift, quality signals, escalation rates).
* Support CI/CD for agent prompts and configurations (versioning, approvals, rollback).
* Collaborate with platform and security teams on secrets management, access controls, PIl protections, and safe deployments.
**Requirements:**
* 8\+ years of software engineering experience or equivalent with strong CS fundamentals
* Very strong experience on Agentic AI Development.
* Hands\-on experience building with LLMs and modern Al app stack (agents, RAG, tool/function calling).
* Strong proficiency in Python and building back\-end services/APls.
* Experience with at least one: LangChain/ LangGraph, Llamalndex, Semantic Kernel or equivalent frameworks.
* Experience with vector databases and search (e.g., Pinecone, Weaviate, Milvus, OpenSearch/Elastic, )
* Experience deploying services in cloud environments (AWS/Azure/GP) with basic DevOps practices)
* Strong understanding of security and privacy principles (PIl handling, least privilege, audit logging)
* Preferred Qualifications
* Experience in financial services or other regulated domains (risk controls, compliance audit readiness)
* Experience integrating with enterprise workflows (e.g., ServiceNow, Custom workflow engines, BPM/RPA)
* Familiarity with model evaluation approaches (LLM\-as\-judge, rubric scoring, retrieval evals, offline/online testing)
* Experience with messaging/eventing (Kafka/SQS), email ingestion pipelines, and document processing
* Exposure to MRM concerns and governance (model cards, risk assessments, validation processes)</t>
        </is>
      </c>
    </row>
    <row r="101">
      <c r="A101" t="inlineStr">
        <is>
          <t>li-4372772575</t>
        </is>
      </c>
      <c r="B101" t="inlineStr">
        <is>
          <t>Machine Learning Engineer</t>
        </is>
      </c>
      <c r="C101" t="inlineStr">
        <is>
          <t>Booz Allen Hamilton</t>
        </is>
      </c>
      <c r="D101" t="inlineStr">
        <is>
          <t>linkedin</t>
        </is>
      </c>
      <c r="E101" t="inlineStr"/>
      <c r="F101" t="inlineStr"/>
      <c r="G101" t="inlineStr">
        <is>
          <t>McLean, VA</t>
        </is>
      </c>
      <c r="H101" t="inlineStr"/>
      <c r="I101" t="inlineStr">
        <is>
          <t>**Job Number: R0234007**
 Machine Learning Engineer
**The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 you’ll train, test, deploy, and maintain models that learn from data.
 In this role, you’ll own and define the direction of mission\-critical solutions by implementing AI that enables faster mission success. You’ll be part of a large community of machine learning engineers across the company and collaborate with data engineers, data scientists, solutions architects, and product owners to deliver world\-class solutions to implement a wide variety of AI use cases. Your skills and extensive technical expertise will guide clients as they navigate the landscape of ML algorithms, tools, and frameworks.
 Work with us to solve real\-world challenges and define AI strategy for national security.
 Join us. The world can’t wait.
**You Have:** 
* 1\+ years of experience with artificial intelligence, data science, or machine learning engineering, including developing and deploying MLE models
* Experience with Python coding and libraries, including scikit\-learn, TensorFlow, or PyTorch
* Experience with developing code using a programming language, including Python, C\+\+, Rust, or Java
* Experience with deep learning, computer vision, or generative AI
* Experience with supervised and unsupervised learning
* Experience with data handling and model development
* Ability to solve client issues and problems
* Secret clearance
* Bachelor's degree
**Nice If You Have:** 
* Experience with generative and agentic AI technologies, such as LLMs, MCP, LangChain, or LangGraph
* Ability to develop and maintain scalable data stores that supply big data in forms needed for business analysis
* Ability to create software for retrieving, parsing, and processing structured and unstructured data
* Master's degree
**Clearance** 
**:**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$55,200\.00 to $126,000\.00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2">
      <c r="A102" t="inlineStr">
        <is>
          <t>li-4372788104</t>
        </is>
      </c>
      <c r="B102" t="inlineStr">
        <is>
          <t>AI Engineer</t>
        </is>
      </c>
      <c r="C102" t="inlineStr">
        <is>
          <t>Haystack</t>
        </is>
      </c>
      <c r="D102" t="inlineStr">
        <is>
          <t>linkedin</t>
        </is>
      </c>
      <c r="E102" t="inlineStr"/>
      <c r="F102" t="inlineStr"/>
      <c r="G102" t="inlineStr"/>
      <c r="H102" t="inlineStr"/>
      <c r="I102" t="inlineStr">
        <is>
          <t>**Senior AI Software Engineer \| United States \| Remote**
 We're working with Bishop Fox on this exciting opportunity.
 Join a startup within an established security leader, pioneering AI\-driven security testing. You'll build autonomous AI agents using cutting\-edge LLMs and AI/ML techniques, revolutionizing penetration testing at scale and integrating with enterprise\-grade infrastructure to serve Fortune 100 clients.
**The Role**
* Design and build intelligent autonomous security testing agents using large language models and cutting\-edge AI/ML techniques
* Develop services that think and act like elite attackers, but operate 24/7 across thousands of targets, transforming manual testing into scalable automation pipelines
* Connect your AI agents into Bishop Fox's Cosmos cloud platform, scaling your creations to serve Fortune 100 clients with enterprise\-level reliability on AWS, GCP, or Azure
* Prototype breakthrough approaches to AI\-driven security testing, building sophisticated feedback loops to make agents smarter over time
**What You'll Need**
* 6\+ years of software engineering experience with a track record of shipping production systems like Python and Golang
* Deep AI/ML expertise, including hands\-on experience with LLMs, agent frameworks (LangChain, AutoGPT, CrewAI), or autonomous AI systems
* Full\-stack capabilities, comfortable building robust APIs, designing database schemas, and working with modern frontend frameworks (React/TypeScript experience valued)
* Experience with cloud platforms (AWS, GCP, or Azure) and containerization (Docker/Kubernetes), along with CI/CD pipelines and DevOps practices
**What's On Offer**
* Opportunity to work within an innovative "startup" environment, backed by a leading offensive security company
* Collaborate with world\-class penetration testers and security researchers
* Generous Time Off, Company\-Wide Holidays, and Paid Parental Leave
* Comprehensive benefits package including Health Insurance options and 401k matching
**Apply via Haystack today!**</t>
        </is>
      </c>
    </row>
    <row r="103">
      <c r="A103" t="inlineStr">
        <is>
          <t>li-4372760917</t>
        </is>
      </c>
      <c r="B103" t="inlineStr">
        <is>
          <t>Generative AI Engineer</t>
        </is>
      </c>
      <c r="C103" t="inlineStr">
        <is>
          <t>Skywaves Rise</t>
        </is>
      </c>
      <c r="D103" t="inlineStr">
        <is>
          <t>linkedin</t>
        </is>
      </c>
      <c r="E103" t="inlineStr"/>
      <c r="F103" t="inlineStr"/>
      <c r="G103" t="inlineStr">
        <is>
          <t>New York, NY</t>
        </is>
      </c>
      <c r="H103" t="inlineStr"/>
      <c r="I103" t="inlineStr">
        <is>
          <t>**About the role:** 
 Turing is looking for people with LLM experience to join us in solving business problems for our Fortune 500 customers. You will be a key member of the Turing GenAI delivery organization and part of a GenAI project. You will be required to work with a team of other Turing engineers across different skill sets. In the past, the Turing GenAI delivery organization has implemented industry leading multi\-agent LLM systems, RAG systems, and Open Source LLM deployments for major enterprises.
**Mandatory Skills \-** 
* Agentic AI/Langgraph
* MCP
* Text2SQL
* BigData
* Graph DB
**Required skills** 
* 8\+ years for Sr GenAI Engineer and 10\+ years for Staff/Principal GenAI Engineer, of professional experience in building Machine Learning models \&amp; systems
* 3\+ years of hands\-on experience in how LLMs work \&amp; Generative AI (LLM) techniques particularly prompt engineering, RAG, and agents.
* Expert proficiency in programming skills in Python, Langchain/Langgraph and SQL is a must.
* Understanding of Cloud services from various cloud services from Azure, GCP, or AWS for building the GenAI applications
* Excellent communication skills to effectively collaborate with business SMEs
**Roles \&amp; Responsibilities** 
* Develop and optimize LLM\-based solutions: Lead the design, training, fine\-tuning, and deployment of large language models, leveraging techniques like prompt engineering, retrieval\-augmented generation (RAG), and agent\-based architectures.
* Codebase ownership: Maintain high\-quality, efficient code in Python (using frameworks like LangChain/LangGraph) and SQL, focusing on reusable components, scalability, and performance best practices.
* Cloud integration: Aide in deployment of GenAI applications on cloud platforms (Azure, GCP, or AWS), optimizing resource usage and ensuring robust CI/CD processes.
* Cross\-functional collaboration: Work closely with product owners, data scientists, and business SMEs to define project requirements, translate technical details, and deliver impactful AI products.
* Mentoring and guidance: Provide technical leadership and knowledge\-sharing to the engineering team, fostering best practices in machine learning and large language model development.
* Continuous innovation: Stay abreast of the latest advancements in LLM research and generative AI, proposing and experimenting with emerging techniques to drive ongoing improvements in model performance</t>
        </is>
      </c>
    </row>
    <row r="104">
      <c r="A104" t="inlineStr">
        <is>
          <t>li-4372023600</t>
        </is>
      </c>
      <c r="B104" t="inlineStr">
        <is>
          <t>Finance Machine Learning Engineer - Tech Lead</t>
        </is>
      </c>
      <c r="C104" t="inlineStr">
        <is>
          <t>Apple</t>
        </is>
      </c>
      <c r="D104" t="inlineStr">
        <is>
          <t>linkedin</t>
        </is>
      </c>
      <c r="E104" t="inlineStr"/>
      <c r="F104" t="inlineStr"/>
      <c r="G104" t="inlineStr">
        <is>
          <t>Austin, TX</t>
        </is>
      </c>
      <c r="H104" t="inlineStr"/>
      <c r="I104" t="inlineStr">
        <is>
          <t>**Summary**
 Imagine what you could do here. At Apple, new ideas have a way of becoming great products, services, and customer experiences very quickly. Bring passion and curiosity to your job and there's no telling what you could accomplish. Do you love thinking analytically? Just as our customers find value in Apple products, the Finance group finds value for both Apple and its shareholders. As a machine learning engineer in Finance, you’ll play an integral role in building the data foundations, services, and platforms used for delivering insights and automating decisions for Apple’s Finance organization.
**Description**
 This role will be the technical lead for product cost, supporting our Operations Finance organization. You will work as part of a multi\-discipline engineering pod with data and software engineers, product managers and program managers. Your ability to learn business processes and instill strong engineering practices into team machine learning processes will be critical. A key part of your role will be to operationalize AI solutions, bridging the gap between prototype and production to rapidly and reliably deliver value to the Finance organization.
**Responsibilities**
* Technical lead overseeing solution design and engineers
* Partner with teammates and share expertise across teams
* Explain technical concepts to non\-technical audiences
* Collaborate effectively with cross\-functional teams
* Operationalize AI solutions, bridging the gap between prototype and production
* Instill strong engineering practices into team machine learning processes
* Rapidly and reliably deliver value to the Finance organization
**Minimum Qualifications**
* At least 8 years experience in an engineering role
* At least one year experience effectively leading engineers and collaborating cross\-functionally, translating technical concepts for diverse audiences and converting ideas into solutions with strong process and data understanding
* Experience building data models and scalable pipelines using SQL and big data technologies, with expertise in data ops best practices
* Experience developing in Python while following and advocating for DRY principles, modularity, testing standards, version control, and code reviews. Experience with front end (.js experience)
* Experience applying ML algorithms for regression, classification, and anomaly detection; build generative AI and agentic solutions; implement MLOps/LLMOps including CI/CD, drift monitoring, and familiarity working with cloud platforms (AWS, GCP, Azure)
* Graduate degree (computer science, data science, math, quantitative finance, or similar discipline)
* Undergraduate degree (computer science, data science, finance, economics, accounting, or related business discipline)
**Preferred Qualifications**
* Previous experience working in a corporate finance, accounting, or supply chain organization
* Understanding of or ability to learn financial statements, P\&amp;L impact, high level accounting principles, SOX and tax compliance and month\-end close process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5">
      <c r="A105" t="inlineStr">
        <is>
          <t>li-4304803813</t>
        </is>
      </c>
      <c r="B105" t="inlineStr">
        <is>
          <t>Senior Machine Learning Engineer - Discovery (ML + Backend Engineering)</t>
        </is>
      </c>
      <c r="C105" t="inlineStr">
        <is>
          <t>Scribd, Inc.</t>
        </is>
      </c>
      <c r="D105" t="inlineStr">
        <is>
          <t>linkedin</t>
        </is>
      </c>
      <c r="E105" t="inlineStr"/>
      <c r="F105" t="inlineStr"/>
      <c r="G105" t="inlineStr">
        <is>
          <t>Miami, FL</t>
        </is>
      </c>
      <c r="H105" t="inlineStr"/>
      <c r="I105"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06">
      <c r="A106" t="inlineStr">
        <is>
          <t>li-4372793215</t>
        </is>
      </c>
      <c r="B106" t="inlineStr">
        <is>
          <t>Principal AI / ML Engineer - Embodied AI</t>
        </is>
      </c>
      <c r="C106" t="inlineStr">
        <is>
          <t>General Motors</t>
        </is>
      </c>
      <c r="D106" t="inlineStr">
        <is>
          <t>linkedin</t>
        </is>
      </c>
      <c r="E106" t="inlineStr"/>
      <c r="F106" t="inlineStr"/>
      <c r="G106" t="inlineStr">
        <is>
          <t>Mountain View, CA</t>
        </is>
      </c>
      <c r="H106" t="inlineStr"/>
      <c r="I106"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Principal Technical Lead in the Embodied AI organization, you will be a senior individual contributor driving cutting\-edge end\-to\-end machine learning solutions directly impacting autonomous driving performance. Your role is pivotal in designing, architecting, and deploying advanced ML models to reliably and safely navigate diverse real\-world scenarios and conditions. You'll lead critical technical initiatives, collaborate closely with cross\-functional teams, mentor ML engineers, and significantly shape the future of onboard ML capabilities.
**What You'll Do:**
* Design and implement technologies that align our models to GM’s mission.
* Apply techniques such as unsupervised pre\-training, imitation learning, reinforcement learning, guidance, and selection to raise the performance of our models and provide a layer safety and reliability.
* Collaborate with cross\-functional teams to integrate \&amp; align distillation recipes of foundation models for onboard driving models.
* Conduct research and stay updated on the latest advancements in AI frameworks and libraries.
* Lead projects from ideation to deployment, documenting learnings and best practices along the way.
* Mentor junior team members and contribute to a culture of knowledge sharing and continuous improvement.
**Your Skills \&amp; Abilities:**
* Bachelor’s, Master’s or PhD degree in Computer Science with a focus in Robotics and or Machine Learning, or a related field.
* Proven experience working with large\-scale Foundation Models and alignment methods to translate research into real\-world impact.
* Proven experience delivering applied research in the wild and maintaining best practices while working on tight deadlines.
* Proficiency in frameworks such as PyTorch and languages such as python.
* Proven experience in building and scaling large model training pipelines that are performant and enable quick iteration by distributed teams.
* Strong data processing skills using tools like Numpy, Pandas, and Apache Spark.
* Excellent communication skills to effectively collaborate with diverse teams and stakeholders.
* Experience deploying foundation models into production environments and understanding the end\-to\-end process.
* Previous experience in Robotics or Autonomous Driving.
*Remote:* 
 This role is based remotely but if you live within a 50\-mile radius of Austin, Detroit, Warren, Milford or Mountain View, you are expected to report to that location three times per week, at minimum.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$296,300\.00 to $453,900\.00\.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07">
      <c r="A107" t="inlineStr">
        <is>
          <t>li-4372781935</t>
        </is>
      </c>
      <c r="B107" t="inlineStr">
        <is>
          <t>Staff AI / ML Engineer - Embodied AI</t>
        </is>
      </c>
      <c r="C107" t="inlineStr">
        <is>
          <t>General Motors</t>
        </is>
      </c>
      <c r="D107" t="inlineStr">
        <is>
          <t>linkedin</t>
        </is>
      </c>
      <c r="E107" t="inlineStr"/>
      <c r="F107" t="inlineStr"/>
      <c r="G107" t="inlineStr">
        <is>
          <t>Mountain View, CA</t>
        </is>
      </c>
      <c r="H107" t="inlineStr"/>
      <c r="I107"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As a Staff AI/ML Engineer in the Embodied AI organization, you will serve as a senior individual contributor developing and deploying machine learning solutions that directly impact autonomous driving performance. You will design and implement advanced ML models that enable safe and reliable vehicle behavior across diverse real\-world scenarios.
 In this role, you will partner closely with cross\-functional engineering teams, contribute to core technical direction within your domain, and support the growth of engineers through technical collaboration and mentorship. You will help translate research into scalable onboard ML solutions while contributing to the continuous improvement of our autonomy stack.
**What You'll Do**
* Design and implement ML solutions aligned with GM’s autonomous driving objectives.
* Apply techniques such as unsupervised pre\-training, imitation learning, reinforcement learning, model scaling/selection, foundation modeling, to solve problems in object detection/tracking/classification, trajectory generation, and safe AI.
* Collaborate with cross\-functional teams to deploy models and algorithms into onboard driving systems.
* Contribute to applied research efforts and remain current with advancements in ML frameworks and methods.
* Design and build efficient infrastructure, pipelines, and tooling to facilitate fast\-pace model iterations.
* Drive technical execution from prototyping through production deployment, documenting learnings and best practices.
* Support and mentor engineers through technical collaboration and code reviews, fostering knowledge sharing and engineering excellence.
**Your Skills \&amp; Abilities**
* Bachelor’s, Master’s, or PhD in Computer Science, Robotics, Machine Learning, or related field.
* Experience working with large\-scale foundation models and alignment methods applied to real\-world systems.
* Demonstrated ability to deliver applied ML solutions under real\-world constraints and timelines.
* Proficiency in PyTorch and Python.
* Experience building and scaling model training pipelines enabling efficient iteration across teams.
* Strong data processing skills using tools such as NumPy, Pandas, and Apache Spark.
* Strong communication skills enabling effective collaboration across engineering teams.
* Experience deploying ML models into production environments and understanding end\-to\-end deployment workflows.
* Experience in robotics or autonomous driving systems preferred.
*Remote:* 
 This role is based remotely but if you live within a 50\-mile radius of Austin, Detroit, Warren, Milford or Mountain View, you are expected to report to that location three times per week, at minimum.
*Compensation* 
 :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$218,800\.00 to $335,300\.00\.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108">
      <c r="A108" t="inlineStr">
        <is>
          <t>li-4372116966</t>
        </is>
      </c>
      <c r="B108" t="inlineStr">
        <is>
          <t>Generative AI Engineer</t>
        </is>
      </c>
      <c r="C108" t="inlineStr">
        <is>
          <t>TEGNA</t>
        </is>
      </c>
      <c r="D108" t="inlineStr">
        <is>
          <t>linkedin</t>
        </is>
      </c>
      <c r="E108" t="inlineStr"/>
      <c r="F108" t="inlineStr"/>
      <c r="G108" t="inlineStr">
        <is>
          <t>Tysons Corner, VA</t>
        </is>
      </c>
      <c r="H108" t="inlineStr"/>
      <c r="I108" t="inlineStr">
        <is>
          <t>**About TEGNA**
 TEGNA Inc. (NYSE: TGNA) helps people thrive in their local communities by providing the trusted local news and services that matter most. With 64 television stations in 51 U.S. markets, TEGNA reaches more than 100 million people monthly across the web, mobile apps, streaming, and linear television. Together, we are building a sustainable future for local news.
 Role Overview
 We are seeking an AI Engineer to design, develop, and deploy scalable LLM\-powered solutions leveraging AWS cloud services, Snowflake, and modern GenAI frameworks. This role focuses on building production\-grade AI systems, optimizing LLM inference, and integrating enterprise data platforms with cutting\-edge AI technologies.
 The ideal candidate combines strong cloud engineering expertise with hands\-on experience in prompt engineering, foundation models, agentic AI systems, and data pipelines within Snowflake and AWS ecosystems
 Key Responsibilities
 AI \&amp; Generative AI Development
* Design, develop, and deploy LLM\-powered applications and agentic AI systems in production environments.
* Implement advanced prompt engineering strategies including:
* Prompt chaining and multi\-turn orchestration
* Few\-shot learning and in\-context learning
* Chain\-of\-Thought (CoT) and Tree\-of\-Thought (ToT) prompting
* Function calling and tool use optimization
* Structured output generation (JSON, XML schemas)
* Build and optimize Retrieval\-Augmented Generation (RAG) systems integrating Snowflake data with LLMs.
* Evaluate and fine\-tune foundation models via AWS Bedrock or other managed AI services.
* Develop guardrails for AI systems including hallucination mitigation, grounding, and safety controls.
* Implement LLMOps best practices for model lifecycle management:
* Model versioning, deployment, and rollback strategies
* Prompt versioning and experimentation frameworks
* Monitor and observe LLM application performance using observability tools.
* Evaluation frameworks for LLM outputs
 Cloud \&amp; Platform Engineering (AWS)
**Architect Scalable AI Solutions Using AWS Services Such As**
* Bedrock \- Sagemaker – Access and fine\-tune foundation models
* Lambda – Serverless LLM application deployment
* EC2 – GPU\-accelerated inference and batch processing
* Step Functions – Orchestrate complex LLM workflows and agentic pipelines
* CloudWatch – Monitoring, logging, and alerting for AI systems
 Data Engineering \&amp; Snowflake Integration
* Build and optimize data pipelines between Snowflake and AI services.
* Design feature stores and embeddings pipelines using Snowflake.
* Leverage Snowflake's Cortex LLM functions for in\-database AI operations.
* Implement vector search and semantic search capabilities.
* Work with structured and unstructured enterprise data.
* Ensure data quality, governance, and security.
* Optimize Snowflake queries for AI workloads and cost efficiency.
 AI Application Development
* Build APIs and backend services to operationalize AI solutions.
* Integrate LLM/AI systems into internal applications, sales tools, or analytics platforms.
* Implement streaming and real\-time inference for low\-latency AI applications.
* Collaborate with stakeholders to translate use cases into production AI systems.
**Required Qualifications**
* 5\+ years of experience in AI/ML, Software or Data engineering.
* Proficiency in Python with solid understanding of ML fundamentals
* Strong hands\-on experience with AWS, APIs and microservices architecture
* Experience integrating AI solutions with data systems like Snowflake.
* Practical experience with prompt engineering
* Experience with LLM orchestration frameworks (e.g., LangChain, LlamaIndex, Semantic Kernel, or similar
* Experience with agentic frameworks (AutoGen, CrewAI, or equivalent).
**Preferred Qualifications**
* Experience building RAG pipelines in enterprise environments.
* Knowledge of MLOps best practices.
* Experience with vector databases and embeddings.
* Familiarity with model evaluation frameworks (e.g., LLM eval metrics).
* Experience implementing AI governance and responsible AI practices.
* Background in sales, media, marketing analytics, or enterprise data platforms (a plus).
**Benefits**
 TEGNA offers comprehensive benefits designed to safeguard the physical, mental and financial health of our employees and their families. TEGNA offers two medical plan options for full and part\-time employees through Blue Cross Blue Shield of Texas, as well as access to dental and eye care coverage; fertility, surrogacy and adoption assistance; disability and life insurance.
 Our 401(k) program offers full, part\-time and temporary employees the opportunity to contribute 1% \- 80% of their pay on a pre\-tax basis to TEGNA’s 401(k). Contributions made up to the first 4% of pay are eligible for a 100% match from the company and are 100% vested from day one.
 Regardless of participation in TEGNA medical plans, ALL employees and their eligible family members receive nine free virtual doctor’s appointments with a physician through Teladoc, and 12 free annual therapy sessions with a licensed clinician through Spring Health.
 TEGNA offers a generous Paid Time Off (PTO) benefit as well as nine paid holidays per year.
* Some jobs are covered by a collective bargaining agreement and thus some or all of the benefits described herein may not apply. For example, some newsroom bargaining unit employees receive health and retirement benefits under plans administered by the union.
**EEO Statement**
 TEGNA Inc. is a proud equal opportunity employer. We are proud to be an equal opportunity employer, hiring and developing individuals from diverse backgrounds and experiences to add to our collaborative culture. We value and consider applications from all qualified candidates without regard to actual or perceived race, color, religion, national origin, sex, gender, age, marital status, personal appearance, sexual orientation, gender identity or expression, family responsibilities, disability, medical condition, enrollment in college or vocational school, political affiliation, military or veteran status, citizenship status, genetic information, or any other basis protected by federal, state or local law. TEGNA will reasonably accommodate qualified individuals with disabilities in accordance with applicable law. If you are in need of an accommodation in order to submit your application, please email askhr@tegna.com
**Recruiting Fraud Alert**
 To all candidates: your personal information and online safety are important to us. Only TEGNA Recruiters or Hiring Managers will reach out to you regarding consideration of your application or background. Communications with TEGNA employees will either come from a TEGNA email address with a domain of tegna.com or one of our affiliate station domains.
 Recruiters or Hiring Managers will never request payments, ask for financial account information or sensitive information such as social security numbers.
 Privacy Notice for California Residents
 SMS Messaging Privacy Policy</t>
        </is>
      </c>
    </row>
    <row r="109">
      <c r="A109" t="inlineStr">
        <is>
          <t>li-4372752807</t>
        </is>
      </c>
      <c r="B109" t="inlineStr">
        <is>
          <t>Embedded AI Engineer (Hybrid)</t>
        </is>
      </c>
      <c r="C109" t="inlineStr">
        <is>
          <t>Homebase</t>
        </is>
      </c>
      <c r="D109" t="inlineStr">
        <is>
          <t>linkedin</t>
        </is>
      </c>
      <c r="E109" t="inlineStr"/>
      <c r="F109" t="inlineStr"/>
      <c r="G109" t="inlineStr">
        <is>
          <t>Houston, TX</t>
        </is>
      </c>
      <c r="H109" t="inlineStr"/>
      <c r="I109" t="inlineStr">
        <is>
          <t>**Hi, Future Homie!**
 At Homebase, you’ll join a team that’s bold, fast\-moving, and obsessed with helping small businesses thrive. We build with empathy, act with urgency, and take big swings that drive real\-world impact. Here, every Homie shows up to raise the bar, support one another, and celebrate wins as a team.
 We’re not just building an app—we’re building
 *unstoppable* 
 teams. So what do you say, are you in?
**📍Your** 
***Impact***
**Starts Here**
 We’re looking for an
 **Embedded AI Engineer** 
 at the
 **E2** 
 level to run embedded engagements with internal teams and deliver durable AI\-powered systems that materially improve operational efficiency and business outcomes.
 You’ll operate close to the business: translating messy workflows into scoped solutions, building production systems at velocity leveraging modern LLMs and coding agents, and iterating rapidly based on real usage.
**These are the key ways you’ll contribute and create impact in this role:**
* Lead embedded cycles end\-to\-end: discovery (workflow mapping \+ KPI definition), build/launch, and scale/standardize.
* Ship full\-stack internal systems (services, integrations, and UIs) that teams rely on daily; balance speed with maintainability.
* Own and evolve shared internal AI software that multiple teams depend on—treating key accelerators as compounding assets.
* Establish clear ownership paths for each deliverable: team\-owned (shared), co\-owned (team\-specific), or handoff (when there’s a natural long\-term home).
* Drive measurable impact: define success metrics up front and iterate until adoption and KPI movement are real.
* Create reusable templates, components, and playbooks so the next engagement ships faster and better.
* Partner effectively across Engineering \+ stakeholders: communicate tradeoffs, scope, rollout plans, and change management clearly.
**Role**
**🚀 The Foundation for Success \-** 
 These are the experiences and strengths that will set you up for success in this role:
* 2\+ years of professional software engineering experience shipping production systems (or equivalent).
* Strong proficiency in backend scripting language such as Ruby or Python, and comfort working across backend \+ frontend (TypeScript/JavaScript/React).
* Proven ability to deliver in ambiguity \- You can work with subject matter experts to transform messy workflows into a scoped MVP and ship it quickly.
* Hands\-on experience building with LLMs and automating workflows; strong instincts for pragmatic solution design.
* Strong communication skills and stakeholder leadership: you can run working sessions, demo clearly, drive adoption, and empathize with your internal customers.
* AI fluency (required): You retool workflows with AI, instrument outcomes, and measure impact (time saved, error reduction, adoption, throughput).
* Bonus points if you have:
+ Experience building internal tools and integrating with systems like CRM, ticketing, knowledge bases, and analytics.
+ Experience operationalizing AI workflows.
**🤝 The Homie Way \-** 
 These principles guide everything we do—from how we work and make decisions to how we show up for each other.
* 💡 Be Customer Obsessed – Solve problems with empathy and creativity.
* ⚡ Move Fast, Learn Fast – Experiment, take action, and grow every day.
* 🎯 Own Your Impact – Think big, focus on what matters, and make decisions you stand behind.
* 🏆 Master Your Craft – Excellence fuels impact—show up, step up, and make your mark.
* 🏅 Win Together – Put goals over roles, lead with trust, and connect to our mission and each other.
**What We Offer (United States)**
* 💰 Ownership \&amp; Financial Security: Stock options \+ 401(k) with 4% match
* 🏥 Comprehensive Healthcare: Medical, dental, and vision coverage \+ FSA options
* ⏰ Flexible Time: Unlimited PTO (salaried) \+ company holidays
* 👶 Family Support: Up to 12 weeks of paid parental leave (after 6 months of service)
* 🛡️ Protection Plans: Life insurance \+ short/long\-term disability coverage
* 🌟 Work Your Way: Work From Anywhere Month \+ meeting\-free weeks yearly
* 🍽️ Workspace Perks: Meals provided, commuter benefits, team offsites, and Customer Days
* 💼 Our Hybrid Rhythm: We believe collaboration drives impact. That’s why Tuesdays and Wednesdays are our required in\-office days—a time to move faster as a team, build deeper connections, make better decisions, and build together.
**What We Offer (Canada)**
* 💰 Ownership \&amp; Savings: Stock options \+ TFSA/RRSP with 4% company match
* 🏥 Health \&amp; Wellness: Comprehensive medical, dental, and vision for you and your dependents
* ⏰ Time Flexibility: Flex time off \+ company holidays \+ designated focus periods
* 👶 Family Support: Maternity/Parental Leave EI top\-up support offered (after 6 months of service)
* 🌟 Work Your Way: Work From Anywhere Month \+ meeting\-free weeks yearly
* 🛡️ Protection Plans: Life insurance \+ short/long\-term disability coverage
* 🍽️ Workspace Perks: Meals provided, team offsites, and Customer Days
* 💼 Our Hybrid Rhythm: We believe collaboration drives impact. That’s why Tuesdays and Wednesdays are our required in\-office days—a time to move faster as a team, build deeper connections, make better decisions, and build together.
**What To Expect During The Interview Process**
* Meet the Talent Acquisition team, Ryan H.
* Meet the Hiring Manager, Justin N.
* Participate in a Technical Assessment
* Meet Cross\-functional Partners
* Background Check \+ Offer Stage
* Welcome to the team, Homie 🎉
**💜 Belonging at Homebase \-** 
 We're committed to fostering a welcoming space where every Homie can be their full self. Experience comes in many forms—so if you're excited about this role, even if you don’t meet 100% of the qualifications, we encourage you to apply!
*Homebase will consider qualified applicants with criminal histories in a manner consistent with the San Francisco Fair Chance Ordinance.*
**👋 Hey, We’re Homebase**
 Unstoppable teams start here.
 Homebase is the everything app for hourly teams—built to simplify the day\-to\-day and superpower local businesses. With tools for scheduling, time clocks, payroll, communication, HR, and more, we help teams stay connected and in control. Today, over 100,000 small (but mighty) businesses rely on us to make work radically easier. Together, we’ve tracked over a billion hours for 2\.5\+ million workers—and we’re just getting started.
 At Homebase, we celebrate diversity and are proud to be an equal opportunity employer. We welcome all candidates and do not discriminate based on any legally protected status. If you need accommodations during the hiring process, please let us know—we’re committed to ensuring fair and equitable access for all.</t>
        </is>
      </c>
    </row>
    <row r="110">
      <c r="A110" t="inlineStr">
        <is>
          <t>li-4372030395</t>
        </is>
      </c>
      <c r="B110" t="inlineStr">
        <is>
          <t>Finance Machine Learning Engineer - Tech Lead</t>
        </is>
      </c>
      <c r="C110" t="inlineStr">
        <is>
          <t>Apple</t>
        </is>
      </c>
      <c r="D110" t="inlineStr">
        <is>
          <t>linkedin</t>
        </is>
      </c>
      <c r="E110" t="inlineStr"/>
      <c r="F110" t="inlineStr"/>
      <c r="G110" t="inlineStr">
        <is>
          <t>Cupertino, CA</t>
        </is>
      </c>
      <c r="H110" t="inlineStr"/>
      <c r="I110" t="inlineStr">
        <is>
          <t>**Summary**
 Imagine what you could do here. At Apple, new ideas have a way of becoming great products, services, and customer experiences very quickly. Bring passion and curiosity to your job and there's no telling what you could accomplish. Do you love thinking analytically? Just as our customers find value in Apple products, the Finance group finds value for both Apple and its shareholders. As a machine learning engineer in Finance, you’ll play an integral role in building the data foundations, services, and platforms used for delivering insights and automating decisions for Apple’s Finance organization.
**Description**
 This role will be the technical lead for product cost, supporting our Operations Finance organization. You will work as part of a multi\-discipline engineering pod with data and software engineers, product managers and program managers. Your ability to learn business processes and instill strong engineering practices into team machine learning processes will be critical. A key part of your role will be to operationalize AI solutions, bridging the gap between prototype and production to rapidly and reliably deliver value to the Finance organization.
**Responsibilities**
* Technical lead overseeing solution design and engineers
* Partner with teammates and share expertise across teams
* Explain technical concepts to non\-technical audiences
* Collaborate effectively with cross\-functional teams
* Operationalize AI solutions, bridging the gap between prototype and production
* Instill strong engineering practices into team machine learning processes
* Rapidly and reliably deliver value to the Finance organization
**Minimum Qualifications**
* At least 8 years experience in an engineering role
* At least one year experience effectively leading engineers and collaborating cross\-functionally, translating technical concepts for diverse audiences and converting ideas into solutions with strong process and data understanding
* Experience building data models and scalable pipelines using SQL and big data technologies, with expertise in data ops best practices
* Experience developing in Python while following and advocating for DRY principles, modularity, testing standards, version control, and code reviews. Experience with front end (.js experience)
* Experience applying ML algorithms for regression, classification, and anomaly detection; build generative AI and agentic solutions; implement MLOps/LLMOps including CI/CD, drift monitoring, and familiarity working with cloud platforms (AWS, GCP, Azure)
* Graduate degree (computer science, data science, math, quantitative finance, or similar discipline)
* Undergraduate degree (computer science, data science, finance, economics, accounting, or related business discipline)
**Preferred Qualifications**
* Previous experience working in a corporate finance, accounting, or supply chain organization
* Understanding of or ability to learn financial statements, P\&amp;L impact, high level accounting principles, SOX and tax compliance and month\-end close process
**Pay \&amp; Benefits**
 At Apple, base pay is one part of our total compensation package and is determined within a range. This provides the opportunity to progress as you grow and develop within a role. The base pay range for this role is between $181,100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11">
      <c r="A111" t="inlineStr">
        <is>
          <t>li-4372011805</t>
        </is>
      </c>
      <c r="B111" t="inlineStr">
        <is>
          <t>Machine Learning Engineer</t>
        </is>
      </c>
      <c r="C111" t="inlineStr">
        <is>
          <t>Jobs via Dice</t>
        </is>
      </c>
      <c r="D111" t="inlineStr">
        <is>
          <t>linkedin</t>
        </is>
      </c>
      <c r="E111" t="inlineStr"/>
      <c r="F111" t="inlineStr"/>
      <c r="G111" t="inlineStr">
        <is>
          <t>Denver, CO</t>
        </is>
      </c>
      <c r="H111" t="inlineStr"/>
      <c r="I111" t="inlineStr">
        <is>
          <t>Dice is the leading career destination for tech experts at every stage of their careers. Our client, INNOVIT USA INC, is seeking the following. Apply via Dice today!
**Hiring:** 
 W2 Candidates Only
**Visa:** 
 Open to any visa type with valid work authorization in the USA
**Summary**
 A Machine Learning Engineer is responsible for designing, building, and deploying predictive models and AI\-driven solutions that support business objectives. This role focuses on developing scalable machine learning systems, optimizing model performance, and integrating intelligent solutions into production applications.
**Key Responsibilities**
 Design, develop, and implement machine learning models and AI solutions for real\-world business use cases.
 Train, test, and evaluate models using large, complex datasets to ensure accuracy and reliability.
 Collaborate with data scientists, data engineers, and software developers to build end\-to\-end ML pipelines.
 Optimize algorithms and workflows for performance, scalability, and cost efficiency.
 Deploy machine learning models into production environments using MLOps best practices.
 Monitor model performance, drift, and accuracy; retrain and fine\-tune models as needed.
 Build and maintain feature engineering pipelines and data preprocessing workflows.
 Document models, assumptions, architectures, and methodologies for transparency and reproducibility.
 Research, evaluate, and apply emerging machine learning techniques, tools, and frameworks.
 Ensure compliance with ethical AI standards, data privacy policies, and regulatory requirements.
 Integrate ML solutions with enterprise applications, APIs, and cloud platforms.
 Conduct A/B testing and experimentation to validate model effectiveness.
 Troubleshoot model failures and collaborate with engineering teams to resolve production issues.
 Support automation and intelligent decision\-making across business processes.
 Provide technical guidance on best practices for developing, deploying, and maintaining ML systems.
 Mentor junior engineers and contribute to team knowledge sharing and innovation.
**Qualifications**
 Bachelor s or Master s degree in Data Science, Computer Science, Artificial Intelligence, or a related field.
 3\-5 years of hands\-on experience in machine learning, AI, or advanced analytics roles.
 Proficiency in Python, R, and machine learning frameworks such as TensorFlow, PyTorch, or Scikit\-learn.
 Strong foundation in statistics, probability, and linear algebra.
 Experience working with large datasets and building production\-grade ML systems.
**Preferred Skills / Duties**
 Knowledge of natural language processing (NLP), computer vision, deep learning, or reinforcement learning.
 Experience with cloud\-based ML platforms and services (AWS SageMaker, Azure ML, Google AI Platform).
 Familiarity with MLOps tools for model deployment, monitoring, and versioning.
 Ability to translate complex business problems into effective machine learning solutions.
 Strong communication, collaboration, and stakeholder engagement skills.
 Experience with data pipelines, feature stores, and model lifecycle management.</t>
        </is>
      </c>
    </row>
    <row r="112">
      <c r="A112" t="inlineStr">
        <is>
          <t>li-4017607925</t>
        </is>
      </c>
      <c r="B112" t="inlineStr">
        <is>
          <t>Senior Staff Machine Learning Engineer</t>
        </is>
      </c>
      <c r="C112" t="inlineStr">
        <is>
          <t>Rippling</t>
        </is>
      </c>
      <c r="D112" t="inlineStr">
        <is>
          <t>linkedin</t>
        </is>
      </c>
      <c r="E112" t="inlineStr"/>
      <c r="F112" t="inlineStr"/>
      <c r="G112" t="inlineStr">
        <is>
          <t>New York, NY</t>
        </is>
      </c>
      <c r="H112" t="inlineStr"/>
      <c r="I112"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We are seeking a highly skilled and experienced Senior Staff Machine Learning Engineer to join our team. As an engineer working on large language models (LLMs) at Rippling, you will work closely with product teams to build tools that people use. The work is necessarily cross\-functional, and successful individuals on our team have an unusually high degree of ownership. Your expertise will contribute to the advancement of our organization's machine learning capabilities and drive innovation in our products and services.
**What You Will Do**
* Collaborate with cross\-functional teams to translate business requirements into models.
* Design and develop scalable machine learning pipelines for data preprocessing, feature engineering, model training, and evaluation. You will work with data engineers to collect and preprocess data sets for model training.
* Implement models in our production code base (primarily Python, Go).
* Stay up\-to\-date with the latest research in ML and related fields, and apply this knowledge to improve Rippling products.
**Qualifications**
* Ph.D. or equivalent in Computer Science, Engineering, Mathematics, or related field AND 6 or more years full\-time Software Engineering work experience; OR
* 10 years full\-time Software Engineering work experience, which includes 4\+ years of software engineering experience in one or more of the following areas: advertising, recommendation systems, risk/fraud modeling, or natural language processing.
* Comfortable with hands\-on programming (eg, Python, Go, Java, C/C\+\+)
* Ability to communicate complex technical ideas with clarity and precision.
**Additional Qualifications**
* Experience with developing things that use large language models (LLMs) and familiarity with pre\-training and fine\-tuning techniques.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201,000 \- 351,750 USD per year(US Tier 1\)</t>
        </is>
      </c>
    </row>
    <row r="113">
      <c r="A113" t="inlineStr">
        <is>
          <t>li-4364118712</t>
        </is>
      </c>
      <c r="B113" t="inlineStr">
        <is>
          <t>Senior Data Science, AI/ML Engineer (Google Cloud - Retail) (Lead I - ML Engineering)</t>
        </is>
      </c>
      <c r="C113" t="inlineStr">
        <is>
          <t>UST</t>
        </is>
      </c>
      <c r="D113" t="inlineStr">
        <is>
          <t>linkedin</t>
        </is>
      </c>
      <c r="E113" t="inlineStr"/>
      <c r="F113" t="inlineStr"/>
      <c r="G113" t="inlineStr">
        <is>
          <t>Bradford, IA</t>
        </is>
      </c>
      <c r="H113" t="inlineStr"/>
      <c r="I113" t="inlineStr">
        <is>
          <t>**Role Description**
**Senior Data Science, AI/ML Engineer (Google Cloud \- Retail)**
* Location Leicester
* Duration 6 Month Fixed term contract
 o
**About The Role**
 UST are currently recruiting for a Senior Data Science / Machine Learning Engineer in Google Cloud Platform (GCP) and strong retail domain experience to lead the design and deployment of scalable, production\-grade ML solutions that drive measurable business outcomes.
 This role is ideal for a hands\-on technical leader who thrives as an independent contributor while also mentoring peers, collaborating cross\-functionally, and confidently engaging with senior stakeholders. You will own end\-to\-end ML initiatives from problem framing and modelling to productization and impact measurement.
**Key Responsibilities**
* Architect, design, and deployment\-to\-end ML systems on Google Cloud at scale
* Lead development of data pipelines, feature engineering frameworks, and MLOps workflows
* Strong experience of ML libraries and applications e.g., Time series analysis, Neural Net, SVMs, boosting methods and implementation using Python
* Experience with Computer Vision / Vision models (shelf analytics, product recognition, OCR, etc.)
* Experience in Deep Learning Techniques.
* Translate ambiguous business problems into data science solutions and measurable KPIs
* Proficient in Data fetch, data merge, data wrangling, exploratory data analysis and feature engineering
* Partner with Product, Engineering, and Business stakeholders to influence strategy using data\-driven insights
* Implement robust MLOps practices (CI/CD, model monitoring, automated retraining, observability)
* Building predictive models and segmentations to create better customer experience.
* Evaluate and implement optimal solution designs by assessing alternative workflows, architectures, and process improvements to ensure efficiency, scalability, and reliability.
* Establish appropriate governance and controls by identifying risks and issues, and developing improved procedures, policies, and best practices.
* Develop, document, and maintain system protocols, operating procedures, and standards to ensure consistency, compliance, and maintainability.
* Support end users and stakeholders by creating and maintaining technical and user documentation, providing training, and offering operational support as required.
* Work closely with large team, great collaboration and stakeholder management skills
* Safeguard sensitive data and maintain user trust by adhering to confidentiality, security, and compliance standards.
* Prepare technical and analytical reports by collecting, analyzing, and synthesizing data, insights, and trends to inform strategic decision\-making.
* Maintain and enhance professional and technical expertise through continuous learning, industry research, networking, and adoption of emerging technologies and best practices. Required Qualifications
* Excellent problem solving, Critical and Analytical thinking skills and hands on coding skills
* Bachelor s/Master s degree in Computer Science, Data Science, Engineering, or related field
* Strong hands\-on expertise with Google Cloud Platform
* Advanced proficiency in Python and ML/AI frameworks (scikit\-learn, TensorFlow, PyTorch)
* Experience designing scalable ML architectures and distributed data systems
* Proven retail industry experience (mandatory)
* Experience building real\-time and batch ML solutions
* Strong background in statistics, experimentation, A/B testing, and model validation
* Ability to independently drive projects from concept to production
* Excellent stakeholder management and influencing skills Good to Have
* Experience with Computer Vision / Vision models (shelf analytics, product recognition, OCR, etc.)
* Exposure to GenAI / LLM applications
* Kubernetes/Docker and cloud\-native deployments
* Feature stores and model registries
* GCP or ML certifications Soft Skills \&amp; Leadership Traits
* Strong ownership mindset and accountability
* Positive, solution\-oriented attitude
* Effective collaborator and team player
* Ability to mentor and guide junior team members
* Strong communication and storytelling skills
* Comfortably influencing senior stakeholders and driving adoption
**Skills**
 data science,a/b testing,mlops,machine learning,google cloud platform,data pipelines,</t>
        </is>
      </c>
    </row>
    <row r="114">
      <c r="A114" t="inlineStr">
        <is>
          <t>li-4372010717</t>
        </is>
      </c>
      <c r="B114" t="inlineStr">
        <is>
          <t>Looking for AI/ML Engineer with Agentic AI Exp in New York, NY (3 days onsite/week)</t>
        </is>
      </c>
      <c r="C114" t="inlineStr">
        <is>
          <t>Jobs via Dice</t>
        </is>
      </c>
      <c r="D114" t="inlineStr">
        <is>
          <t>linkedin</t>
        </is>
      </c>
      <c r="E114" t="inlineStr"/>
      <c r="F114" t="inlineStr"/>
      <c r="G114" t="inlineStr">
        <is>
          <t>New York, NY</t>
        </is>
      </c>
      <c r="H114" t="inlineStr"/>
      <c r="I114" t="inlineStr">
        <is>
          <t>Dice is the leading career destination for tech experts at every stage of their careers. Our client, Saksoft, is seeking the following. Apply via Dice today!
**Job Description**
**Job Title:** 
 AI/ML Engineer with Agentic AI Exp.
**Location:** 
 New York, NY (3 days onsite/week)
**Duration:** 
 6 Months C2H
**Mandatory Skills:** 
 AI/GenAI Research, LLMs, RAG, Lang Chain, Lang Graph, Auto Gen, Python, CICD, Docker, Kubernetes, AWS/Google Cloud Platform/Azure
**Key Responsibilities:**
**Agentic System Design:** 
 Develop autonomous context aware and multiagent systems capable of reasoning planning and tool utilization.
**LLM RAG Integration:** 
 Build and optimize RAG pipelines including chunking embeddings vector search and reranking to improve agent accuracy.
**Agentic Framework** 
 : Development Use frameworks like Lang Chain Lang Graph or Auto\-Gen to create reusable agentic components and skills.
**Production Deployment** 
**ML Ops:** 
 Deploy agentic AI solutions to cloud platforms AWS Google Cloud Platform ensuring scalability reliability and low latency.
**Evaluation** 
 Optimization Implement evaluation pipelines for agent performance and refine prompts or finetune models to enhance decision\-making.
**Collaboration** 
 Work with cross functional teams Product Data Engineering to translate complex business needs into autonomous workflows.
**Required Skills Qualifications:**
**Core AI ML Experience:** 
 3 years in ML engineering specifically with LLMs agents or complex automation.
**Frameworks Libraries:** 
 Proficiency in Lang Chain Lang Graph Auto Gen Hugging Face and Vector Databases eg Pinecone Milvus.
**Programming** 
 : Strong Python skills for data manipulation and model development.
**Production Engineering:** 
 Experience with CICD Docker Kubernetes and Cloud Services AWS or Google Cloud Platform or Azure.
**Education** 
 : BS or MS in Computer Science Artificial Intelligence or a related field.</t>
        </is>
      </c>
    </row>
    <row r="115">
      <c r="A115" t="inlineStr">
        <is>
          <t>li-4326760697</t>
        </is>
      </c>
      <c r="B115" t="inlineStr">
        <is>
          <t>Senior Staff Machine Learning Engineer, (ML Underwriting)</t>
        </is>
      </c>
      <c r="C115" t="inlineStr">
        <is>
          <t>Affirm</t>
        </is>
      </c>
      <c r="D115" t="inlineStr">
        <is>
          <t>linkedin</t>
        </is>
      </c>
      <c r="E115" t="inlineStr"/>
      <c r="F115" t="inlineStr"/>
      <c r="G115" t="inlineStr">
        <is>
          <t>Palo Alto, CA</t>
        </is>
      </c>
      <c r="H115" t="inlineStr"/>
      <c r="I115" t="inlineStr">
        <is>
          <t>Affirm is reinventing credit to make it more honest and friendly, giving consumers the flexibility to buy now and pay later without any hidden fees or compounding interest.
 Join the Affirm team as a Senior Staff Machine Learning Engineer and become a pivotal part of our innovative ML team. Our team is dedicated to Affirm's mission of revolutionizing financial services with transparency and inclusivity at its core. We are utilizing advanced machine learning techniques ensuring responsible and accessible financial products.
 In this role, you will help shape the future of machine learning at Affirm. You’ll partner with ML Platform, engineering, product, and risk leaders to design, implement, and scale advanced modeling approaches that drive critical decisions across the company. You will elevate our modeling capabilities, influence architectural direction, and ensure our systems can support increasingly sophisticated workloads. You will mentor senior engineers, bring clarity to complex, ambiguous problems, and contribute to a cohesive long\-term ML strategy. If you are passionate about modern machine learning and excited to drive high\-impact innovation across a growing organization, Affirm is the place for you.
**What You’ll Do**
* You will define and drive multi\-year, multi\-team technical strategy for machine learning across Affirm, ensuring alignment with company\-wide priorities and influencing the roadmaps of partner teams and platforms.
* You will lead the design, implementation, and scaling of advanced ML systems, setting the architectural direction for complex, cross\-functional initiatives and ensuring systems remain reliable, extensible, and prepared for increasingly sophisticated modeling workloads.
* You will partner deeply with ML Platform, product, engineering, and risk leadership to shape long\-term modeling capabilities, define new opportunities for ML impact, and guide infrastructure evolution required for next\-generation ML methods.
* You will provide broad technical leadership across the ML organization, mentoring senior engineers, elevating design and code quality, and spreading ML expertise through documentation, talks, and cross\-org guidance.
* You will drive clarity and alignment on ambiguous, high\-stakes technical decisions, resolving cross\-team tensions, balancing competing priorities, and exercising judgment optimized for the broader engineering organization.
* You will champion operational and system excellence at the area level, owning the long\-term health, availability, and evolution of critical ML systems, and ensuring robust testing, monitoring, and reliability practices across teams.
**What We Look For**
* You have 10\+ years of experience researching, designing, deploying, and operating large\-scale, real\-time machine learning systems, with a proven record of driving technical innovation and delivering measurable business impact. Relevant PhD can count for up to 2 YOE.
* You have experience leading end\-to\-end ML system design, from data architecture and feature pipelines to model training, evaluation, and production deployment. You use distributed frameworks such as Spark, Ray, or similar large\-scale data processing systems.
* You are proficient in Python and ML frameworks, including PyTorch and XGBoost. You are experienced with ML tooling for training orchestration, experimentation, and model monitoring, such as Kubeflow, MLflow, or equivalent internal platforms.
* You have a strong understanding of representation learning and embedding\-based modeling. You possess deep expertise in neural network\-based sequence modeling, including architectures such as Transformers, recurrent, or attention\-based models, and multi\-task learning systems. You are comfortable designing and optimizing models that learn from sequential or temporal event data at scale.
* You have deep hands\-on experience with large\-scale distributed ML infrastructure, including streaming or batch data ingestion, feature stores, feature engineering, training pipelines, model serving and inference infrastructure, monitoring, and automated retraining.
* You provide strong technical leadership: defining long\-term strategy, guiding research direction, and aligning work across teams. You are recognized as a trusted expert who can drive clarity and execution even in ambiguous problem spaces.
* You demonstrate exceptional judgment, collaboration, and communication skills, enabling effective technical discussions with engineers, researchers, and executives. You mentor senior engineers, foster technical excellence, and contribute to a culture of continuous learning.
* You have strong verbal and written communication skills that support effective collaboration across our global engineering organization.
* This position requires equivalent practical experience or a Bachelor’s degree in a related field.
 Pay Grade \- R
 Equity Grade \- 15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$260,000 \- $310,000
 USA base pay range (all other U.S. states) per year: $232,000 \- $282,000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**Benefits**
 We’re extremely proud to offer competitive benefits that are anchored to our core value of people come first. Some key highlights of our benefits package include:
* Health care coverage \- Affirm covers all premiums for all levels of coverage for you and your dependents
* Flexible Spending Wallets \- generous stipends for spending on Technology, Food, various Lifestyle needs, and family forming expenses
* Time off \- competitive vacation and holiday schedules allowing you to take time off to rest and recharge
*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row>
    <row r="116">
      <c r="A116" t="inlineStr">
        <is>
          <t>li-4371761974</t>
        </is>
      </c>
      <c r="B116" t="inlineStr">
        <is>
          <t>Multi-Physics Modeling &amp; Scientific Machine Learning Engineer</t>
        </is>
      </c>
      <c r="C116" t="inlineStr">
        <is>
          <t>Jobs via Dice</t>
        </is>
      </c>
      <c r="D116" t="inlineStr">
        <is>
          <t>linkedin</t>
        </is>
      </c>
      <c r="E116" t="inlineStr"/>
      <c r="F116" t="inlineStr"/>
      <c r="G116" t="inlineStr">
        <is>
          <t>Niskayuna, NY</t>
        </is>
      </c>
      <c r="H116" t="inlineStr"/>
      <c r="I116" t="inlineStr">
        <is>
          <t>**Job Description Summary**
 At GE Vernova Advanced Research, we invent and develop cross\-cutting transformative technologies to enable a clean and sustainable new era of energy. As a Multi\-Physics Modeling \&amp; Scientific Machine Learning Engineer within the Aerodynamics \&amp; Thermosciences team, you will contribute to the development and application of cutting\-edge, high\-fidelity, multi\-physics modeling techniques and methods to solve complex engineering challenges across GE Vernova's next\-generation technology platforms, including and not limited to electrification systems, wind turbines, industrial gas turbines, and nuclear reactors.
 You will work in a collaborative, multi\-disciplinary environment to revolutionize design and optimization methodologies using physics modeling insights, data\-driven physics surrogates of spatio\-temporal systems, scientific machine learning at scale and high\-fidelity scientific computing on HPC for applications in power generation and electrification technology domains.
**Job Description**
**Responsibilities:**
* Independently execute tasks using your technical skills for projects at the confluence of physics, computing and machine learning.
* Work as part of a team executing on multi\-generation technology programs to enable future design and modeling technology advancements.
* Formulate and develop advanced computational methodologies, implement them according to state\-of\-the\-art software practices
* Execute high fidelity simulations and perform high fidelity computational analyses.
* Use proprietary, opensource and commercial tools as required by the project.
* Participate in systematic validation \&amp; verification efforts to advance/demonstrate new technologies.
* Communicate results effectively with stakeholders and document technical findings.
**Required Qualifications:**
* Doctorate (PhD) in fluid flow physics, computational fluid dynamics (CFD), thermo\-sciences, or a closely related discipline.
**Eligibility:**
* Legal authorization to work in the U.S. is required.
* We will not sponsor individuals at the Masters' level for employment visas, now or in the future, for this job opening.
* Must be willing to work out of an office located in Niskayuna, NY
**Desired Characteristics:**
* 2\+ years of post\-doctoral research experience and/or 3\+ years of research experience in an industrial or laboratory setting.
* Research and development experience in advanced computational methods for multiscale physics applications including fluid mechanics, aerodynamics, reacting flows etc.
* Research and development experience in state\-of\-the\-art machine learning algorithms for scientific applications.
* Experience in Python, machine learning libraries (such as PyTorch) and knowledge of deployment at scale on high performance compute clusters.
* Demonstrated proficiency in high\-fidelity multiphysics modeling, cutting edge machine learning methods, and high\-performance computing
* Outstanding programming skills including expertise with Python, JAX, pyTorch, FORTRAN, C\+\+.
* Knowledge of high\-fidelity computational fluid mechanics and thermal analysis tools such as Ansys, COMSOL etc.
* Ability to lead and /or contribute to the development of research proposals to internal business units and external government agencies such as Department of Energy, Department of Defense etc.
* Passion for science and technology and clear evidence of innovation and creativity
* Ability to work effectively in a multidisciplinary team
* Strong interpersonal skills
* Strong analytical skills
* Ability to work under pressure and meet deadlines
* Excellent written and verbal communication skills
 GE Vernova offers a great work environment, professional development, challenging careers, and competitive compensation. GE Vernova is an Equal Opportunity Employer. Employment decisions are made without regard to race, color, religion, national or ethnic origin, sex, sexual orientation, gender identity or expression, age, disability, protected veteran status or other characteristics protected by law.
 GE Vernova will only employ those who are legally authorized to work in the United States for this opening. Any offer of employment is conditioned upon the successful completion of a drug screen (as applicable).
**Relocation Assistance Provided:** 
 Yes
 For candidates applying to a U.S. based position, the pay range for this position is between $89,300\.00 and $148,700\.00\. The Company pays a geographic differential of 110%, 120% or 130% of salary in certain areas. The specific pay offered may be influenced by a variety of factors, including the candidate's experience, education, and skill set.
 Bonus eligibility: discretionary annual bonus.
 This posting is expected to remain open for at least seven days after it was posted on February 05, 2026\.
 Available benefits include medical, dental, vision, and prescription drug coverage; access to Health Coach from GE Vernova, a 24/7 nurse\-based resource; and access to the Employee Assistance Program, providing 24/7 confidential assessment, counseling and referral services. Retirement benefits include the GE Vernova Retirement Savings Plan, a tax\-advantaged 401(k) savings opportunity with company matching contributions and company retirement contributions, as well as access to Fidelity resources and financial planning consultants. Other benefits include tuition assistance, adoption assistance, paid parental leave, disability benefits, life insurance, 12 paid holidays, and permissive time off.
 GE Vernova Inc. or its affiliates (collectively or individually, "GE Vernova") sponsor certain employee benefit plans or programs GE Vernova reserves the right to terminate, amend, suspend, replace, or modify its benefit plans and programs at any time and for any reason, in its sole discretion. No individual has a vested right to any benefit under a GE Vernova welfare benefit plan or program. This document does not create a contract of employment with any individual.</t>
        </is>
      </c>
    </row>
    <row r="117">
      <c r="A117" t="inlineStr">
        <is>
          <t>li-4372013686</t>
        </is>
      </c>
      <c r="B117" t="inlineStr">
        <is>
          <t>Full TIme _ Gen AI Engineer at NYC</t>
        </is>
      </c>
      <c r="C117" t="inlineStr">
        <is>
          <t>Jobs via Dice</t>
        </is>
      </c>
      <c r="D117" t="inlineStr">
        <is>
          <t>linkedin</t>
        </is>
      </c>
      <c r="E117" t="inlineStr"/>
      <c r="F117" t="inlineStr"/>
      <c r="G117" t="inlineStr">
        <is>
          <t>New York, NY</t>
        </is>
      </c>
      <c r="H117" t="inlineStr"/>
      <c r="I117" t="inlineStr">
        <is>
          <t>Dice is the leading career destination for tech experts at every stage of their careers. Our client, Last Word Consulting, is seeking the following. Apply via Dice today!
**Greetings!**
 This is
 **Anupam** 
 from
 **Last Word Consulting Inc.** 
 found your profile on the job portal. Please share your updated resume if available and interested.
 Please let me know if you are comfortable .
**Job:\- Gen AI Engineer**
**Location:\- NYC, NY (Onsite/Hybrid)**
**Type:\- Full Time role**
**Required Skills**
* 8\+ years of professional experience in building Machine Learning models \&amp; systems for Sr GenAI Engineer and 10\+ years for Staff GenAI Engineer
* 1\+ years of hands\-on experience in how LLMs work \&amp; Generative AI (LLM) techniques particularly prompt engineering, RAG, and agents.
* Expert proficiency in programming skills in Python, Langchain/Langgraph and SQL is a must.
* Understanding of Cloud services from various cloud services from Azure, Google Cloud Platform, or AWS for building the GenAI applications
* Excellent communication skills to effectively collaborate with business SMEs
**Roles \&amp; Responsibilities**
* Develop and optimize LLM\-based solutions: Lead the design, training, fine\-tuning, and deployment of large language models, leveraging techniques like prompt engineering, retrieval\-augmented generation (RAG), and agent\-based architectures.
* Codebase ownership: Maintain high\-quality, efficient code in Python (using frameworks like LangChain/LangGraph) and SQL, focusing on reusable components, scalability, and performance best practices.
* Cloud integration: Aide in deployment of GenAI applications on cloud platforms (Azure, Google Cloud Platform, or AWS), optimizing resource usage and ensuring robust CI/CD processes.
* Cross\-functional collaboration: Work closely with product owners, data scientists, and business SMEs to define project requirements, translate technical details, and deliver impactful AI products.
* Mentoring and guidance: Provide technical leadership and knowledge\-sharing to the engineering team, fostering best practices in machine learning and large language model development.
* Continuous innovation: Stay abreast of the latest advancements in LLM research and generative AI, proposing and experimenting with emerging techniques to drive ongoing improvements in model performance.
*Thanks \&amp; Rgds*
*Anupam Mishra*
***Last Word Consulting Inc.***
*Direct:\- \+1*
*Ext \- 427*
*Email:*</t>
        </is>
      </c>
    </row>
    <row r="118">
      <c r="A118" t="inlineStr">
        <is>
          <t>li-4371765923</t>
        </is>
      </c>
      <c r="B118" t="inlineStr">
        <is>
          <t>Gen AI Engineer/ Software Developer</t>
        </is>
      </c>
      <c r="C118" t="inlineStr">
        <is>
          <t>Jobs via Dice</t>
        </is>
      </c>
      <c r="D118" t="inlineStr">
        <is>
          <t>linkedin</t>
        </is>
      </c>
      <c r="E118" t="inlineStr"/>
      <c r="F118" t="inlineStr"/>
      <c r="G118" t="inlineStr">
        <is>
          <t>Philadelphia, PA</t>
        </is>
      </c>
      <c r="H118" t="inlineStr"/>
      <c r="I118" t="inlineStr">
        <is>
          <t>Dice is the leading career destination for tech experts at every stage of their careers. Our client, Tri\-Force Consulting Services Inc, is seeking the following. Apply via Dice today!
**Title: Software Developer/Engineer (Mid Level experience)**
**Duration: 12 Months**
**Location: Philadelphia, PA 19122 \| Work Mode: Hybrid, minimum 3 days in the office**
**Client: Philadelphia Gas Works**
**Interview Schedule: 1st interview, 1\-hour, in\-person; 2nd interview, 1\-hour, in\-person**
**Job Description:**
* Consultant Requirements On\-Prem LLM \&amp; Vector DB Implementation
**Core Experience:**
* Hands\-on experience deploying open\-source LLMs such as Meta Llama 3 and Mistral / Mixtral in on\-prem or private environments
* Strong proficiency in Python for LLM inference, prompt engineering, and integration
* Experience with CPU\-based inference, model quantization, and performance tuning
**Vector Databases \&amp; RAG:**
* Practical experience with open\-source vector databases such as Qdrant, Chroma, Milvus, or pgvector
* Proven implementation of Retrieval\-Augmented Generation (RAG) pipelines
* Experience generating and managing embeddings and metadata filtering
**Security \&amp; Governance:**
* Understanding of data privacy, air\-gapped deployments, and enterprise security requirements
* Experience implementing access controls and audit logging
**Nice to Have:**
* Experience with LangChain or LlamaIndex
* Exposure to Rust, Go, or C\+\+ for high\-performance services
* Familiarity with Docker and Kubernetes for on\-prem deployments
* Knowledge of inference frameworks (e.g., vLLM, llama.cpp, Hugging Face Transformers)
* Prior work in regulated or enterprise environments
**Deliverables:**
* Reference architecture and deployment guidance
* Working prototype (LLM \+ vector DB \+ RAG)
* Documentation and knowledge transfer to internal teams</t>
        </is>
      </c>
    </row>
    <row r="119">
      <c r="A119" t="inlineStr">
        <is>
          <t>li-4292451306</t>
        </is>
      </c>
      <c r="B119" t="inlineStr">
        <is>
          <t>Senior Machine Learning Engineer</t>
        </is>
      </c>
      <c r="C119" t="inlineStr">
        <is>
          <t>Scribd, Inc.</t>
        </is>
      </c>
      <c r="D119" t="inlineStr">
        <is>
          <t>linkedin</t>
        </is>
      </c>
      <c r="E119" t="inlineStr"/>
      <c r="F119" t="inlineStr"/>
      <c r="G119" t="inlineStr">
        <is>
          <t>Seattle, WA</t>
        </is>
      </c>
      <c r="H119" t="inlineStr"/>
      <c r="I119"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Our Machine Learning team builds both the platform and product applications that power personalized discovery, recommendations, and generative AI features across Scribd, Slideshare, and Everand. ML teams works on the Orion ML Platform – providing core ML infrastructure, including a feature store, model registry, model inference systems, and embedding\-based retrieval (EBR). MLE team also works closely with Product team – delivering zero\-to\-one integrations of ML into user\-facing features like recommendations, near real\-time personalization, and AskAI LLM\-powered experiences
**Role Overview**
 We are seeking a Senior Machine Learning Engineer to lead the design, architecture, and optimization of high\-impact ML systems that serve millions of users in near real time. In this role, you will:
* Drive technical direction for both platform and product\-facing ML initiatives.
* Lead complex, cross\-team projects from conception to production deployment.
* Mentor other engineers and establish best practices for building scalable, reliable ML systems.
* Influence the roadmap and architecture of our ML Platform.
**Tech Stack**
 Our Machine Learning team uses a range of technologies to build and operate large\-scale ML systems. Our regular toolkit includes:
* Languages: Python, Golang, Scala, Ruby on Rails
* Orchestration \&amp; Pipelines: Airflow, Databricks, Spark
* ML \&amp; AI: AWS Sagemaker, embedding\-based retrieval (Weaviate), feature store, model registry, model serving platforms, LLM providers like OpenAI, Anthropic, Gemini, etc.
* APIs \&amp; Integration: HTTP APIs, gRPC
* Infrastructure \&amp; Cloud: AWS (Lambda, ECS, EKS, SQS, ElastiCache, CloudWatch), Datadog, Terraform
**Key Responsibilities**
* Lead the design and architecture of ML pipelines, from data ingestion and feature engineering to model training, deployment, and monitoring.
* Own the technical direction of core ML Platform components such as the feature store, model registry, and embedding\-based retrieval systems.
* Collaborate with product software engineers to deliver ML models that enhance recommendations, personalization, and generative AI features.
* Guide experimentation strategy, A/B testing design, and performance analysis to inform production decisions.
* Optimize systems for performance, scalability, and reliability across massive datasets and high\-throughput services.
* Establish and uphold engineering best practices, including code quality, system design reviews, and operational excellence.
* Mentor and coach ML engineers, fostering technical growth and collaboration across the team.
* Work with leadership to align technical initiatives with long\-term ML strategy.
**Requirements**
**Must Have**
* 6\+ years of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Experience building or leading development of feature stores, model serving \&amp; monitoring platforms, and experimentation systems.
* Expertise in experimentation design, causal inference, or ML evaluation methodologies.
* Contributions to open\-source ML/AI tooling or infrastructure.
**Why Join Us**
 As a Senior ML Engineer at Scribd, you will shape the future of our ML systems, from foundational platform capabilities to cutting\-edge AI applications. You’ll work with rich multimodal data (text, audio, images), state\-of\-the\-art retrieval and recommendation technologies, and partner with a talented, cross\-functional team to deliver personalized, impactful experiences for millions of users.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$157,500 \[minimum salary in our lowest geographic market within California] to $230,000 \[maximum salary in our highest geographic market within California].
 In the United States, outside of California, the reasonably expected salary range is between $129,500 \[minimum salary in our lowest US geographic market outside of California] to $220,000 \[maximum salary in our highest US geographic market outside of California].
 In Canada, the reasonably expected salary range is between $165,000 CAD\[minimum salary in our lowest geographic market] to $218,000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20">
      <c r="A120" t="inlineStr">
        <is>
          <t>li-4372967570</t>
        </is>
      </c>
      <c r="B120" t="inlineStr">
        <is>
          <t>Senior Applied Scientist - AI Red Teaming &amp; Model Risk</t>
        </is>
      </c>
      <c r="C120" t="inlineStr">
        <is>
          <t>Uber</t>
        </is>
      </c>
      <c r="D120" t="inlineStr">
        <is>
          <t>linkedin</t>
        </is>
      </c>
      <c r="E120">
        <f>HYPERLINK("https://www.linkedin.com/jobs/view/4372967570", "https://www.linkedin.com/jobs/view/4372967570")</f>
        <v/>
      </c>
      <c r="F120" t="inlineStr"/>
      <c r="G120" t="inlineStr">
        <is>
          <t>Sunnyvale, CA</t>
        </is>
      </c>
      <c r="H120" t="inlineStr"/>
      <c r="I120" t="inlineStr">
        <is>
          <t>**About The Role**
 As AI systems\-particularly LLMs and agentic AI\-become core to our products and internal platforms, understanding how these systems fail is just as important as improving their performance. We are looking for a Senior Applied Scientist to join our AI Red Teaming efforts and focus on adversarial evaluation, failure analysis, and risk discovery in AI models and AI agents.
 In this role, you will systematically probe AI systems to uncover unsafe, unintended, or harmful behaviors, including prompt injection, jailbreaks, behavioral drift, tool misuse, and context or memory poisoning. You will design experiments, build evaluation frameworks, and analyze outcomes to surface risks that traditional ML metrics do not capture.
 This role is ideal for a data scientist who enjoys working at the edge of model behavior, cares deeply about safety and robustness, and wants to apply scientific rigor to securing real\-world AI systems.
**What The Candidate Will Need / Bonus Points**
 \-\-\-\- What the Candidate Will Do \-\-\-\-
* Design and execute AI red\-teaming experiments against LLMs and AI agents to identify: prompt injection (direct \&amp; indirect), jailbreaking and policy bypass, model and tool poisoning, context and memory poisoning, behavioral drift and unsafe autonomy
* Develop adversarial datasets, probes, and test harnesses to systematically evaluate model and agent behavior under attack.
* Define and track AI risk metrics beyond accuracy (e.g., failure rates, drift indicators, unsafe action likelihood, confidence miscalibration).
* Analyze agent workflows and decision traces to understand how failures emerge across multi\-step reasoning and tool use.\\
* Collaborate with security engineers and AI platform teams to translate findings into guardrails, mitigations, and design improvements.
* Build reusable evaluation pipelines to support continuous red teaming and regression testing as models and agents evolve.
**Basic Qualifications**
* 5\+ years of experience as a Data Scientist, Applied Scientist, or ML Scientist.
* Hands\-on experience working with LLMs or generative AI systems.
* Direct experience with AI red teaming, model safety, or adversarial evaluation.
* Direct experience with prompt injection, jailbreaks, and LLM failure modes.
* Strong background in experimental design, evaluation, and statistical analysis.
* Experience analyzing complex model behavior and failure cases beyond standard metrics.
* Proficiency in Python and common DS/ML tooling.
**Preferred Qualifications**
* Experience evaluating agentic systems, including tool use, memory, or multi\-step workflows.
* Knowledge of GenAI architectures (transformers, embeddings, RAG, agent frameworks).
* Experience building custom evaluation datasets or simulation environments.
* Background or strong interest in security, privacy, or trust \&amp; safety.
* Familiarity with AI evaluation tools (e.g., custom judges, LLM\-as\-judge, simulation frameworks).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21">
      <c r="A121" t="inlineStr">
        <is>
          <t>li-4372969492</t>
        </is>
      </c>
      <c r="B121" t="inlineStr">
        <is>
          <t>Senior Applied Scientist - AI Red Teaming &amp; Model Risk</t>
        </is>
      </c>
      <c r="C121" t="inlineStr">
        <is>
          <t>Uber</t>
        </is>
      </c>
      <c r="D121" t="inlineStr">
        <is>
          <t>linkedin</t>
        </is>
      </c>
      <c r="E121">
        <f>HYPERLINK("https://www.linkedin.com/jobs/view/4372969492", "https://www.linkedin.com/jobs/view/4372969492")</f>
        <v/>
      </c>
      <c r="F121" t="inlineStr"/>
      <c r="G121" t="inlineStr">
        <is>
          <t>Seattle, WA</t>
        </is>
      </c>
      <c r="H121" t="inlineStr"/>
      <c r="I121" t="inlineStr">
        <is>
          <t>**About The Role**
 As AI systems\-particularly LLMs and agentic AI\-become core to our products and internal platforms, understanding how these systems fail is just as important as improving their performance. We are looking for a Senior Applied Scientist to join our AI Red Teaming efforts and focus on adversarial evaluation, failure analysis, and risk discovery in AI models and AI agents.
 In this role, you will systematically probe AI systems to uncover unsafe, unintended, or harmful behaviors, including prompt injection, jailbreaks, behavioral drift, tool misuse, and context or memory poisoning. You will design experiments, build evaluation frameworks, and analyze outcomes to surface risks that traditional ML metrics do not capture.
 This role is ideal for a data scientist who enjoys working at the edge of model behavior, cares deeply about safety and robustness, and wants to apply scientific rigor to securing real\-world AI systems.
**What The Candidate Will Need / Bonus Points**
 \-\-\-\- What the Candidate Will Do \-\-\-\-
* Design and execute AI red\-teaming experiments against LLMs and AI agents to identify: prompt injection (direct \&amp; indirect), jailbreaking and policy bypass, model and tool poisoning, context and memory poisoning, behavioral drift and unsafe autonomy
* Develop adversarial datasets, probes, and test harnesses to systematically evaluate model and agent behavior under attack.
* Define and track AI risk metrics beyond accuracy (e.g., failure rates, drift indicators, unsafe action likelihood, confidence miscalibration).
* Analyze agent workflows and decision traces to understand how failures emerge across multi\-step reasoning and tool use.\\
* Collaborate with security engineers and AI platform teams to translate findings into guardrails, mitigations, and design improvements.
* Build reusable evaluation pipelines to support continuous red teaming and regression testing as models and agents evolve.
**Basic Qualifications**
* 5\+ years of experience as a Data Scientist, Applied Scientist, or ML Scientist.
* Hands\-on experience working with LLMs or generative AI systems.
* Direct experience with AI red teaming, model safety, or adversarial evaluation.
* Direct experience with prompt injection, jailbreaks, and LLM failure modes.
* Strong background in experimental design, evaluation, and statistical analysis.
* Experience analyzing complex model behavior and failure cases beyond standard metrics.
* Proficiency in Python and common DS/ML tooling.
**Preferred Qualifications**
* Experience evaluating agentic systems, including tool use, memory, or multi\-step workflows.
* Knowledge of GenAI architectures (transformers, embeddings, RAG, agent frameworks).
* Experience building custom evaluation datasets or simulation environments.
* Background or strong interest in security, privacy, or trust \&amp; safety.
* Familiarity with AI evaluation tools (e.g., custom judges, LLM\-as\-judge, simulation frameworks).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22">
      <c r="A122" t="inlineStr">
        <is>
          <t>li-4372962725</t>
        </is>
      </c>
      <c r="B122" t="inlineStr">
        <is>
          <t>Senior Applied Scientist - AI Red Teaming &amp; Model Risk</t>
        </is>
      </c>
      <c r="C122" t="inlineStr">
        <is>
          <t>Uber</t>
        </is>
      </c>
      <c r="D122" t="inlineStr">
        <is>
          <t>linkedin</t>
        </is>
      </c>
      <c r="E122">
        <f>HYPERLINK("https://www.linkedin.com/jobs/view/4372962725", "https://www.linkedin.com/jobs/view/4372962725")</f>
        <v/>
      </c>
      <c r="F122">
        <f>HYPERLINK("https://tnl2.jometer.com/v2/job?jz=5wqzs73ab9a024e7f8a3e2153008883642655KIAGUCAAAABQ&amp;iis=Job%20Board%20-%20Recruitment%20Marketing&amp;iisn=LinkedIn&amp;urlHash=ocxh", "https://tnl2.jometer.com/v2/job?jz=5wqzs73ab9a024e7f8a3e2153008883642655KIAGUCAAAABQ&amp;iis=Job%20Board%20-%20Recruitment%20Marketing&amp;iisn=LinkedIn&amp;urlHash=ocxh")</f>
        <v/>
      </c>
      <c r="G122" t="inlineStr">
        <is>
          <t>New York, NY</t>
        </is>
      </c>
      <c r="H122" t="inlineStr"/>
      <c r="I122" t="inlineStr">
        <is>
          <t>**About The Role**
 As AI systems\-particularly LLMs and agentic AI\-become core to our products and internal platforms, understanding how these systems fail is just as important as improving their performance. We are looking for a Senior Applied Scientist to join our AI Red Teaming efforts and focus on adversarial evaluation, failure analysis, and risk discovery in AI models and AI agents.
 In this role, you will systematically probe AI systems to uncover unsafe, unintended, or harmful behaviors, including prompt injection, jailbreaks, behavioral drift, tool misuse, and context or memory poisoning. You will design experiments, build evaluation frameworks, and analyze outcomes to surface risks that traditional ML metrics do not capture.
 This role is ideal for a data scientist who enjoys working at the edge of model behavior, cares deeply about safety and robustness, and wants to apply scientific rigor to securing real\-world AI systems.
**What The Candidate Will Need / Bonus Points**
 \-\-\-\- What the Candidate Will Do \-\-\-\-
* Design and execute AI red\-teaming experiments against LLMs and AI agents to identify: prompt injection (direct \&amp; indirect), jailbreaking and policy bypass, model and tool poisoning, context and memory poisoning, behavioral drift and unsafe autonomy
* Develop adversarial datasets, probes, and test harnesses to systematically evaluate model and agent behavior under attack.
* Define and track AI risk metrics beyond accuracy (e.g., failure rates, drift indicators, unsafe action likelihood, confidence miscalibration).
* Analyze agent workflows and decision traces to understand how failures emerge across multi\-step reasoning and tool use.\\
* Collaborate with security engineers and AI platform teams to translate findings into guardrails, mitigations, and design improvements.
* Build reusable evaluation pipelines to support continuous red teaming and regression testing as models and agents evolve.
**Basic Qualifications**
* 5\+ years of experience as a Data Scientist, Applied Scientist, or ML Scientist.
* Hands\-on experience working with LLMs or generative AI systems.
* Direct experience with AI red teaming, model safety, or adversarial evaluation.
* Direct experience with prompt injection, jailbreaks, and LLM failure modes.
* Strong background in experimental design, evaluation, and statistical analysis.
* Experience analyzing complex model behavior and failure cases beyond standard metrics.
* Proficiency in Python and common DS/ML tooling.
**Preferred Qualifications**
* Experience evaluating agentic systems, including tool use, memory, or multi\-step workflows.
* Knowledge of GenAI architectures (transformers, embeddings, RAG, agent frameworks).
* Experience building custom evaluation datasets or simulation environments.
* Background or strong interest in security, privacy, or trust \&amp; safety.
* Familiarity with AI evaluation tools (e.g., custom judges, LLM\-as\-judge, simulation frameworks).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For San Francisco, CA\-based roles: The base salary range for this role is USD$190,000 per year \- USD$211,000 per year. For Seattle, WA\-based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23">
      <c r="A123" t="inlineStr">
        <is>
          <t>li-4364159768</t>
        </is>
      </c>
      <c r="B123" t="inlineStr">
        <is>
          <t>Sr. Applied Scientist, Ads Decision Science</t>
        </is>
      </c>
      <c r="C123" t="inlineStr">
        <is>
          <t>Amazon</t>
        </is>
      </c>
      <c r="D123" t="inlineStr">
        <is>
          <t>linkedin</t>
        </is>
      </c>
      <c r="E123">
        <f>HYPERLINK("https://www.linkedin.com/jobs/view/4364159768", "https://www.linkedin.com/jobs/view/4364159768")</f>
        <v/>
      </c>
      <c r="F123" t="inlineStr"/>
      <c r="G123" t="inlineStr">
        <is>
          <t>New York, NY</t>
        </is>
      </c>
      <c r="H123" t="inlineStr"/>
      <c r="I123" t="inlineStr">
        <is>
          <t>**Description**
 We are seeking a Sr. Applied Scientist to revolutionize how we deliver personalized advertising solutions to our worldwide customers. In this role, you will build autonomous AI systems that proactively identify advertiser pain points and deliver optimal recommendations across multiple communication channels without requiring explicit customer input.
 The Challenge
 How can we deliver the most personalized advertising offerings to our worldwide customers? In the era of Agentic AI, how can we build autonomous systems which identify advertiser pain points and offer best recommendations across multiple communication channels? How do we do this without asking anything to our customers and know what they need?
 Our Mission
 Our team's mission is to deliver the best strategy to our WW advertisers whenever and wherever they need it.
 What You'll Do
 Using Amazon's large scale computing resources, you will ask research questions about advertiser behavior, build state of the art recommender models to generate recommendations, and deploy these models directly on the ad delivery channels. You will participate in the Amazon ML community and mentor Applied Scientists and software development engineers with a strong interest in and knowledge of ML. Your work will directly benefit advertisers and the retail business and you will measure the impact using scientific tools.
 What We're Looking For
 We are looking for a passionate, hard working, and talented Sr. Applied Scientist who has experience building mission critical, high volume applications that customers love. You will have an opportunity to make an enormous impact on the design, architecture, and implementation of new generation ads products seen by millions of customers everyday.
**About The Team**
 The Amazon Ads Marketing Decision Science Team innovates the future of marketing tech by creating interactive conversational agents, visual and text content generation capabilities, recommender systems to give the best strategies to our advertisers to maximize their ROI with one click enablement, behavioral segmentation models to understand our customers in depth, content measurement science to understand the best content components resonating with each customer segment, and many more. Our mission is to personalize the communication strategy of one of the world's top digital advertising tech companies.
**Basic Qualifications**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Knowledge of programming languages such as C/C\+\+, Python, Java or Perl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**Company** 
 \- Amazon.com Services LLC
 Job ID: A3176533</t>
        </is>
      </c>
    </row>
    <row r="124">
      <c r="A124" t="inlineStr">
        <is>
          <t>li-4372940488</t>
        </is>
      </c>
      <c r="B124" t="inlineStr">
        <is>
          <t>Machine Learning Engineer</t>
        </is>
      </c>
      <c r="C124" t="inlineStr">
        <is>
          <t>Etsy</t>
        </is>
      </c>
      <c r="D124" t="inlineStr">
        <is>
          <t>linkedin</t>
        </is>
      </c>
      <c r="E124">
        <f>HYPERLINK("https://www.linkedin.com/jobs/view/4372940488", "https://www.linkedin.com/jobs/view/4372940488")</f>
        <v/>
      </c>
      <c r="F124" t="inlineStr"/>
      <c r="G124" t="inlineStr">
        <is>
          <t>Brooklyn, NY</t>
        </is>
      </c>
      <c r="H124" t="inlineStr"/>
      <c r="I124"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$153,000\.00 \- $199,000\.00
**What’s the role?**
 We are looking for a Machine Learning Engineer to join the Search team at Etsy. Our team develops custom machine\-learning models that can drive product vision and customer impact. We’re a cross\-functional group of applied scientists, machine learning engineers, and product managers. As an engineer on our team, you will play a major role in improving the shopping experience for millions of Etsy buyers. We are looking for individuals who are product and delivery\-driven, and are passionate about using ML to improve Etsy for both buyers and sellers.
 This is a fantastic opportunity for someone interested in building state\-of\-the\-art ML systems for a two\-sided marketplace with 90\+ million buyers, 6\+ million sellers, and hundreds of millions of unique, handmade, vintage listings.
 This is a full\-time position reporting to the Engineering Manager.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
****What’s this team like at Etsy?****
 Here’s a taste of the problems we’re solving:
* How can we help buyers find the high quality and relevant products at Etsy?
* How can we help buyers when they don’t know how to describe what they’re looking for?
* How can we extract uniqueness from product description and reviews?
* How can we improve the filtering experience for buyers?
****What does the day\-to\-day look like?****
* You will work in a cross\-functional team to prioritize projects which help achieve our product targets.
* Push the state of the art and apply the latest advances in Large Language Model and machine learning field to improve buyer experiences on Etsy
* Prototype, optimize, and productionize large\-scale ML models that help deliver key results
* Conduct A/B experiments to validate the effectiveness of ML models and pipelines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You have experience of applying machine learning techniques in addressing real\-world problems
* You have experience of writing training data pipelines, training and evaluating models, deploying models and monitoring production machine learning systems.
* You have experience working with machine learning frameworks and technologies such as Tensorflow/TFX, PyTorch, Kubeflow.
* You have experience of fine\-tuning and evaluating pre\-trained language models, including LLMs like Mistral AI, GPT3\.5\.
* You are proficient with databases, SQL, and scripting languages.
* You have strong engineering and coding skills, with the ability to write high quality production code. Proficiency in Python, Scala, Java and/or other equivalent languages.
* You are a mindful, empathetic, and communicative member of your team.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125">
      <c r="A125" t="inlineStr">
        <is>
          <t>li-4361527377</t>
        </is>
      </c>
      <c r="B125" t="inlineStr">
        <is>
          <t>Machine Learning Engineer</t>
        </is>
      </c>
      <c r="C125" t="inlineStr">
        <is>
          <t>Toyota Research Institute</t>
        </is>
      </c>
      <c r="D125" t="inlineStr">
        <is>
          <t>linkedin</t>
        </is>
      </c>
      <c r="E125">
        <f>HYPERLINK("https://www.linkedin.com/jobs/view/4361527377", "https://www.linkedin.com/jobs/view/4361527377")</f>
        <v/>
      </c>
      <c r="F125" t="inlineStr"/>
      <c r="G125" t="inlineStr">
        <is>
          <t>Los Altos, CA</t>
        </is>
      </c>
      <c r="H125" t="inlineStr"/>
      <c r="I125" t="inlineStr">
        <is>
          <t>At Toyota Research Institute (TRI), we’re on a mission to improve the quality of human life. We’re developing new tools and capabilities to amplify the human experience. To lead this transformative shift in mobility, we’ve built a world\-class team advancing the state of the art in AI, robotics, driving, and material sciences. 
 The Automated Driving Advanced Development division at TRI will focus on enabling innovation and transformation at Toyota by building a bridge between TRI research and Toyota products, services, and needs. We achieve this through partnership, collaboration, and shared commitment. This new division is leading a new cross\-organizational project between TRI and Woven by Toyota to conduct research and develop a fully end\-to\-end learned driving stack. This cross\-org collaborative project is harmonious with TRI’s robotics divisions' efforts in Diffusion Policy and Large Behavior Models.
 We are looking for a Machine Learning Engineer to join our autonomy team and help bring end\-to\-end ML models (from pixels to trajectories ) into robust, testable, and deployable systems. This role is ideal for engineers who thrive at the intersection of machine learning, systems engineering, and real\-world deployment.
 You’ll contribute to the implementation, evaluation, and integration of ML\-based components for perception, planning, and control. This includes supporting our team’s efforts in simulation\-based testing, real\-time deployment, and data\-driven model development. You’ll work closely with researchers, data engineers, and autonomy engineers to ensure models scale from prototype to production. This work is part of Toyota’s global AI efforts to build a more coordinated global approach across Toyota entities.
**Responsibilities** 
* Implement, maintain, and evaluate end\-to\-end ML models used in the autonomy stack
* Collaborate with ML researchers, data scientists and engineers, and simulation teams to build training, evaluation, and deployment pipelines.
* Integrate models into real\-time systems running on simulation and vehicle platforms, ensuring correctness and performance.
* Support open\-loop, closed\-loop, and batch evaluation workflows of trained models, including metrics tracking, ablation studies, and debugging tools.
* Help design scalable workflows for managing large datasets (e.g., demonstration driving for imitation learning) and support diverse scenario coverage.
* Write clean, modular, well\-tested code with a focus on reliability, clarity, and maintainability.
**Qualifications** 
* Bachelor’s or Master’s degree in Computer Science, Robotics, Engineering, or a related field.
* 3\+ years of strong experience with ML frameworks such as PyTorch, Tensorflow or Caffe.
* Strong Python and C\+\+ programming skills and solid understanding of ML model development best practices.
* Familiarity with metrics dashboards, experiment tracking, and ML ops tooling (e.g., Weights \&amp; Biases, MLflow, Metaflow).
* Some experience working with robotics or real\-world sensor data (e.g., video, lidar, IMU, or radar).
* Strong understanding of version control, testing, and software engineering fundamentals.
* Enthusiasm for collaborative engineering and building reliable ML systems that support real\-world autonomy.
**Bonus Qualifications** 
* Experience working with ROS, simulation frameworks (e.g., CARLA, Nvidia DriveSim), or vehicle interfaces.
* Experience with model deployment with NVIDIA stack (e.g. ONNX graphs, TensorRT, profiling)
* Exposure to distributed training, inference optimization, or model deployment on edge devices.
* Familiarity with recent breakthroughs in ML (e.g. foundation models, pre\-training and efficient fine\-tuning, multimodal Transformer architectures).
**Please include links to any relevant open\-source contributions or technical project write\-ups with your application.** 
*The pay range for this position at commencement of employment is expected to be between $176,000 and $264,000/year for California\-based roles. Base pay offered may vary depending on multiple individualized factors, including, but not limited to, business or organizational needs, market location, job\-related knowledge, skills, and experience. Note that TRI offers a generous benefits package (including 401(k) eligibility and various paid time off benefits, such as vacation, sick time, and parental leave) and an annual cash bonus structure. Details of participation in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6">
      <c r="A126" t="inlineStr">
        <is>
          <t>li-4364503529</t>
        </is>
      </c>
      <c r="B126" t="inlineStr">
        <is>
          <t>AI/ML Engineer</t>
        </is>
      </c>
      <c r="C126" t="inlineStr">
        <is>
          <t>Pasito</t>
        </is>
      </c>
      <c r="D126" t="inlineStr">
        <is>
          <t>linkedin</t>
        </is>
      </c>
      <c r="E126">
        <f>HYPERLINK("https://www.linkedin.com/jobs/view/4364503529", "https://www.linkedin.com/jobs/view/4364503529")</f>
        <v/>
      </c>
      <c r="F126" t="inlineStr"/>
      <c r="G126" t="inlineStr"/>
      <c r="H126" t="inlineStr"/>
      <c r="I126" t="inlineStr">
        <is>
          <t>**About Pasito**
 Pasito is the AI workspace for employee benefits.
 We’re rethinking how group insurance and benefits are underwritten, delivered, used and measured \- by the people who design them and the people who depend on them. Instead of static PDFs, disconnected systems, and manual workflows, Pasito brings plan design, payroll and benefits data, claims, and financial context into a single, AI‑native workspace that helps benefits actually work for the 178 million Americans who depend on this system.
 We don’t build
 *for* 
 brokers, carriers and employers \- we build
 *with* 
 them. That collaboration shows up in everything we ship: AI agents that extract and structure plan data, tools that turn complexity into clarity for employees, and workflows that save carriers and consultants hundreds of hours per case.
 Today, Pasito supports many of the largest insurance carriers and brokers in the U.S. We’re backed by Y Combinator and Core Innovation Capital, and we’re growing quickly. We ship fast, iterate relentlessly, and care deeply about building systems that are accurate, scalable, and human.
 If you’re excited to work alongside exceptional operators and engineers, and apply AI in a legacy industry where precision and trust matter, Pasito is the place for you.
**The Role** 
 \\ \\ As an AI/ML Engineer, you’ll work across backend systems, data pipelines, and AI/ML systems. You’ll help architect and build multi\-agent systems, work across LLM development, agent orchestration, evaluation and deployment, owning the full development from prototype to production.
 As an early member of the engineering team, you’ll have real ownership and influence: shaping architecture, defining standards, and building systems that carriers, brokers, and employers rely on every day.
**What You’ll Do**
* Develop AI\-native workflows\\ \*Architect and build scalable multi\-agent systems with clear evaluation metrics, monitoring, fallback strategies, and cost controls for extracting and reasoning over complex benefits data.
* Own backend and data\-heavy systems\\ \*Design and own backend services, APIs, and data pipelines that power AI workflows, with a focus on correctness, scalability, observability, and long\-term maintainability.
* Collaborate cross\-functionally\\ \*Work closely with Product, Design, Sales, and Client teams to understand customer workflows and translate them into durable technical solutions.
* Continuously improve systems\\ \*Refine existing architecture, reduce operational complexity, and help define what “great” looks like as the platform scales.
**Who You Are**
* A full stack engineer with 3\+ years of experience building complex web applications
* Comfortable owning backend systems and APIs, while collaborating closely on frontend experiences
* Experienced integrating AI / LLM\-powered systems into real products
* Curious, adaptable, and energized by working in fast\-moving, ambiguous environments
* A collaborative partner to product managers, designers, and other engineers
**Technical Experience We’re Excited About**
* 3\+ years of experience in software engineering
* Strong backend engineering experience with Node.js and Python. Hands\-on experience integrating and operating AI systems using frameworks such as LangGraph, LangChain, LlamaIndex, and model SDKs (OpenAI, Anthropic, Google AI Studio), including prompt/version management and tool calling. Bonus: AWS, MySQL at scale, and JavaScript frameworks.
* Experienced building, deploying, and operating multi\-step or multi\-agent AI systems in production, with ownership of correctness, latency, cost, and failure handling
* Experienced designing and operating RAG or persistent memory systems using vector databases (e.g., Pinecone, Turbopuffer), including indexing strategies, retrieval evaluation, and performance/cost tradeoffs
* Experienced building production\-grade evaluation and monitoring pipelines for AI systems (e.g., LangSmith, Langfuse, MLflow), including offline evals, live metrics, and regression detection
* Experience building document ingestion pipelines, structured extraction, chunking strategies, and handling noisy or inconsistent source documents
* Curious, adaptable, and energized by working in fast\-moving, ambiguous environments
* A collaborative partner to product managers, designers, and other engineers
*Experience in insurance, healthcare, or financial services is a plus, but not required.*
**What’s In It For You**
* Meaningful ownership: Build foundational systems used by carriers, brokers, employers, and employees at scale
* Real impact: Your work directly improves how people understand and use their benefits
* Growth: Join early and grow with the company as we scale our product, team, and distribution
* Competitive compensation: Salary, meaningful equity, and full benefits: medical, dental, vision, 401(k) with match, life insurance, and flexible PTO
* Remote‑first: Work from anywhere in the U.S. with a highly collaborative team
**Statement of Equal Opportunity**
 We are a company that values diversity and appreciates the benefits a diverse workforce produces for our team and clients. We welcome all qualified applicants to apply.</t>
        </is>
      </c>
    </row>
    <row r="127">
      <c r="A127" t="inlineStr">
        <is>
          <t>li-4364503416</t>
        </is>
      </c>
      <c r="B127" t="inlineStr">
        <is>
          <t>Entry level AI/ML Engineer: SVL</t>
        </is>
      </c>
      <c r="C127" t="inlineStr">
        <is>
          <t>Lensa</t>
        </is>
      </c>
      <c r="D127" t="inlineStr">
        <is>
          <t>linkedin</t>
        </is>
      </c>
      <c r="E127">
        <f>HYPERLINK("https://www.linkedin.com/jobs/view/4364503416", "https://www.linkedin.com/jobs/view/4364503416")</f>
        <v/>
      </c>
      <c r="F127" t="inlineStr"/>
      <c r="G127" t="inlineStr">
        <is>
          <t>San Jose, CA</t>
        </is>
      </c>
      <c r="H127" t="inlineStr"/>
      <c r="I12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IBM Automation and AI group is seeking an entry level AI/ML Engineer specializing in machine learning and Large Language Models (LLMs) to join our AI/ML Center of Excellence team at the IBM Silicon Valley Lab location. In this role, you will collaborate with cross\-functional product teams to implement cutting\-edge AI/ML capabilities across IBM's Automation product portfolio. You will lead efforts in data collection for LLM training and evaluation, integrate LLM technologies into existing and new products, and establish best practices for AI/ML feature implementation by product teams.
**Your Role And Responsibilities**
 Data Collection and Management for LLM Evaluation and Training
* Design and implement robust data collection pipelines for diverse LLM training datasets leveraging the IBM AI Model \&amp; Data Catalog.
* Develop data quality assessment frameworks to ensure training data meets IBM's high standards
* Create annotation guidelines and workflows for specialized domain\-specific datasets
* Implement data governance protocols that ensure compliance with privacy regulations and ethical AI principles following the IBM Data \&amp; Model Governance process and tooling.
* Establish evaluation datasets and benchmarks to measure LLM performance across various use cases leveraging \[1] FM\-Eval and Unitxt.
 LLM Integration and Implementation
* Architect solutions to integrate LLMs with IBM's existing and emerging products and ecosystem
* Develop APIs and interfaces that enable seamless interaction between LLMs and other software components
* Optimize LLM deployment for various computing environments (cloud, edge, on\-premises)
* Implement techniques for model compression, quantization, and optimization to improve inference efficiency and minimize resource requirements
* Design and implement prompt engineering frameworks for consistent LLM behavior across products
 AI/ML Best Practices and Innovation
* Establish technical standards and best practices for AI/ML feature implementation
* Create reusable components and design patterns for common LLM use cases
* Develop monitoring systems to track model performance, drift, and potential biases
* Research and implement techniques for responsible AI, including explainability and fairness
* Collaborate with product teams to identify opportunities for AI\-driven innovation
 References
 Visible links
* https://github.ibm.com/IBM\-Research\-AI/fm\-eval
**Required Technical And Professional Expertise**
* Bachelor's or master's degree or higher in Computer Science, Machine Learning, AI, or related technical field
* Less than one year of experience in machine learning engineering or data science roles
* Demonstrated knowledge of NLP and large language models (e.g., transformer architectures) including model evaluation and algorithm design.
* Strong programming skills in Python and familiarity with ML frameworks (PyTorch, TensorFlow, or JAX)
* Experience with data processing pipelines and working with large datasets
* Knowledge of MLOps practices and tools for model deployment and monitoring
* Ability to work independently and collaborate effectively across diverse teams.
* Strong communication skills to explain complex AI concepts to diverse audiences
* Problem\-solving mindset with ability to navigate technical and business constraints
**Preferred Technical And Professional Experience**
* Experience with fine\-tuning and prompt engineering for LLMs
* Deep understanding of transformer architectures and attention mechanisms
* Proficiency in vector databases and embedding technologies
* Knowledge of model serving frameworks (TensorRT, ONNX, TorchServe)
* Familiarity with cloud platforms (IBM Cloud, AWS, Azure, GCP)
* Commitment to continuous learning in the rapidly evolving field of AI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128">
      <c r="A128" t="inlineStr">
        <is>
          <t>li-4372796646</t>
        </is>
      </c>
      <c r="B128" t="inlineStr">
        <is>
          <t>Machine Learning Engineer</t>
        </is>
      </c>
      <c r="C128" t="inlineStr">
        <is>
          <t>Capgemini</t>
        </is>
      </c>
      <c r="D128" t="inlineStr">
        <is>
          <t>linkedin</t>
        </is>
      </c>
      <c r="E128">
        <f>HYPERLINK("https://www.linkedin.com/jobs/view/4372796646", "https://www.linkedin.com/jobs/view/4372796646")</f>
        <v/>
      </c>
      <c r="F128">
        <f>HYPERLINK("https://careers.capgemini.com/job/New-York%2C-NY-Machine-Learning-Engineer-NY-10001/1270383701/?feedId=388933&amp;utm_source=LinkedInJobPostings&amp;urlHash=gOsH", "https://careers.capgemini.com/job/New-York%2C-NY-Machine-Learning-Engineer-NY-10001/1270383701/?feedId=388933&amp;utm_source=LinkedInJobPostings&amp;urlHash=gOsH")</f>
        <v/>
      </c>
      <c r="G128" t="inlineStr">
        <is>
          <t>New York, NY</t>
        </is>
      </c>
      <c r="H128" t="inlineStr"/>
      <c r="I128"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New York, NY
 Job Description:
* Analyze large and complex datasets to derive actionable insights and inform business strategies.
* Develop and implement advanced machine learning models and algorithms.
* Collaborate with cross\-functional teams to understand business needs and provide data\-driven solutions.
* Communicate findings and recommendations to stakeholders and executive leadership.
* Stay updated with the latest trends and technologies in data science and machine learning.
 Basic Qualifications:
* Proficient in Pyspark, Py\-Torch \&amp; GenAI,
* Experience in Python, Pandas, NumPy, Scikit\-Learn
* Bachelor's degree in Computer Science, Statistics, Applied Mathematics, or a related field.
* Minimum of 8 years of experience in a data science role.
* Proficiency in programming languages such as Python or R..
* Strong understanding of machine learning techniques and algorithms.
 Preferred Qualifications:
* Experience with modern ML frameworks such as PyTorch, TensorFlow
* Experience with big data technologies such as PySpark
* Experience with ML model training within cloud infra such as Azure, AWS, GCP
* Proven track record of successfully deploying and optimizing ML models in a production environment.
* Excellent communication and visualization skills to effectively present data insights to non\-technical stakeholders."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The base compensation range for this role in the posted location is: $96000 to $110000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29">
      <c r="A129" t="inlineStr">
        <is>
          <t>li-4364418518</t>
        </is>
      </c>
      <c r="B129" t="inlineStr">
        <is>
          <t>Machine Learning Engineer</t>
        </is>
      </c>
      <c r="C129" t="inlineStr">
        <is>
          <t>Capgemini</t>
        </is>
      </c>
      <c r="D129" t="inlineStr">
        <is>
          <t>linkedin</t>
        </is>
      </c>
      <c r="E129">
        <f>HYPERLINK("https://www.linkedin.com/jobs/view/4364418518", "https://www.linkedin.com/jobs/view/4364418518")</f>
        <v/>
      </c>
      <c r="F129">
        <f>HYPERLINK("https://www.capgemini.com/jobs/358568-en_US_SAPBTP/Machine-Learning-Engineer&amp;urlHash=g07Z", "https://www.capgemini.com/jobs/358568-en_US_SAPBTP/Machine-Learning-Engineer&amp;urlHash=g07Z")</f>
        <v/>
      </c>
      <c r="G129" t="inlineStr">
        <is>
          <t>New York, United States</t>
        </is>
      </c>
      <c r="H129" t="inlineStr"/>
      <c r="I129"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Location:
 New York, NY
**Job Description**
* Analyze large and complex datasets to derive actionable insights and inform business strategies.
* Develop and implement advanced machine learning models and algorithms.
* Collaborate with cross\-functional teams to understand business needs and provide data\-driven solutions.
* Communicate findings and recommendations to stakeholders and executive leadership.
* Stay updated with the latest trends and technologies in data science and machine learning.
**Basic Qualifications**
* Proficient in Pyspark, Py\-Torch \&amp; GenAI,
* Experience in Python, Pandas, NumPy, Scikit\-Learn
* Bachelor's degree in Computer Science, Statistics, Applied Mathematics, or a related field.
* Minimum of 8 years of experience in a data science role.
* Proficiency in programming languages such as Python or R..
* Strong understanding of machine learning techniques and algorithms.
**Preferred Qualifications**
* Experience with modern ML frameworks such as PyTorch, TensorFlow
* Experience with big data technologies such as PySpark
* Experience with ML model training within cloud infra such as Azure, AWS, GCP
* Proven track record of successfully deploying and optimizing ML models in a production environment.
* Excellent communication and visualization skills to effectively present data insights to non\-technical stakeholders.'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The base compensation range for this role in the posted location is: $96000 to $110000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**Benefits**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130">
      <c r="A130" t="inlineStr">
        <is>
          <t>li-4364513419</t>
        </is>
      </c>
      <c r="B130" t="inlineStr">
        <is>
          <t>AI Engineer</t>
        </is>
      </c>
      <c r="C130" t="inlineStr">
        <is>
          <t>Turbo AI</t>
        </is>
      </c>
      <c r="D130" t="inlineStr">
        <is>
          <t>linkedin</t>
        </is>
      </c>
      <c r="E130">
        <f>HYPERLINK("https://www.linkedin.com/jobs/view/4364513419", "https://www.linkedin.com/jobs/view/4364513419")</f>
        <v/>
      </c>
      <c r="F130" t="inlineStr"/>
      <c r="G130" t="inlineStr"/>
      <c r="H130" t="inlineStr"/>
      <c r="I130" t="inlineStr">
        <is>
          <t>**Company Description** 
 Turbo AI delivers world\-class AI\-driven technology solutions, enabling rapid progress for businesses to focus on their core goals. Combining CTO\-level expertise with proprietary AI systems, Turbo AI builds, scales, and deploys high\-quality, efficient products with unmatched speed. The company offers comprehensive product development, from validating MVPs to rebuilding apps or expanding platforms. Turbo AI provides an efficient, streamlined alternative to traditional development solutions, focusing on scalability, innovation, and customer success.
**Role Description** 
 This is a full\-time remote role for an AI Engineer. The AI Engineer will design, develop, and optimize scalable artificial intelligence systems with a focus on pattern recognition, neural networks, and natural language processing. Responsibilities include researching and implementing machine learning models, contributing to software development life cycles, and collaborating with cross\-functional teams to enhance AI capabilities. The candidate will also ensure systems are robust, efficient, and adaptable to meet dynamic technical challenges.
**Qualifications** 
* Strong understanding of Pattern Recognition and Neural Networks, including designing and deploying models
* Proficiency in Computer Science principles and Software Development practices
* Experience with Natural Language Processing (NLP) integration and optimization
* Proven ability to work with cross\-functional teams to deliver AI\-based solutions
* Solid problem\-solving skills and a passion for innovation in technology
* Familiarity with AI frameworks such as TensorFlow, PyTorch, or similar is a plus
* Bachelor’s degree in Computer Science, Artificial Intelligence, or a related field; a Master’s or Ph.D. is an advantage</t>
        </is>
      </c>
    </row>
    <row r="131">
      <c r="A131" t="inlineStr">
        <is>
          <t>li-4364445913</t>
        </is>
      </c>
      <c r="B131" t="inlineStr">
        <is>
          <t>AI Engineer</t>
        </is>
      </c>
      <c r="C131" t="inlineStr">
        <is>
          <t>Gonzaga University Institute for Climate, Water, and the Environment</t>
        </is>
      </c>
      <c r="D131" t="inlineStr">
        <is>
          <t>linkedin</t>
        </is>
      </c>
      <c r="E131">
        <f>HYPERLINK("https://www.linkedin.com/jobs/view/4364445913", "https://www.linkedin.com/jobs/view/4364445913")</f>
        <v/>
      </c>
      <c r="F131" t="inlineStr"/>
      <c r="G131" t="inlineStr">
        <is>
          <t>Washington, DC</t>
        </is>
      </c>
      <c r="H131" t="inlineStr"/>
      <c r="I131" t="inlineStr">
        <is>
          <t>**Title:** 
 AI Engineer
**VP Area:** 
 Inst for Informatics \&amp; Applied Tech
**Department:** 
 Inst for Informatics \&amp; Applied Tech
**Work Schedule:** 
 Fixed daytime hours Monday\-Friday
**Telework Availability:** 
 Occasional Telework Available
**FLSA Status:** 
 Exempt
**Employee Classification:** 
 Regular full\-time (staff 30\+ hours)
**Hours per week:** 
 40
**Months per year:** 
 12
**Job Purpose**
 The Institute for Informatics and Applied Technology (IIAT) aims to drive faculty, students, and community innovations via responsible artificial intelligence and data science practices. Through rigorous academic offerings, collaboration with industry and interdisciplinary research, IIAT prepares students and professionals across disciplines for leadership with technical expertise in informatics while critically examining the ethical and societal implications of emerging technologies. The Institute provides opportunities for collaborative, experiential learning through ideation, problem solving and entrepreneurial exploration, supporting student\-led innovation and industry and community partnerships to drive AI\-enabled advances for the benefit of humanity.
 This position will responsibly explore, develop, and use technology advances in AI and machine learning, to help elevate the GU and partners' knowledge and competency in these technological areas and consequently innovate for responsible learning, teaching, and business operations. This position will work closely with the IIAT Director and other staff members to continue advance their own knowledge and skillset in these areas and how they connect to humanity and society for responsible technology innovation. This position will focus primarily on AI\-powered visual analytics for various application domains.
**Essential Functions** 
* 35% \- Investigate and Develop AI and ML software, specifically for generative AI enabled visual analytics
+ Actively work with GU faculty, students, staff, and external partners to investigate and develop specialized AI/ML systems, including generative AI technologies, for teaching, research, and business operations.
+ Independently develop custom AI technology and systems that fit partner's needs.
+ Assist partners to acquire necessary knowledge and skills to use the developed system.
* 30% \- Research and report AI/ML and visualization technology advances
+ Proactively and independently explore and attain specialized AI advances and technologies, including but not limited to LLM architecture, prompt engineering, fine\-tuning/alignment, and guard rails, from a variety of sources.
+ Independently apply attained technology advances to support partners' teaching, research, and business operation needs.
+ Independently and regularly investigate advances in generative AI, and report and discuss such advances with the Director and the other IIAT staff.
+ Work closely with the Director and partners to disseminate findings through paper writing, blog posting, git release, and assess commercialization viability to prepare IP documentation if deemed viable.
* 15% \- Develop training and learning material
+ Independently design AI/ML exercises that will provide experiential learning experience for the learners who might have diverse background in different instances.
+ Collaborate with the Director and other IIAT staff to develop visualization for training exercises and material for faculty, students, staff, and extended partners.
+ Assist in delivery and assessment of the training and learning sessions.
* 10% \- Assist the IIAT Director and collaborate with IIAT staff/engineers to manage the Human\-AI Collaboratory (HACLab)
+ Investigate, assess, and provide information to the IIAT Director, curate computing resources for the HAC\-Lab.
+ Assist to maintain and secure the virtualized environment with best practices in using AI technologies.
* 10% \- Supervise student assistants for IIAT affiliated research
+ Supervise student(s) to support the research and development of AI and visualization technology uses and advances.
+ Support student learning through mentorship in their research endeavors.
+ Additional Duties as Assigned by the Department
**Educational Requirement**
 Bachelor's Degree or Equivalent Experience
**Years Of Related Experience Requirement**
 3 years
 In lieu of the educational qualifications, candidates may qualify with equivalent professional experience at a ratio of one year of experience for each year of required education.
**Skills \&amp; Abilities**
 Two (2\) years of specific technology development experience in AI technologies.
 Demonstrated ability for software development.
 Demonstrated experience in visual analytics enabled with generative AI technologies.
 Demonstrated intellectual curiosity for continual learning, discovery and creation to challenge the status quo respectfully.
 Excellent verbal and written communication skills necessary to communicate with internal and external partners.
 Demonstrated ability to navigate in higher\-ed environment while being adaptive and agile to ensure success of a start\-up unit.
 Demonstrated appreciation for Gonzaga's and IIAT's mission for humanity\-centered responsible AI learning and innovation.
**Preferred Qualifications**
 Graduate Degree or equivalent experience in related field.
 Demonstrated experiences in PowerBI and/or Python interactive visualization.
 Demonstrated skills in artistic design for visual analytics.
 Demonstrated ability for data curation/collection or data cleaning.
 Demonstrated ability for working with people across disciplines.
 Demonstrated ability to be creative in problem solving.
 Demonstrated ability to manage competing priorities with frequent interruptions.
 Demonstrated ability for excellent customer service.
 Demonstrated ability to operate with a high level of confidence and discretion.
**Physical \&amp; On\-Campus Requirements**
**In\-Office Presence \- Ability to work on\-site in typical office setting and participate in in\-person meetings with colleagues:** 
 5 days/week
**Standing/Sitting \- Ability to remain in a stationary position for a prolonged period:** 
 Daily (\&gt;75% of time)
**Walking \- Ability to move about on foot to accomplish tasks:** 
 Daily (\&gt;75% of time)
**Lifting/Carrying \- Ability to move or transport objects up to a specified weight (e.g., 50 pounds):** 
 Rarely (1%\-49% of time)
**Attention to Detail \- Ability to focus on detailed tasks for extended periods:** 
 Daily (\&gt;75% of time)
**Problem\-Solving \- Ability to identify and resolve issues effectively:** 
 Daily (\&gt;75% of time)
**The budgeted salary range that the University reasonably expects to offer for this position:** 
 $100,000 to $112,000
**Pay Range**
 Minimum Salary (Annualized 12 months and 40 hours/week): 84075
 Midpoint Salary (Annualized 12 months and 40 hours/week): 112100
 Maximum Salary (Annualized 12 months and 40 hours/week): 140125
*Is this position eligible for relocation reimbursement or a signing bonus?:* 
 True
**At this time, the University has suspended all new H1B visa sponsorships.**
**Required Application Materials**+ CV/Resume
+ Cover Letter describing personal and professional interests in this position; specifically describing experiences in generative AI enabled (visual) analytics.</t>
        </is>
      </c>
    </row>
    <row r="132">
      <c r="A132" t="inlineStr">
        <is>
          <t>li-4364580690</t>
        </is>
      </c>
      <c r="B132" t="inlineStr">
        <is>
          <t>Senior AI Engineer*</t>
        </is>
      </c>
      <c r="C132" t="inlineStr">
        <is>
          <t>Egen</t>
        </is>
      </c>
      <c r="D132" t="inlineStr">
        <is>
          <t>linkedin</t>
        </is>
      </c>
      <c r="E132">
        <f>HYPERLINK("https://www.linkedin.com/jobs/view/4364580690", "https://www.linkedin.com/jobs/view/4364580690")</f>
        <v/>
      </c>
      <c r="F132" t="inlineStr"/>
      <c r="G132" t="inlineStr"/>
      <c r="H132" t="inlineStr"/>
      <c r="I132" t="inlineStr">
        <is>
          <t>About Egen:
 Egen is a fast\-growing and entrepreneurial company with a data\-first mindset. We bring together the best engineering talent working with the most advanced technology platforms, including Google Cloud and Salesforce, to help clients drive action and impact through data and insights. We are committed to being a place where the best people choose to work so they can apply their engineering and technology expertise to envision what is next for how data and platforms can change the world for the better. We are dedicated to learning, thrive on solving tough problems, and continually innovate to achieve fast, effective results. If this describes you, we want you on our team.
*Want to learn more about life at Egen? Check out these resources in addition to the job description.*
 Meet Egen
 Life at Egen
 Culture and Values at Egen
 Career Development at Egen
 Benefits at Egen
 About the opportunity:
 As a Senior AI Engineer, you will be at the forefront of our Generative AI initiatives. We treat AI as a software engineering discipline. You will be responsible for the full lifecycle of our AI features—specifically document intelligence and RAG pipelines—taking them from initial prototype to robust, scalable production services. You will solve for real\-world constraints like latency, error handling, and cost optimization.
 You’ll collaborate with a diverse range of clients to translate business needs into high\-performance AI architectures. This role requires a blend of deep technical expertise in LLMs and a disciplined Software Engineering approach to ensure our solutions are robust, ethical, and scalable.
**What You Will Do:**
* Architect \&amp; Build: Design and implement end\-to\-end GenAI applications using Python, LangChain, and LlamaIndex on Google Cloud
* Engineer for Precision: Develop advanced RAG (Retrieval\-Augmented Generation) pipelines and Semantic Search systems using GCP Vector Search or Pinecone
* Optimize Models: Lead efforts in LLM and Embedding fine\-tuning to improve domain\-specific performance
* Agentic Ops: Build and manage agentic workflows that automate complex multi\-step reasoning tasks
* Collaborate \&amp; Innovate: Work directly with customers to understand requirements, suggest novel features, and implement state\-of\-the\-art AI techniques
* Productionize: Apply MLOps best practices to ensure models are served efficiently, monitored, and continuously improved
**Your Technical Toolkit:**
* Core Languages: Mastery of Python and shell scripting
* AI/LLM Ecosystem: Extensive experience with Google Gemini, GPT\-4, or LLaMA; deep knowledge of Prompt Engineering and Fine\-tuning
* Data \&amp; Search: Expertise in Vector Databases (Vertex AI Vector Search, pgvector, etc.) and implementing Semantic Search
* Infrastructure: Hands\-on experience with GCP (Vertex AI) and building scalable software architectures
* Frameworks: Proficiency in LangChain, LlamaIndex, or similar orchestration layers
* Mindset: A strong software engineering foundation—you write clean, maintainable code and understand the full SDLC
**Basic Qualifications:**
* Bachelor’s or Master’s degree in Computer Science, Engineering, or a related technical field
* Proven track record of deploying GenAI products to a production environment
* Experience with Classic Machine Learning (neural nets, training, tuning) is a strong plus
* Knowledge of Data Engineering and SQL
**Personal Attributes:**
* Ownership: You take pride in your code and see projects through from concept to deployment
* Curiosity: The AI landscape changes weekly; you are a lifelong learner who stays ahead of the curve
* Consultative Spirit: You enjoy interacting with clients and can translate technical complexity into business value
* Ethics: You prioritize responsible AI development and data privacy
 Compensation \&amp; Benefits:
 This role is eligible for our competitive salary and comprehensive benefits package to support your well\-being:
* Comprehensive Health Insurance
* Paid Leave (Vacation/PTO)
* Paid Holidays
* Sick Leave
* Parental Leave
* Bereavement Leave
* 401 (k) Employer Match
* Employee Referral Bonuses
 Check out our complete list of benefits here \- \&gt;https://egen.ai/people/\#benefits
 Important: All roles are subject to standard hiring verification practices, which may include background checks, employment verification, and other relevant checks.
 EEO and Accommodations:
 Egen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Egen will also consider qualified applications with criminal histories, consistent with legal requirements. Egen welcomes and encourages applications from individuals with disabilities. Reasonable accommodations are available for candidates during all aspects of the selection process. Please advise the talent acquisition team if you require accommodations during the interview process.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3">
      <c r="A133" t="inlineStr">
        <is>
          <t>li-4364167282</t>
        </is>
      </c>
      <c r="B133" t="inlineStr">
        <is>
          <t>Machine Learning Engineer - Early Career</t>
        </is>
      </c>
      <c r="C133" t="inlineStr">
        <is>
          <t>Jobright.ai</t>
        </is>
      </c>
      <c r="D133" t="inlineStr">
        <is>
          <t>linkedin</t>
        </is>
      </c>
      <c r="E133">
        <f>HYPERLINK("https://www.linkedin.com/jobs/view/4364167282", "https://www.linkedin.com/jobs/view/4364167282")</f>
        <v/>
      </c>
      <c r="F133">
        <f>HYPERLINK("https://jobright.ai/jobs/info/b2b_1770935515039_172?utm_source=5012&amp;utm_campaign=b2b_1770935515039_172&amp;urlHash=SFV0", "https://jobright.ai/jobs/info/b2b_1770935515039_172?utm_source=5012&amp;utm_campaign=b2b_1770935515039_172&amp;urlHash=SFV0")</f>
        <v/>
      </c>
      <c r="G133" t="inlineStr"/>
      <c r="H133" t="inlineStr"/>
      <c r="I133"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maintain the scalable infrastructure required to deploy and serve production\-grade AI agents
* Implement and optimize Large Language Model (LLM) pipelines, focusing on latency reduction, throughput, and efficient resource utilization
* Develop automated systems for model monitoring, testing, and continuous integration to ensure the reliability of our AI agents
* Optimize data ingestion and processing layers to support real\-time agent responsiveness and complex RAG (Retrieval\-Augmented Generation) architectures
* Architect and refine APIs and backend services that bridge the gap between AI models and the user\-facing product
**Qualification** 
 Required
* Recent graduate or early\-career professional (0–2 years of experience) with a degree in Computer Science, Software Engineering, or a related technical field
* Strong proficiency in Python and experience with backend frameworks (such as FastAPI, Flask, or Django)
* Practical experience with machine learning frameworks (PyTorch or TensorFlow) and a solid understanding of software engineering best practices (version control, CI/CD, unit testing)
* Familiarity with the deployment of LLMs and an understanding of the infrastructure required to support autonomous agents
* Must live in and be authorized to work in the United States
 Preferred
* Previous internship or project experience in ML Ops, backend engineering, or distributed systems within an AI\-focused company
* Hands\-on experience with containerization (Docker, Kubernetes) and cloud infrastructure (AWS, GCP, or Azure)
* Knowledge of vector databases (such as Pinecone, Milvus, or Weaviate) and their role in production AI systems
* Strong foundation in SQL and NoSQL database management for high\-scale data handling</t>
        </is>
      </c>
    </row>
    <row r="134">
      <c r="A134" t="inlineStr">
        <is>
          <t>li-4372941121</t>
        </is>
      </c>
      <c r="B134" t="inlineStr">
        <is>
          <t>Principal Staff AI Engineer, Premium AI</t>
        </is>
      </c>
      <c r="C134" t="inlineStr">
        <is>
          <t>LinkedIn</t>
        </is>
      </c>
      <c r="D134" t="inlineStr">
        <is>
          <t>linkedin</t>
        </is>
      </c>
      <c r="E134">
        <f>HYPERLINK("https://www.linkedin.com/jobs/view/4372941121", "https://www.linkedin.com/jobs/view/4372941121")</f>
        <v/>
      </c>
      <c r="F134" t="inlineStr"/>
      <c r="G134" t="inlineStr">
        <is>
          <t>Sunnyvale, CA</t>
        </is>
      </c>
      <c r="H134" t="inlineStr"/>
      <c r="I134"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**Team Overview:**
 The Premium AI teams work on many highly visible products at LinkedIn, including solutions related to job search, profile customization, new user acquisition (product growth), and more.
 Technologies span across Generative AI, LLMs, multi\-task learning, deep learning, NLP, and more. Many of these solutions are enterprise level and this team partners closely with Notifications AI, Jobs, and other teams. We are also improving our Small Business Agent AI solution for Premium users, an all\-in\-one solution for small business leaders to grow their business through LinkedIn encompassing branding, marketing, and hiring.
 You will have an opportunity to build customer facing AI\-driven products with massive impact and scale, reaching millions of individuals and driving billions in annual revenue.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based in Sunnyvale, CA
**Responsibilities:**
 You will be setting the technical direction and foundation to build and own algorithms, models, systems and product experiences that power LinkedIn’s Premium AI product; both improving product features as well as helping to drive product growth.
 This role will be the Principal AI Engineer for a team of 50\+.
* Define and execute technical vision for applying AI and Data Systems to accelerate the team’s roadmap which includes activity data mining using LLMs, identity resolution using heterogeneous data sources, ads retrieval at scale and advertiser workflows to build higher performing ads.
* Mentor and work with other Sr. Staff SWEs in the team to establish quality norms, to build a culture of operational excellence and speed.
* Partner with Product, Data Science, and AI Research orgs to translate business goals into scalable AI\-and\-Data powered capabilities to improve the advertiser experience \&amp; ROI.
* Establish best practices for experimentation, model evaluation, and responsible AI.
* Provide architectural guidance and mentorship to up\-level the engineering organization
* Work closely with and influence product and/or technology partners regularly to help define roadmap
**Qualifications**
**Basic Qualifications:**
* 5\+ years as a Technical Leader (L7, Senior Staff, Principal, etc.)
* 7\+ years of industry experience with Machine Learning, AI, Data Engineering, or related solutions.
* Bachelor of Science (or higher, e.g., MS, or PhD) in Computer Science or related technical field involving coding, or equivalent technical experience.
**Preferred Qualifications:**
* 10\+ years of industry experience (AI, Machine Learning, Data Science, or related) including prior experience working in the Tech or Product domain.
* Master’s or PhD in Computer Science or a related discipline.
* Strong experience in designing and optimizing AI solutions for direct\-to\-consumer Tech.
* Experience in designing and optimizing recommender and/or search systems that create highly personalized experiences for LinkedIn’s members and scale to solve complex business problems
* Experience with deep learning, LLMs, graphs/graph mining, ranking, auction theory, optimization.
* Previous design and implementation of solutions in highly distributed environments.
**Skills:**
* Technical \&amp; Thought Leadership
* AI Engineering
* Enterprise ML Solutions
**Additional Information**
**You will Benefit from our Culture:**
 We strongly believe in the well\-being of our employees and their families. That is why we offer generous health and wellness programs and time away for employees of all levels.
 Compensation:
 LinkedIn is committed to fair and equitable compensation practices.
 The pay range for this role is $207,000 to $340,000\.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35">
      <c r="A135" t="inlineStr">
        <is>
          <t>li-4364540470</t>
        </is>
      </c>
      <c r="B135" t="inlineStr">
        <is>
          <t>Machine Learning Engineer</t>
        </is>
      </c>
      <c r="C135" t="inlineStr">
        <is>
          <t>ChatGPT Jobs</t>
        </is>
      </c>
      <c r="D135" t="inlineStr">
        <is>
          <t>linkedin</t>
        </is>
      </c>
      <c r="E135">
        <f>HYPERLINK("https://www.linkedin.com/jobs/view/4364540470", "https://www.linkedin.com/jobs/view/4364540470")</f>
        <v/>
      </c>
      <c r="F135" t="inlineStr"/>
      <c r="G135" t="inlineStr">
        <is>
          <t>Oakland, CA</t>
        </is>
      </c>
      <c r="H135" t="inlineStr"/>
      <c r="I135" t="inlineStr">
        <is>
          <t>**Job Description**
 Machine Learning Engineer
**Company:** 
 Toybox Labs (Remote)
**Location:** 
 Oakland, CA
* Remote
**Type:** 
 Full\-time
**About The Role**
 We’re looking for a Machine Learning Engineer who is excited to build creative, interactive AI features that kids will actually use. You’ll help expand our existing generative AI systems and develop new ML\-driven capabilities that run both in the cloud and directly on our printers.
 This role blends applied ML, product thinking, and creativity. You’ll work closely with a small, highly collaborative team to turn real ideas into shipped features.
**What You'll Work On**
* Expanding our generative AI systems for creating 3D models from text and images
* Computer vision features such as print failure (spaghetti) detection
* Recommendation systems (e.g., other toys you may like)
* ML features that run close to the hardware and enhance the on\-printer experience
* Improving internal ML infrastructure to enable faster experimentation and iteration
**Responsibilities**
* Design, implement, and ship machine learning features end\-to\-end
* Apply existing ML models as well as train and fine\-tune custom models when needed
* Collaborate with product and engineering to scope, plan, and deliver features
* Maintain a high bar for quality, performance, and reliability
* Contribute ideas for new ML\-driven experiences and future platform directions
**Required Qualifications**
* 3\+ years of professional experience working with machine learning systems
* Experience implementing classifiers and/or generative AI models in production
* Experience with 3D technologies (3D printing, modeling, simulation, or game development)
* Comfortable working in a remote\-first environment
* Clear communication skills and ability to manage multiple priorities
**Nice To Have**
* Experience with 3D modeling or geometry\-focused algorithms
* Background in recommendation systems or computer vision
* Working knowledge of Rust and/or TypeScript
* Hands\-on experience with 3D printers
* Strong foundation in algorithms and complex spatial problems
* Comfort working across a diverse technology stack</t>
        </is>
      </c>
    </row>
    <row r="136">
      <c r="A136" t="inlineStr">
        <is>
          <t>li-4364512095</t>
        </is>
      </c>
      <c r="B136" t="inlineStr">
        <is>
          <t>AI Engineer</t>
        </is>
      </c>
      <c r="C136" t="inlineStr">
        <is>
          <t>ChatGPT Jobs</t>
        </is>
      </c>
      <c r="D136" t="inlineStr">
        <is>
          <t>linkedin</t>
        </is>
      </c>
      <c r="E136">
        <f>HYPERLINK("https://www.linkedin.com/jobs/view/4364512095", "https://www.linkedin.com/jobs/view/4364512095")</f>
        <v/>
      </c>
      <c r="F136">
        <f>HYPERLINK("https://chatgpt-jobs.com/job/ai-engineer-truegrowth-3731&amp;urlHash=kuxV", "https://chatgpt-jobs.com/job/ai-engineer-truegrowth-3731&amp;urlHash=kuxV")</f>
        <v/>
      </c>
      <c r="G136" t="inlineStr">
        <is>
          <t>New York, NY</t>
        </is>
      </c>
      <c r="H136" t="inlineStr"/>
      <c r="I136" t="inlineStr">
        <is>
          <t>**Job Description**
 AI Engineer
**Company:** 
 TrueGrowth
**Location:** 
 New York, NY
**Type:** 
 Full\-time, On\-site, Remote
**Posted:** 
 11 hours ago
**Description**
 TrueGrowth is seeking an AI Engineer to design and implement advanced AI models and algorithms. You will collaborate with data scientists and product teams to develop solutions that leverage machine learning and natural language processing.
**Key Responsibilities**
* Design and develop AI models and algorithms to solve complex problems.
* Collaborate with cross\-functional teams to integrate AI capabilities into existing products.
* Analyze large datasets to extract insights and improve model performance.
* Stay current with industry trends and advancements in AI technology.
**Qualifications**
* Strong experience in machine learning frameworks (TensorFlow, PyTorch, etc.).
* Proficiency in programming languages such as Python, Java, or C\+\+.
* Familiarity with natural language processing and computer vision techniques.
* Excellent problem\-solving skills and a passion for AI innovation.
**How to Apply:** 
 Please SEND A MESSAGE
 **on Instagram to @genomiller26** 
 !
**Why Join Us?**
* Flexible Work Environment: Enjoy the freedom of remote work while engaging in groundbreaking AI projects.
* Growth Opportunities: We believe in nurturing talent. Optional career coaching services are available to support your professional development at no risk—if you dont find it beneficial, theres no obligation to continue.
* Dynamic Team Culture: Be part of a team that values creativity and collaboration, where your contributions are pivotal to our success.</t>
        </is>
      </c>
    </row>
    <row r="137">
      <c r="A137" t="inlineStr">
        <is>
          <t>li-4364426786</t>
        </is>
      </c>
      <c r="B137" t="inlineStr">
        <is>
          <t>AI Engineer, Entry Level</t>
        </is>
      </c>
      <c r="C137" t="inlineStr">
        <is>
          <t>Jobright.ai</t>
        </is>
      </c>
      <c r="D137" t="inlineStr">
        <is>
          <t>linkedin</t>
        </is>
      </c>
      <c r="E137">
        <f>HYPERLINK("https://www.linkedin.com/jobs/view/4364426786", "https://www.linkedin.com/jobs/view/4364426786")</f>
        <v/>
      </c>
      <c r="F137">
        <f>HYPERLINK("https://jobright.ai/jobs/info/b2b_1770936109040_2?utm_source=5012&amp;utm_campaign=b2b_1770936109040_2&amp;urlHash=PvRu", "https://jobright.ai/jobs/info/b2b_1770936109040_2?utm_source=5012&amp;utm_campaign=b2b_1770936109040_2&amp;urlHash=PvRu")</f>
        <v/>
      </c>
      <c r="G137" t="inlineStr"/>
      <c r="H137" t="inlineStr"/>
      <c r="I137"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Build and refine autonomous AI agents that interact with complex environments to solve real\-world user problems
* Develop and optimize sophisticated prompt engineering workflows and multi\-agent orchestration frameworks to enhance product capabilities
* Integrate Large Language Models (LLMs) into the Jobright application, ensuring high\-quality, low\-latency, and reliable AI responses
* Work at the intersection of product and engineering to transform user requirements into functional AI\-driven features
* Implement Retrieval\-Augmented Generation (RAG) systems and fine\-tune models to improve the accuracy and context\-awareness of our agents
**Qualification** 
 Required
* Recent graduate or entry\-level professional (0–2 years of experience) with a degree in Computer Science, AI, or a related technical field
* Strong proficiency in Python and experience working with LLM APIs (such as OpenAI, Anthropic, or open\-source models via Hugging Face)
* Practical understanding of agentic workflows, prompt chaining, and the latest trends in generative AI
* Solid software engineering foundations, including a strong grasp of APIs, asynchronous programming, and version control (Git)
* Must live in and be authorized to work in the United States
 Preferred
* Previous internship or personal project experience building AI\-powered applications, chatbots, or autonomous agents
* Familiarity with agent frameworks such as LangChain, AutoGPT, or CrewAI
* Experience with vector databases and semantic search implementation
* Basic understanding of front\-end or full\-stack integration to help bridge the gap between AI logic and user interfaces</t>
        </is>
      </c>
    </row>
    <row r="138">
      <c r="A138" t="inlineStr">
        <is>
          <t>li-4372934649</t>
        </is>
      </c>
      <c r="B138" t="inlineStr">
        <is>
          <t>AI/Machine Learning Engineer</t>
        </is>
      </c>
      <c r="C138" t="inlineStr">
        <is>
          <t>NEP Group, Inc.</t>
        </is>
      </c>
      <c r="D138" t="inlineStr">
        <is>
          <t>linkedin</t>
        </is>
      </c>
      <c r="E138">
        <f>HYPERLINK("https://www.linkedin.com/jobs/view/4372934649", "https://www.linkedin.com/jobs/view/4372934649")</f>
        <v/>
      </c>
      <c r="F138">
        <f>HYPERLINK("https://nepgroup.clearcompany.com/careers/jobs/2e0186c8-987a-17af-984d-10e0feb82926/apply?source=3630656-JB-1018&amp;urlHash=R8z0", "https://nepgroup.clearcompany.com/careers/jobs/2e0186c8-987a-17af-984d-10e0feb82926/apply?source=3630656-JB-1018&amp;urlHash=R8z0")</f>
        <v/>
      </c>
      <c r="G138" t="inlineStr">
        <is>
          <t>Pittsburgh, PA</t>
        </is>
      </c>
      <c r="H138" t="inlineStr"/>
      <c r="I138" t="inlineStr">
        <is>
          <t>We’re seeking an
 **AI / Machine Learning Engineer** 
 to help design, build, and deploy machine learning solutions that drive AI\-powered decision\-making across NEP Group. In this role, you’ll work closely with our
 **AI Steering Committee** 
 and cross\-functional teams to turn high\-impact use cases into production\-ready ML systems.
 You’ll be hands\-on across the full ML lifecycle—feature engineering, model development, automated pipelines, deployment, and monitoring—using a modern cloud\-based stack centered on
 **Databricks, MLflow, and Delta Lake** 
 .
 Preference is for this to be a hybrid role in Pittsburgh, but we are open to fully remote candidates in Eastern or Central time zones.
****What You’ll Do:****
* Design, develop, and deploy machine learning models using Python, PySpark, Databricks ML, and Delta Lake
* Partner with business and technical stakeholders to identify and deliver impactful AI/ML use cases
* Build automated ML pipelines for model training, validation, and deployment
* Manage feature stores and continuously monitor model performance and reliability using MLflow
* Apply machine learning techniques to solve real business challenges and extract meaningful insights from data
* Optimize models and pipelines for scalability, performance, and cost efficiency
* Test, validate, and iterate on models to ensure accuracy and robustness
* Stay current with emerging AI/ML technologies and help advance NEP’s AI strategy
****What You’ll Do:****
* Bachelor’s or Master’s degree in Computer Science, Engineering, Mathematics, or a related field, with 3–7\+ years in AI/ML, data science, or data engineering
* Strong hands\-on experience with Python, PySpark, distributed computing, and Databricks / Delta Lake
* Proven ability to design, train, and deploy production\-grade machine learning models
* Solid foundation in statistics, mathematics, and machine learning algorithms
* Experience working in cloud environments (AWS, Azure, or GCP)
* Familiarity with MLOps best practices, including ML pipelines, model versioning, CI/CD, and performance monitoring
* Experience with governed data environments, data quality/drift monitoring, and advanced ML techniques (e.g., NLP, entity resolution, AI agents)
**Benefits**
* Medical, Dental, and Vision coverage
* Vacation Days
* Sick Days
* 401(k)
* Discount Programs
* Life Insurance
* Disability Insurance
* Employee Assistance Program
* Flexible Spending Account
 You might not know our name, but you’ve probably seen our work – on stage, on screen or on the field. Our technology solutions and unique Global Production Ecosystem empower content creators and rights holders to tell their stories in breakthrough ways. We’ve supported some of the world’s most watched productions and live events in sports, entertainment, concerts, festivals, film, TV and more. For 40 years our clients have trusted us to deliver live production, live events, and virtual production solutions for them, anytime, anywhere. Put simply, we bring content to life.
 Check us out at https://www.nepgroup.com/career/careers</t>
        </is>
      </c>
    </row>
    <row r="139">
      <c r="A139" t="inlineStr">
        <is>
          <t>li-4372792820</t>
        </is>
      </c>
      <c r="B139" t="inlineStr">
        <is>
          <t>AI Engineer</t>
        </is>
      </c>
      <c r="C139" t="inlineStr">
        <is>
          <t>JD Power</t>
        </is>
      </c>
      <c r="D139" t="inlineStr">
        <is>
          <t>linkedin</t>
        </is>
      </c>
      <c r="E139">
        <f>HYPERLINK("https://www.linkedin.com/jobs/view/4372792820", "https://www.linkedin.com/jobs/view/4372792820")</f>
        <v/>
      </c>
      <c r="F139">
        <f>HYPERLINK("https://jdpa.wd501.myworkdayjobs.com/JDPower/job/Remote-USA/AI-Engineer_R-100233?source=LinkedIn&amp;urlHash=cMki", "https://jdpa.wd501.myworkdayjobs.com/JDPower/job/Remote-USA/AI-Engineer_R-100233?source=LinkedIn&amp;urlHash=cMki")</f>
        <v/>
      </c>
      <c r="G139" t="inlineStr"/>
      <c r="H139" t="inlineStr"/>
      <c r="I139" t="inlineStr">
        <is>
          <t>**Job Description**
**Title:** 
 AI Engineer
**Location:** 
 USA \- Remote
**Reports to:** 
 Managing Director \- AI Solutions Engineering
**Vacancy:** 
 This is a new position
**The Role**
 You will design, build, and operate production\-grade Generative AI solutions that power our products and analytical solutions. You will work across data, models, and applications to deliver reliable AI workflows, integrating large language models with modern data and analytics environments. You will own initiatives end\-to\-end, including architecture, experimentation, deployment, monitoring, and continuous improvement.
**The Impact You Will Have In This Role**
 You will shape how we apply Generative AI to high\-value business problems by building systems that measurably improve customer experience, operational efficiency, and decision quality. You will raise the quality bar for production AI by setting standards for design, safety, evaluation, and operational readiness. You will mentor other engineers and partner with product, data science, and business stakeholders to translate ambiguity into scalable AI capabilities across multiple products and use cases.
**What You’ll Be Doing In This Role**
* Lead the design and implementation of Generative AI services and Agentic workflows that support multiple product features or teams.
* Integrate LLMs into applications using modern frameworks, working with APIs or internal model endpoints. Implement telemetry, observability, fallbacks, and cost/latency controls.
* Work across data environments to ingest, transform, and serve data for AI use cases, designing practical schemas and retrieval strategies that generalize across environments.
* Design and run experiments to compare prompts, models, and configurations; build evaluation flows to measure relevance, safety, robustness, and business impact.
* Collaborate with product, data science, design, and domain experts to clarify requirements, break down initiatives into technical plans, and deliver roadmap commitments.
* Contribute to and lead code reviews, architecture discussions, documentation, and shared templates/libraries that improve velocity and consistency.
* Monitor AI systems in production, participate in incident response, and drive systemic improvements to quality, safety, reliability, and performance.
* Partner with security, legal, and compliance to ensure data privacy, responsible AI practices, and regulatory alignment.
**Qualifications Of This Role**
* Degree in Computer Science, Data Science, Software Engineering or related field.
* At least 8yrs of professional experience with a Bachelor’s degree or 6 yrs with a Graduate degree
* 1\-year experience in Generative AI technologies (included in the overall professional experience), or 1\-2 relevant certifications.
* Logical, practical, and innovative problem\-solving skills. Can turn ambiguity into architecture, milestones, and explicit tradeoffs.
* Strong customer\-facing communication: able to lead technical discussions, write clear technical documents, and explain solutions to technical and non\-technical audiences.
* Shipped and operated LLM\-enabled features in production, including evaluation, monitoring, and iteration.
* Working knowledge of Generative AI quality and safety practices.
* Experience building data\-intensive systems end\-to\-end.
* Data engineering fundamentals: ingestion/transforms, maintainable schemas, and retrieval/feature pipelines for analytics and AI.
* Strong Python and SQL. Experience integrating services via APIs. TypeScript or other strongly typed language experience is a plus. The ability to learn new tools quickly is required.
* Hands\-on experience with at least one modern data/analytics platform (e.g., Databricks, Snowflake, Palantir Foundry) and the ability to quickly adapt patterns across other environments.
* Ownership mindset with high standards for production readiness and customer outcomes.
* Automotive domain knowledge is a plus, not required.
* Able to travel as needed for customer and internal collaboration.
**The Hiring Manager Says:** 
 An ideal candidate might find joy in problem solving and discovering novel ways to achieve an outcome. You will be designing and implementing thoughtful and robust technical solutions, with some autonomy to be creative in the approach. Don’t expect a step\-by\-step how\-to guide but do expect to collaborate with other competent and experienced people to find solutions.
 This position has a starting salary range of $120,000 to $145,000 USD per year. This is the range we reasonably and in good faith expect to pay for the role at the time of posting. An employee’s pay within the range is determined by a number of factors, including relevant skills, education, qualifications, experience, performance, business or organizational needs, and geographic location.
**Company Mission**
 J.D. Power is clear about what we do to ensure our success into the future. We unite industry leading data and insights with world\-class technology to solve our clients’ toughest challenges.
**Our Values**
 We POWER Our Customer's Success
 We are Innovative, Collaborative and Grounded in Data
 We Make Things Easy
 We Get It Done
 We Start with Trust \&amp; Prove it Everyday
 J.D. Power is committed to employing a diverse workforce. Qualified applicants will receive consideration without regard to race, color, religion, sex, national origin, age, sexual orientation, gender identity, gender expression, veteran status, or disability.
 Should you require accommodations during the recruitment and selection process, please reach out to tarecruitment@jdpa.com.
 J.D. Power does not disclose your personal data to unauthorized third parties. However, as a global corporation consisting of multiple affiliated companies in various countries, J.D. Power has international sites and J.D. Power uses resources located throughout the world. J.D. Power may from time to time also use third parties to act on J.D. Power’s behalf. You agree to the fact that to the extent necessary your personal data may be transferred and/or disclosed to any company within J.D. Power group of companies as well as to third parties acting on J.D. Power’s behalf, including also transfers to servers and databases outside the country where you provided J.D. Power with your personal data. Such transfers may include for example transfers and/or disclosures outside the European Economic Area and in the United States of America. If you are a California or United Kingdom resident, additional disclosures about the information we collect and how we use that information can be found by clicking here.
*To all recruitment agencies: J.D. Power does not accept unsolicited agency resumes and we are not responsible for any fees related to unsolicited resumes.*</t>
        </is>
      </c>
    </row>
    <row r="140">
      <c r="A140" t="inlineStr">
        <is>
          <t>li-4371587155</t>
        </is>
      </c>
      <c r="B140" t="inlineStr">
        <is>
          <t>AI/ML Engineer Lead Engineer</t>
        </is>
      </c>
      <c r="C140" t="inlineStr">
        <is>
          <t>GBIT (Global Bridge InfoTech Inc)</t>
        </is>
      </c>
      <c r="D140" t="inlineStr">
        <is>
          <t>linkedin</t>
        </is>
      </c>
      <c r="E140">
        <f>HYPERLINK("https://www.linkedin.com/jobs/view/4371587155", "https://www.linkedin.com/jobs/view/4371587155")</f>
        <v/>
      </c>
      <c r="F140" t="inlineStr"/>
      <c r="G140" t="inlineStr"/>
      <c r="H140" t="inlineStr"/>
      <c r="I140" t="inlineStr">
        <is>
          <t>**AI/ML Engineer Lead Engineer \-FULLTIME WITH CLIENT** 
 REMOTE
 No visa sponsorship available
 We’re hiring a
 **hands\-on AI/ML Lead Engineer** 
 to lead AI\-driven transformation and shape enterprise AI strategy. This role blends architecture, prototyping, and real\-world implementation across GenAI and ML solutions.
**Key Focus:** 
* Design and deliver enterprise AI/ML \&amp; GenAI solutions (LLMs, NLP, computer vision, agentic AI)
* Build PoCs/MVPs and validate new tools, models, and frameworks
* Define AI roadmaps and future\-state architectures
* Integrate AI into enterprise apps and workflows
* Mentor data science and engineering teams
* Partner with product, tech, and business leaders
**What We’re Looking For:** 
* 5\+ years AI/ML architecture \&amp; hands\-on prototyping
* Strong cloud AI experience (AWS/Azure/GCP)
* Recent GenAI \&amp; LLM experience
* Solid data science fundamentals
* Excellent communication \&amp; stakeholder skills
* STEM degree (MBA a plus)
* Ideal for someone who enjoys
 **building, experimenting, and driving AI adoption at scale.**</t>
        </is>
      </c>
    </row>
    <row r="141">
      <c r="A141" t="inlineStr">
        <is>
          <t>li-4364426801</t>
        </is>
      </c>
      <c r="B141" t="inlineStr">
        <is>
          <t>AI Engineer (Agents)</t>
        </is>
      </c>
      <c r="C141" t="inlineStr">
        <is>
          <t>Jobright.ai</t>
        </is>
      </c>
      <c r="D141" t="inlineStr">
        <is>
          <t>linkedin</t>
        </is>
      </c>
      <c r="E141">
        <f>HYPERLINK("https://www.linkedin.com/jobs/view/4364426801", "https://www.linkedin.com/jobs/view/4364426801")</f>
        <v/>
      </c>
      <c r="F141">
        <f>HYPERLINK("https://jobright.ai/jobs/info/b2b_1770058922291_838?utm_source=5012&amp;utm_campaign=b2b_1770058922291_838&amp;urlHash=YgqE", "https://jobright.ai/jobs/info/b2b_1770058922291_838?utm_source=5012&amp;utm_campaign=b2b_1770058922291_838&amp;urlHash=YgqE")</f>
        <v/>
      </c>
      <c r="G141" t="inlineStr">
        <is>
          <t>Santa Clara, CA</t>
        </is>
      </c>
      <c r="H141" t="inlineStr"/>
      <c r="I141"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deploy end\-to\-end AI agents for business and user\-facing applications
* Develop agent\-driven applications, including user interaction flows and APIs
* Build and maintain agent infrastructure, including orchestration, monitoring, and reliability
* Implement and iterate on agent evaluation (quality, reliability, latency, cost)
* Collaborate closely with product and business teams to translate real problems into agent solutions
* Continuously improve agent performance using real\-world feedback and data
**Qualification** 
 Required
* Familiarity with at least one programming language (e.g. Python, JavaScript, TypeScript)
* Experience with writing a lot of code, backend or full\-stack
* Experience building applications
* Strong interest in AI agents and applied LLM systems
* Ability to own features end\-to\-end, from design to production
 Preferred
* Hands\-on experience using and deploying AI agents, such as: Claude Code, Codex, ClawdBot, OpenCode, or similar agent frameworks/tools
* Experience with agent orchestration, tooling, or infra
* Experience building production AI products rather than demos
* Experience in fast\-moving startup environments
* Product\-minded approach and comfort with ambiguous problems</t>
        </is>
      </c>
    </row>
    <row r="142">
      <c r="A142" t="inlineStr">
        <is>
          <t>li-4372923422</t>
        </is>
      </c>
      <c r="B142" t="inlineStr">
        <is>
          <t>Senior AI Engineer</t>
        </is>
      </c>
      <c r="C142" t="inlineStr">
        <is>
          <t>Lenovo</t>
        </is>
      </c>
      <c r="D142" t="inlineStr">
        <is>
          <t>linkedin</t>
        </is>
      </c>
      <c r="E142">
        <f>HYPERLINK("https://www.linkedin.com/jobs/view/4372923422", "https://www.linkedin.com/jobs/view/4372923422")</f>
        <v/>
      </c>
      <c r="F142" t="inlineStr"/>
      <c r="G142" t="inlineStr">
        <is>
          <t>North Carolina, United States</t>
        </is>
      </c>
      <c r="H142" t="inlineStr"/>
      <c r="I142"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**About The Role**
 We are seeking a Senior AI Engineer to support Lenovo’s global Marketing and Sales organizations. In this role, you will lead the design and development of agentic AI solutions that accelerate Lenovo’s digital transformation in the AI era. You will work at the intersection of advanced analytics, enterprise systems, and business strategy to deliver scalable, compliant, and high\-impact AI\-driven solutions.This position has a hybrid schedule onsite 3 days per week at our Morrisville, NC office.
**Key Responsibilities**
* Collaborate cross\-functionally with data scientists, business stakeholders, project managers, IT partners, and digital transformation teams to design and deliver leading\-edge AI and analytics solutions.
* Lead end\-to\-end AI/ML initiatives, from problem definition and solution design through implementation, deployment, and business value realization.
* Own and contribute to project management activities, including planning, execution, tracking, and delivery, to ensure projects are completed on time and deliver measurable business outcomes.
* Support portfolio and roadmap management by helping define, track, and report progress against Lenovo’s digital and AI transformation initiatives.
* Act as a solution and system architect, designing and implementing highly available, scalable, secure, and legally compliant AI\-enabled features within core enterprise IT systems.
* Hands\-on participation in proof\-of\-concepts (POCs), model and module development, and code reviews to ensure technical quality, performance, and alignment with complex requirements.
* Evaluate, prototype, and recommend emerging technologies—particularly in advanced analytics, machine learning, and generative/agentic AI—to improve the effectiveness and compliance of Lenovo’s global sales and marketing operations.
* Communicate technical concepts and AI solutions clearly to audiences with diverse technical backgrounds, including senior leadership.
**Basic Qualifications**
* Bachelor’s degree or higher in Computer Science, Artificial Intelligence, Software Engineering, Data Science, Business Analytics, or a related field.
* 5\+ years of hands\-on experience designing and developing ML/AI solutions in production environments.
* At least 1 year of experience delivering or managing AI\-powered applications or platforms in an enterprise setting.
* Solid understanding of the full AI/ML lifecycle, including data preparation, model development, deployment, and monitoring.
**Preferred Qualifications**
* Master’s degree or higher in a relevant field.
* Strong working knowledge of machine learning, large language models (LLMs), and data analytics, with hands\-on development experience preferred.
* Prior experience building AI/ML solutions for marketing and sales use cases.
* Experience designing and implementing agentic AI or multi\-agent systems.
* Demonstrated experience managing project cadence, reporting, and deliverables across multiple stakeholders.
* Proven ability to present and “pitch” AI solutions to audiences at varying levels of technical and leadership seniority.
* Strong collaboration and stakeholder\-influencing skills in cross\-functional, global environments.
* Bilingual proficiency in Mandarin and English is a plus.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143">
      <c r="A143" t="inlineStr">
        <is>
          <t>li-4372060020</t>
        </is>
      </c>
      <c r="B143" t="inlineStr">
        <is>
          <t>AI/ML Engineer</t>
        </is>
      </c>
      <c r="C143" t="inlineStr">
        <is>
          <t>Tata Consultancy Services</t>
        </is>
      </c>
      <c r="D143" t="inlineStr">
        <is>
          <t>linkedin</t>
        </is>
      </c>
      <c r="E143">
        <f>HYPERLINK("https://www.linkedin.com/jobs/view/4372060020", "https://www.linkedin.com/jobs/view/4372060020")</f>
        <v/>
      </c>
      <c r="F143">
        <f>HYPERLINK("https://ibegin.tcsapps.com/candidate/jobs/392753J&amp;urlHash=2NDN", "https://ibegin.tcsapps.com/candidate/jobs/392753J&amp;urlHash=2NDN")</f>
        <v/>
      </c>
      <c r="G143" t="inlineStr">
        <is>
          <t>Atlanta, GA</t>
        </is>
      </c>
      <c r="H143" t="inlineStr"/>
      <c r="I143" t="inlineStr">
        <is>
          <t>**Job Description**
**Must Have Technical/Functional Skills**
* 5\+ years of work experience in Software Engineering
* 3\+ years of work/educational experience in Artificial Intelligence/Machine Learning
* Experience with Agile Software Development Lifecycles and DevOps/DevSecOps
* Development experience on AWS, AWS Sagemaker required
* Experience with one or more general purpose programming languages including but not limited to: Python, R, Scala, Spark
* Experience with one or more of the following: Natural Language Processing, sentiment analysis, classification, pattern recognition.
* Development experience with AI frameworks such as TensorFlow, Microsoft CNTK, scikit, Keras, Caffe, Gluon, Torch.
* Familiarity with GenAI technology stack, including frameworks for prompt engineering, guardrails for GenAI applications, and LLM fine\-tuning
* Experience working with VectorDBs and other data infrastructure required to efficiently support Generative AI training pipelines and production applications
* Experience training and maintaining large language models
* Experience with production\-grade development, integration and support
* Experience and familiarity presenting to technical and business audiences
* Position open to ATL and MSP offices
**Roles \&amp; Responsibilities**
* Grow Customer’s use of AI within customer and employee facing experiences
* Partner with cross functional business and technology teams to understand business landscape and drive AI opportunities.
* Provide technical thought\-leadership and direction for AI solutions across a wide range of centralized and distributed environments across the Customer landscape.
* Partner with Architecture, Foundations, and Security teams to pave the way for Customer leverage industrialized design patterns
* Help to define, design and capture data required for measurement of each solution
* Collaborate frequently to share ideas and gain perspective. Communicates critical information in a clear and timely manner. Listens to others. Seeks clarification and confirms shared understanding when communicating.
* Delivering with Quality and Speed
* Collaborate with business and product owners, understanding the product and business domain to engineer solutions that create a competitive advantage
* Work within a team of engineers and cross\-divisionally to design and build Artificial Intelligence into technical solutions at scale
* Contribute to the strategy around which frameworks and technologies are leveraged with each solution, and partner with the foundations teams to approve new design patterns
* Look upstream and downstream to see around corners and anticipate future consequences for immediate technical choices
* Document and communicate solutions with effective documentation, flowcharts, layouts, diagrams, charts, code comments and clear code
* Design, Develop, Monitor, and scale AI components, APIs, and loosely coupled applications and integrate these with highly available channels and systems
* Incorporate security standards, test\-driven development, and pipeline deployment automation to achieve robust reliability and scale
* Mentor junior team\-mates to define and implement detailed measurement data, error logging/tracking for all products within our domain
* Initiate and lead code reviews and continuous im provement efforts
* Analysis and implementation of Performance/Stability/Reliability initiatives
* Monitors metrics, problems, trends, and costs, in order to determine solutions, required process changes, etc. that will make the function more efficient o Plan, create, and execute automated test cases and load/performance testing
* Operate with Agile and Cloud Target squads within two\-week sprints
* Own and support what you build
* Production issue triage, management, and prevention with a focus on continuous improvement
* Develop an AI first mindset and help democratize AI for Customer
 Salary Range\-$100,000\-$130,000 a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144">
      <c r="A144" t="inlineStr">
        <is>
          <t>li-4364474556</t>
        </is>
      </c>
      <c r="B144" t="inlineStr">
        <is>
          <t>Senior Machine Learning Engineer, Risk Modeling</t>
        </is>
      </c>
      <c r="C144" t="inlineStr">
        <is>
          <t>ChatGPT Jobs</t>
        </is>
      </c>
      <c r="D144" t="inlineStr">
        <is>
          <t>linkedin</t>
        </is>
      </c>
      <c r="E144">
        <f>HYPERLINK("https://www.linkedin.com/jobs/view/4364474556", "https://www.linkedin.com/jobs/view/4364474556")</f>
        <v/>
      </c>
      <c r="F144" t="inlineStr"/>
      <c r="G144" t="inlineStr"/>
      <c r="H144" t="inlineStr"/>
      <c r="I144" t="inlineStr">
        <is>
          <t>**Job Description**
 Senior Machine Learning Engineer, Risk Modeling
 Block builds technology to increase access to the global economy. Across our ecosystem, including Square and Cash App, we create tools that help businesses run and grow, and individuals move, manage, and grow their money with confidence.
 Square empowers sellers of all sizes with integrated, omnichannel tools to accept payments, manage operations, access financial services, and reach customers across online and in\-person channels.
 Cash App complements this by providing a fast, accessible financial platform for millions of people to send, spend, save, invest, and borrow, helping redefine how individuals interact with money.Operating at massive scale across both ecosystems means trust and safety are foundational. Our teams build systems that protect real people and businesses, safeguard financial activity, and ensure our products remain reliable, secure, and easy to use.
 Block is a global, distributed company with a culture rooted in ownership, creativity, and impact. Whether supporting sellers on Square or customers on Cash App, we're united by a shared mission: to make the global economy more accessible and inclusive.
 We're hiring Senior Machine Learning Engineers to join Block's Risk Machine Learning organization, where teams apply ML at massive scale to detect, prevent, and reduce fraud and abuse across Cash App and Square.
 This opening supports multiple senior\-level roles, with team placement determined through a collaborative matching process based on your experience, interests, and current business needs. Today, we're growing teams focused on chargeback and fraud prevention as well as trust and safety initiatives supporting Cash App Families and teen banking.
 Across teams, your work will directly protect our ecosystem, reduce financial loss, and enable safe, seamless financial experiences for millions of customers, sellers, and families.
**Team Focus Areas**
 Depending on your background and interests, you may join a team focused on one of the following areas:
**Fraud \&amp; Chargeback Risk** 
 Build machine learning models and systems that detect fraudulent transactions, reduce chargebacks, and protect the integrity of payments across Cash App and Square.
**Trust, Safety \&amp; Families** 
 Develop machine learning systems that enable safe and trustworthy financial experiences for teens and families by detecting risky or abusive behavior, strengthening account integrity, and supporting long\-term trust in Cash App.
 Both teams value first\-principles thinking, rapid iteration, and shipping production ML solutions with real\-world impact.
**You Will**
* Partner with product, engineering, data science, policy, and operations to design and productionize ML\-driven risk solutions at scale
* Own end\-to\-end machine learning systems, from problem definition and modeling to deployment, monitoring, and iteration
* Lead technical decision\-making within your workstreams and influence ML strategy and planning
* Build tooling and processes that improve the speed, reliability, and impact of the ML development lifecycle
* Apply state\-of\-the\-art modeling techniques and third\-party data sources to improve detection and decision\-making
* Investigate emerging fraud, abuse, and risk patterns to proactively inform product safeguards and policy
* Collaborate closely with ML platform and engineering teams to ensure models operate reliably in real time and at scale
**You Have**
* 2\+ years of industry experience in machine learning, applied AI, or related fields
* Bachelor's degree in a quantitative field (Computer Science, Engineering, Statistics, Physics, Applied Math); Master's or PhD preferred
* Proven experience independently designing, deploying, and maintaining ML solutions in production
* Strong familiarity with techniques such as tree\-based models, deep learning, transfer learning, or reinforcement learning
* Experience influencing technical direction and collaborating with cross\-functional partners at scale
* Strong communication skills, sound judgment, and an ownership mindset
* Curiosity and alignment with Block's mission of economic empowerment
**Technologies We Use and Teach**
* Python (NumPy, Pandas, scikit\-learn, XGBoost, PyTorch, TensorFlow/Keras)
* PySpark, MLflow, workflow orchestration tools (Airflow, Prefect)
* GCP (Vertex AI), AWS
* Snowflake, MySQL, Tableau, Mode
* Containerization, CI/CD, and production ML best practices</t>
        </is>
      </c>
    </row>
    <row r="145">
      <c r="A145" t="inlineStr">
        <is>
          <t>li-4364416496</t>
        </is>
      </c>
      <c r="B145" t="inlineStr">
        <is>
          <t>Senior Machine Learning Engineer (Implementation &amp; Scale)</t>
        </is>
      </c>
      <c r="C145" t="inlineStr">
        <is>
          <t>ChatGPT Jobs</t>
        </is>
      </c>
      <c r="D145" t="inlineStr">
        <is>
          <t>linkedin</t>
        </is>
      </c>
      <c r="E145">
        <f>HYPERLINK("https://www.linkedin.com/jobs/view/4364416496", "https://www.linkedin.com/jobs/view/4364416496")</f>
        <v/>
      </c>
      <c r="F145" t="inlineStr"/>
      <c r="G145" t="inlineStr">
        <is>
          <t>Boston, MA</t>
        </is>
      </c>
      <c r="H145" t="inlineStr"/>
      <c r="I145" t="inlineStr">
        <is>
          <t>**Job Description**
 Senior Machine Learning Engineer (Implementation \&amp; Scale)
 Trivelta \- Boston, MA
* On\-site, Remote
 Estimated pay: $133\.10K \- $175\.50K/yr
 Full\-time
 Posted 20 hours ago
**Job Description**
 Trivelta builds the technology that powers modern, social\-first gaming experiences. We are looking for a
 **Senior ML Engineer** 
 who thrives at the intersection of data science and production\-grade software engineering.
**Responsibilities**
* Model Implementation: Design, train, and fine\-tune state\-of\-the\-art ML models.
* End\-to\-End Pipeline Development: Build and maintain robust data pipelines and training workflows.
* Optimization \&amp; Performance: Profile and optimize model latency and throughput for production environments.
* Data Centricity: Perform deep exploratory data analysis (EDA).
* Collaboration: Work closely with Data Engineers and Backend Engineers to integrate model APIs.
**Qualifications**
* 5\+ years of professional experience in Machine Learning or Software Engineering, with at least 3 years focused on deploying models to production.
* Expert\-level Python (and ideally C\+\+ or Go).
* Deep fluency in PyTorch, TensorFlow, or JAX.
* Experience with SQL, Spark, and vector databases.
* Familiarity with Weights \&amp; Biases, MLflow, Kubeflow, or similar orchestration tools.
* Strong understanding of linear algebra, calculus, and statistics.
* MS or PhD in Computer Science, Mathematics, or a related field (or equivalent industry experience).
 Soft Skills \&amp; "Culture Fit"
* Pragmatism: You prefer a simple, explainable model.
* Ownership: You don't just "hand off" code; you monitor your models.
* Mentorship: You enjoy leveling up junior engineers.
 This position is hybrid out of our Boston HQ located next to South Station.</t>
        </is>
      </c>
    </row>
    <row r="146">
      <c r="A146" t="inlineStr">
        <is>
          <t>li-4372927777</t>
        </is>
      </c>
      <c r="B146" t="inlineStr">
        <is>
          <t>Azure AI/ML Engineer</t>
        </is>
      </c>
      <c r="C146" t="inlineStr">
        <is>
          <t>Akkodis Group Nordics</t>
        </is>
      </c>
      <c r="D146" t="inlineStr">
        <is>
          <t>linkedin</t>
        </is>
      </c>
      <c r="E146">
        <f>HYPERLINK("https://www.linkedin.com/jobs/view/4372927777", "https://www.linkedin.com/jobs/view/4372927777")</f>
        <v/>
      </c>
      <c r="F146" t="inlineStr"/>
      <c r="G146" t="inlineStr">
        <is>
          <t>Bellevue, WA</t>
        </is>
      </c>
      <c r="H146" t="inlineStr"/>
      <c r="I146" t="inlineStr">
        <is>
          <t>Akkodis is seeking an
 **Azure AI/ML Engineer** 
 for a
 **Contract** 
 with a client in
 **Bellevue, WA.** 
 This role requires strong hands‑on expertise in Python/Java/C\# and building RAG‑based AI/ML systems using LLMs, vector databases, and Azure AI services to be fully considered for the position.
**Rate Range:** 
 $55/hour to $57/hour; The rate may be negotiable based on experience, education, geographic location, and other factors.
**Azure AI/ML Engineer Job Responsibilities Include**
* Design and implement RAG pipelines using embeddings, vector search (e.g., Azure AI Search), and LLMs (Azure OpenAI, OpenAI, Anthropic) to power AI\-driven applications.
* Build secure, scalable REST APIs and microservices in Python/C\#/Java, ensuring cloud‑native patterns, performance, and reliability on Azure.
* Orchestrate multi‑agent and tool\-using workflows with Semantic Kernel, AI Foundry, and related frameworks; integrate managed AI services as needed.
* Optimize and manage vector databases and data models; enforce best practices for security, data privacy, observability, and cost across AI workloads.
* Deploy and operate solutions using Azure DevOps CI/CD, Docker, and Kubernetes; automate testing and releases for repeatable, compliant delivery.
* Collaborate with product, data science, and platform teams to translate business requirements into production AI solutions and maintain high\-quality documentation.
**Required Qualifications**
* Bachelor’s degree in computer science, Engineering, Artificial Intelligence, or a related technical field.
* 8–10 years of experience in AI/ML engineering, cloud‑native development, or large‑scale distributed systems.
* Proven hands‑on expertise in building RAG pipelines, working with LLMs (Azure OpenAI, OpenAI, Anthropic), and implementing vector‑based search solutions.
* Strong experience with Azure cloud services, Infrastructure as Code (AWS CDK/Terraform), and containerized deployments using Docker and Kubernetes.
 If you are interested in this role, then please click APPLY NOW. For other opportunities available at Akkodis, or any questions, feel free to contact me at
 **Vikas.Tomar@** 
**akkodisgroup.com.**
**Pay Details:** 
 $55\.00 to $57\.00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47">
      <c r="A147" t="inlineStr">
        <is>
          <t>li-4364408196</t>
        </is>
      </c>
      <c r="B147" t="inlineStr">
        <is>
          <t>AI/ML Engineer - Python/GenAI/.Net/C# - Remote</t>
        </is>
      </c>
      <c r="C147" t="inlineStr">
        <is>
          <t>Lensa</t>
        </is>
      </c>
      <c r="D147" t="inlineStr">
        <is>
          <t>linkedin</t>
        </is>
      </c>
      <c r="E147">
        <f>HYPERLINK("https://www.linkedin.com/jobs/view/4364408196", "https://www.linkedin.com/jobs/view/4364408196")</f>
        <v/>
      </c>
      <c r="F147" t="inlineStr"/>
      <c r="G147" t="inlineStr">
        <is>
          <t>Minnetonka, MN</t>
        </is>
      </c>
      <c r="H147" t="inlineStr"/>
      <c r="I1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UnitedHealth Group. Clicking "Apply Now" or "Read more" on Lensa redirects you to the job board/employer site. Any information collected there is subject to their terms and privacy notice.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seeking an AI/ML Engineer with deep expertise in Generative AI technologies to develop and deploy cutting\-edge solutions within the Optum Care Strategic Platform (Facets). The ideal candidate will have hands\-on experience with Large Language Models (LLMs), Retrieval\-Augmented Generation (RAG), Agentic AI, and frameworks such as LangGraph and LangChain. Strong proficiency in Python along with Software Engineering background using .NET, C\#, SQL and API development are essential. This role will involve close collaboration with Claims Operations.
 You'll enjoy the flexibility to work remotely \* from anywhere within the U.S. as you take on some tough challenges. For all hires in the Minneapolis or Washington, D.C. area, you will be required to work in the office a minimum of four days per week.
**Primary Responsibilities**
* Be able to understand the Facets Delivery, Client priority and requirements
* Proven Good in adapting \&amp; adopting new technology footprints to optimize business solutions using AI Adoption
* Apply a solid understanding of Agentic AI concepts and frameworks such as LangGraph and LangChain to design and implement intelligent, autonomous systems
* Utilize expertise in Large Language Models (LLMs), Retrieval\-Augmented Generation (RAG), and Transformer architectures to build scalable and high\-performing AI solutions
* Develop sophisticated generative AI algorithms and models to create new data samples, patterns, or content based on existing datasets and user inputs
* Build and maintain robust APIs using frameworks such as FastAPI to enable seamless integration of AI services
* Develop secure, maintainable software using C\#, .NET, SQL and modern engineering patterns
* Deploy AI/ML solutions in production environments, preferably on cloud platforms like Azure
* Implement machine learning and natural language processing projects from concept to production
* Conduct rigorous model testing, validation, and performance optimization
* Containerize AI/ML projects and implement CI/CD pipelines using tools like GitHub Actions
* Collaborate with stakeholders to preprocess, analyze, and interpret large\-scale datasets
* Stay current with emerging trends and advancements in generative AI and ML technologies
* Mentor and lead other engineers to reach their potential
* Ensure code quality and security by identifying and resolving vulnerabilities
* Maintain solid programming practices and standards
* Provide timely updates on tasks to reporting supervisor
* Adherence to the defined SLA Compliance etc
* Provide support and leadership in critical production support issue resolution
* Participate in on\-call rotations as scheduled
* Work with team to achieve timely resolution of all production issues meeting or exceeding Service Level Agreements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3\+ years of experience in Python programming
* 2\+ years of software engineering and testing experience in C\# / .Net programming language
* 2\+ years of experience with build, Deploying and manage ML models on cloud platforms such as Microsoft Azure or any other Cloud platform
* 2\+ years of Database Design/Programming
* 1\+ years of Terraform scripts understanding
* 1\+ years of Git action and CI/CD experience needed
**Preferred Qualifications**
* Healthcare Claims EDI Experience
* Prompt engineering experience
* Experience leveraging Large Language Models (LLMs)
* Experience working with various AI/ML infrastructure, tools and platforms across the full stack of AI/ML technology
* Experience with the challenges of delivering and monitoring LLM based cloud systems into production
* Proven solid communication skills with the ability to explain complex technical concepts to diverse audiences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$72,800 to $130,000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
 If you have questions about this posting, please contact support@lensa.com</t>
        </is>
      </c>
    </row>
    <row r="148">
      <c r="A148" t="inlineStr">
        <is>
          <t>li-4364187638</t>
        </is>
      </c>
      <c r="B148" t="inlineStr">
        <is>
          <t>AI Engineer</t>
        </is>
      </c>
      <c r="C148" t="inlineStr">
        <is>
          <t>Piper Companies</t>
        </is>
      </c>
      <c r="D148" t="inlineStr">
        <is>
          <t>linkedin</t>
        </is>
      </c>
      <c r="E148">
        <f>HYPERLINK("https://www.linkedin.com/jobs/view/4364187638", "https://www.linkedin.com/jobs/view/4364187638")</f>
        <v/>
      </c>
      <c r="F148" t="inlineStr"/>
      <c r="G148" t="inlineStr"/>
      <c r="H148" t="inlineStr"/>
      <c r="I148" t="inlineStr">
        <is>
          <t>Piper Companies is seeking an AI Engineer to join a global medical technology company. The AI Engineer will implement and operate key functions on an AI platform to support software development.
 **The AI Engineer will sit remote.**
**Responsibilities of the AI Engineer** 
**include:**
* Building production ready agentic AI systems.
* Designing and implementing CI/CD pipelines for AI model deployment.
* Deploying and managing AI workloads on Azure using cognitive services.
* Accelerating software development while remaining compliant.
**Qualifications for the AI Engineer** 
**include:**
* 5\+ years of professional experience in engineering with deployment of Large Language Models (LLM)
* Strong proficiency API and integration experience with REST/GraphQL development
* Extensive experience in database experience with both SQL and NoSQL
* Highly experienced in regulated industries such as healthcare.
* Remote.
**Compensation for the AI Engineer** 
**includes:**
* $150,000 – $180,000 annually with a
* Comprehensive benefit: Medical, Dental, Vison, 401k, PTO, holidays, sick leave as required by law.
 This job opens for applications on 2/13/2026\. Applications for this job will be accepted for at least 30 days from the posting date.
 Keywords: Software, AI, Engineer, AI Engineer, LLMs, Digital Health, Graph/QL, API, SQL, NoSQL, Vector Databases, Software Development, CI/CD. Azure, AKS, Azure ML, Azure OpenAI, Cognitive Servies, IaC, Terraform, ARM, DevOps, GitHub, JIRA, AI/AM, AWS, GCP, Docker, Grafana, Bicep, Prometheus, Kubernetes, MLFlow, Prompt Engineering</t>
        </is>
      </c>
    </row>
    <row r="149">
      <c r="A149" t="inlineStr">
        <is>
          <t>li-4372966699</t>
        </is>
      </c>
      <c r="B149" t="inlineStr">
        <is>
          <t>Staff Machine Learning/AI Engineer</t>
        </is>
      </c>
      <c r="C149" t="inlineStr">
        <is>
          <t>Rivian</t>
        </is>
      </c>
      <c r="D149" t="inlineStr">
        <is>
          <t>linkedin</t>
        </is>
      </c>
      <c r="E149">
        <f>HYPERLINK("https://www.linkedin.com/jobs/view/4372966699", "https://www.linkedin.com/jobs/view/4372966699")</f>
        <v/>
      </c>
      <c r="F149">
        <f>HYPERLINK("https://careers.rivian.com/jobs/29308?lang=en-us&amp;iis=LinkedIn&amp;urlHash=Kouk", "https://careers.rivian.com/jobs/29308?lang=en-us&amp;iis=LinkedIn&amp;urlHash=Kouk")</f>
        <v/>
      </c>
      <c r="G149" t="inlineStr">
        <is>
          <t>Palo Alto, CA</t>
        </is>
      </c>
      <c r="H149" t="inlineStr"/>
      <c r="I149"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We are looking for an Engineer / Research Scientist with deep expertise in quantized deep learning models for hardware acceleration in autonomous systems. In this cross\-disciplinary role, you will bridge perception model design and hardware\-aware deployment, enabling efficient execution of high\-performance perception algorithms across embedded compute platforms. You will focus on researching state of the art perception models and develop optimization pipelines for the quantized versions of these models customized to provide real\-time performance and energy efficiency on next\-generation autonomy hardware.
**Responsibilities**
* Research state of the art perception models in collaboration with the ADAS SW teams
* Lead the development of optimizations for mapping quantized perception models (e.g., CNNs, Transformers, LLMs) to embedded and heterogeneous hardware platforms.
* Design and implement hardware\-aware optimizations, including quantization strategies, model compression, memory\-efficient representations, and operator fusion, targeted to custom accelerators.
* Collaborate with hardware teams to co\-optimize model architecture and compute pipeline under real\-time constraints (latency, throughput, power).
* Benchmark and analyze system performance across platforms and iterate to achieve optimal deployment efficiency.
* Partner with perception, systems, and autonomy teams to align model optimization efforts with hardware roadmap and real\-world autonomy requirements.
**Qualifications**
* Ph.D. or M.S. in Computer Engineering, Electrical Engineering, Computer Science, or related field with a focus on ML compilers, embedded systems, or hardware\-aware AI.
* Hands\-on experience with quantized model deployment, ML design stacks, and code generation for embedded or heterogeneous compute systems.
* Strong understanding of computer vision models (e.g., object detection, segmentation) and their optimization for edge inference.
* Proficiency in deep learning frameworks (e.g., PyTorch, TensorFlow) and their low\-level IRs or export formats (e.g., ONNX).
* Solid programming skills in C\+\+, Python
* Familiarity with CUDA/OpenCL (or other accelerator programming models).
**Preferred Qualifications**
* Prior experience working with hardware\-software co\-design, especially for autonomous or robotics platforms.
* Deep knowledge of numerical precision trade\-offs, quantization\-aware training (QAT), and dynamic/static quantization flows.
* Familiarity with embedded real\-time constraints and hardware profiling/debugging tools.
* Familiarity with rearchitecting models to best suit hardware capabilities.
* Publication record in top\-tier ML/Systems conferences (e.g., MLSys, NeurIPS, DAC, ICCAD).
**Pay Disclosure**
**Salary Range: The salary range for this role is $206,500 \- $258,000\. for San Francisco Bay Area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The successful candidate may be eligible for annual performance bonus and equity awards.
**Benefits Summary:** 
 Rivian offers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You can apply for this role through careers.rivian.com (or through internal\-careers\-rivian.icims.com if you are a current employee).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50">
      <c r="A150" t="inlineStr">
        <is>
          <t>li-4370458626</t>
        </is>
      </c>
      <c r="B150" t="inlineStr">
        <is>
          <t>Sr. Software/AI Engineer</t>
        </is>
      </c>
      <c r="C150" t="inlineStr">
        <is>
          <t>KPMG US</t>
        </is>
      </c>
      <c r="D150" t="inlineStr">
        <is>
          <t>linkedin</t>
        </is>
      </c>
      <c r="E150">
        <f>HYPERLINK("https://www.linkedin.com/jobs/view/4370458626", "https://www.linkedin.com/jobs/view/4370458626")</f>
        <v/>
      </c>
      <c r="F150">
        <f>HYPERLINK("https://www.kpmguscareers.com/jobdetail/?jobId=131033&amp;srcCat=Job+Boards&amp;specSrc=LinkedIn&amp;urlHash=7t_V", "https://www.kpmguscareers.com/jobdetail/?jobId=131033&amp;srcCat=Job+Boards&amp;specSrc=LinkedIn&amp;urlHash=7t_V")</f>
        <v/>
      </c>
      <c r="G150" t="inlineStr">
        <is>
          <t>Atlanta, GA</t>
        </is>
      </c>
      <c r="H150" t="inlineStr"/>
      <c r="I150" t="inlineStr">
        <is>
          <t>Known for being a great place to work and build a career, KPMG provides audit, tax and advisory services for organizations in today's most important industries. Our growth is driven by delivering real results for our clients. It's also enabled by our culture, which encourages individual development, embraces an inclusive environment, rewards innovative excellence and supports our communities. With qualities like those, it's no wonder we're consistently ranked among the best companies to work for by Fortune Magazine, Consulting Magazine, Seramount, Fair360 and others. If you're as passionate about your future as we are, join our team.
 KPMG is currently seeking a Sr. Software Engineer to join our KPMGI Tax and Legal Team. This is a hybrid work opportunity out of our Atlanta Ignition location.
 Responsibilities:
* Collaborate with product owners, and data scientists to translate business needs into AI‑powered features and APIs
* Build and maintain client‑facing web apps in Angular \+ TypeScript, Python or .NET Framework/C\# backend services and APIs, secure SQL databases (T‑SQL, schema design, stored procs)
* Leverage Azure services (App Services, Functions, SQL Database, DevOps) for deployment, scaling and monitoring
* Integrate Large Language Models (LLMs), as well as other AI services (such as Azure OpenAI, Custom Models Serving) into our front‑end and back‑end systems
* Mentor junior engineers on AI principles, code reviews, and system design
* Act with integrity, professionalism and personal responsibility to uphold KPMG's respectful and courteous work environment
 Qualifications:
* Minimum three years of recent experience in software development
* Master's degree from an accredited college or university is preferred. Minimum of a bachelor's degree in computer science, engineering or related field is required.
* Solid understanding of software engineering such as microservices architecture, RESTful APIs, authentication/authorization
* Experience building enterprise systems using Python, .NET, C\#, Angular, SQL and Azure is preferred
* Strong Python skills and experience with GenAI and ML frameworks (PyTorch, TensorFlow, scikit‑learn) is preferred with strong communication and analytical skills
 KPMG LLP and its affiliates and subsidiaries (“KPMG”) complies with all local/state regulations regarding displaying salary ranges. If required, the ranges displayed below or via the URL below are specifically for those potential hires who will work in the location(s) listed. Any offered salary is determined based on relevant factors such as applicant's skills, job responsibilities, prior relevant experience, certain degrees and certifications and market considerations. In addition, KPMG is proud to offer a comprehensive, competitive benefits package, with options designed to help you make the best decisions for yourself, your family, and your lifestyle. Available benefits are based on eligibility. Our Total Rewards package includes a variety of medical and dental plans, vision coverage, disability and life insurance, 401(k) plans, and a robust suite of personal well\-being benefits to support your mental health. Depending on job classification, standard work hours, and years of service, KPMG provides Personal Time Off per fiscal year. Additionally, each year KPMG publishes a calendar of holidays to be observed during the year and provides eligible employees two breaks each year where employees will not be required to use Personal Time Off; one is at year end and the other is around the July 4th holiday. Additional details about our benefits can be found towards the bottom of our KPMG US Careers site at Benefits \&amp; How We Work.
 Follow this link to obtain salary ranges by city outside of CA:
 https://kpmg.com/us/en/how\-we\-work/pay\-transparency.html/?id\=6714\_9\_25
 KPMG offers a comprehensive compensation and benefits package. KPMG is an equal opportunity employer. KPMG complies with all applicable federal, state and local laws regarding recruitment and hiring. All qualified applicants are considered for employment without regard to race, color, religion, age, sex, sexual orientation, gender identity, national origin, citizenship status, disability, protected veteran status, or any other category protected by applicable federal, state or local laws. The attached link contains further information regarding KPMG's compliance with federal, state and local recruitment and hiring laws. No phone calls or agencies please.
 KPMG recruits on a rolling basis. Candidates are considered as they apply, until the opportunity is filled. Candidates are encouraged to apply expeditiously to any role(s) for which they are qualified that is also of interest to them.
 Los Angeles County applicants: Material job duties for this position are listed above.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safeguard business operations and company reputation. Pursuant to the California Fair Chance Act, Los Angeles County Fair Chance Ordinance for Employers, Fair Chance Initiative for Hiring Ordinance, and San Francisco Fair Chance Ordinance, we will consider for employment qualified applicants with arrest and conviction records.</t>
        </is>
      </c>
    </row>
    <row r="151">
      <c r="A151" t="inlineStr">
        <is>
          <t>li-4364503221</t>
        </is>
      </c>
      <c r="B151" t="inlineStr">
        <is>
          <t>AI Engineer</t>
        </is>
      </c>
      <c r="C151" t="inlineStr">
        <is>
          <t>Jobs via Dice</t>
        </is>
      </c>
      <c r="D151" t="inlineStr">
        <is>
          <t>linkedin</t>
        </is>
      </c>
      <c r="E151">
        <f>HYPERLINK("https://www.linkedin.com/jobs/view/4364503221", "https://www.linkedin.com/jobs/view/4364503221")</f>
        <v/>
      </c>
      <c r="F151">
        <f>HYPERLINK("https://click.appcast.io/t/lXZfJ-dCMltySPDpO6ooN_9GhyWpOQtGc-c3vmj_NQo=&amp;urlHash=s40i", "https://click.appcast.io/t/lXZfJ-dCMltySPDpO6ooN_9GhyWpOQtGc-c3vmj_NQo=&amp;urlHash=s40i")</f>
        <v/>
      </c>
      <c r="G151" t="inlineStr">
        <is>
          <t>Maryland, United States</t>
        </is>
      </c>
      <c r="H151" t="inlineStr"/>
      <c r="I151" t="inlineStr">
        <is>
          <t>Dice is the leading career destination for tech experts at every stage of their careers. Our client, CCS Global Tech, is seeking the following. Apply via Dice today!
 CCS Global Tech is a rapidly growing Information Technology company with a diverse portfolio of technology products and services and a large network of industry partnerships. With over 22 years of being a successful business with a global talent pool and presence, CCS is a certified Microsoft Gold Partner and specializes in delivering expert Microsoft based solutions for technical and business needs. We have been recognized by Inc. 500 Magazine as one of the fastest growing small companies in the Unites States.
 we are a Tier 1 vendor for the City and County of San Francisco for Cloud Services, Staffing Services and Training Services. For this multi\-year opportunity with a diverse set of needs to address, we are currently focusing on establishing partnerships with individuals as well as companies who can help us enhance our overall service portfolio, cut lead times, and ultimately help us deliver successfully. We currently hold sizable Government accounts in the San Francisco bay area including City and County of San Francisco, San Mateo County, and Santa Clara County.
 We take great pride in our global reach and local influence. Your experience alongside our highly skilled and talented internal team who guide you along the way, offers key insights into what helps you stand out in a competitive job market.
 If you are a partner company, please submit resumes with contact information of your own W2 Consultants only. Submitted consultants are expected to have excellent communication skills.
**Role: AI Engineer
 Location: Annapolis Junction, MD
 Salary: $180K \- $200K Yearly
 Clearance: TS/SCI clearance and a Full Scope Polygraph**
 Minimum 8 years of exp is required. 1\-2 days remote per week
 We have an immediate need for an Artificial Intelligence (AI) Engineer who will work closely with system and software engineers to design, prototype, and integrate AI advancements into the existing RAD architecture. This is a transformative position focused on building solutions that augment human intelligence, streamline workflows, and enhance the overall effectiveness of intelligence operations.
 Required technical skills and responsibilities include:
 Design and Development: Lead the design and development of AI\-driven solutions from conception to deployment, ensuring seamless integration with the existing software architecture. This includes prototyping new models, writing production\-quality code, and maintaining existing AI systems.
 Collaboration and Communication: Serve as a key technical liaison, collaborating with cross\-functional teams including system engineers, software developers, and domain experts. Effectively present and articulate recommended AI approaches, discussing the tradeoffs and implications of different implementations with both technical and non\-technical stakeholders.
 Data Analysis and Modeling: Conduct Exploratory Data Analysis (EDA) on diverse datasets (both structured and unstructured) to inform the data model, identify data quality issues, and determine optimal input formats for AI models.
 Model Building and Evaluation: Develop, train, and evaluate a variety of machine learning models, ensuring they meet performance and reliability requirements. Implement robust testing and validation strategies to ensure models are accurate and unbiased.
 Continuous Improvement: Stay current with the latest advancements in AI and machine learning, continuously seeking opportunities to apply new technologies and methodologies to improve existing systems and solve complex problems.
 Cloud Platforms: Have experience with the Amazon Web Services (AWS) cloud computing platform and machine learning operations (MLOps) tools for deploying and managing machine learning models at scale</t>
        </is>
      </c>
    </row>
    <row r="152">
      <c r="A152" t="inlineStr">
        <is>
          <t>li-4364503260</t>
        </is>
      </c>
      <c r="B152" t="inlineStr">
        <is>
          <t>AI ENGINEER</t>
        </is>
      </c>
      <c r="C152" t="inlineStr">
        <is>
          <t>Jobs via Dice</t>
        </is>
      </c>
      <c r="D152" t="inlineStr">
        <is>
          <t>linkedin</t>
        </is>
      </c>
      <c r="E152">
        <f>HYPERLINK("https://www.linkedin.com/jobs/view/4364503260", "https://www.linkedin.com/jobs/view/4364503260")</f>
        <v/>
      </c>
      <c r="F152" t="inlineStr"/>
      <c r="G152" t="inlineStr">
        <is>
          <t>Richardson, TX</t>
        </is>
      </c>
      <c r="H152" t="inlineStr"/>
      <c r="I152" t="inlineStr">
        <is>
          <t>Dice is the leading career destination for tech experts at every stage of their careers. Our client, Infosys Technologies Ltd, is seeking the following. Apply via Dice today!
**Infosys Limited is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 Bachelor s degree or foreign equivalent required from an accredited institution. Will also consider three years of progressive experience in the specialty in lieu of every year of education.
* Candidate must be located within commuting distance of Richardson, TX or Raleigh, NC or Hartford, CT or be willing to relocate to the area.
* At least 4 years of experience in Information Technology
* Experience in AI, data engineering, creating data pipelines and processing huge volume of data.
* Experience in Machine learning engineering /MLE, data science and data engineering with a proven track record of delivering impactful solutions
* Candidates authorized to work for any employer in the United States without employer\-based visa sponsorship are welcome to apply. Infosys is unable to provide immigration sponsorship for this role at this time
**Preferred Qualifications** 
 :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t>
        </is>
      </c>
    </row>
    <row r="153">
      <c r="A153" t="inlineStr">
        <is>
          <t>li-4364408089</t>
        </is>
      </c>
      <c r="B153" t="inlineStr">
        <is>
          <t>AI/ML Engineer with Agentic AI Exp</t>
        </is>
      </c>
      <c r="C153" t="inlineStr">
        <is>
          <t>Jobs via Dice</t>
        </is>
      </c>
      <c r="D153" t="inlineStr">
        <is>
          <t>linkedin</t>
        </is>
      </c>
      <c r="E153">
        <f>HYPERLINK("https://www.linkedin.com/jobs/view/4364408089", "https://www.linkedin.com/jobs/view/4364408089")</f>
        <v/>
      </c>
      <c r="F153">
        <f>HYPERLINK("https://click.appcast.io/t/fFy5VbLOTNH-H7dFw8zA-PDBijQftWTR7R50WM0CB_o=&amp;urlHash=SVPZ", "https://click.appcast.io/t/fFy5VbLOTNH-H7dFw8zA-PDBijQftWTR7R50WM0CB_o=&amp;urlHash=SVPZ")</f>
        <v/>
      </c>
      <c r="G153" t="inlineStr">
        <is>
          <t>New York, NY</t>
        </is>
      </c>
      <c r="H153" t="inlineStr"/>
      <c r="I153" t="inlineStr">
        <is>
          <t>Dice is the leading career destination for tech experts at every stage of their careers. Our client, Valueprosite, is seeking the following. Apply via Dice today!
**Job Title: AI/ML Engineer with Agentic AI Exp.**
**Location: New York, NY (3 days onsite/week)**
**Duration: 6 Months C2H**
**Job Description**
**Key Responsibilities:**
**Agentic System Design:** 
 Develop autonomous context aware and multiagent systems capable of reasoning planning and tool utilization.
**LLM RAG Integration:** 
 Build and optimize RAG pipelines including chunking embeddings vector search and reranking to improve agent accuracy.
**Agentic Framework** 
 : Development Use frameworks like Lang Chain Lang Graph or Auto\-Gen to create reusable agentic components and skills.
**Production Deployment** 
**ML Ops:** 
 Deploy agentic AI solutions to cloud platforms AWS Google Cloud Platform ensuring scalability reliability and low latency.
**Evaluation** 
 Optimization Implement evaluation pipelines for agent performance and refine prompts or finetune models to enhance decision\-making.
**Collaboration** 
 Work with cross functional teams Product Data Engineering to translate complex business needs into autonomous workflows.
**Required Skills Qualifications:**
**Core AI ML Experience:** 
**3 years in ML engineering specifically with LLMs agents or complex automation.**
**Frameworks Libraries:** 
**Proficiency in Lang Chain Lang Graph Auto Gen Hugging Face and Vector Databases eg Pinecone Milvus.**
**Programming** 
 :
 **Strong Python skills for data manipulation and model development** 
 .
**Production Engineering:** 
 Experience with CICD Docker Kubernetes and Cloud Services AWS or Google Cloud Platform or Azure.
**Education** 
 : BS or MS in Computer Science Artificial Intelligence or a related field.
**Skills**
**Mandatory Skills:** 
 AI/GenAI Research, LLMs, RAG, Lang Chain, Lang Graph, Auto Gen, Python, CICD, Docker, Kubernetes, AWS/Google Cloud Platform/Azure</t>
        </is>
      </c>
    </row>
    <row r="154">
      <c r="A154" t="inlineStr">
        <is>
          <t>li-4364484450</t>
        </is>
      </c>
      <c r="B154" t="inlineStr">
        <is>
          <t>Senior Machine Learning Engineer</t>
        </is>
      </c>
      <c r="C154" t="inlineStr">
        <is>
          <t>Jobs via Dice</t>
        </is>
      </c>
      <c r="D154" t="inlineStr">
        <is>
          <t>linkedin</t>
        </is>
      </c>
      <c r="E154">
        <f>HYPERLINK("https://www.linkedin.com/jobs/view/4364484450", "https://www.linkedin.com/jobs/view/4364484450")</f>
        <v/>
      </c>
      <c r="F154">
        <f>HYPERLINK("https://click.appcast.io/t/X8FZwshbVLFTNJcxkpVo2nRIw8TQOPH_ZoTPgmt7EI8=&amp;urlHash=e1TR", "https://click.appcast.io/t/X8FZwshbVLFTNJcxkpVo2nRIw8TQOPH_ZoTPgmt7EI8=&amp;urlHash=e1TR")</f>
        <v/>
      </c>
      <c r="G154" t="inlineStr"/>
      <c r="H154" t="inlineStr"/>
      <c r="I154" t="inlineStr">
        <is>
          <t>Are you a
 **Senior Machine Learning Engineer** 
 passionate about pushing the boundaries of AI and transforming innovative ideas into impactful solutions?
 We are seeking an experienced professional with a strong background in machine learning and data science, who is ready to design, deploy, and scale cutting\-edge AI systems. In this role, you should have a demonstrable history of team leadership and value delivery and be comfortable working in a product model using Scrum. As a Senior Machine Learning Engineer, you will be expected to own projects end\-to\-end \- from conception to operationalization \- demonstrating a strong understanding of the full software development lifecycle. You will also provide technical vision and guidance to your teammates, making strong communication skills critical to your success. Join us in creating strategic solutions that leverage Generative AI to streamline workflows, automate decision\-making, and enhance operational excellence.
 In this role, you will collaborate with a dynamic, cross\-functional team to lead the development of AI\-powered frameworks that tackle real\-world business challenges. Our collaborative workspace fosters creativity while offering a supportive atmosphere that promotes both personal and professional growth.
 If you excel at solving complex problems, delivering state\-of\-the\-art results, and driving AI innovation, we invite you to become part of our forward\-looking team.
 Immerse yourself in our collaborative culture by working on\-site at our modern offices or enjoy the flexibility of remote collaboration.
**Read Full Description**
 To discover more about Cloud practice at EPAM Georgia, visit this page .
 Experience the freedom of remote work from anywhere in Georgia, whether from the comfort of your home, our modern offices in Tbilisi and Batumi or a coworking space in Kutaisi.
**Responsibilities**
* Take ownership of projects from conception to operationalization, demonstrating a strong understanding of the entire software development lifecycle
* Mentor team members, offering clear technical leadership and fostering a collaborative working environment
* Design, build, and manage robust, maintainable, and extendable machine learning pipelines, leveraging best practices in MLOps and scalable architecture
* Work on LLMOps, including fine\-tuning and productionalization of large language models for business use cases
* Work effectively in an Agile framework, ensuring regular delivery of high\-value solutions and maintaining alignment with stakeholders across Europe and the US
* Create robust and maintainable Python\-based solutions, including developing APIs and integration with other systems
* Leverage expertise in data wrangling, structured/unstructured data handling, machine learning algorithms, and applied mathematics/statistics
* Participate in designing scalable and efficient system architectures aligned with business needs and technical requirements
* Work closely with global stakeholders (timezone Europe \+ US), ensuring clear and concise communication of ideas and progress both within the team and with the business
* Use cloud technologies like AWS, Kubernetes, and Docker, while automating key processes in machine learning workflows for improved deployment and operations
**Requirements**
* 6\+ years of professional experience as a Machine Learning Engineer or in a related role
* Proficiency in AWS and other major cloud architecture and technologies (e.g., Kubernetes, Docker)
* Expertise in LLMOps, including fine\-tuning and productionalizing large language models (LLMs)
* Strong proficiency in Python and its ML ecosystem (e.g., TensorFlow, PyTorch, scikit\-learn)
* Deep knowledge of Machine Learning concepts, algorithms, and pipelines
* Data wrangling skills, handling structured and unstructured datasets effectively
* Solid background in mathematics, statistics, or computer science
* Good understanding of solution architecture principles and technical design to create scalable and efficient systems
* Excellent teamwork and communication skills
* Experience with moving models and services into production using AWS
 Nice to have
* Experience with the Apache Spark ecosystem
* Advanced knowledge of LLMs/Generative AI and their production optimization
* Hands\-on experience with Databricks
 We offer/Benefits
**We connect like\-minded people**
* Delivering innovative solutions to industry leaders, making a global impact
* Enjoyable working environment, whether it is the vibrant office or the comfort of your own home
* Opportunity to work abroad for up to two months per year
* Relocation opportunities within our offices in 55\+ countries
* Corporate and social events
**We invest in your growth**
* Leadership development, career advising, soft skills and well\-being programs
* Certifications, including Google Cloud Platform, Azure and AWS
* Unlimited access to LinkedIn Learning and Get Abstract
* Free English classes with certified teachers
**We cover it all**
* Participation in the Employee Stock Purchase Plan
* Monetary bonuses for engaging in the referral program
* Comprehensive medical \&amp; family care package
* Five trust days per year (sick leave without a medical certificate)
* Benefits package (sports activities, a variety of stores and services)
 EPAM Georgia is a team of innovators united by a passion for technology. The dynamic and inclusive culture we embrace helps positively impact our communities, clients, and employees. Here you will collaborate with multi\-national teams, contribute to numerous cutting\-edge projects, deliver the most creative solutions, and have an opportunity to learn. Our people are at the heart of our success, and we are proud to provide talents with a solid ground to develop and grow.
 Why Choose Us
 2024 Best Place to Work 2024 2024 Sitecore's Partner Experience Awards</t>
        </is>
      </c>
    </row>
    <row r="155">
      <c r="A155" t="inlineStr">
        <is>
          <t>li-4364455897</t>
        </is>
      </c>
      <c r="B155" t="inlineStr">
        <is>
          <t>python /AI Engineer</t>
        </is>
      </c>
      <c r="C155" t="inlineStr">
        <is>
          <t>Jobs via Dice</t>
        </is>
      </c>
      <c r="D155" t="inlineStr">
        <is>
          <t>linkedin</t>
        </is>
      </c>
      <c r="E155">
        <f>HYPERLINK("https://www.linkedin.com/jobs/view/4364455897", "https://www.linkedin.com/jobs/view/4364455897")</f>
        <v/>
      </c>
      <c r="F155" t="inlineStr"/>
      <c r="G155" t="inlineStr">
        <is>
          <t>Phoenix, AZ</t>
        </is>
      </c>
      <c r="H155" t="inlineStr"/>
      <c r="I155" t="inlineStr">
        <is>
          <t>Dice is the leading career destination for tech experts at every stage of their careers. Our client, SN Cloud Solutions, is seeking the following. Apply via Dice today!
**Title : Python / AI Engineer**
**Location: Phoenix AZ**
**Type: Contract**
**Rate: Open**
**Responsibilities**
* Design and Development: Design, develop, and implement AI and machine learning models and algorithms to meet project requirements.
* Coding and Implementation: Write clean, efficient, reusable, and production\-ready Python code for AI applications and backend services.
* Data Management: Perform data preprocessing, cleaning, feature engineering, and statistical analysis on large datasets to prepare them for model training.
* Model Training and Evaluation: Train, test, optimize, and fine\-tune machine learning and deep learning models for performance and scalability.
* Deployment and Integration: Integrate AI models into production systems and applications, often by developing APIs or microservices.
* Collaboration: Work closely with data scientists, data engineers, software developers, and product teams to drive projects from ideation to production.
* Monitoring and Maintenance: Support infrastructure for experimentation, manage model versioning, and monitor deployed models for health and performance.
* Innovation: Stay current with the latest advancements in AI/ML technologies, research papers, and tools, such as Generative AI and prompt engineering, incorporating them into development processes.
**Required Qualifications And Skills**
* Education: A Bachelor's or Master's degree in Computer Science, Engineering, Artificial Intelligence, Statistics, or a related quantitative field is typically required.
* Programming Languages: Strong proficiency in Python is essential, including its core concepts and data science libraries like , Pandas, and Scikit\-learn.
* AI/ML Expertise:
+ Solid understanding of machine learning algorithms (supervised, unsupervised learning, regression, classification, clustering).
+ Experience with deep learning frameworks such as , PyTorch, or Keras.
+ Familiarity with NLP (Natural Language Processing), computer vision, or other AI subfields.
* Technical Tools:
+ Experience with containerization and orchestration tools (e.g., Docker, Kubernetes).
+ Familiarity with cloud platforms such as AWS, Azure, or Google Cloud.
+ Knowledge of databases (SQL and NoSQL) and API design principles
 AI Engineering Course Skills: Job\-Ready Roadmap
 Learn AI engineering course skills recruiters test today: Python, machine learning, deep learning, MLOps, and projects. Use this India roadmap to get job\-ready.</t>
        </is>
      </c>
    </row>
    <row r="156">
      <c r="A156" t="inlineStr">
        <is>
          <t>li-4364436699</t>
        </is>
      </c>
      <c r="B156" t="inlineStr">
        <is>
          <t>AI Engineer</t>
        </is>
      </c>
      <c r="C156" t="inlineStr">
        <is>
          <t>Jobs via Dice</t>
        </is>
      </c>
      <c r="D156" t="inlineStr">
        <is>
          <t>linkedin</t>
        </is>
      </c>
      <c r="E156">
        <f>HYPERLINK("https://www.linkedin.com/jobs/view/4364436699", "https://www.linkedin.com/jobs/view/4364436699")</f>
        <v/>
      </c>
      <c r="F156" t="inlineStr"/>
      <c r="G156" t="inlineStr">
        <is>
          <t>Pittsburgh, PA</t>
        </is>
      </c>
      <c r="H156" t="inlineStr"/>
      <c r="I156" t="inlineStr">
        <is>
          <t>RESPONSIBILITIES:
 Kforce has a client that is seeking an AI Engineer on a direct hire basis in Pittsburgh, PA.
 Summary:
 The AI Engineer will be tasked with designing and implementing reusable AI frameworks, prompt templates, reference architecture, and reference architectures to accelerate AI solution delivery across teams. The AI Engineer will also be tasked with evolving the organization's AI approach with a strong emphasis on identifying high\- value opportunities, defining technical roadmaps, prioritizing use cases, and supporting for responsible, extensible, and scalable IA adoption.
 REQUIREMENTS:
* Bachelor's degree in Data Science, or related field or an equivalent combination of education and work experience
* 10 years of overall experience in software engineering, data science, or related technical roles
* 1\-2 years of hands\-on experience building and deploying generative AI solutions in enterprise environments
* Proficient in backend development using AI algorithms. Python, Java, Shell, Linux, or Node.js, MCP, APIs, knowledge graphs, vector databases, and data structures
* Demonstrated knowledge of MLOps, model lifecycle, and (CI/CD) practices
* Designed and implemented full\-stack AI solutions using modern MLOps and AI frameworks (e.g RAG) and platforms such as GitHub Agent, Snowflake agents, Copilot Studio and AWS Bedrock
* Created reusable frameworks, prompt templates, and reference architectures to accelerate AI solution delivery across teams
* Knowledge of Bank business applications is a plus
* Ability to manage multiple priorities, work independently, coordinate work assignments
* Excellent verbal and written communication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157">
      <c r="A157" t="inlineStr">
        <is>
          <t>li-4364465941</t>
        </is>
      </c>
      <c r="B157" t="inlineStr">
        <is>
          <t>Data Scientist/ AI/ML Engineer [Python experience]</t>
        </is>
      </c>
      <c r="C157" t="inlineStr">
        <is>
          <t>Jobs via Dice</t>
        </is>
      </c>
      <c r="D157" t="inlineStr">
        <is>
          <t>linkedin</t>
        </is>
      </c>
      <c r="E157">
        <f>HYPERLINK("https://www.linkedin.com/jobs/view/4364465941", "https://www.linkedin.com/jobs/view/4364465941")</f>
        <v/>
      </c>
      <c r="F157" t="inlineStr"/>
      <c r="G157" t="inlineStr">
        <is>
          <t>Alpharetta, GA</t>
        </is>
      </c>
      <c r="H157" t="inlineStr"/>
      <c r="I157" t="inlineStr">
        <is>
          <t>Dice is the leading career destination for tech experts at every stage of their careers. Our client, JKC IT Solution INc, is seeking the following. Apply via Dice today!
**Responsibilities:**
**Technical Leadership \&amp; System Architecture**
* Lead the architecture and development of LLM\-driven applications, AI agents, and RAG\-based systems.
* Provide technical guidance, conduct code reviews, and mentor junior team members.
* Drive best practices in Python backend engineering, API development, and AI system design.
**Backend Engineering (Python)**
* Build and maintain backend services using FastAPI or Flask.
* Develop scalable API endpoints for AI applications, embeddings, and retrieval systems.
* Ensure backend code quality, modularity, performance, and maintainability.
**LLMs, RAG, and AI Agent Development**
* Build AI applications using: LangChain, LangGraph, Semantic Kernel, Haystack, LlamaIndex, AutoGen
* Develop autonomous or semi\-autonomous AI agents with tool calling and workflow graphs.
* Implement Retrieval\-Augmented Generation (RAG), embedding pipelines, chunking strategies, reranking, and grounding techniques.
* Work with OpenAI SDK and other LLM providers (Anthropic, Azure OpenAI, Cohere, etc.).
* Manage prompt engineering, prompt routing, safety guardrails, and evaluation metrics.
**Data \&amp; Vector Search Engineering**
* Build data pipelines for indexing, embeddings, and retrieval workflows.
* Work with SQL databases (PostgreSQL, MySQL, etc.) for metadata and application storage.
* Work with vector databases such as: Redis, Postgres with pgvector, Elasticsearch, Neo4j, or others.
* Implement and optimize search workflows using FAISS or similar similarity search libraries.
**MLOps, Deployment \&amp; Observability**
* Deploy AI services using Docker, container orchestration, and cloud environments.
* Implement monitoring for AI behavior, performance, error rates, and retrieval accuracy.
* Set up CI/CD pipelines for backend and AI components.
* Optimize inference cost, latency, and reliability.
**Requirements:**
* Bachelor’s/Master’s degree in Computer Science, AI/ML, Data Science, or related fields.
* 10\+ years of experience in Python backend development.
* Strong proficiency in FastAPI or Flask.
* Strong working knowledge of SQL databases (Postgres, MySQL, etc.).
* Hands\-on expertise with vector databases:
**Redis** 
 ,
 **Postgres/pgvector** 
 ,
 **Elasticsearch** 
 , or
 **Neo4j** 
 .
* Practical experience with FAISS for similarity search.
* Hands\-on experience with modern LLM frameworks:
**LangChain, LangGraph, Semantic Kernel, Haystack, LlamaIndex, AutoGen** 
 .
 Strong understanding of:
* Embeddings \&amp; vector search
* RAG pipelines
* Retrieval optimization
* Chunking strategies
* Document loaders \&amp; indexing
* Experience building AI apps using OpenAI SDK or similar.
* Experience deploying APIs/services using Docker and cloud environments.
* Leadership experience: guiding teams, conducting reviews, driving architecture decisions.</t>
        </is>
      </c>
    </row>
    <row r="158">
      <c r="A158" t="inlineStr">
        <is>
          <t>li-4364580105</t>
        </is>
      </c>
      <c r="B158" t="inlineStr">
        <is>
          <t>Senior Gen AI Engineer</t>
        </is>
      </c>
      <c r="C158" t="inlineStr">
        <is>
          <t>Jobs via Dice</t>
        </is>
      </c>
      <c r="D158" t="inlineStr">
        <is>
          <t>linkedin</t>
        </is>
      </c>
      <c r="E158">
        <f>HYPERLINK("https://www.linkedin.com/jobs/view/4364580105", "https://www.linkedin.com/jobs/view/4364580105")</f>
        <v/>
      </c>
      <c r="F158">
        <f>HYPERLINK("https://click.appcast.io/t/g2DDiAFH7dC5zMdWsKO8VX_bGWvuQqTCW6BNX6YfiqI=&amp;urlHash=09IJ", "https://click.appcast.io/t/g2DDiAFH7dC5zMdWsKO8VX_bGWvuQqTCW6BNX6YfiqI=&amp;urlHash=09IJ")</f>
        <v/>
      </c>
      <c r="G158" t="inlineStr"/>
      <c r="H158" t="inlineStr"/>
      <c r="I158" t="inlineStr">
        <is>
          <t>Dice is the leading career destination for tech experts at every stage of their careers. Our client, INGENworks, is seeking the following. Apply via Dice today!
**Job Title: Sr. Engineer – GenAI \&amp; MLOps (AWS)**
**Location: Atlanta, GA (Remote)**
**Duration: Long Term Contract**
**Role Summary:**
 Seeking a Senior GenAI \&amp; MLOps Engineer to design, deploy, and scale Generative AI and ML solutions on AWS. The role focuses on building production\-grade ML/LLM pipelines, automating model lifecycle, deploying scalable AI services, and ensuring governance and compliance standards.
**Key Responsibilities:**
* Build and manage end\-to\-end MLOps pipelines for training, deployment, monitoring, and retraining.
* Deploy and optimize Generative AI/LLM applications, including RAG\-based solutions.
* Productionize ML models and enable scalable inference services.
* Implement CI/CD automation for ML workflows.
* Monitor model performance, drift detection, and automated retraining.
* Implement AI/ML governance, security, compliance, and responsible AI controls.
* Collaborate with data science and DevOps teams to integrate AI solutions.
**Required Skills:**
* Strong experience in Generative AI, LLMs, Prompt Engineering, and RAG frameworks
* Hands\-on expertise in MLOps and ML lifecycle management
* AWS services: SageMaker, Bedrock, Lambda, EKS/ECS, S3, Step Functions, API Gateway, CloudWatch, IAM, AWS Organizations \&amp; governance controls
* Programming: Python, PyTorch/TensorFlow
* Frameworks: LangChain or LlamaIndex
* API development using FastAPI/Flask
* Containerization: Docker, Kubernetes
* Infrastructure \&amp; CI/CD: Terraform/CloudFormation, Jenkins/GitHub Actions
* Knowledge of model governance, access control, data security, and compliance practices
**Experience:**
 8\+ years in software/ML engineering with strong experience in cloud\-based ML deployments and governance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2026-02-14T05:16:46Z</dcterms:created>
  <dcterms:modified xsi:type="dcterms:W3CDTF">2026-02-14T05:16:46Z</dcterms:modified>
</cp:coreProperties>
</file>