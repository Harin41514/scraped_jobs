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in-235922e5b24c9705</t>
        </is>
      </c>
      <c r="B2" t="inlineStr">
        <is>
          <t>Senior Manager, Data Engineering</t>
        </is>
      </c>
      <c r="C2" t="inlineStr">
        <is>
          <t>Capital One</t>
        </is>
      </c>
      <c r="D2" t="inlineStr">
        <is>
          <t>indeed</t>
        </is>
      </c>
      <c r="E2" t="inlineStr"/>
      <c r="F2" t="inlineStr"/>
      <c r="G2" t="inlineStr">
        <is>
          <t>Chicago, IL, US</t>
        </is>
      </c>
      <c r="H2" s="2" t="n">
        <v>46064</v>
      </c>
      <c r="I2" t="inlineStr">
        <is>
          <t>Senior Manager, Data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Spark, Python, Java, Databricks, Snowflake, Data Lakehouse or Iceberg
* 4\+ years of experience with a public cloud (AWS, Microsoft Azure, Google Cloud)
* 5\+ years experience with Distributed data/computing tools (Glue, EMR, Kafka, Spark, Gurobi, or MySQL)
* 4\+ year experience working on real\-time data and streaming applications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in-eeddf2ad665bb594</t>
        </is>
      </c>
      <c r="B3" t="inlineStr">
        <is>
          <t>AWS Redshift Data Engineer - Day 1 onsite at San Diego, CA</t>
        </is>
      </c>
      <c r="C3" t="inlineStr"/>
      <c r="D3" t="inlineStr">
        <is>
          <t>indeed</t>
        </is>
      </c>
      <c r="E3" t="inlineStr"/>
      <c r="F3" t="inlineStr"/>
      <c r="G3" t="inlineStr">
        <is>
          <t>San Diego, CA, US</t>
        </is>
      </c>
      <c r="H3" s="2" t="n">
        <v>46066</v>
      </c>
      <c r="I3" t="inlineStr">
        <is>
          <t>**Interview Mode: Hands On Interview SQL, Python, Pyspark /F2F**
**AWS Redshift Data Engineer** with **PySpark skills.**
* Experience in coordinating work between onsite and offshore teams is mandatory
* 10 years of professional **experience in software engineering, data engineering, machine learning, or related field**
* Strong **problem solving and analytical mindset**
* Ability to **write robust, maintainable, and extendable code in Python**
* Experience with **cloud architecture and technologies, in particular AWS, Redshift \&amp; AWS Glue**
* Experience with **technologies like Spark, Kubernetes, Docker, Jenkins, Hive, Terraform is highly desirable**
* Knowledge of Databricks would be strongly preferred.
* Experience with **agile development and test driven development**
* Understanding of **data structures, data modeling and software architecture**
* Undergraduate degree in Computer Science, or equivalent experience
* Effective communication skills (with team members, the business, and in code)</t>
        </is>
      </c>
    </row>
    <row r="4">
      <c r="A4" t="inlineStr">
        <is>
          <t>in-a8ad9f14af5e8c0a</t>
        </is>
      </c>
      <c r="B4" t="inlineStr">
        <is>
          <t>Data Engineer</t>
        </is>
      </c>
      <c r="C4" t="inlineStr">
        <is>
          <t>Booz Allen Hamilton</t>
        </is>
      </c>
      <c r="D4" t="inlineStr">
        <is>
          <t>indeed</t>
        </is>
      </c>
      <c r="E4" t="inlineStr"/>
      <c r="F4" t="inlineStr"/>
      <c r="G4" t="inlineStr">
        <is>
          <t>Scott AFB, IL, US</t>
        </is>
      </c>
      <c r="H4" s="2" t="n">
        <v>46065</v>
      </c>
      <c r="I4"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4\+ years of experience in a professional work environment
* Experience using programming languages such as Python, R, or Java to develop and maintain scalable data stores and scripts and programs to make data usable
* Experience retrieving, parsing, and processing structured and unstructured data and working with ETL workflows for reporting and analytics
* Knowledge of data engineering tools such SQL, Spark, Kafka, and cloud environment tools within AWS or Azure
* Ability to work collaboratively in a cross\-functional team
* Secret clearance
* HS diploma or GED
 **Nice If You Have:**
* Experience supporting DoW or federal agencies, including analytic support
* Experience working in a cloud environment to develop applications with real\-time data migration or streaming
* Experience with data warehousing, distributed data tools such as Databricks, and DoW analytic tools such as Advana and Maven Smart Systems
* Experience supervising teams or leading projects
* Knowledge of Agile engineering practices
* Possession of excellent verbal and written communication skills, including communicating effectively to leadership
* TS/SCI clearance
* Bachelor’s degree in Software Engineering, Data Science, Computer Science, Mathematics, Statistics, Engineering, or a similar field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
      <c r="A5" t="inlineStr">
        <is>
          <t>in-25e817235c1b3f2c</t>
        </is>
      </c>
      <c r="B5" t="inlineStr">
        <is>
          <t>Splunk Data Engineer</t>
        </is>
      </c>
      <c r="C5" t="inlineStr">
        <is>
          <t>Booz Allen Hamilton</t>
        </is>
      </c>
      <c r="D5" t="inlineStr">
        <is>
          <t>indeed</t>
        </is>
      </c>
      <c r="E5" t="inlineStr"/>
      <c r="F5" t="inlineStr"/>
      <c r="G5" t="inlineStr">
        <is>
          <t>Reston, VA, US</t>
        </is>
      </c>
      <c r="H5" s="2" t="n">
        <v>46065</v>
      </c>
      <c r="I5" t="inlineStr">
        <is>
          <t>Splunk Data Engineer**The Opportunity:**
Design, deploy, and manage Splunk infrastructure. Develop and maintain Splunk dashboards, queries, and alerts. Integrate Splunk with various data sources to ensure comprehensive data ingestion. Monitor and troubleshoot Splunk performance issues. Collaborate with cross\-functional teams to gather requirements and provide Splunk solutions. Implement and enforce best practices for Splunk data management and retention. Provide user training and support for Splunk\-related activities.
**You Have:**
* 2\+ years of experience managing and configuring Splunk, and in Splunk architecture, including indexers, search heads, forwarders, and deployment servers
* 2\+ years of experience configuring data sources, destinations, routes and collectors, and building pipelines to parse, normalize, enrich, mask, dedupe, and route data to Targets
* 2\+ years of experience authoring and maintaining props.conf, transforms.conf, inputs.conf, and outputs.conf, and packaging Apps or TAs
* 2\+ years of experience in Linux and Windows administration, including file paths, services, permissions, and log locations
* 1\+ years of experience with regex for field extraction and event breaking, and Splunk REST API for automation and operational tasks
* Active TS/SCI clearance; willingness to take a polygraph exam
* Associate’s degree and 5\+ years of experience supporting IT projects and activities, OR Bachelor’s degree and 3\+ years of experience supporting IT projects and activities, OR Master’s degree and 1\+ years of experience supporting IT projects and activities, OR 10\+ years of experience supporting IT projects and activities in lieu of a degree
* DoD 8570 IAT Level II certification, including Security\+ CE, CCNA\-Security, GSEC, SSCP, CySA\+, GICSP, or CND certification
* Ability to obtain a DoD 8570 Cyber Security Service Provider \- Infrastructure Support certification, including CEH, CySA\+, GICSP, SSCP, CHFI, CFR, Cloud\+, or CND certification, within 60 days of start date
**Nice If You Have:**
* 2\+ years of experience with Networking fundamentals, including TCP/UDP, TLS, syslog transport, firewall ports, and common transport issues
* 2\+ years of experience in basic troubleshooting with tools such as tcpdump or wireshark, basic vi/vim usage, setfacl, and SELinux
* 1\+ years of experience with DoD STIGs or other organizational hardening standards working in regulated environments
* Experience in SPL for validation, troubleshooting and basic dashboards
* Experience with scripting languages such as Python, Bash, or PowerShell
* Experience with Load\-Balancer fundamentals
* Knowledge of common log formats, including syslog, Windows Event, JSON, CSV, and XML
* Knowledge of Git for code version control
* Knowledge of Ansible playbooks
* Possession of strong verbal and written communication skills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
      <c r="A6" t="inlineStr">
        <is>
          <t>in-8300deb72631486d</t>
        </is>
      </c>
      <c r="B6" t="inlineStr">
        <is>
          <t>Data Engineer, Senior</t>
        </is>
      </c>
      <c r="C6" t="inlineStr">
        <is>
          <t>Booz Allen Hamilton</t>
        </is>
      </c>
      <c r="D6" t="inlineStr">
        <is>
          <t>indeed</t>
        </is>
      </c>
      <c r="E6" t="inlineStr"/>
      <c r="F6" t="inlineStr"/>
      <c r="G6" t="inlineStr">
        <is>
          <t>Alexandria, VA, US</t>
        </is>
      </c>
      <c r="H6" s="2" t="n">
        <v>46065</v>
      </c>
      <c r="I6" t="inlineStr">
        <is>
          <t>Data Engineer, Senior**The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5\+ years of experience in application development
* 5\+ years of experience designing, developing, operationalizing, and maintaining complex data applications at enterprise scale
* 3\+ years of experience creating software for retrieving, parsing, and processing structured and unstructured data
* 3\+ years of experience building scalable ETL or 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TS/SCI clearance
* Bachelor’s degree
**Nice If You Have:**
* Experience with Python, SQL, Scala, or Java
* Experience with UNIX or Linux, including basic commands and Shell scripting
* Experience with a public cloud, including AWS, Microsoft Azure, or Google Cloud
* Experience with distributed data or computing tools, including Spark, Databricks, Hadoop, Hive, AWS EMR, or Kafka
* Experience working on real\-time data and streaming applications
* Experience with NoSQL implementation, including MongoDB or Cassandra
* Experience with data warehousing using AWS Redshift, MySQL, or Snowflake
* Experience with Agile engineering practices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
      <c r="A7" t="inlineStr">
        <is>
          <t>in-34a38f191f27e48b</t>
        </is>
      </c>
      <c r="B7" t="inlineStr">
        <is>
          <t>Data Engineer</t>
        </is>
      </c>
      <c r="C7" t="inlineStr">
        <is>
          <t>Booz Allen Hamilton</t>
        </is>
      </c>
      <c r="D7" t="inlineStr">
        <is>
          <t>indeed</t>
        </is>
      </c>
      <c r="E7" t="inlineStr"/>
      <c r="F7" t="inlineStr"/>
      <c r="G7" t="inlineStr">
        <is>
          <t>San Diego, CA, US</t>
        </is>
      </c>
      <c r="H7" s="2" t="n">
        <v>46065</v>
      </c>
      <c r="I7"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development, and maintenance of scalable platforms for your clients.
Work with us to use data for good.
Join us. The world can’t wait.
**You Have:**
* 2\+ years of experience writing software in programming languages, including Python
* 2\+ years of experience with ETL operations, including on\-premises or Cloud infrastructure
* 1\+ years of experience with source control and collaboration software, including Git or Atlassian tools
* Knowledge of relational and non\-relational database technologies, including SQL or GraphQL
* Knowledge of automation and scripting on Linux or Windows operating systems
* Ability to obtain a Secret clearance
* Bachelor's degree
**Nice If You Have:**
* Experience deploying analytics workloads on a platform as a service (PaaS) and software as a service (SaaS), including AWS EMR, Redshift, SageMaker, Databricks, SQL Data Warehouse, or Machine Learning service
* Experience with distributed or parallel programming frameworks, including Apache Spark or NVIDIA CUDA
* Experience with infrastructure as code frameworks and services, including Terraform or CloudFormation
* Experience developing and presenting complex technical information for technical and non\-technical audiences and senior leaders
* Experience developing and deploying large\-scale batch and stream analytics pipelines
* Experience working with integrated groups comprised of customer success managers, infrastructure engineers, data scientists, and software engineers
* Experience with DoD information systems
* Master’s degree in Computer Science, Computer Engineering, Mathematics, Data Science, Software Engineering, Electrical Engineering, Physics, or a related field
* Cloud Development Certification, including AWS Solutions Architect or Azure Certification
* Information Security Certification, including Security\+ or CISSP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
      <c r="A8" t="inlineStr">
        <is>
          <t>in-fc8a80a0cc3c9cf1</t>
        </is>
      </c>
      <c r="B8" t="inlineStr">
        <is>
          <t>Data Engineer</t>
        </is>
      </c>
      <c r="C8" t="inlineStr">
        <is>
          <t>Booz Allen Hamilton</t>
        </is>
      </c>
      <c r="D8" t="inlineStr">
        <is>
          <t>indeed</t>
        </is>
      </c>
      <c r="E8" t="inlineStr"/>
      <c r="F8" t="inlineStr"/>
      <c r="G8" t="inlineStr">
        <is>
          <t>McLean, VA, US</t>
        </is>
      </c>
      <c r="H8" s="2" t="n">
        <v>46065</v>
      </c>
      <c r="I8"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Due to the nature of work performed within this facility, U.S. citizenship is required.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with developing scalable ETL/ELT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in application development utilizing SQL or Scala
* Experience with a public cloud, including AWS, Microsoft Azure, or Google Cloud
* Experience with distributed data and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and 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
      <c r="A9" t="inlineStr">
        <is>
          <t>in-e04ce4fc45209ecc</t>
        </is>
      </c>
      <c r="B9" t="inlineStr">
        <is>
          <t>Airflow Data Engineer</t>
        </is>
      </c>
      <c r="C9" t="inlineStr">
        <is>
          <t>Booz Allen Hamilton</t>
        </is>
      </c>
      <c r="D9" t="inlineStr">
        <is>
          <t>indeed</t>
        </is>
      </c>
      <c r="E9" t="inlineStr"/>
      <c r="F9" t="inlineStr"/>
      <c r="G9" t="inlineStr">
        <is>
          <t>McLean, VA, US</t>
        </is>
      </c>
      <c r="H9" s="2" t="n">
        <v>46065</v>
      </c>
      <c r="I9" t="inlineStr">
        <is>
          <t>Airflow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Due to the nature of work performed within this facility, U.S. citizenship is required.
Work with us to use data for good.
Join us. The world can’t wait.
**You Have:**
* 5\+ years of experience in application development, including production\-grade Python\-based services and data pipelines, and Python for Airflow DAG development and data processing
* 5\+ years of experience designing, developing, operationalizing, and maintaining complex data applications at enterprise scale, including workflow orchestration platforms
* 3\+ years of experience creating software for retrieving, parsing, validating, and processing structured and unstructured data from diverse sources, such as APIs, files, streams, or databases
* 3\+ years of experience building scalable, fault\-tolerant ETL/ELT workflows to support reporting, analytics, and operational systems
* Experience developing and operating Apache Airflow DAGs, including dependency management, scheduling strategies, retries, SLAs, backfills, and monitoring
* Experience deploying and operating Airflow in containerized environments, including Kubernetes\-based executions, such as Kubernetes Executor or Celery Executor
* Experience developing reusable, parameterized pipelines and shared Airflow components, such as operators, sensors, hooks, or plugins, and implementing logging, alerting, and observability for data pipelines, such as task\-level metrics, failure diagnostics, or pipeline health
* Experience working in a collaborative, cross\-functional Agile team environment, sprint\-based delivery, CI/CD, automated testing, and code reviews
* Ability to obtain and maintain a Public Trust or Suitability/Fitness determination based on client requirements
* Bachelor’s degree
**Nice If You Have:**
* Experience operating data pipelines in regulated or mission\-critical environments, such as federal systems or high\-availability operations
* Experience with UNIX or Linux environments, including shell scripting and operational troubleshooting
* Experience running Airflow on Kubernetes, including Helm\-based deployments, container image management, secrets and configuration management, and resource tuning
* Experience with public cloud platforms, such as AWS, Azure, or Google Cloud, including managed storage, compute, and messaging services
* Experience integrating Airflow with distributed data and compute tools, such as OpenMetadata, Spark, Databricks, EMR, Kafka, or similar platforms
* Experience supporting real\-time or near\-real\-time data workflows, including event\-driven or streaming architectures
* Experience with NoSQL technologies, such as MongoDB or Cassandra
* Experience with data warehousing solutions, including AWS Redshift, MySQL, Snowflake, or equivalent platforms
* Knowledge of Docker and containerization best practices, including CI/CD pipelines for Airflow and data workloads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
      <c r="A10" t="inlineStr">
        <is>
          <t>in-311d484b8da32201</t>
        </is>
      </c>
      <c r="B10" t="inlineStr">
        <is>
          <t>Data Engineer</t>
        </is>
      </c>
      <c r="C10" t="inlineStr">
        <is>
          <t>Booz Allen Hamilton</t>
        </is>
      </c>
      <c r="D10" t="inlineStr">
        <is>
          <t>indeed</t>
        </is>
      </c>
      <c r="E10" t="inlineStr"/>
      <c r="F10" t="inlineStr"/>
      <c r="G10" t="inlineStr">
        <is>
          <t>McLean, VA, US</t>
        </is>
      </c>
      <c r="H10" s="2" t="n">
        <v>46065</v>
      </c>
      <c r="I10" t="inlineStr">
        <is>
          <t>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Due to the nature of work performed within this facility, U.S. citizenship is required.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developing scalable ETL/ELT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in application development utilizing SQL or Scala
* Experience with a public cloud, including AWS, Microsoft Azure, or Google Cloud
* Experience with distributed data or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or 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
      <c r="A11" t="inlineStr">
        <is>
          <t>in-6e1954e4203c3bea</t>
        </is>
      </c>
      <c r="B11" t="inlineStr">
        <is>
          <t>Apache Iceberg Data Engineer</t>
        </is>
      </c>
      <c r="C11" t="inlineStr">
        <is>
          <t>Booz Allen Hamilton</t>
        </is>
      </c>
      <c r="D11" t="inlineStr">
        <is>
          <t>indeed</t>
        </is>
      </c>
      <c r="E11" t="inlineStr"/>
      <c r="F11" t="inlineStr"/>
      <c r="G11" t="inlineStr">
        <is>
          <t>McLean, VA, US</t>
        </is>
      </c>
      <c r="H11" s="2" t="n">
        <v>46065</v>
      </c>
      <c r="I11" t="inlineStr">
        <is>
          <t>Apache Iceberg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Due to the nature of work performed within this facility, U.S. citizenship is required.
Work with us to use data for good.
Join us. The world can’t wait.
**You Have:**
* 2\+ years of experience developing and maintaining data pipelines and workflows for large\-scale datasets, ensuring efficiency and reliability
* Experience working with Apache Iceberg or table formats such as Delta Lake or Hudi, including data lake transactions, schema evolution, data version control, and partition optimization
* Experience working with distributed file systems, such as S3, HDFS, or GCS, and implementing scalable, high\-performance data lake infrastructure
* Experience with query engines such as Presto, Trino, Spark, or Hive, integrating them with Iceberg\-backed tables for efficient querying of large datasets
* Experience in Python and programming languages such as Java or Scala, including implementing scalable ETL/ELT processes to populate and maintain Iceberg tables
* Experience working with data lifecycle management, including time\-travel queries and optimizing data for both historical and real\-time use cases
* Knowledge of data lake and warehouse architecture principles and platforms, including best practices for storage optimization and modern lakehouse paradigms
* Ability to debug and troubleshoot for data lake environments, addressing issues related to data consistency, governance, and performance bottlenecks, and design and document reusable, modular solutions for managing and interacting with Iceberg\-backed datasets in complex ecosystems
* Ability to obtain and maintain a Public Trust or Suitability/Fitness determination based on client requirements
* Bachelor’s degree in Data Engineering or Computer Science
**Nice If You Have:**
* Experience integrating Apache Iceberg with orchestration tools like Apache Airflow to automate workflows involving complex data lake operations
* Experience with containerized environments such as Docker, and orchestration platforms such as Kubernetes, ensuring scalability for Iceberg\-backed systems
* Experience working with AWS Glue Catalog, Hive Metastore, or other metadata or catalog systems to efficiently manage Iceberg schema and table metadata
* Experience adapting Iceberg implementations for the cloud
* Experience implementing data governance principles, including role\-based access and compliance policies, into Iceberg workflows
* Knowledge of cloud\-native object storage systems such as AWS S3, Azure Data Lake, or Google Cloud Storage and
* Knowledge of distributed computing systems, such as Spark or Flink, for both batch and real\-time data processing involving Iceberg datasets
* Knowledge of partitioning strategies and optimization techniques for performance tuning of Iceberg analytics
* Knowledge of real\-time data streaming and integrating tools such as Kafka with Iceberg for near\-real\-time ingestion and analytics
* Knowledge of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
      <c r="A12" t="inlineStr">
        <is>
          <t>in-aa420e3fabb43a27</t>
        </is>
      </c>
      <c r="B12" t="inlineStr">
        <is>
          <t>Data Engineer and Integration Developer</t>
        </is>
      </c>
      <c r="C12" t="inlineStr">
        <is>
          <t>Southern California Edison</t>
        </is>
      </c>
      <c r="D12" t="inlineStr">
        <is>
          <t>indeed</t>
        </is>
      </c>
      <c r="E12" t="inlineStr"/>
      <c r="F12" t="inlineStr"/>
      <c r="G12" t="inlineStr">
        <is>
          <t>Rosemead, CA, US</t>
        </is>
      </c>
      <c r="H12" s="2" t="n">
        <v>46058</v>
      </c>
      <c r="I12" t="inlineStr">
        <is>
          <t>**Join the Clean Energy Revolution**
Become a **Data Engineer and Integration Developer** at Southern California Edison (SCE) and build a better tomorrow. In this job, you’ll enable digital transformation for our business and work with a team that is dynamic, with a strong sense of dedication to our customers. You will be responsible for interfacing with key business stakeholders, listen to their business needs and apply your technical proficiency around data warehouses, data architecture and data applications to drive increased automation and establishing a solid centralized data warehouse for critical operational and compliance reporting and analytics. As a **Data Engineer and Integration Developer**, your work will help power our planet, reduce carbon emissions and create cleaner air for everyone. Are you ready to take on the challenge to help us build the future?
**Responsibilities**
--------------------
* Optimizes performance and scalability of critical data pipelines.
* Develops reusable and parameterized pipeline components and templates. Performs analysis and support to Data Scientists for model development.
* Designs pipeline architectures and ETL processes using big data technologies to support business initiatives.
* Collaborates with stakeholders to elicit pipeline requirements and identify improvement opportunities. Utilizes data ingestion capabilities to ingest and preprocess data from various sources, designed and optimized.
* Troubleshoots and resolves issues with production pipelines.
* Ensures data pipeline continuity and integrity through testing and change management. Contributes to data dictionary and data mapping from sources to the target from SCIM Data Model Design and develop Data\-as\-a\-Service solutions to improve data consumption.
* 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
**Minimum Qualifications**
--------------------------
* Bachelor's Degree in Computer Science, Information Systems, Engineering, Statistics/ Mathematics or equivalent STEM major
* Five or more years of experience in data processing large data sets, hands\-on with data transformation, aggregation, and ﬁltering.
 **Preferred Qualifications**
* Background in the utility sector and/or energy markets is highly desirable
* Experience in Snowflake (architecture, SQL, stored procedures, data management analysis) and/or strong proficiency with front\-end Python frameworks (**Streamlit**, Dash, Flask, Django)
* Experience working with Power BI (and/or other visualization tools) to build dashboards and reports leveraging BI languages \&amp; frameworks (i.e. DAX, PowerQuery)
* Experience working with business stakeholders to understand business processes and goals and work with IT to translate these needs into requirements and desired technology solutions.
* Experience managing projects including defining scope, establishing business value and ongoing communication on status and risk.
* Understanding of application design and life cycles
* Experience working closely with business stakeholders to understand needs and communicate to IT to meet stated goals.
* Strong knowledge Data structures, Data Engineering concepts, Algorithms, Collections
* Experience in large scale cloud data migrations using Snowflake, Python, Spark, SQL
* Critical thinking and problem\-solving skills, including planning, organizing and adaptability.
* Ability to interact with team members at all levels of the organization and with cross functional teams.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13">
      <c r="A13" t="inlineStr">
        <is>
          <t>in-a40bba2f6333a9a8</t>
        </is>
      </c>
      <c r="B13" t="inlineStr">
        <is>
          <t>Data Engineer and Integration Developer</t>
        </is>
      </c>
      <c r="C13" t="inlineStr">
        <is>
          <t>Southern California Edison</t>
        </is>
      </c>
      <c r="D13" t="inlineStr">
        <is>
          <t>indeed</t>
        </is>
      </c>
      <c r="E13" t="inlineStr"/>
      <c r="F13" t="inlineStr"/>
      <c r="G13" t="inlineStr">
        <is>
          <t>Rosemead, CA, US</t>
        </is>
      </c>
      <c r="H13" s="2" t="n">
        <v>46058</v>
      </c>
      <c r="I13" t="inlineStr">
        <is>
          <t>**Join the Clean Energy Revolution**
Become a **Data Engineer and Integration Developer** at Southern California Edison (SCE) and build a better tomorrow. In this job, you’ll you’ll enable digital transformation for our business and work with a team that is dynamic, with a strong sense of dedication to our customers. You will be responsible for interfacing with key business stakeholders, listen to their business needs and apply your technical proficiency around data warehouses, data architecture and data applications to drive increased automation and establishing a solid centralized data warehouse for critical operational and compliance reporting and analytics . As a **Data Engineer and Integration Developer**, your work will help power our planet, reduce carbon emissions and create cleaner air for everyone. Are you ready to take on the challenge to help us build the future?
**Responsibilities**
--------------------
* Optimizes performance and scalability of critical data pipelines.
* Develops reusable and parameterized pipeline components and templates. Performs analysis and support to Data Scientists for model development.
* Designs pipeline architectures and ETL processes using big data technologies to support business initiatives.
* Collaborates with stakeholders to elicit pipeline requirements and identify improvement opportunities. Utilizes data ingestion capabilities to ingest and preprocess data from various sources, designed and optimized.
* Troubleshoots and resolves issues with production pipelines.
* Ensures data pipeline continuity and integrity through testing and change management. Contributes to data dictionary and data mapping from sources to the target from SCIM Data Model Design and develop Data\-as\-a\-Service solutions to improve data consumption.
* A material job duty of all positions within the Company is ensuring the protection of all its physical, ﬁnancial and cybersecurity assets, and properly accessing and managing private customer data, proprietary information, conﬁdential medical records, and other types of highly sensitive information and data with the highest standards of conduct and integrity.
**Minimum Qualifications**
--------------------------
* Bachelor's Degree in Computer Science, Information Systems, Engineering, Statistics/ Mathematics or equivalent STEM major
* Five or more years of experience in data processing large data sets, hands\-on with data transformation, aggregation, and ﬁltering.
**Preferred Qualifications**
* Background in the utility sector and/or energy markets is highly desirable
* Experience in Snowflake (architecture, SQL, stored procedures, data management analysis) and/or strong proficiency with front\-end Python frameworks (**Streamlit**, Dash, Flask, Django)
* Experience working with Power BI (and/or other visualization tools) to build dashboards and reports leveraging BI languages \&amp; frameworks (i.e. DAX, PowerQuery)
* Experience working with business stakeholders to understand business processes and goals and work with IT to translate these needs into requirements and desired technology solutions.
* Experience managing projects including defining scope, establishing business value and ongoing communication on status and risk.
* Understanding of application design and life cycles
* Experience working closely with business stakeholders to understand needs and communicate to IT to meet stated goals.
* Strong knowledge Data structures, Data Engineering concepts, Algorithms, Collections
* Experience in large scale cloud data migrations using Snowflake, Python, Spark, SQL
* Critical thinking and problem\-solving skills, including planning, organizing and adaptability.
* Ability to interact with team members at all levels of the organization and with cross functional teams.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14">
      <c r="A14" t="inlineStr">
        <is>
          <t>in-fac74eaf9f4274e3</t>
        </is>
      </c>
      <c r="B14" t="inlineStr">
        <is>
          <t>Data Engineer - TechCare Operations: Blueprint team</t>
        </is>
      </c>
      <c r="C14" t="inlineStr">
        <is>
          <t>American Express</t>
        </is>
      </c>
      <c r="D14" t="inlineStr">
        <is>
          <t>indeed</t>
        </is>
      </c>
      <c r="E14" t="inlineStr"/>
      <c r="F14" t="inlineStr"/>
      <c r="G14" t="inlineStr">
        <is>
          <t>Phoenix, AZ, US</t>
        </is>
      </c>
      <c r="H14" s="2" t="n">
        <v>46058</v>
      </c>
      <c r="I14"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Digital Workplace (DW) is the convergence of digital, cultural, and physical elements that enable all American Express colleagues to do phenomenal work in a complex, dynamic, and often unstructured working environment.
You will work within our TechCare Operations: Blueprint team, in partnership with our database, analytics and reporting leads to ensure maximum value as we execute on our TechCare Blueprint. You will work to develop solutions to meet the needs of our product and servicing operation leaders.
**Critical focus areas include:**
* Designs, develops, solves problems, evaluates, modifies, deploys and documents all data (i.e. benchmarking, data collection, and KPI analysis)
* Be able to develop insights and actionable analytics from large amounts of data.
* Partner with stakeholders to understand needs, analyze data, and present solutions and insights back.
**Key Responsibilities:**
* Partner with the product teams to understand business data requirements, identify data needs and data sources to create data architecture
* Produce actionable insights via standard analytics practices
* Communicate insights to key stakeholders via dashboards
* Use a scripting language to automate tasks, such as data cleaning, data uploading, and use in predictions/analytics
* Documents data requirements / data stories and maintains data models to ensure flawless integration into existing data architectures
* Leads data assets as per the enterprise standards, guidelines and policies
* Documents processing requirements inclusive of data and transaction volumes, scalability, security and performance requirements
* Communicates and works reciprocally with business and product teams to support changes and implementation
* Partner with delivery architects and engineers to design optional data tier solutions to meet platform objectives and goals
* Function as an active member of an agile team through consistent development practices (tools, components, and documentation)
* Find opportunities to adopt innovative technologies
**Data Engineer I – Digital Workplace:**
* Work with product owners to prioritize features for ongoing sprints and managing a list of technical requirements based on industry trends, new technologies, known defects, and issues.
* Builds, tests, and enhances data analytics required to support the Business portfolio
**Education \&amp; Experience:**
Up to 6 years of data analytics and dashboarding experience in a professional environment and/or comparable experience such as:
* Familiar with Agile or other rapid application development methods
* Experience with standard dashboarding software, such as PowerBI and Tableau.
* Experience with design and development across one or more database management systems (e.g. IMS, DB2 zOS, Oracle, MS SQL Server, PostgreSQL, Netezza (PDA/DB2AA) as appropriate
* Experience with distributed (multi\-tiered) systems, algorithms, and application development
* Proven experience in understanding of Big data technology and NOSQL design and coding with variety of data stores (document, column family, graph, etc.)
* Bachelor’s degree in computer science, computer science engineering, or related field required; advanced degree preferred
To be successful in the Data Engineer \- Digital Workplace role, the following additional experience is required:
* Experience with PowerBI/Tableau
* Experience with Machine Learning
* Experience with Data Modelling
**High\-performing Behaviors:**
* Recognizes opportunities to adopt innovative technologies to enable business capabilities
* Able to challenge the status quo and drive innovation by generating creative ideas and solutions
* Keeps up to date on current research and technology in the industry
* Understands technical aspects of the job and uses appropriate technology for the situation at hand
* Tries new approaches when problem solving, seeking ideas, or suggestions from others as appropriate
* Carries out systematic and rational analysis to identify the root cause of problems
* Recognizes the importance of collaboration to achieve objectives
* Is clear when explaining ideas and concepts to others, communication is structured and easy to understand
* Leads multiple tasks effectively \- progresses work in parallel
* Adapts to change quickly and easily
* Handles problems and acts on own initiative without being prompted
* Knows when to raise decisions and when to make on\-the\-spot decisions
**Knowledge/Skills:**
* Strong analytical skills with a validated ability to understand and document business data requirements in complete, accurate, extensible and flexible logical data models using data modeling tools
* Able to facilitate discussions between small groups of Technology and business people, recognize issues of conflict and inconsistency between data requirements and pursue a resolution of these issues
* Understands XML/JSON and schema development/reuse, Open Source and NoSQL will be an added advantage
* Able to establish, modify or maintain data structures and associated components according to design
* Understands Metadata Management and Database Management concepts
* Creates data models using the relevant tools and frameworks
* Has working knowledge of the range of tools used in the planning, analyzing, designing, building, testing, configuring and maintaining of assigned application(s)
* Able to participate in assigned team’s software delivery methodology (Agile, Scrum, Agile XP, Test\-Driven Development, Waterfall, etc.)
* Understands and has practical experience with infrastructure technologies and components like servers, jvms and networking concepts
* Application of industry recognized methods, processes and standards
* Identifies a number of ways to do things differently that will continuously improve the product
* SDLC Methodologies and Practices
* Metadata Management and Database Management
* System/Platform Domain Knowledge
**Technology Core Competencies:**
* Adaptive Communication
* Agile Practices
* Industry and Company Knowledge
* Organizational Change Management
* Technical Acumen
* Technology Industry Trends
**Game Changers:**
* Adaptability
* Collaboration \&amp; Partnership
* Continuous Improvement
* Courage
* Curiosity
* Ingenuity
* Servant Leadership
* Tenacity
**Role Core Competencies:**
* Technical
	+ Database Design
	+ Emerging Technologies
	+ Performance and Tuning
	+ System/Platform Domain Knowledge
* Functional
	+ Data Analysis
	+ Data Management
	+ Database Administration
* Leadership
	+ Analytical Thinking
	+ Consultancy
	+ Decision\-Making
* Business
	+ Problem Solving
Salary Range: $78,000\.00 to $124,750\.00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15">
      <c r="A15" t="inlineStr">
        <is>
          <t>in-28ccaaab2fb439b2</t>
        </is>
      </c>
      <c r="B15" t="inlineStr">
        <is>
          <t>Senior Data Engineer</t>
        </is>
      </c>
      <c r="C15" t="inlineStr">
        <is>
          <t>JBS Dev</t>
        </is>
      </c>
      <c r="D15" t="inlineStr">
        <is>
          <t>indeed</t>
        </is>
      </c>
      <c r="E15" t="inlineStr"/>
      <c r="F15" t="inlineStr"/>
      <c r="G15" t="inlineStr">
        <is>
          <t>US</t>
        </is>
      </c>
      <c r="H15" s="2" t="n">
        <v>46065</v>
      </c>
      <c r="I15" t="inlineStr">
        <is>
          <t>We’re looking for a talented and experienced Senior Data Engineer to join our team and help design, build, and scale modern data platforms. In this role, you’ll lead the development of robust data pipelines, optimize data architecture, and ensure high\-quality, reliable data flows across systems. You’ll collaborate closely with product managers, software engineers, analysts, and business stakeholders to translate complex requirements into scalable data solutions that power reporting, analytics, and decision\-making. If you’re passionate about clean, efficient data models, resilient ETL/ELT processes, and building infrastructure that turns raw data into actionable insight, we’d love to hear from you.
This position is a full\-time role. We are 100% remote but candidates must reside and be authorized to work in the United States.
### **Required**
* 5\+ years working with Python
* 3\+ years working with Python web frameworks (Django required; flask/turbo gears/web2py nice to have)
* 2\+ years working with AWS (Lambda, RDS, Terraform/Cloudformation, Cloudcache, others)
* Docker experience or equivalent container experience
* 5\+ years working with open\-source relational database systems (MySQL, PostgreSQL)
* Experience with search tools such as Solr and Elasticsearch
* Experience using javascript frameworks (i.e. React, angular, etc)
* Feels comfortable and has experience working in a Unix environment (Unix command line)
* Experience with NoSql databases such as MongoDB, Cassandra, DynamoDB and etc.
* Strong communication skills, both written and verbal
* Ability to accurately estimate work
* Commitment to provide quality completed deliverables with well\-factored, maintainable code
* Experience with VCS (git)
### **Nice To Have**
* Experience with microservices
* Experience with Code Hosting and CI/CD (gitlab\-CI)
* Experience building and designing REST\-based web services using JSON
* Experience with development operations (configuration and installation of apache/nginx/memcached/varnish, etc)
* GraphQL
* Mobile Development (react native, iOS, android, xamarin, etc)
* Experience in e\-commerce development
**Benefits**
* This is a remote full\-time W2 employee position with the following benefits:
* Competitive Base Salary \- Great work deserves great pay. We offer a base salary range between $120,000 \- $140,000
* Generous PTO policy \- Take the time you need to rest, recharge, or travel the world
* 401k with company match \- Planning for your future? So are we. Contribute to your 401(k), and we’ll match up to 4%
* Comprehensive Health Coverage \- Medical, dental, and vision plans for you and your family, with 90% or more of your deductible completely covered.
* Fully remote (and always will be)
As an equal opportunity employer, JBS does not discriminate in hiring or terms and conditions of employment on the basis of any federal, state, or locally protected class. JBS only hires individuals authorized for employment in the United States on a W2 basis
Compensation Range: $120K \- $140K</t>
        </is>
      </c>
    </row>
    <row r="16">
      <c r="A16" t="inlineStr">
        <is>
          <t>in-71835341db114aa3</t>
        </is>
      </c>
      <c r="B16" t="inlineStr">
        <is>
          <t>Data Platform Engineer</t>
        </is>
      </c>
      <c r="C16" t="inlineStr">
        <is>
          <t>Weltman, Weinberg &amp; Reis</t>
        </is>
      </c>
      <c r="D16" t="inlineStr">
        <is>
          <t>indeed</t>
        </is>
      </c>
      <c r="E16" t="inlineStr"/>
      <c r="F16" t="inlineStr"/>
      <c r="G16" t="inlineStr">
        <is>
          <t>Independence, OH, US</t>
        </is>
      </c>
      <c r="H16" s="2" t="n">
        <v>46066</v>
      </c>
      <c r="I16" t="inlineStr">
        <is>
          <t>**Position Purpose:** The Data Platform Engineer is responsible for designing, maintaining, and optimizing the organization’s hybrid data infrastructure across on\-premises and cloud environments and ensuring that it supports the strategic goals and objectives of the organization. This role ensures that data pipelines, storage systems, and analytics platforms operate efficiently, securely, and at scale.
**Essential Duties and Responsibilities**
* Design, configure, and maintain hybrid data environments (e.g., SQL Server, Azure Data Lake, Azure Synapse, Power BI Service).
* Implement and manage Azure services such as Data Factory, Synapse Pipelines, Storage Accounts, and Key Vault.
* Automate deployments using CI/CD pipelines (Azure DevOps, GitHub Actions, or equivalent).
* Collaborate with the Database Administrator (DBA) and Senior Data Engineer to optimize performance and resource allocation.
* Monitor system health using Azure Monitor, SQL Agent, or third\-party tools.
* Proactively identify and resolve data bottlenecks and infrastructure issues.
* Enforce data access controls, encryption, and authentication policies.
* Integrate cloud and on\-prem security models using Azure AD and RBAC.
* Develop and maintain efficient data pipelines using ETL/ELT methodologies and best\-practice dimensional and relational modeling techniques.
* Leverage DevOps principles and tools to automate the deployment, scaling, and monitoring of all core data platform infrastructure and services.
* Troubleshoot, analyze, and resolve complex data integration and performance challenges across the data platform to maintain stability and accuracy.
* Complete all required training applicable to this position.
* Regular and predictable attendance is an essential function of this position.
* Other duties, as assigned.
**Qualifications**
* Bachelor’s degree in computer science, Information Systems or related field is required; a master’s degree is preferred.
* 6\+ years of relevant experience or an equivalent combination of education, training, and experience.
* Proven work experience as a ETL Developer, Data Engineer,
* Proficiency in in Azure Data Services (Data Factory, Synapse, Storage, Functions, Key Vault, Monitor).
* Expertise in Microsoft SQL Server, SSIS, and Windows Server administration.
* Working knowledge of data warehousing, data lake architectures, data modeling and ETL processes.
* Familiarity with scripting (PowerShell, Python, T\-SQL).
* Excellent communication and documentation skills.
* Familiarity with scripting (PowerShell, Python, T\-SQL).
* Knowledge of network and infrastructure methodologies.
**Compensation and Benefits**:
* The expected pay range for this position is $76,523\.20\-$99,444\.8/year
* Paid Time Off (PTO) \- 16 days annually \+ 9 Company paid holidays
* Competitive benefits \- Medical, Rx, Dental, Vision, 401(k), Parental Leave, Life and Disability Insurance and more. You can review our benefits at www.weltman.com/careers for more information.
* Promotional opportunities from within the Firm
* Employee Perks available from Verizon, Car Dealerships, Local Movie Theaters, Theme Parks, etc. Positive office environment with regularly scheduled parties, contests, and community support initiatives
* On site "Bistro To Go" vending and fresh foods available
* Free parking
* Free onsite fitness center for all employees
**Physical and Mental Demands**
The physical and mental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remain in a stationary position at a workstation. This position requires constant use of hands and fingers for typing and operating a computer and other office equipment. The employee must possess the ability to communicate information and ideas in writing and verbally. Occasional standing, walking, bending, and lifting of items weighing up to 15 pounds may be required. Close visual acuity is needed to read, analyze data, and view a computer terminal for extended periods.
**Work Environment**
This position operates in a professional office environment. It is representative of those an employee encounters while performing the essential functions of this job. The employee will experience low to moderate noise levels and moderate interruptions. The workspace is well\-lit and climate controlled.
**EEO Statement:** Weltman is an equal opportunity employer.
\#BizTech</t>
        </is>
      </c>
    </row>
    <row r="17">
      <c r="A17" t="inlineStr">
        <is>
          <t>in-0da2614246b936d9</t>
        </is>
      </c>
      <c r="B17" t="inlineStr">
        <is>
          <t>Senior Manager of Data Engineering</t>
        </is>
      </c>
      <c r="C17" t="inlineStr">
        <is>
          <t>ReUp Education</t>
        </is>
      </c>
      <c r="D17" t="inlineStr">
        <is>
          <t>indeed</t>
        </is>
      </c>
      <c r="E17" t="inlineStr"/>
      <c r="F17" t="inlineStr"/>
      <c r="G17" t="inlineStr">
        <is>
          <t>Remote, US</t>
        </is>
      </c>
      <c r="H17" s="2" t="n">
        <v>46066</v>
      </c>
      <c r="I17" t="inlineStr">
        <is>
          <t>### **What we do**
* Founded in 2015, ReUp Education is the only organization that focuses exclusively on helping colleges and universities engage and re\-enroll the more than 40 million US residents who have “stopped out” and support them until graduation, through our patented technology\-enabled service. To date, we have re\-enrolled over 57,000 students for our university partners. As of July 2025, ReUp Education partners with 140 active schools and a total of 1\.78 million learners. To date, ReUp Education has helped 7,960 learners graduate. Today we build regional marketplaces to connect the supply of educational opportunities with the demand for skilled and credentialed workforce professionals.
 **About the role**
* ReUp Education is looking for a Senior Manager of Data Engineering to help us empower more adult learners and educational institutions by leading a team that ingests, transforms, stores, and provides access to the data powering our products and services. This is both a people leadership and technical delivery role, ideal for someone who enjoys coaching engineers and doing hands\-on work as needed in a fast\-paced, mission\-driven environment. You will work closely with cross\-functional partners to translate business, client, and learner requirements into technical solutions for a rapidly growing company.
**What you'll do**
* Lead, manage, and develop a team of data engineers, fostering a culture of technical excellence, independence, collaboration, and accountability.
* Create and execute a Data Engineering roadmap that helps ReUp to achieve its goals.
* Partner with technology, analytics, finance, B2B, and B2C teams to define data requirements, and design and develop solutions that drive value for ReUp’s clients and learners.
* Oversee the design, development, testing, implementation, maintenance, and continuous improvement of data pipelines and warehouses that ingest, transform, store, and provide access to student and institutional data to power business intelligence products, ML models, cloud\-based web applications, and marketing and coaching services.
* Champion automation, observability, and performance to ensure ReUp’s pipeline efficiently and reliably delivers quality data to end users.
* Proactively identify, triage, and resolve data quality and availability issues through root\-cause analysis, remediation, monitoring, and cross\-functional collaboration.
* Define and monitor SLAs for data quality, workflow status and runtime, incident response and resolution time, and team velocity.
* Define and implement data engineering standards and best practices.
* Support data security, compliance, and governance initiatives.
**Qualifications**
*Research shows that women and people from underrepresented groups often only apply to jobs if they meet all of the qualifications. However, no one ever meets 100% of the qualifications. ReUp encourages you to break that statistic and to apply. We look forward to your application.*
* 6\+ years of data engineering experience.
* 3\+ years of experience managing a high\-performing data engineering team.
* Experience developing and maintaining large\-scale data pipelines and warehouses in a production environment.
* Strong fluency in SQL and Python.
* Experience working with cloud data platforms such as AWS, and data warehouses such as Redshift or Snowflake.
* Experience working with orchestration tools such as Airflow, and data integration tools such as Stitch or CData.
* Experience working with version control tools such as GitHub.
* Bachelor’s degree in Computer Science, Engineering, Data Science, Mathematics, or a related technical discipline.
* Strong communication, collaboration, and problem solving skills.
* + Nice to haves:
	+ - Experience syncing data to and from Salesforce, Iterable, and/or cloud\-based web applications.
		- Experience developing a curated data layer for data visualization tools such as Tableau.
		- Experience developing, deploying, and maintaining AI/ML models in production.
		- Experience with Agile engineering practices.
		- Experience working in higher education, education technology, and/or a startup.
**Benefits**
* Medical, dental, and vision insurance for employees
* + We pay 100% of the employee's premium and 50% of any dependents' premiums
	+ Contribute up to $1000 to employee HSA/$2000 to employee \+ dependent HSA
	+ PPO Buy\-up plan available
	+ FSA available
* Company paid short\-term disability, long\-term disability, and life insurance for employee
* Flexible time off and remote work opportunity
* Up to 80 hours of dedicated sick time annually to support your well\-being and work\-life balance
* 15 paid holidays per year (including Juneteenth and the last week of the calendar year)
* Company wellness days (2 per year)
* Day of Service (Paid day for volunteering)
* 401(k) plan
* Paid parental leave (12 weeks primary parental leave, 6 weeks secondary parental leave)
* A diverse team that fosters a high level of collaboration despite being highly distributed
### **Location**
* **Hybrid** **preferred**: This hybrid role combines the best of both worlds: in\-person collaboration in our Austin, TX office for 2\-3 days per week, and the flexibility of remote work.
* Remote: This position will be based remotely in one of the states listed: AL, AZ, CA, FL, GA, IL, MA, MI, MO, NC, NH, NY, OH, OR, PA, SC, TN, TX, VA, WA and WI.
### **Company Culture**
REDEFINE THE POSSIBLE \* INNOVATE WITH PURPOSE \* RESILIENT BY DESIGN \* ACHIEVE BEYOND EXPECTATIONS \* THRIVE TOGETHER
At ReUp, our values guide everything we do. We **redefine the possible** by bringing energy, boldness, and vision to every challenge, breaking barriers and delivering outcomes that redefine success. We **innovate with purpose**, developing impactful solutions that inspire our partners, learners, and teams—always rooted in balance, authentic collaboration, and integrity. We are **resilient by design**, empowering learners, teams, and organizations to adapt, grow, and lead with strength in a changing world. We **achieve beyond expectations** by harnessing the power of data and evidence\-based strategies to deliver measurable, outsized results that create lasting impact for all stakeholders. And we **thrive together**, believing that through collective action, opportunities are not finite and limited but expandable, creating an ecosystem of growth and collaboration.
ReUp Education is an equal\-opportunity employer. Our company values diversity and believes diverse teams make innovation possible. We encourage all qualified applicants from any race, color, religion, sex, gender identity, sexual orientation, national origin, disability status, protected veteran status, or other characteristics to apply.
 *We are unable to offer visa sponsorship or work authorization transfers for this position. Applicants must have the legal right to work in the United States without the need for employer sponsorship*
 **The pay range for this role is:**  
140,000 \- 150,000 USD per year(Austin, TX)</t>
        </is>
      </c>
    </row>
    <row r="18">
      <c r="A18" t="inlineStr">
        <is>
          <t>in-7240deb51f36e4cd</t>
        </is>
      </c>
      <c r="B18" t="inlineStr">
        <is>
          <t>Data Engineer</t>
        </is>
      </c>
      <c r="C18" t="inlineStr">
        <is>
          <t>Wheelhouse Group</t>
        </is>
      </c>
      <c r="D18" t="inlineStr">
        <is>
          <t>indeed</t>
        </is>
      </c>
      <c r="E18" t="inlineStr"/>
      <c r="F18" t="inlineStr"/>
      <c r="G18" t="inlineStr">
        <is>
          <t>Greer, SC, US</t>
        </is>
      </c>
      <c r="H18" s="2" t="n">
        <v>46066</v>
      </c>
      <c r="I18" t="inlineStr">
        <is>
          <t>**About the Role**
We are looking for a Data Engineer to design, build, and maintain the data infrastructure that powers our internal and customer analytics. You will own the full lifecycle of our data pipelines, from ingesting raw data across diverse sources to delivering clean, reliable datasets that drive business decisions.
The ideal candidate is comfortable working across the stack, writes production\-quality Python, thinks in SQL, and has hands\-on experience with modern orchestration frameworks like Dagster, Prefect, or Airflow. You are familiar with tools such as dbt and Snowflake, and you prioritize data quality, pipeline reliability, and increasing the rest of the team's productivity.
**Key Responsibilities**
* Design, build, and maintain scalable ETL/ELT pipelines that ingest, transform, and serve data from a variety of internal and external sources.
* Write clean, well\-tested Python code for data transformation, validation, and pipeline logic.
* Develop and optimize complex SQL queries, views, and stored procedures across analytical and transactional databases.
* Implement and manage workflow orchestration using tools such as Dagster, Prefect, Airflow, or similar frameworks, ensuring reliable scheduling, monitoring, and alerting.
* Collaborate with stakeholders to model data using dbt and Snowflake for reporting, experimentation, and machine learning workloads.
* Build and maintain data quality checks, monitoring dashboards, and automated alerting to catch issues before they impact downstream consumers.
* Manage and evolve our data warehouse and data pipelines with snowflake and AWS
* Contribute to infrastructure\-as\-code, CI/CD pipelines, and developer tooling to improve the team’s velocity and reliability.
* Document data models, pipeline logic, and system architecture to support team knowledge\-sharing and onboarding.
**Required Qualifications**
* 3\+ years of professional experience in data engineering, backend engineering, or a related role.
* Strong proficiency in Python, including experience with libraries such as pandas, SQLAlchemy, or PySpark.
* Advanced SQL skills with experience writing complex queries against large\-scale data systems (e.g. Snowflake, BigQuery, Redshift) – Snowflake preferred.
* Hands\-on experience with at least one modern orchestration framework: Dagster, Prefect, Airflow, or equivalent.
* Experience with dbt for building and managing transformation layers within a modern data stack (Snowflake, BigQuery, or similar).
* Solid understanding of ETL/ELT design patterns, data modeling (star schema, dimensional modeling), and data warehousing concepts.
* Experience working with cloud data platforms (AWS S3, Glue, Lambda; GCP BigQuery, Synapse, etc.).
* Familiarity with version control (Git), CI/CD practices, and infrastructure\-as\-code tools
* Bachelor’s degree in Computer Science, Engineering, Mathematics, or equivalent practical experience.
**Nice to Have**
* Experience with event stream and customer data platforms such as RudderStack, Segment, or similar tools.
* Experience building and maintaining internal data platforms or self\-serve data tooling.
Job Types: Part\-time, Contract
Pay: From $40\.00 per hour
Expected hours: 30 – 40 per week
Benefits:
* Flexible schedule
* Professional development assistance
* Profit sharing
* Work from home
Work Location: Hybrid remote in Greer, SC 29651</t>
        </is>
      </c>
    </row>
    <row r="19">
      <c r="A19" t="inlineStr">
        <is>
          <t>in-634bee51b5456a09</t>
        </is>
      </c>
      <c r="B19" t="inlineStr">
        <is>
          <t>Data Engineer</t>
        </is>
      </c>
      <c r="C19" t="inlineStr">
        <is>
          <t>FanDuel</t>
        </is>
      </c>
      <c r="D19" t="inlineStr">
        <is>
          <t>indeed</t>
        </is>
      </c>
      <c r="E19" t="inlineStr"/>
      <c r="F19" t="inlineStr"/>
      <c r="G19" t="inlineStr">
        <is>
          <t>Atlanta, GA, US</t>
        </is>
      </c>
      <c r="H19" s="2" t="n">
        <v>46065</v>
      </c>
      <c r="I19" t="inlineStr">
        <is>
          <t>**THE POSITION**  
Our roster has an opening with your name on it
FanDuel is looking for a Data Support Engineer to advance our data capabilities and ensure the reliability and performance of our critical data pipelines and infrastructure. FanDuel's competitive edge is enabled by our ability to leverage accurate and timely data for informed decision\-making.
As a Data Support Engineer, you will be a valued member of the Data Support team, maintaining exceptional standards and servicing the needs of data consumers across the company. You will ensure the health of our data infrastructure, contribute to the delivery of reliable, timely, and consumable data, and combine technical troubleshooting with proactive monitoring. You'll have the opportunity to work in an agile environment where you will team up with colleagues having experience in data engineering, machine learning and more.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Provide on\-call technical assistance to analysts, data consumers, and data engineering teams, responding to inquiries relating to query optimization, reporting anomalies, complex data pipeline issues, failed jobs, and data inconsistencies.
* Investigate and resolve data quality issues in response to system alerts or notifications from stakeholders, ensuring compliance with internal/external audits and control practices.
* Design and implement batch and real\-time data pipelines to the data warehouse or data lake using data transformation technologies, enhancing monitoring dashboards and support tools.
* Lead impactful initiatives to enhance data pipelines and other data operations capabilities while mentoring and onboarding new support data engineers. Identify operational inefficiencies and implement automation solutions to reduce manual intervention.
* Create and maintain technical support documentation, including FAQs, troubleshooting steps, support runbooks, and a knowledge base of solutions to recurring issues.
* Drive operational best practices and shape workflows for routine consumer support, operations monitoring, incident management, and problem management.
* Administer account access to tools across the technology stack in accordance with our governance policies.
Able to join team's On\-call Pager duty rotation to ensure 24/7 coverage and timely response to critical data issues.
**THE STATS**  
What we're looking for in our next teammate
* Minimum of 3\+ years of experience in data engineering with focus on operational support
* Advanced SQL skills with proven query optimization experience
* Strong problem\-solving skills with ability to take ownership and accountability for issues through resolution
* Python programming proficiency for automation and data processing
* Experience with cloud data platforms (AWS, Databricks, Spark)
* Understanding of data warehousing and ETL/ELT processing
* Experience with dimensional data modeling, batch data ingestion, and real\-time technologies like Kafka or Kinesis
* Working knowledge of orchestration and monitoring tools (Airflow, Datadog, Databand, DataFold, Monte Carlo, Prometheus, Grafana)
* Strong incident management and root cause analysis capabilities
* Customer\-oriented mindset with focus on delivering high\-quality support services and attention to detail
* Exceptional communication and interpersonal skills
* Proven ability to work effectively within teams and across organizational boundaries
* Experience owning and coordinating issues across multiple time zones
* Experience identifying operational inefficiencies and implementing automation solutions using AI techniques
Preferred Qualifications:
* Experience with data streaming patterns and tools like Dbt
* Familiarity with CI/CD practices for data pipelines (BuildKite or Github Actions)
* Familiarity with data visualization tools such as Tableau or Looker
* Exposure to database design, performance analysis, and data quality metrics
* Exposure to Data Science, Machine Learning, and AI applications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20">
      <c r="A20" t="inlineStr">
        <is>
          <t>in-35dc4a090416b1a4</t>
        </is>
      </c>
      <c r="B20" t="inlineStr">
        <is>
          <t>Network Data Engineer</t>
        </is>
      </c>
      <c r="C20" t="inlineStr">
        <is>
          <t>Tata Consultancy Services (TCS)</t>
        </is>
      </c>
      <c r="D20" t="inlineStr">
        <is>
          <t>indeed</t>
        </is>
      </c>
      <c r="E20" t="inlineStr"/>
      <c r="F20" t="inlineStr"/>
      <c r="G20" t="inlineStr">
        <is>
          <t>Raleigh, NC, US</t>
        </is>
      </c>
      <c r="H20" s="2" t="n">
        <v>46065</v>
      </c>
      <c r="I20" t="inlineStr">
        <is>
          <t>Network Data Engineer  
Strong knowledge and Hands\-on experience on below technologies.
Cisco ISE,
Forescout – NAC,
Infoblox\- DNS DHCP IPAM
Cisco ACI,
IBM NS1,
NTP \- Microchip (time),
Ixia \- platform
Gluware \- Network tool
Ansible \- automation platform,
F5 LTM , GTM , BIGIQ  
Must have Below knowledge
1\. Cisco ISE \-
Clear understanding of Cisco ISE Architecture (Pan, PSN, MNT, etc.).
Cisco ISE configuration and troubleshooting hands on experience.
Cisco ISE policy configuration used for Wireless, Wired, VPN, and Network  
2\. Forescout’s \-
Configures, and manages Forescout's network configuration and troubleshooting hands on experience  
3\. Infoblox \-
manages, maintains, and optimizes an organization's core network services (DNS, DHCP, IPAM), troubleshooting hands on experience.  
4\. F5 (LTM \-GTM, BIGiQ \-
Hands on experience configuration and troubleshooting on F5 architecture on LTM, GTM, BIGiQ.  
5\. Cisco ACI \-
Design and deploy Cisco ACI fabrics (Leaf–Spine architecture). Configuration troubleshooting hands on experience
Configure Tenants, VRFs, Bridge Domains, EPGs, Contracts, and Filters
Implement Multi Pod, Multi Site, and Remote Leaf architectures
Knowledge/experience about high availability and disaster recovery setups  
6\.IBM NS1 \-
Hands\-on experience with the IBM NS1 Connect platform or comparable DNS automation and network performance solutions is often required.  
7\. NTP\- Microchip (time) \-
Familiarity with Microchip NTP equipment
Microchip NTP monitoring and troubleshooting tools.  
8\. Ixia \-
Understanding Ixia platform for network testing and topology testing
Using Ixia platform network troubleshooting for L2/L3 design  
9\. Gluware \-
Gluware configuration and troubleshooting
Gluware configuration using automation  
10\.Ansible automation platform \-
Ansible automation scripting language configuration management and troubleshooting.  
Salary Range\- $100,000\-$110,000 a year
\#LI\-SP3
\#LI\-VX1
**Location**
Raleigh, NC
**Job Function**
TECHNOLOGY
**Role**
Engineer
**Job Id**
396798
**Desired Skills**
Network Engineer
**Salary Range**
$100,000\-$110,000 a year
Desired Candidate Profile
**Qualifications** : BACHELOR OF COMPUTER SCIENCE</t>
        </is>
      </c>
    </row>
    <row r="21">
      <c r="A21" t="inlineStr">
        <is>
          <t>in-5fff83fdb2110842</t>
        </is>
      </c>
      <c r="B21" t="inlineStr">
        <is>
          <t>Data Steward &amp; Data Engineer</t>
        </is>
      </c>
      <c r="C21" t="inlineStr">
        <is>
          <t>Merck</t>
        </is>
      </c>
      <c r="D21" t="inlineStr">
        <is>
          <t>indeed</t>
        </is>
      </c>
      <c r="E21" t="inlineStr"/>
      <c r="F21" t="inlineStr"/>
      <c r="G21" t="inlineStr">
        <is>
          <t>Rahway, NJ, US</t>
        </is>
      </c>
      <c r="H21" s="2" t="n">
        <v>46065</v>
      </c>
      <c r="I21" t="inlineStr">
        <is>
          <t>**Job Description**
Job Description
Overview:
This role will work cross\-functionally with a variety of areas to maximize the value the Operations Data Layer provides to the organization. This includes helping to facilitate and comprehend requirements, deﬁning solution functionality, designing solutions as well as developing and enhancing solutions over time. The Team member will be hands\-on and have demonstrated experience developing and maintaining the central data repository in support of multiple species for all data integration and business intelligence needs.
Data Engineering Support:
* Elaborate Requirements, Data Validation, UAT and work with IT to build data views for use by all downstream applications like Dashboards, mobile applications, EDI data support, Days of Supply and Analytics dashboards
* Provide requirements to IT for building backend objects that are required for business analysts and pricing team.
* Work with the team\-lead on building and maintaining the self\-service operations data layer that acts as a central repository for all Data Warehouse and Business Intelligence needs.
Dashboards and Reporting:
* Support dashboards in self\-service mode \- Planning / Development \&amp; Production Enhancement Requirements / User training / Co\-ordination to align with business priorities.
* Perform UAT, Provide feedback to IT for seamless migration of dashboards from On Premise to Cloud
* Develop Ad hoc business reports for Sales, Marketing, Finance and other teams through Spotfire, PowerBI
Data Governance and Monitoring:
* Work with data management team lead to implement data governance standards and to build business / technical lineage with Collibra.
* Deﬁne Business Terms / Acronyms / Processes / various dashboards. Link above business assets for traceability / lineage and make them available for business consumption.
* Monitor data quality report and work proactively with IT on data issues as part of daily reconciliation process.
* Check the accuracy of the master and operational data which impacts dashboard reporting.
Data Management \- Master Data Repository:
* Work with the strategic account managers and maintain the customer list for various corporate accounts
* Maintain Standard pricing across all species at multiple Units of Measure and load all Special pricing programs across species by UIN from PROS
* Manage the sales quota to support the Sales Rep Incentive programs
* Develop PL/SQL Stored Procedures and Functions for automating the loading and validation of all Master data entities in the centralized Master Data Repository
* Develop and execute automated scripts to provide data and context to incoming ﬁeld requests from Salesforce system.
* Be accountable for Master data updates and enhancements especially with data shared with external partners like Proagrica and Celeritas
* Provide accurate Roster data from MDR for Customer Link\+ Portal and update changes from Portal in MDR
* Develop Data feeds from Animal Health Data Platform in Databricks to Informatica Customer MDM in collaboration with IT
* Provide UAT support when the MDR goes through upgrade or other design changes as proposed by IT
Database Development and Reporting:
* Build Database views for master data and sales reporting via internal applications and data visualization tools.
* Create and automate SQL scripts for providing reports/ data to internal (Sales, Marketing, Finance, Audit)/external partners for Margin/Rebate calculation and Pricing Portal for Distribution
* Develop scripts for generating Gross to Net ﬁles for SAP upon Pricing updates.
Education:
 Bachelor’s degree Required in Computer Science or Engineering
Required Skills and Experience:
* 10 years of relevant work experience.
* Experience working with databases such as Databricks, AWS Redshift, Oracle and with tools and applications such as SQL Loader, Toad, SQL Workbench for AWS Redshift, SQL Developer for Oracle.
* Ability to use IDMC to integrate data across source systems.
* Ability to build Spotfire and Power BI Dashboards.
* Experience in Animal Health industry including business knowledge of EDI / AHN processes.
* Sales / Marketing tasks and good understanding of Sales data elements is a plus.
* Ability to work independently and within a team and direct the resolution of highly complex or unusual business problems.
* Excellent communication, relationship and leadership skills are required.
* Proﬁciency in using Programming Languages such as SQL, PL/SQL, Oracle DDL, Unix Shell Scripts Knowledge of Oracle Databases and Proﬁcient in Data Modeling tools like Erwin.
* Exposure to Windows, Linux, and Unix Operating Systems
* Strong troubleshooting, analytical and problem\-solving skills balanced with a creative mindset.
* Ability to facilitate continuous improvement efforts collaboratively with team and peers.
* Self\-starter and be able to handle multiple tasks and priorities.
* Provide relevant inputs on solution requirements and solution recommendations.
* Manage the implementation of new enhancements Prioritize tasks and activities for provisioning data via Dashboards or other backend data views.
* Assist other team members to develop reports and dashboards and to assist the business and Serve as a subject matter expert.
* Remain current on new features and functionality of PowerBI and Spotﬁre product lines and provide recommendations for process improvements. Evaluate those capabilities for their business beneﬁt.
* Provide support to other team members to trouble shoot and resolve data related issues.
* Provide end user support for handling data accuracy and quality related questions and for escalating technical issues to appropriate IT support individuals and team.
 **Required Skills:**
Account Management, Business Intelligence (BI), Dashboard Reporting, Data Analysis, Data Governance, Data Management, Data Modeling, Information Technology (IT) Support Services, Master Data Management (MDM), Oracle Database, Quality Management**Preferred Skills:**
 **US and Puerto Rico Residents Only:**
Our company is committed to inclusion, ensuring that candidates can engage in a hiring process that exhibits their true capabilities. Please click here if you need an accommodation during the application or hiring process.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**U.S. Hybrid Work Model**
Effective September 5, 2023, employees in office\-based positions in the U.S. will be working a Hybrid work consisting of three total days on\-site per week, Monday \- Thursday, although the specific days may vary by site or organization, with Friday designated as a remote\-working day, unless business critical tasks require an on\-site presence.This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$117,000\.00 \- $184,200\.00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https://jobs.merck.com/us/en/compensation\-and\-benefits.
You can apply for this role through https://jobs.merck.com/us/en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Regular**Relocation:**
No relocation**VISA Sponsorship:**
No**Travel Requirements:**
No Travel Required**Flexible Work Arrangements:**
Hybrid**Shift:**
1st \- Day**Valid Driving License:**
No**Hazardous Material(s):**
n/a**Job Posting End Date:**
02/27/2026* **A job posting is effective until 11:59:59PM on the day** **BEFORE** **the listed job posting end date. Please ensure you apply to a job posting no later than the day** **BEFORE** **the job posting end date.**
**Requisition ID:**R384587</t>
        </is>
      </c>
    </row>
    <row r="22">
      <c r="A22" t="inlineStr">
        <is>
          <t>in-8fd24f82f55b4204</t>
        </is>
      </c>
      <c r="B22" t="inlineStr">
        <is>
          <t>Data Engineer</t>
        </is>
      </c>
      <c r="C22" t="inlineStr">
        <is>
          <t>Public Interest</t>
        </is>
      </c>
      <c r="D22" t="inlineStr">
        <is>
          <t>indeed</t>
        </is>
      </c>
      <c r="E22" t="inlineStr"/>
      <c r="F22" t="inlineStr"/>
      <c r="G22" t="inlineStr">
        <is>
          <t>US</t>
        </is>
      </c>
      <c r="H22" s="2" t="n">
        <v>46065</v>
      </c>
      <c r="I22" t="inlineStr">
        <is>
          <t>**About the Company**
The Public Interest Company is a comprehensive solution for identifying and recovering third party liability for health plans, risk\-bearing provider groups, and self\-funded employers. We combine AI and a legal tech platform to identify and recover claims that should have been paid by third party payers. We handle the entire recovery process, all while protecting members and streamlining operations. We empower healthcare organizations to maximize their financial performance, and recoup dollars towards care delivery, without adding administrative burden.  
**Role Overview**  
In this role, you’ll support the ingestion and transformation of raw healthcare claims data into standardized, actionable datasets that help identify and recover third\-party liability opportunities. You’ll contribute to the design, development, and maintenance of ETL pipelines, while ensuring the accuracy and reliability of the resulting data.
The ideal candidate has a foundational understanding of healthcare data (claims\-specific experience is a plus) and is familiar with common data engineering principles. You should be comfortable working in a fast\-paced, startup environment, collaborating with team members from across the business, and willing to contribute to a wide range of data\-related projects.
All downstream business operations depend on high\-quality data. In this role, you will be a critical contributor to ensuring that data is accurate, timely, and actionable.
**Responsibilities**
* **Data pipelines:** Design, build, and maintain data pipelines using SQL, Python, dbt and Databricks.
* **Data validation:** Conduct regular data quality checks to ensure accuracy and integrity for downstream users.
* **Data troubleshooting:** Proactively identify data issues and develop custom solutions.
* **Process Optimization:** Monitor pipeline performance and tune processes to improve efficiency.
* **Cross\-functional collaboration:** Work with cross\-functional teams to understand data requirements and incorporate them into the data framework.
* **Team engagement:** Actively participate in discussions, offering input and feedback to drive continuous improvement.
**Qualifications**
* 1–3 years of experience in data engineering, analytics, or related technical roles.
* Solid understanding of ETL/ELT concepts and data pipeline design.
* Proficiency in SQL; Python experience is a plus.
* Foundational understanding of healthcare data; experience with claims data is a plus.
* Familiarity with modern cloud data platforms (e.g., Databricks, Snowflake).
* Strong analytical and problem\-solving skills with attention to detail.
* Ability to work independently while collaborating effectively within a team.
* Previous startup experience is a plus.</t>
        </is>
      </c>
    </row>
    <row r="23">
      <c r="A23" t="inlineStr">
        <is>
          <t>in-77e5b7bd44f75def</t>
        </is>
      </c>
      <c r="B23" t="inlineStr">
        <is>
          <t>Data Engineer I</t>
        </is>
      </c>
      <c r="C23" t="inlineStr">
        <is>
          <t>EMC Insurance</t>
        </is>
      </c>
      <c r="D23" t="inlineStr">
        <is>
          <t>indeed</t>
        </is>
      </c>
      <c r="E23" t="inlineStr"/>
      <c r="F23" t="inlineStr"/>
      <c r="G23" t="inlineStr">
        <is>
          <t>Des Moines, IA, US</t>
        </is>
      </c>
      <c r="H23" s="2" t="n">
        <v>46065</v>
      </c>
      <c r="I23" t="inlineStr">
        <is>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  
\*\*This role can be performed remotely in the Des Moines, Iowa metro area with the ability to work on\-site as needed\*\*
Essential Functions:
Collaborates with the team to develop, test, and maintain prioritized engineering (design/build/test) work as a member of a data analytics product pipeline architecture and infrastructure team:* Pairs with senior team members to develop and maintain ETL/ELT pipeline architecture that cleans, transforms, and aggregates data from disparate sources using architecturally approved tools, programming languages, and services to deliver a data mesh approach
* Assists in development and maintenance of automated ETL/ELT monitoring and alarming solutions using architecturally approved languages and services
* Monitors, troubleshoots, and optimizes data pipelines for quality, performance, and reliability creating a single source of truth providing business customers with highly reliable and quality data
* Collaborates with senior team members to build unit tests to enable test driven development and automation to drive code reliability Develops, maintains, tests, and deploys code with architecturally approved toolsets using Dev Ops practices, ETL/ELT pipelines, data catalogs and data queries
* Maintains data solutions in a divest state to ensure business functionality until replaced with new technology
* Helps business customers develop, troubleshoot, and optimize SQL and ETL/ELT solutions to solve reporting, metrics, and analytics problems
Data analysis: Collaborates with cross\-functional teams to understand data requirements for data analytics products and translate them into scalable and efficient data solutions:* Participates in small projects and supports larger initiatives as part of a team
* Partners with team to understand data needs and business requirements
* Collaborates with team on conceptualizing and developing new data solutions to meet the business requirements
* Researches, performs analysis and proposes effective solutions related to systems development and enhancements through collaboration with Data Architecture
* Collaborates with team on potential adjustments or modifications for impacts on other programs
* Utilizes understanding of data governance, data security, and privacy principles to support data lineage and reference data needs
* Collaborates with cross\-functional teams to understand business and downstream application (BI reporting, Data Science, Data Governance, other System integrations) and consumer requirements to deliver data\-driven solutions that implement best practices for data management, security, and governance
Documentation:* Participates in creating and maintaining documentation related to the design of applications and interfaces to enterprise and third\-party systems in accordance with departmental and team standards
* Collaborates with data governance on ensuring what is being produced in data analytics products enables data governance to publish a data asset
* Collaborate with data governance to develop and maintain data analytic product artifacts and user documentation for business customers
* Maintains systems documentation
Data modeling:* Partners with team members to develop data objects for data analytics products using data modeling techniques
* Partners with team members to model front\-end and back\-end data sources to help draw a more comprehensive picture of user flows throughout the system and to enable powerful data analysis
* Partners with team members to understand business needs and translate them into a conceptual data model, defining entities, attributes, and relationships
* Collaborates with team members to build assigned detailed logical model based on the conceptual model, specifying data types, constraints, and keys to ensure data integrity
* Partners with team members to implement logical models into appropriate database management system, considering database features, storage optimization, and performance considerations
* Designs assigned data pipelines to extract data from source systems, transform as needed based on the data model, and load into the target database
Education \&amp; Experience:* Bachelor’s degree, preferably in a computer related field or equivalent relevant experience
* Prior experience working with unstructured datasets preferred
Knowledge, Skills \&amp; Abilities:* Basic knowledge of SQL and relational databases
* Knowledge of applicable programming languages such as Python preferred
* Knowledge of cloud services such as S3, RDS, SNS, CloudWatch and Lambda preferred
* Knowledge of DBT/Informatica or other ETL/ELT tools preferred
* Knowledge of data modeling preferred
* Good analytical and problem\-solving skills
* Ability to manipulate, process and extract value from large, disconnected datasets
* Knowledge of DevOps and/or DataOps practices, CI/CD pipelines, and containerization technologies preferred
* Good verbal and written communication skills
* Strong attention to detail, organizational and multi\-tasking skills, with the ability to adapt to changing priorities
* Ability to maintain confidentiality
The hiring salary range for this position will vary based on geographic location, falling within either of the following:
$60,813 \- $84,038 or $67,200 \- $92,395
A hiring range represents a subset of the full salary range. The actual salary will depend on several factors, including relevant education, skills, and experience of an applicant, geographic location, and business needs.  
For information relating to the benefits EMC Team Members receive as part of a comprehensive rewards package, please visit www.emcins.com/careers.*Our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laws.**All of our locations are tobacco free including in company vehicles.*</t>
        </is>
      </c>
    </row>
    <row r="24">
      <c r="A24" t="inlineStr">
        <is>
          <t>in-16c1e7b31f516497</t>
        </is>
      </c>
      <c r="B24" t="inlineStr">
        <is>
          <t>Data Engineer AI</t>
        </is>
      </c>
      <c r="C24" t="inlineStr">
        <is>
          <t>Quest Global</t>
        </is>
      </c>
      <c r="D24" t="inlineStr">
        <is>
          <t>indeed</t>
        </is>
      </c>
      <c r="E24" t="inlineStr"/>
      <c r="F24" t="inlineStr"/>
      <c r="G24" t="inlineStr">
        <is>
          <t>Sunnyvale, CA, US</t>
        </is>
      </c>
      <c r="H24" s="2" t="n">
        <v>46065</v>
      </c>
      <c r="I24" t="inlineStr">
        <is>
          <t>**Job Requirements**  
**POSITION: Data Analyst / Engineer**
**Who We Are:**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Perform root cause analysis on processes and data to identify opportunities for improvement and answer questions
* Build processes that support data transformation, workload management, data structures, dependency and metadata
* Perform data validation checks, identify and rectifying errors, and maintaining a quality standard throughout the data's lifecycle.
* Explore datasets to identify trends, patterns, and insights.
* Perform analysis for stakeholders and other non\-technical professionals. Build models to generate actionable insights for making efficient business decisions. ‍
* Build data pipelines that clean, transform, and aggregate data from disparate sources
* Work with data to solve business problems, building and maintaining the infrastructure to answer questions and improve processes
* Streamline data science workflows, adding value to our product offerings and building out the customer lifecycle and retention models
* Primary skills \- Must have: Snowflake, SQL
* Work experience \- AI integration, Agentic AI
* Secondary: Tableau
**What You Will Bring:**
* Create and improve data visualization tools like Tableau \&amp; ThoughtSpot
* Work with Snowflake \&amp; it’s built in infrastructure, SQL, Python, Excel, \&amp; Numbers
* Experience presentation/project management Tools like Quip, Keynote, Miro, Slack
* Experience and understanding of machine learning tools like datarobot
* Project Management experience
* to provide support to a wide variety of business teams
* Good Interpersonal, relationship building, communication and presentation skills
 **Pay Range:** $105000 \- $110000 per annum
*Compensation decisions are made based on factors including experience, skills, education, and other job\-related factors, in accordance with our internal pay structure. We also offer a comprehensive benefits package, including health insurance, paid time off, and retirement plan.*
**Work Requirements:**
This role is considered an on\-site position located in **Sunnyvale, CA, USA**
* You must be able to commute to and from the location with your own transportation arrangements to meet the required working hours.
* Shop floor environment, which may include but not limited to extensive walking, and ability to lift up to 40 lbs.
 **Benefits begin on day one:**
* 401(k) matching
* Dental insurance
* Health insurance
* Paid time off
* Vision insurance
* Employer paid Life Insurance, Short\- \&amp; Long\-Term Disability
**Work Experience**  
* Primary skills \- Must have: Snowflake, SQL
* Work experience \- AI integration, Agentic AI
* Secondary: Tableau
**Benefits**  
Applicable ones</t>
        </is>
      </c>
    </row>
    <row r="25">
      <c r="A25" t="inlineStr">
        <is>
          <t>in-7194ee05e3c1973d</t>
        </is>
      </c>
      <c r="B25" t="inlineStr">
        <is>
          <t>Azure Data Engineer</t>
        </is>
      </c>
      <c r="C25" t="inlineStr">
        <is>
          <t>The Hearst Corporation</t>
        </is>
      </c>
      <c r="D25" t="inlineStr">
        <is>
          <t>indeed</t>
        </is>
      </c>
      <c r="E25" t="inlineStr"/>
      <c r="F25" t="inlineStr"/>
      <c r="G25" t="inlineStr">
        <is>
          <t>Charlotte, NC, US</t>
        </is>
      </c>
      <c r="H25" s="2" t="n">
        <v>46065</v>
      </c>
      <c r="I25" t="inlineStr">
        <is>
          <t>Hearst Television (HTV) is hiring an **Azure Data Engineer** to lead the build of our next\-generation data platform. You will be instrumental in migrating our data infrastructure from legacy system to a cutting\-edge Microsoft Fabric ecosystem. You will design the Medallion architecture, ensuring a seamless, scalable data flow from diverse source systems into our OneLake environment. This role is central to our mission of owning our data future and driving innovation in media sales.
**What You’ll Do**
* Pipeline Orchestration: Design, build, and deploy complex ETL/ELT pipelines using Azure Data Factory and Fabric Data Pipelines to power our enterprise analytics.
* Compute \&amp; Automation: Develop custom Azure Functions (Python) and API integrations to bridge gaps where native connectors are insufficient, ensuring no data source is out of reach.
* Hybrid Ingestion: Architect robust ingestion frameworks capable of handling high\-velocity real\-time APIs and structured scheduled landings (CSV/Parquet).
* Storage Optimization: Manage and optimize OneLake/Delta Lake storage to ensure peak performance for downstream Analytics Engineering and AI consumption.
* CI/CD \&amp; DevOps: Maintain and enhance GitHub Action pipelines to automate deployments across Dev, Test, and Prod environments, ensuring a stable and reliable release cycle.
* Governance \&amp; Security: Implement best\-class data governance, privacy, and security practices, utilizing Managed Identities and VNETs to protect our data assets.
* Technical Troubleshooting: Perform root cause analysis on pipeline failures and implement automated monitoring to minimize downtime and points of failure.
**Requirements**
* Experience: 5–7 years as a Data Engineer in an enterprise environment with a proven track record in Azure Cloud.
* Cloud Architecture: Deep proficiency in Azure\-native components, including Azure Data Lake Gen2, API Gateway, and Microsoft Fabric.
* Coding \&amp; Scripting: Expert\-level Python (including API development with FastAPI) and SQL across relational and NoSQL databases.
* Big Data Tools: Strong hands\-on experience with Spark (PySpark) and Delta Lake principles.
* Automation: Demonstrated experience with serverless compute (Azure Functions) and YAML\-based CI/CD workflows.
* Certification: Microsoft Certified: Azure Data Engineer Associate is strongly preferred.
* Soft Skills: Ability to lead architectural discussions and navigate complex cloud environments (Subscriptions, VNETs, Managed Identities).
**Values in Action**
At Hearst Television we tell stories every day. Stories about people of all backgrounds, perspectives, and identities. That’s why, behind the scenes, we believe in being an organization that fosters collaboration and open communication, ensuring that the content we create is authentic, accurate, and connected to the communities we serve.
**Benefits**
Hearst's benefit programs are modern, flexible and designed to focus on you. As a Hearst employee, you and your spouse or partner or dependents would have access to the following benefits:
* Medical \| Dental \| Vision
* 401(k) matching
* Emotional Wellness Support
* Paid Time Off \&amp; Parental Leave
* LGBTQ\+ Health Services
Hearst Television (HTV) owns and/or operates 35 television and two radio stations serving 27 media markets across 39 states reaching over 22 million U.S. television households. HTV is recognized as one of the industry's premier broadcasting companies and has been honored with numerous awards for distinguished journalism, industry innovation, and community service.
We are an Equal Opportunity Employer. we do not discriminate in hiring on the basis of sex, gender identity, sexual orientation, race, color, religion, creed, national, origin, physical or mental disability, protected veteran status, or any other characteristic protected by federal, state, or local law.
Degree Level :</t>
        </is>
      </c>
    </row>
    <row r="26">
      <c r="A26" t="inlineStr">
        <is>
          <t>in-c9ecbc97470ed1dc</t>
        </is>
      </c>
      <c r="B26" t="inlineStr">
        <is>
          <t>Analytics Engineer</t>
        </is>
      </c>
      <c r="C26" t="inlineStr">
        <is>
          <t>The Hearst Corporation</t>
        </is>
      </c>
      <c r="D26" t="inlineStr">
        <is>
          <t>indeed</t>
        </is>
      </c>
      <c r="E26" t="inlineStr"/>
      <c r="F26" t="inlineStr"/>
      <c r="G26" t="inlineStr">
        <is>
          <t>Charlotte, NC, US</t>
        </is>
      </c>
      <c r="H26" s="2" t="n">
        <v>46065</v>
      </c>
      <c r="I26" t="inlineStr">
        <is>
          <t>Hearst Television (HTV) is hiring an **Analytics Engineer** . The ideal candidate will act as the vital bridge between raw data and executive insights. You will take "Bronze" data and transform it into high\-value Silver (Cleansed) and Gold (Aggregated) layers. Your primary goal is to codify complex media sales logic such as Revenue Pacing, Share of Wallet, and Yield into high\-performance Semantic Models that power our Power BI dashboards and AI Data Agents. This role ensures our data is not just accessible, but actionable and intelligent.
**What You’ll Do**
* Medallion Transformation: Use Spark and SQL to architect the Silver and Gold layers of our Lakehouse, ensuring all data is rigorously tested, clean, and documented.
* Semantic Modeling: Design and maintain the Microsoft Fabric Semantic Model (Direct Lake mode) to provide a "Single Source of Truth" across the entire organization.
* Business Logic Codification: Partner closely with Sales and Finance stakeholders to translate "What" and "Why" business questions into precise technical data definitions.
* AI Data Readiness: Structure data specifically for LLM consumption, enabling our AI Data Agents to accurately navigate complex hierarchies of stations, advertisers, and categories.
* Data Governance \&amp; Security: Implement Row\-Level Security (RLS) and maintain data lineage to ensure compliance with Hearst’s unified data strategy.
* Technical Leadership: Lead the design of project\-specific data models, prepare design specifications, and conduct feature estimations in collaboration with cross\-functional teams.
* Optimization \&amp; RCA: Perform root cause analysis on anomalies and implement solutions to minimize points of failure and optimize data pipeline performance.
**Requirements**
* Experience: 7\+ years in business analytics, data modeling, or data engineering (or a Master’s degree with 5\+ years of experience).
* Modeling Expertise: 5\+ years of deep experience with relational modeling concepts and Microsoft tabular semantic models.
* Technical Proficiency: Expert\-level SQL skills and 5\+ years of experience with Power BI, DAX, and Spark (Spark SQL/PySpark/Scala).
* Platform Knowledge: Strong hands\-on experience with Microsoft Fabric tools and the Delta Lake format.
* Logic \&amp; Design: Demonstrated experience translating complex business requirements into technical requirements using Star Schema/Dimensional modeling.
* DevOps: Familiarity with Git, CI/CD, and modern development workflows.
* Communication: Proven ability to collaborate with stakeholders and escalate data requirements or constraints effectively.
**Preferred Qualifications**
* Familiarity with governance, security best practices, and performance tuning in a cloud environment.
* Experience in the media or broadcasting industry is a plus.
* Knowledge of serverless architectures and containerized deployment.
**Values in Action**
At Hearst Television we tell stories every day. Stories about people of all backgrounds, perspectives, and identities. That’s why, behind the scenes, we believe in being an organization that fosters collaboration and open communication, ensuring that the content we create is authentic, accurate, and connected to the communities we serve.
**Benefits**
Hearst's benefit programs are modern, flexible and designed to focus on you. As a Hearst employee, you and your spouse or partner or dependents would have access to the following benefits:
* Medical \| Dental \| Vision
* 401(k) matching
* Emotional Wellness Support
* Paid Time Off \&amp; Parental Leave
* LGBTQ\+ Health Services
Hearst Television (HTV) owns and/or operates 35 television and two radio stations serving 27 media markets across 39 states reaching over 22 million U.S. television households. HTV is recognized as one of the industry's premier broadcasting companies and has been honored with numerous awards for distinguished journalism, industry innovation, and community service.
We are an Equal Opportunity Employer. we do not discriminate in hiring on the basis of sex, gender identity, sexual orientation, race, color, religion, creed, national, origin, physical or mental disability, protected veteran status, or any other characteristic protected by federal, state, or local law.
Degree Level :</t>
        </is>
      </c>
    </row>
    <row r="27">
      <c r="A27" t="inlineStr">
        <is>
          <t>in-47256f83e7ff5fad</t>
        </is>
      </c>
      <c r="B27" t="inlineStr">
        <is>
          <t>Senior Data Engineer</t>
        </is>
      </c>
      <c r="C27" t="inlineStr">
        <is>
          <t>General Dynamics Information Technology</t>
        </is>
      </c>
      <c r="D27" t="inlineStr">
        <is>
          <t>indeed</t>
        </is>
      </c>
      <c r="E27" t="inlineStr"/>
      <c r="F27" t="inlineStr"/>
      <c r="G27" t="inlineStr">
        <is>
          <t>IN, US</t>
        </is>
      </c>
      <c r="H27" s="2" t="n">
        <v>46065</v>
      </c>
      <c r="I27" t="inlineStr">
        <is>
          <t>Your Impact
Own your opportunity to work alongside federal civilian agencies. Make an impact by providing services that help the government ensure the well being and support of U.S. citizens.
Job Description
GDIT is your place. You make it your own by bringing your ideas and unique perspective to our culture. By owning your opportunity at GDIT, you are helping us ensure today is safe and tomorrow is smarter. Our work depends on a Senior Data Engineer joining our team to support our customer activities in Washington, DC. This position can be worked Remote.
At GDIT, people are our differentiator. As a Senior Data Engineer supporting our Customer, you will perform communication\-related duties. In this role, a typical day will include:
Job Description
The Senior Data Engineer provides advanced analytical, machine learning, and data engineering support. This role combines deep expertise in predictive modeling, statistical analysis, and scalable data pipeline development to deliver production\-ready solutions that drive data\-informed decision\-making and operational efficiency.
Duties include:
* Design, develop, and deploy machine learning models for classification, regression, time series forecasting, and natural language processing applications to solve complex business problems.
* Build and optimize automated, scalable ETL/ELT pipelines using Python, SQL, and cloud\-based tools to integrate, transform, and validate structured and unstructured data from diverse sources.
* Develop and maintain production ML systems including model deployment, monitoring, versioning, and performance tracking in collaboration with AI/ML infrastructure teams.
* Design, develop, and deploy interactive dashboards and data visualizations using Tableau, Power BI, or similar platforms to deliver actionable insights to technical and executive stakeholders.
* Perform end\-to\-end model development including exploratory data analysis, feature engineering, hyperparameter tuning, model validation, and documentation.
* Develop and maintain data pipelines and workflows using tools such as AWS services, Databricks, and GitLab CI/CD to support analytics and ML operations.
* Conduct data mining, cleaning, and manipulation using SQL, Python (Pandas, NumPy), or R to deliver statistical analyses, visualizations, and predictive insights.
* Translate complex business requirements into technical solutions, data models, and analytical frameworks that align with long\-term technology strategy.
* Provide technical mentorship to team members on advanced analytics techniques, Python scripting, ML best practices, and workflow automation.
* Create comprehensive documentation including data dictionaries, metadata, technical specifications, and presentations for diverse audiences.
* Respond to urgent and ad\-hoc data requests, compile reports for leadership, and coordinate collaborative research and analysis projects.
* Partner with cross\-functional teams including data engineers, software developers, and federal stakeholders to ensure production readiness and scalability of data solutions.
This position is fully remote and requires a Public Trust (or the ability to obtain it). The candidate may be required to work outside of business hours including weekends based on need.
Education:
Requires BS/BA degree in Data Science, Computer Science, Statistics, Mathematics, Engineering, or a related quantitative field. Master's degree preferred.
Qualifications required:
* At least 5 years of experience in data science, machine learning, or advanced analytics; 3 years of experience with a master's degree.
* Experience with CI/CD pipelines (GitLab CI/CD) for data workflows.
* Strong proficiency in Python and SQL for data manipulation, analysis, and pipeline development.
* Experience with ETL/ELT pipeline development and data engineering best practices.
* Demonstrated knowledge of data visualization platforms (Tableau, Power BI) and ability to translate technical insights into executive\-level dashboards.
* Experience with cloud platforms and modern data infrastructure.
* Knowledge of statistical analysis and modeling techniques.
* Understanding of relational and non\-relational databases (Oracle SQL, PostgreSQL, etc.).
* Strong version control and collaboration skills using Git (GitHub, GitLab).
* Exceptional analytical skills with strong attention to detail.
* Strong written and verbal communication skills with ability to present complex findings to non\-technical stakeholders.
* Must be able to work both independently and as part of a collaborative team in a fast\-paced, agile environment.
Preferred:
* Familiarity with ML orchestration tools (e.g. Kubeflow, ML Flow, Air Flow, Sage Maker, or similiar)
* Experience with MLOps practices including model monitoring, versioning, and production deployment.
* Experience with data orchestration and workflow automation tools.
* Experience working with federal government data systems and compliance requirements.
* Background in Agile/Scrum methodologies and project management tools (Jira).
* Experience mentoring junior data professionals and establishing analytics best practices.
Work Requirements
Years of Experience
5 \+ years of related experience* may vary based on technical training, certification(s), *or* degree
Certification
Travel Required
None
Salary and Benefit Information
The likely salary range for this position is $110,500 \- $149,500\.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8">
      <c r="A28" t="inlineStr">
        <is>
          <t>in-05a8215553ba7342</t>
        </is>
      </c>
      <c r="B28" t="inlineStr">
        <is>
          <t>Cloud Data Engineer</t>
        </is>
      </c>
      <c r="C28" t="inlineStr">
        <is>
          <t>ECS</t>
        </is>
      </c>
      <c r="D28" t="inlineStr">
        <is>
          <t>indeed</t>
        </is>
      </c>
      <c r="E28" t="inlineStr"/>
      <c r="F28" t="inlineStr"/>
      <c r="G28" t="inlineStr">
        <is>
          <t>Fairfax, VA, US</t>
        </is>
      </c>
      <c r="H28" s="2" t="n">
        <v>46065</v>
      </c>
      <c r="I28" t="inlineStr">
        <is>
          <t>ECS is seeking a ***Cloud Data Engineer*** to work in a hybrid onsite / remote capacity from our ***Fairfax, VA*** office to work as a member of a team implementing a new cloud\-based application. **Please Note:** **This position is contingent upon additional funding.**
The Cloud Data Engineer will lead, together with an application developer, the design and implementation of a new cloud‑based application that will serve as the foundation for future artificial‑intelligence (AI) capabilities. The incumbent will:
* Gather and analyze customer requirements, data sources, and workflow needs.
* Leverage deep knowledge of cloud platforms (AWS, Azure) and AI technologies to create a production‑ready solution within a DevSecOps framework.
* Bridge strategy, architecture, and development to help the Department of War (DoW) become more data‑centric and insight‑driven.
* Integrate Commercial‑Off‑The‑Shelf (COTS) products, consume APIs, interact with data repositories, and manage cross‑domain system interfaces.
Responsibilities:
* Develop a roadmap that links architectural capabilities to the organization's data challenges.
* Work directly with developers to deliver solutions, provide customer support, and perform solutioning.
* Communicate technical concepts to stakeholders at all levels, building relationships, offering guidance, and articulating business value.
* Mentor data‑engineers, establish best‑practice standards, conduct code reviews, and explain the business impact of solutions.
* Operate in an Agile environment, applying advanced design and engineering best practices.
* Build data‑driven solutions that improve business insight, support operational decisions, and enable performance management.
Requirements:
* ***U.S. Citizen.***
* ***Ability to obtain and maintain a Top Secret with SCI security clearance.***
* ***Bachelor's degree in Computer Science, Engineering, Data Science, or related field.***
* Active DoD 8140 IAT Level II or higher (e.g., CompTIA Security\+) and SAA\-C03 AWS Certified Solutions Architect \- Associate certifications.
* 10 \+ years of experience building analytical tools, including AI/ML‑based solutions.
* Proven record of delivering high‑quality software that is accurate, efficient, reliable, maintainable, and scalable.
* Strong foundation in data‑engineering fundamentals – ingestion, cleaning, transformation, storage, fusion, and visualization.
* Hands‑on experience with cloud‑native data and AI services on AWS and Azure (e.g., S3, Redshift, Athena, Glue, Azure Data Lake, Synapse, Azure Machine Learning, etc.).
* Programming languages: Python (primary), Java, Scala or another language; strong SQL skills.
* Data‑orchestration tools: Apache Airflow, Azure Data Factory, AWS Step Functions, etc.
* Data‑lake/warehouse platforms: Snowflake, Redshift, Synapse, BigQuery, Delta Lake.
* Advanced SQL \+ Python/Scala for ETL, analytics, and model‑serving pipelines.
* Understanding of scaling \&amp; performance for distributed/cloud systems.
* Familiarity with AI/ML concepts, automation, and scripting.
* Experience designing Zero‑Trust data architectures – encryption, IAM policies, audit logging.
* Professional software‑development practices: version control (Git), automated testing, code review, and modular design.
* Strong technical writing, presentation, and communication skills for reports, proposals, and stakeholder briefings.
* Translate strategic goals into concrete technical roadmaps.
* Partner with developers to prototype, test, and deploy solutions.
* Serve as a liaison between technical teams and business leadership, ensuring alignment on priorities and outcomes.
* Foster a culture of continuous improvement and knowledge sharing.
* Strong problem\-solving and decision\-making capabilities, with a proven ability to weigh the relative costs and benefits of potential actions and identify the most appropriate solution.
* Highly developed interpersonal and oral/written communication skills, with the ability to effectively and professionally interact with a diverse set of stakeholders (from peers to end\-users to executive management).
Req Benefits:
https://ecstech.com/careers/benefits/"\&gt;https://ecstech.com/careers/benefits/</t>
        </is>
      </c>
    </row>
    <row r="29">
      <c r="A29" t="inlineStr">
        <is>
          <t>in-f32e046c0c2f2b9e</t>
        </is>
      </c>
      <c r="B29" t="inlineStr">
        <is>
          <t>Analytics Engineer</t>
        </is>
      </c>
      <c r="C29" t="inlineStr">
        <is>
          <t>The Hearst Corporation</t>
        </is>
      </c>
      <c r="D29" t="inlineStr">
        <is>
          <t>indeed</t>
        </is>
      </c>
      <c r="E29" t="inlineStr"/>
      <c r="F29" t="inlineStr"/>
      <c r="G29" t="inlineStr">
        <is>
          <t>Charlotte, NC, US</t>
        </is>
      </c>
      <c r="H29" s="2" t="n">
        <v>46065</v>
      </c>
      <c r="I29" t="inlineStr">
        <is>
          <t>Hearst Television (HTV) is hiring an **Analytics Engineer** . The ideal candidate will act as the vital bridge between raw data and executive insights. You will take "Bronze" data and transform it into high\-value Silver (Cleansed) and Gold (Aggregated) layers. Your primary goal is to codify complex media sales logic such as Revenue Pacing, Share of Wallet, and Yield into high\-performance Semantic Models that power our Power BI dashboards and AI Data Agents. This role ensures our data is not just accessible, but actionable and intelligent.
**What You’ll Do**
* Medallion Transformation: Use Spark and SQL to architect the Silver and Gold layers of our Lakehouse, ensuring all data is rigorously tested, clean, and documented.
* Semantic Modeling: Design and maintain the Microsoft Fabric Semantic Model (Direct Lake mode) to provide a "Single Source of Truth" across the entire organization.
* Business Logic Codification: Partner closely with Sales and Finance stakeholders to translate "What" and "Why" business questions into precise technical data definitions.
* AI Data Readiness: Structure data specifically for LLM consumption, enabling our AI Data Agents to accurately navigate complex hierarchies of stations, advertisers, and categories.
* Data Governance \&amp; Security: Implement Row\-Level Security (RLS) and maintain data lineage to ensure compliance with Hearst’s unified data strategy.
* Technical Leadership: Lead the design of project\-specific data models, prepare design specifications, and conduct feature estimations in collaboration with cross\-functional teams.
* Optimization \&amp; RCA: Perform root cause analysis on anomalies and implement solutions to minimize points of failure and optimize data pipeline performance.
**Requirements**
* Experience: 7\+ years in business analytics, data modeling, or data engineering (or a Master’s degree with 5\+ years of experience).
* Modeling Expertise: 5\+ years of deep experience with relational modeling concepts and Microsoft tabular semantic models.
* Technical Proficiency: Expert\-level SQL skills and 5\+ years of experience with Power BI, DAX, and Spark (Spark SQL/PySpark/Scala).
* Platform Knowledge: Strong hands\-on experience with Microsoft Fabric tools and the Delta Lake format.
* Logic \&amp; Design: Demonstrated experience translating complex business requirements into technical requirements using Star Schema/Dimensional modeling.
* DevOps: Familiarity with Git, CI/CD, and modern development workflows.
* Communication: Proven ability to collaborate with stakeholders and escalate data requirements or constraints effectively.
**Preferred Qualifications**
* Familiarity with governance, security best practices, and performance tuning in a cloud environment.
* Experience in the media or broadcasting industry is a plus.
* Knowledge of serverless architectures and containerized deployment.
**Values in Action**
At Hearst Television we tell stories every day. Stories about people of all backgrounds, perspectives, and identities. That’s why, behind the scenes, we believe in being an organization that fosters collaboration and open communication, ensuring that the content we create is authentic, accurate, and connected to the communities we serve.
**Benefits**
Hearst's benefit programs are modern, flexible and designed to focus on you. As a Hearst employee, you and your spouse or partner or dependents would have access to the following benefits:
* Medical \| Dental \| Vision
* 401(k) matching
* Emotional Wellness Support
* Paid Time Off \&amp; Parental Leave
* LGBTQ\+ Health Services
Hearst Television (HTV) owns and/or operates 35 television and two radio stations serving 27 media markets across 39 states reaching over 22 million U.S. television households. HTV is recognized as one of the industry's premier broadcasting companies and has been honored with numerous awards for distinguished journalism, industry innovation, and community service.
We are an Equal Opportunity Employer. we do not discriminate in hiring on the basis of sex, gender identity, sexual orientation, race, color, religion, creed, national, origin, physical or mental disability, protected veteran status, or any other characteristic protected by federal, state, or local law.</t>
        </is>
      </c>
    </row>
    <row r="30">
      <c r="A30" t="inlineStr">
        <is>
          <t>in-3df6e6887b8811ee</t>
        </is>
      </c>
      <c r="B30" t="inlineStr">
        <is>
          <t>Azure Data Engineer</t>
        </is>
      </c>
      <c r="C30" t="inlineStr">
        <is>
          <t>The Hearst Corporation</t>
        </is>
      </c>
      <c r="D30" t="inlineStr">
        <is>
          <t>indeed</t>
        </is>
      </c>
      <c r="E30" t="inlineStr"/>
      <c r="F30" t="inlineStr"/>
      <c r="G30" t="inlineStr">
        <is>
          <t>Charlotte, NC, US</t>
        </is>
      </c>
      <c r="H30" s="2" t="n">
        <v>46065</v>
      </c>
      <c r="I30" t="inlineStr">
        <is>
          <t>Hearst Television (HTV) is hiring an **Azure Data Engineer** to lead the build of our next\-generation data platform. You will be instrumental in migrating our data infrastructure from legacy system to a cutting\-edge Microsoft Fabric ecosystem. You will design the Medallion architecture, ensuring a seamless, scalable data flow from diverse source systems into our OneLake environment. This role is central to our mission of owning our data future and driving innovation in media sales.
**What You’ll Do**
* Pipeline Orchestration: Design, build, and deploy complex ETL/ELT pipelines using Azure Data Factory and Fabric Data Pipelines to power our enterprise analytics.
* Compute \&amp; Automation: Develop custom Azure Functions (Python) and API integrations to bridge gaps where native connectors are insufficient, ensuring no data source is out of reach.
* Hybrid Ingestion: Architect robust ingestion frameworks capable of handling high\-velocity real\-time APIs and structured scheduled landings (CSV/Parquet).
* Storage Optimization: Manage and optimize OneLake/Delta Lake storage to ensure peak performance for downstream Analytics Engineering and AI consumption.
* CI/CD \&amp; DevOps: Maintain and enhance GitHub Action pipelines to automate deployments across Dev, Test, and Prod environments, ensuring a stable and reliable release cycle.
* Governance \&amp; Security: Implement best\-class data governance, privacy, and security practices, utilizing Managed Identities and VNETs to protect our data assets.
* Technical Troubleshooting: Perform root cause analysis on pipeline failures and implement automated monitoring to minimize downtime and points of failure.
**Requirements**
* Experience: 5–7 years as a Data Engineer in an enterprise environment with a proven track record in Azure Cloud.
* Cloud Architecture: Deep proficiency in Azure\-native components, including Azure Data Lake Gen2, API Gateway, and Microsoft Fabric.
* Coding \&amp; Scripting: Expert\-level Python (including API development with FastAPI) and SQL across relational and NoSQL databases.
* Big Data Tools: Strong hands\-on experience with Spark (PySpark) and Delta Lake principles.
* Automation: Demonstrated experience with serverless compute (Azure Functions) and YAML\-based CI/CD workflows.
* Certification: Microsoft Certified: Azure Data Engineer Associate is strongly preferred.
* Soft Skills: Ability to lead architectural discussions and navigate complex cloud environments (Subscriptions, VNETs, Managed Identities).
**Values in Action**
At Hearst Television we tell stories every day. Stories about people of all backgrounds, perspectives, and identities. That’s why, behind the scenes, we believe in being an organization that fosters collaboration and open communication, ensuring that the content we create is authentic, accurate, and connected to the communities we serve.
**Benefits**
Hearst's benefit programs are modern, flexible and designed to focus on you. As a Hearst employee, you and your spouse or partner or dependents would have access to the following benefits:
* Medical \| Dental \| Vision
* 401(k) matching
* Emotional Wellness Support
* Paid Time Off \&amp; Parental Leave
* LGBTQ\+ Health Services
Hearst Television (HTV) owns and/or operates 35 television and two radio stations serving 27 media markets across 39 states reaching over 22 million U.S. television households. HTV is recognized as one of the industry's premier broadcasting companies and has been honored with numerous awards for distinguished journalism, industry innovation, and community service.
We are an Equal Opportunity Employer. we do not discriminate in hiring on the basis of sex, gender identity, sexual orientation, race, color, religion, creed, national, origin, physical or mental disability, protected veteran status, or any other characteristic protected by federal, state, or local law.</t>
        </is>
      </c>
    </row>
    <row r="31">
      <c r="A31" t="inlineStr">
        <is>
          <t>in-c8f7f0123c69219a</t>
        </is>
      </c>
      <c r="B31" t="inlineStr">
        <is>
          <t>Data Engineer - Vice President</t>
        </is>
      </c>
      <c r="C31" t="inlineStr">
        <is>
          <t>Sumitomo Group</t>
        </is>
      </c>
      <c r="D31" t="inlineStr">
        <is>
          <t>indeed</t>
        </is>
      </c>
      <c r="E31" t="inlineStr"/>
      <c r="F31" t="inlineStr"/>
      <c r="G31" t="inlineStr">
        <is>
          <t>Charlotte, NC, US</t>
        </is>
      </c>
      <c r="H31" s="2" t="n">
        <v>46065</v>
      </c>
      <c r="I31"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
The VP, Senior Data Engineer is a critical role within the Information Security department and will report to the Director, Information Security Data Operations for the SMBC Americas Division.
This VP role will be responsible for designing, developing \&amp; deploying cloud data solutions for insider risk for ISDAD. This is part of the overall cyber data initiative focusing on building out the security and risk data platform for Information Security. This individual will be responsible for developing the insider risk data feeds and will be a part of the larger development effort of building out a Cybersecurity Data Lakehouse (CyberDW). The goal of the CyberDW is to centralize the ISDAD data as well as establish effective data governance around the data sources and its data lineage. This role will collaborate with the developers, data owners, governance leads and business analysts within the Information Technology (IT) department as well as other stakeholders aligned with the applications owned by ISDAD.
Note: This is a hybrid role, requiring the successful candidate to attend our Charlotte office.
**Role Objectives**
-------------------
* Design, develop, testing \&amp; support of cloud data solutions for the CyberDW catalogue focusing on insider risk data ingestion, data quality, data tuning and performance of upstream cybersecurity and other data sources.
* Indirect leadership and mentorship of junior team members. Able to lead data feed development efforts and design initiatives. Participate in development meetings to align development priorities and objectives, assign tasks, and share experiences and challenges with applications under development.
* Consult with other technology and development teams as needed to coordinate on the integration of applications with the larger company software ecosystem.
* Capture and document metadata for identified Key Data Elements (KDEs) to ensure accuracy and completeness for Data Quality (DQ) rules and processing of daily datasets.
* Work with the data architecture team to align KDEs to the logical data models, develop physical data structures, and document physical data names, definitions, and data types.
* Partner with the data owners and stakeholders to create technical requirements and DQ rules around the data elements needed in the CyberDW. Partner with the Business Management team and Data Owners to understand what critical metrics and data fields are needed for Metric Dashboards.
* Establish CyberDW views to encapsulate the data so that it is fit for downstream consumption. Ensure that the data aligns with DQ rules established on that metadata, so it is fit for daily use.
* Identify and resolve DQ issues including inaccuracies and incomplete information. Enhance data quality efforts by implementing improved procedures and processes.
**Qualifications and Skills**
-----------------------------
* Bachelor’s degree in Computer Science, Information Security, Data Management, or related field
* 10\+ years’ experience in IT development, data governance, data architecture or related roles, preferably in a highly regulated environment such as financial services.
* Strong knowledge of CI/CD and DevOps tooling (i.e., Git, Jenkins, Azure DevOps)
* Strong knowledge of Azure Databricks, Azure Data Factory, Azure Functions, Azure Data Lake storage, Azure Event Grid, Azure Log Analytics, Azure Monitor, Unity catalog repository configuration
* Proficient in data management \&amp; data modeling tools (e.g., Collibra DQIM/DQE, IBM Infosphere DA).
* Proficient in SQL Server, Oracle / PL\-SQL, T\-SQL and SQL stored procedures
* Proficient in Python, Java or similar high\-level server\-side languages
* Strong knowledge of enterprise Information Security data (i.e., Phishing, Identity Management, Privileged Access, Cloud Security, Incident Response, Vulnerability Management, Threat Detection).
* Data knowledge of PaaS/SaaS products (i.e., ServiceNow, Crowdstrike, MS Purview, Proofpoint, WIZ.IO, JIRA, SharePoint, Azure Active Directory, SAI360\). Knowledge of Microsoft Sentinel for security information and event management (SIEM) is a plus.
* Understanding of information security frameworks (i.e., NIST, CIS, CRI Profile) and regulatory compliance (i.e., NYSDFS, GDPR, CCPA).
* Experience with REST API web services and microservice architecture. Strong understanding of ETL/ELT. Knowledge of IBM Tivoli Workload Scheduler a plus.
* Exposure to PowerBI for data visualization and reporting is a plus.
* Problem solving and analytical skills, with an initiative\-taking and results oriented approach.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32">
      <c r="A32" t="inlineStr">
        <is>
          <t>in-46f659df7efac0c0</t>
        </is>
      </c>
      <c r="B32" t="inlineStr">
        <is>
          <t>LA Galaxy, Associate Data Engineer</t>
        </is>
      </c>
      <c r="C32" t="inlineStr">
        <is>
          <t>AEG Worldwide</t>
        </is>
      </c>
      <c r="D32" t="inlineStr">
        <is>
          <t>indeed</t>
        </is>
      </c>
      <c r="E32" t="inlineStr"/>
      <c r="F32" t="inlineStr"/>
      <c r="G32" t="inlineStr">
        <is>
          <t>Carson, CA, US</t>
        </is>
      </c>
      <c r="H32" s="2" t="n">
        <v>46065</v>
      </c>
      <c r="I32" t="inlineStr">
        <is>
          <t>**Company Information**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If you want to be challenged to up your game and make a difference, then join us in giving the world reason to cheer!
**Job Summary**  
The Associate Data Engineer supports the development and maintenance of data systems, infrastructure, and pipelines that collect, process, and prepare data for use across the LA Galaxy and AEG Sports. This role assists senior team members in ingesting new data sources, preparing datasets for analytics and visualization, and monitoring data quality across environments. The Associate Data Engineer will collaborate with analysts, engineers, and business stakeholders to ensure reliable, well\-documented, and high\-quality data flows that meet organizational needs.
**Essential Functions**
* Assist members of the Data Team and Business Ops \&amp; Strategy Team with data\-related requests across the LA Galaxy, AEG Sports, and other supported environments.
* Support the engineering, execution, and monitoring of ETL and data pipeline tasks using available tools to help integrate new data sources.
* Contribute to the development and refinement of data models, including basic performance improvements under guidance from senior engineers.
* Participate in monitoring and troubleshooting data issues, including helping produce data quality reports and assisting in identifying new validation methods.
* Maintain documentation of data flows, data environments, and source control processes, including assisting with ERD creation.
* Build positive working relationships with internal stakeholders and external vendors to support data availability and business requirements.
* Provide day\-to\-day support to data analysts and ML specialists regarding data environments, including preparing documentation for pipelines and dashboards.
* Follow data protection, security, and governance policies, particularly those related to PII and sensitive data.
**Required Qualifications**
* BA/BS Degree (4\-year): Computer Science, Engineering, or a related technical area
* 1\-2 years
	+ Related technical experience
	+ Experience of working with Big Data Technologies such as Hadoop, Spark or Databricks
	+ Experience of Azure SQL Database, Azure Synapse, Azure Data Factory and other Azure services, including NoSQL technologies.
	+ Experience of creating and managing database objects (tables, views, indices, stored procedures, UDFs, triggers, etc.)
* Foundational understanding of ETL concepts, Big Data technologies, and programming languages such as Python, PySpark, or Scala
* Knowledge of SQL Server components
* Strong attention to detail and commitment to data quality
* Ability to manage multiple tasks and support diverse stakeholder needs
* Strong communication skills and ability to work with all levels of employees; must be able to communicate technical aspects to non\-technical team members
* Ability to work both independently and collaboratively
* Interest in sports (specifically Soccer) and/or the live entertainment industry preferred
**Payscale:** $34\.52 \- $43\.98  
**Bonus:**This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***Employer does not offer work visa sponsorship for this position.***</t>
        </is>
      </c>
    </row>
    <row r="33">
      <c r="A33" t="inlineStr">
        <is>
          <t>in-40eaa5a12b48956a</t>
        </is>
      </c>
      <c r="B33" t="inlineStr">
        <is>
          <t>Data Engineer</t>
        </is>
      </c>
      <c r="C33" t="inlineStr">
        <is>
          <t>FanDuel</t>
        </is>
      </c>
      <c r="D33" t="inlineStr">
        <is>
          <t>indeed</t>
        </is>
      </c>
      <c r="E33" t="inlineStr"/>
      <c r="F33" t="inlineStr"/>
      <c r="G33" t="inlineStr">
        <is>
          <t>Atlanta, GA, US</t>
        </is>
      </c>
      <c r="H33" s="2" t="n">
        <v>46065</v>
      </c>
      <c r="I33" t="inlineStr">
        <is>
          <t>**THE POSITION**  
Our roster has an opening with your name on it
FanDuel is looking for a Data Support Engineer to advance our data capabilities and ensure the reliability and performance of our critical data pipelines and infrastructure. FanDuel's competitive edge is enabled by our ability to leverage accurate and timely data for informed decision\-making.
As a Data Support Engineer, you will be a valued member of the Data Support team, maintaining exceptional standards and servicing the needs of data consumers across the company. You will ensure the health of our data infrastructure, contribute to the delivery of reliable, timely, and consumable data, and combine technical troubleshooting with proactive monitoring. You'll have the opportunity to work in an agile environment where you will team up with colleagues having experience in data engineering, machine learning and more.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Provide on\-call technical assistance to analysts, data consumers, and data engineering teams, responding to inquiries relating to query optimization, reporting anomalies, complex data pipeline issues, failed jobs, and data inconsistencies.
* Investigate and resolve data quality issues in response to system alerts or notifications from stakeholders, ensuring compliance with internal/external audits and control practices.
* Design and implement batch and real\-time data pipelines to the data warehouse or data lake using data transformation technologies, enhancing monitoring dashboards and support tools.
* Lead impactful initiatives to enhance data pipelines and other data operations capabilities while mentoring and onboarding new support data engineers. Identify operational inefficiencies and implement automation solutions to reduce manual intervention.
* Create and maintain technical support documentation, including FAQs, troubleshooting steps, support runbooks, and a knowledge base of solutions to recurring issues.
* Drive operational best practices and shape workflows for routine consumer support, operations monitoring, incident management, and problem management.
* Administer account access to tools across the technology stack in accordance with our governance policies.
Able to join team's On\-call Pager duty rotation to ensure 24/7 coverage and timely response to critical data issues.
**THE STATS**  
What we're looking for in our next teammate
* Minimum of 3\+ years of experience in data engineering with focus on operational support
* Advanced SQL skills with proven query optimization experience
* Strong problem\-solving skills with ability to take ownership and accountability for issues through resolution
* Python programming proficiency for automation and data processing
* Experience with cloud data platforms (AWS, Databricks, Spark)
* Understanding of data warehousing and ETL/ELT processing
* Experience with dimensional data modeling, batch data ingestion, and real\-time technologies like Kafka or Kinesis
* Working knowledge of orchestration and monitoring tools (Airflow, Datadog, Databand, DataFold, Monte Carlo, Prometheus, Grafana)
* Strong incident management and root cause analysis capabilities
* Customer\-oriented mindset with focus on delivering high\-quality support services and attention to detail
* Exceptional communication and interpersonal skills
* Proven ability to work effectively within teams and across organizational boundaries
* Experience owning and coordinating issues across multiple time zones
* Experience identifying operational inefficiencies and implementing automation solutions using AI techniques
Preferred Qualifications:
* Experience with data streaming patterns and tools like Dbt
* Familiarity with CI/CD practices for data pipelines (BuildKite or Github Actions)
* Familiarity with data visualization tools such as Tableau or Looker
* Exposure to database design, performance analysis, and data quality metrics
* Exposure to Data Science, Machine Learning, and AI applications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34">
      <c r="A34" t="inlineStr">
        <is>
          <t>in-e6ecff08a9ee6674</t>
        </is>
      </c>
      <c r="B34" t="inlineStr">
        <is>
          <t>Data Engineer, Optum Technology - Remote</t>
        </is>
      </c>
      <c r="C34" t="inlineStr">
        <is>
          <t>Optum</t>
        </is>
      </c>
      <c r="D34" t="inlineStr">
        <is>
          <t>indeed</t>
        </is>
      </c>
      <c r="E34" t="inlineStr"/>
      <c r="F34" t="inlineStr"/>
      <c r="G34" t="inlineStr">
        <is>
          <t>Minnetonka, MN, US</t>
        </is>
      </c>
      <c r="H34" s="2" t="n">
        <v>46065</v>
      </c>
      <c r="I34"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If you are located in XXX, you will have the flexibility to work remotely\* as you take on some tough challenges.
If you are located in XXX, you will have the flexibility to work remotely\*, as well as work in the office as you take on some tough challenges.
 **Primary Responsibilities:**
* Data Architecture \&amp; Engineering:
	+ Design and optimize database architecture, data models, and schemas
	+ Implement and maintain data pipelines (ETL/ELT) for large\-scale data processing
* Platform \&amp; Cloud Solutions:
	+ Develop and manage data solutions on PaaS and cloud ecosystems
	+ Ensure scalability, security, and performance of data platforms
* Data Quality \&amp; Compliance:
	+ Perform needs assessments and enforce strict data quality standards
	+ Support compliance with organizational and regulatory requirements
* Development \&amp; Deployment:
	+ Build and deploy optimized solutions using Big Data technologies
	+ Collaborate with Data Scientists and Analysts to deliver AI/ML\-driven solutions
* Collaboration \&amp; Leadership:
	+ Lead projects independently, manage technical deliveries, and mentor junior engineers
	+ Drive knowledge\-sharing sessions and capability development within the team
* Vendor \&amp; Stakeholder Management:
	+ Manage relationships with software/hardware vendors for architectural impact
	+ Work closely with enterprise teams for requirement gathering and solution design
You'll be rewarded and recognized for your performance in an environment that will challenge you and give you clear direction on what it takes to succeed in your role as well as provide development for other roles you may be interested in.
**Required Qualifications:**
* Bachelor's or Master's degree in Computer Science, Data Engineering, or related field
* 5\+ years of experience in data engineering, ETL development, and big data platforms
* Experience with SQL/Postgres/MySQL
* Experience with Azure cloud platform
* Familiarity with CI/CD, DevOps, and ML Ops workflows
* Knowledge of data modeling, schema design, and metadata management
* Expertise in Big Data technologies (PySpark/Scala Spark, Hive/Hadoop/NoSQL) and data warehousing
* Solid proficiency in Python, Scala
* Demonstrated ability to implement data security, governance, and compliance standards
* Proven skilled in building and automating data pipelines for batch and real\-time processing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$xx,xxx to $xx,xxx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5">
      <c r="A35" t="inlineStr">
        <is>
          <t>in-fec3c5503f5459a1</t>
        </is>
      </c>
      <c r="B35" t="inlineStr">
        <is>
          <t>Sr. Data Engineer</t>
        </is>
      </c>
      <c r="C35" t="inlineStr">
        <is>
          <t>Evolus</t>
        </is>
      </c>
      <c r="D35" t="inlineStr">
        <is>
          <t>indeed</t>
        </is>
      </c>
      <c r="E35" t="inlineStr"/>
      <c r="F35" t="inlineStr"/>
      <c r="G35" t="inlineStr">
        <is>
          <t>Newport Beach, CA, US</t>
        </is>
      </c>
      <c r="H35" s="2" t="n">
        <v>46065</v>
      </c>
      <c r="I35" t="inlineStr">
        <is>
          <t>Evolus (NASDAQ: EOLS) is a performance beauty company with a customer\-centric approach focused on delivering breakthrough products. We are seeking an experienced and driven Sr. Data Engineer to join our Data Engineering team reporting to the Director, Data Engineering. The Sr. Data Engineer’s role is to integrate data from a variety of internal and external sources into a common warehouse data model. This is a technical role that involves building and maintaining ELT data pipelines, recommending and implementing appropriate data models, and being comfortable in a Data Ops environment. We are looking for someone with a consultative mindset to be able to interact with the business and analytics team and help drive value to the business. Data ecosystem is an evolving space, and we expect and encourage innovation and thought leadership.
If you join our team, you will be working on some of the most exciting opportunities and challenges we face, with a team that values growth, recognition, and camaraderie. If you are looking for an opportunity to exhibit your knowledge and technical abilities in a unique environment, then look no further! In this role, you will be challenged to drive the success of Evolus in an effort to build a brand like no other.
**Essential duties and responsibilities where you'll make the biggest impact…*** Collaborate with team members to collect business requirements, define successful analytics outcomes, and design data models
* Design, develop, and extend dbt and/or other ELT code to extend the Enterprise Dimensional Model
* Architect, optimize, and maintain Snowflake data warehouse structures, including performance tuning, clustering, cost optimization, and workload management
* Responsible and accountable for owning stakeholder relationship and delivery outcomes
* Contribute to planning and prioritization discussion
* Break down and architect the most complex data engineering problems to deliver insights that meet and ideally exceed business needs
* Own and deliver solutions \- from ingestion of sources to data products for end user consumption, from conceptual iteration to production support
* Deliver and ensure sustained performance of all data engineering pipelines and remediate where required
* Own all data engineering pipelines delivered as part of the Enterprise Data \&amp; Analytics platform including performance, uptime, reduced technical debt, scalability, and extensibility; establish KPIs
* Own source code management, documentation (technical and end user), and release planning for data engineering products; lean in to Data Ops, DevOps, and CI/CD to deliver reliable, tested, and scalable functionality through automation
* Foster a culture of sharing, re\-use, design for scale and stability, and operational efficiency of data and analytical solutions
* Identify and proactively manage risks to the data engineering platform
* Lead the evaluation, implementation and deployment of emerging tools and processes for data engineering to improve productivity and results
* Partner with Data Management, InfoSec, and Legal \&amp; Compliance teams to ensure global regulations (e.g., CCPA, GDPR) are implemented and data lifecycle is defined and implemented
* Office location – Newport Beach. Hybrid schedule: Monday and Friday remote; Tuesday \- Thursday onsite
* Other duties as assigned
**Qualifications and Skills You’ll Bring to the Team…*** Bachelor’s degree required or equivalent experience
* 6\+ years of experience in enterprise data solutions in the capacity of senior data engineer
* 10\+ years of experience in databases, data warehouses, and ETL / ELT pipelines
* 4\+ years in Snowflake in a production enterprise environment with strong SQL experience
* 2\+ years of data extraction/transformation/orchestration tools such as Fivetran, dbt and Airflow
* Experience building data pipelines using Python and data orchestration tools like Apache Airflow
* Deep understanding of data analysis, data modeling for visualization, and reporting
* Experience in Data Ops and git or Azure DevOps and CI/CD pipelines
* Demonstrated experience with one or more of the following business subject areas: healthcare, marketing, finance, sales, product, customer success, or engineering
* Experience performing root cause analysis for production issues and identifying opportunities for improvement
* Passionate about writing clean, documented, and well\-formed code and perform code reviews
* Keen attention to detail in planning, organization, and execution of tasks, while still seeing the big picture and understanding how all the pieces fit together and affect one another
* Excellent communication and interpersonal skills
**Preferred Qualifications…*** Snowflake certification
* Experience implementing data governance frameworks in Snowflake
* Experience with real\-time or near real\-time data architectures
**Compensation \&amp; Total Rewards**
This is an Exempt position. The expected pay range for this position is $135,000 to $168,000\. You are eligible for an annual bonus compensation plan, terms and conditions apply. Your actual base salary will be determined on a case\-by\-case basis and may vary based on a number of considerations including but not limited to role\-relevant knowledge and skills, experience, education, geographic location, certifications, and more.
We offer more than just a paycheck, and your base salary is just the start! Stay happy and healthy with our competitive suite of medical, dental and vision benefits to help you feel your best and be your best. We also provide those benefits you shouldn’t have to worry about, from employer covered life insurance to short\-term disability. Take advantage of the 401k match offered by Evolus and let us invest in your future. You may also be eligible for new hire equity and long\-term incentives in the form of RSUs, stock options, and/or discretionary bonuses. We offer mental health and wellbeing resources for you to develop skills to find your calm, boost your confidence, and show up as your best self in work and life. Travel or relax and come back feeling refreshed with our flexible paid time off program for exempt employees and a paid time off accrual plan for non\-exempt employees. Did we mention the holiday soft closure between the Christmas and New Years holidays? We have that, too. Additional perks include regularly catered team meals at our Evolus Headquarters, a fully stocked kitchen (Kombucha \&amp; Coffee included), and the opportunity to join an organization where our values of Grit, Impact, Fun, and Transparency are displayed daily.
Evolus takes pride in being a company on the forefront of innovation, while being committed to conducting its business with the highest degrees of integrity, professionalism, and social responsibility. We are also committed to complying with all laws and regulations that apply to our business. Employee welfare is no different. Here at Evolus, we don’t just work together, we’ve built a culture of inclusion! Because of this, you’ll find yourself immersed in an environment that not only promotes respect, collaboration and team building, but a community too. And that’s just the tip of the iceberg. Join our team and see for yourself! EOE M/F/D/V. For more information, please visit our website at www.evolus.com or reach out to careers@evolus.com.  
\#LI\-HH1 \#LI\-HYBRID</t>
        </is>
      </c>
    </row>
    <row r="36">
      <c r="A36" t="inlineStr">
        <is>
          <t>in-5a14644bd0d176ff</t>
        </is>
      </c>
      <c r="B36" t="inlineStr">
        <is>
          <t>Senior Data Engineer - Remote (EST)</t>
        </is>
      </c>
      <c r="C36" t="inlineStr">
        <is>
          <t>CENTRO</t>
        </is>
      </c>
      <c r="D36" t="inlineStr">
        <is>
          <t>indeed</t>
        </is>
      </c>
      <c r="E36" t="inlineStr"/>
      <c r="F36" t="inlineStr"/>
      <c r="G36" t="inlineStr">
        <is>
          <t>Remote, US</t>
        </is>
      </c>
      <c r="H36" s="2" t="n">
        <v>46065</v>
      </c>
      <c r="I36" t="inlineStr">
        <is>
          <t>Does your current company inspire you to build, grow, and innovate? Is your passion for making lasting and meaningful change being realized?  
The tremendous growth in our business and increasing demand for our services means we are expanding our team in exciting ways. We have the heart of a startup and the backing of an industry leader. This means a unique career opportunity for low\-ego professionals looking for a people\-first, culture rich work family with which to change the world.
**Summary:**
We are seeking a Senior Data Engineer to architect and build cloud\-native data platforms centered around Snowflake, dbt , and modern orchestration frameworks. The role involves 60–70% data engineering and architecture and 30–40% backend, infrastructure, and systems design, including some frontend engineering to support full\-stack delivery of data\-driven features where appropriate .
**Essential Duties and Responsibilities:**
* Architect and develop scalable data pipelines and models using Snowflake and dbt .
* Design and operate orchestration using Airflow, Dagster , Prefect, or similar.
* Define modeling standards, storage patterns, and performance strategies.
* Collaborate on backend APIs, services, integration layers, and limited frontend interfaces supporting data\-driven features.
* Contribute to CI/CD, environment management, and automated pipeline delivery.
* Implement quality checks, lineage, SLAs, and observability.
* Mentor engineers and drive architectural best practices.
* Participate in system design and multi\-team architectural planning.
**Qualifications,** **Skills** **and Requirements:**
* 5\+ years of experience in data engineering, data architecture, or platform engineering.
* Strong experience with dbt (modeling, testing, deployment, environment strategies).
* Hands\-on experience with orchestration frameworks (Airflow, Dagster , Prefect, or similar).
* Deep expertise with data warehousing platform s ; e.g. Snowflake , Redshift, etc including performance tuning and RBAC.
* Strong software engineering fundamentals in Python or Golang; advanced SQL.
* Deep understanding of distributed systems, event\-driven design, microservices, and data platform architecture.
* Experience with metadata management, lineage tools, and observability technologies (Datadog, Prometheus, OpenTelemetry ).
* Strong communication skills for leading architectural discussions across technical and non\-technical teams.
**Bonus Points:**
* Salesforce integration experience.
* Experience in regulated industries.
* Experience managing infrastructure with Azure, esp. AKS
The typical base pay range for this role nationwide is $150,000 to $170,000 per year .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Thank you for your interest in joining the team!</t>
        </is>
      </c>
    </row>
    <row r="37">
      <c r="A37" t="inlineStr">
        <is>
          <t>in-49adef6091e913a0</t>
        </is>
      </c>
      <c r="B37" t="inlineStr">
        <is>
          <t>Senior Power BI Engineer (HIPAA Environment)</t>
        </is>
      </c>
      <c r="C37" t="inlineStr">
        <is>
          <t>IT Labs</t>
        </is>
      </c>
      <c r="D37" t="inlineStr">
        <is>
          <t>indeed</t>
        </is>
      </c>
      <c r="E37" t="inlineStr"/>
      <c r="F37" t="inlineStr"/>
      <c r="G37" t="inlineStr">
        <is>
          <t>Dallas, TX, US</t>
        </is>
      </c>
      <c r="H37" s="2" t="n">
        <v>46065</v>
      </c>
      <c r="I37"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38">
      <c r="A38" t="inlineStr">
        <is>
          <t>in-9e3d53931af107f9</t>
        </is>
      </c>
      <c r="B38" t="inlineStr">
        <is>
          <t>Senior Power BI Engineer (HIPAA Environment)</t>
        </is>
      </c>
      <c r="C38" t="inlineStr">
        <is>
          <t>IT Labs</t>
        </is>
      </c>
      <c r="D38" t="inlineStr">
        <is>
          <t>indeed</t>
        </is>
      </c>
      <c r="E38" t="inlineStr"/>
      <c r="F38" t="inlineStr"/>
      <c r="G38" t="inlineStr">
        <is>
          <t>Detroit, MI, US</t>
        </is>
      </c>
      <c r="H38" s="2" t="n">
        <v>46065</v>
      </c>
      <c r="I38"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39">
      <c r="A39" t="inlineStr">
        <is>
          <t>in-1f0322c888326ed0</t>
        </is>
      </c>
      <c r="B39" t="inlineStr">
        <is>
          <t>Senior Power BI Engineer (HIPAA Environment)</t>
        </is>
      </c>
      <c r="C39" t="inlineStr">
        <is>
          <t>IT Labs</t>
        </is>
      </c>
      <c r="D39" t="inlineStr">
        <is>
          <t>indeed</t>
        </is>
      </c>
      <c r="E39" t="inlineStr"/>
      <c r="F39" t="inlineStr"/>
      <c r="G39" t="inlineStr">
        <is>
          <t>Austin, TX, US</t>
        </is>
      </c>
      <c r="H39" s="2" t="n">
        <v>46065</v>
      </c>
      <c r="I39"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0">
      <c r="A40" t="inlineStr">
        <is>
          <t>in-63a1773ef36a1f93</t>
        </is>
      </c>
      <c r="B40" t="inlineStr">
        <is>
          <t>Senior Power BI Engineer (HIPAA Environment)</t>
        </is>
      </c>
      <c r="C40" t="inlineStr">
        <is>
          <t>IT Labs</t>
        </is>
      </c>
      <c r="D40" t="inlineStr">
        <is>
          <t>indeed</t>
        </is>
      </c>
      <c r="E40" t="inlineStr"/>
      <c r="F40" t="inlineStr"/>
      <c r="G40" t="inlineStr">
        <is>
          <t>New York, NY, US</t>
        </is>
      </c>
      <c r="H40" s="2" t="n">
        <v>46065</v>
      </c>
      <c r="I40"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1">
      <c r="A41" t="inlineStr">
        <is>
          <t>in-078b2ef50b70524e</t>
        </is>
      </c>
      <c r="B41" t="inlineStr">
        <is>
          <t>Senior Power BI Engineer (HIPAA Environment)</t>
        </is>
      </c>
      <c r="C41" t="inlineStr">
        <is>
          <t>IT Labs</t>
        </is>
      </c>
      <c r="D41" t="inlineStr">
        <is>
          <t>indeed</t>
        </is>
      </c>
      <c r="E41" t="inlineStr"/>
      <c r="F41" t="inlineStr"/>
      <c r="G41" t="inlineStr">
        <is>
          <t>Palm Beach, FL, US</t>
        </is>
      </c>
      <c r="H41" s="2" t="n">
        <v>46065</v>
      </c>
      <c r="I41"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2">
      <c r="A42" t="inlineStr">
        <is>
          <t>in-0b0be616e0b5467b</t>
        </is>
      </c>
      <c r="B42" t="inlineStr">
        <is>
          <t>Senior Power BI Engineer (HIPAA Environment)</t>
        </is>
      </c>
      <c r="C42" t="inlineStr">
        <is>
          <t>IT Labs</t>
        </is>
      </c>
      <c r="D42" t="inlineStr">
        <is>
          <t>indeed</t>
        </is>
      </c>
      <c r="E42" t="inlineStr"/>
      <c r="F42" t="inlineStr"/>
      <c r="G42" t="inlineStr">
        <is>
          <t>Philadelphia, PA, US</t>
        </is>
      </c>
      <c r="H42" s="2" t="n">
        <v>46065</v>
      </c>
      <c r="I42"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3">
      <c r="A43" t="inlineStr">
        <is>
          <t>in-000f63b9b100decf</t>
        </is>
      </c>
      <c r="B43" t="inlineStr">
        <is>
          <t>Senior Power BI Engineer (HIPAA Environment)</t>
        </is>
      </c>
      <c r="C43" t="inlineStr">
        <is>
          <t>IT Labs</t>
        </is>
      </c>
      <c r="D43" t="inlineStr">
        <is>
          <t>indeed</t>
        </is>
      </c>
      <c r="E43" t="inlineStr"/>
      <c r="F43" t="inlineStr"/>
      <c r="G43" t="inlineStr">
        <is>
          <t>Raleigh, NC, US</t>
        </is>
      </c>
      <c r="H43" s="2" t="n">
        <v>46065</v>
      </c>
      <c r="I43"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4">
      <c r="A44" t="inlineStr">
        <is>
          <t>in-83a049d49f4d7af2</t>
        </is>
      </c>
      <c r="B44" t="inlineStr">
        <is>
          <t>Senior Power BI Engineer (HIPAA Environment)</t>
        </is>
      </c>
      <c r="C44" t="inlineStr">
        <is>
          <t>IT Labs</t>
        </is>
      </c>
      <c r="D44" t="inlineStr">
        <is>
          <t>indeed</t>
        </is>
      </c>
      <c r="E44" t="inlineStr"/>
      <c r="F44" t="inlineStr"/>
      <c r="G44" t="inlineStr">
        <is>
          <t>Indianapolis, IN, US</t>
        </is>
      </c>
      <c r="H44" s="2" t="n">
        <v>46065</v>
      </c>
      <c r="I44"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5">
      <c r="A45" t="inlineStr">
        <is>
          <t>in-cc08614352b5be17</t>
        </is>
      </c>
      <c r="B45" t="inlineStr">
        <is>
          <t>Senior Power BI Engineer (HIPAA Environment)</t>
        </is>
      </c>
      <c r="C45" t="inlineStr">
        <is>
          <t>IT Labs</t>
        </is>
      </c>
      <c r="D45" t="inlineStr">
        <is>
          <t>indeed</t>
        </is>
      </c>
      <c r="E45" t="inlineStr"/>
      <c r="F45" t="inlineStr"/>
      <c r="G45" t="inlineStr">
        <is>
          <t>Boston, MA, US</t>
        </is>
      </c>
      <c r="H45" s="2" t="n">
        <v>46065</v>
      </c>
      <c r="I45"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6">
      <c r="A46" t="inlineStr">
        <is>
          <t>in-aed0c1cb5c854d1f</t>
        </is>
      </c>
      <c r="B46" t="inlineStr">
        <is>
          <t>Senior Power BI Engineer (HIPAA Environment)</t>
        </is>
      </c>
      <c r="C46" t="inlineStr">
        <is>
          <t>IT Labs</t>
        </is>
      </c>
      <c r="D46" t="inlineStr">
        <is>
          <t>indeed</t>
        </is>
      </c>
      <c r="E46" t="inlineStr"/>
      <c r="F46" t="inlineStr"/>
      <c r="G46" t="inlineStr">
        <is>
          <t>Atlanta, GA, US</t>
        </is>
      </c>
      <c r="H46" s="2" t="n">
        <v>46065</v>
      </c>
      <c r="I46"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7">
      <c r="A47" t="inlineStr">
        <is>
          <t>in-b51ab2ee45859a06</t>
        </is>
      </c>
      <c r="B47" t="inlineStr">
        <is>
          <t>Senior Power BI Engineer (HIPAA Environment)</t>
        </is>
      </c>
      <c r="C47" t="inlineStr">
        <is>
          <t>IT Labs</t>
        </is>
      </c>
      <c r="D47" t="inlineStr">
        <is>
          <t>indeed</t>
        </is>
      </c>
      <c r="E47" t="inlineStr"/>
      <c r="F47" t="inlineStr"/>
      <c r="G47" t="inlineStr">
        <is>
          <t>Washington, DC, US</t>
        </is>
      </c>
      <c r="H47" s="2" t="n">
        <v>46065</v>
      </c>
      <c r="I47"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8">
      <c r="A48" t="inlineStr">
        <is>
          <t>in-e3f496668f9e8dc1</t>
        </is>
      </c>
      <c r="B48" t="inlineStr">
        <is>
          <t>Senior Power BI Engineer (HIPAA Environment)</t>
        </is>
      </c>
      <c r="C48" t="inlineStr">
        <is>
          <t>IT Labs</t>
        </is>
      </c>
      <c r="D48" t="inlineStr">
        <is>
          <t>indeed</t>
        </is>
      </c>
      <c r="E48" t="inlineStr"/>
      <c r="F48" t="inlineStr"/>
      <c r="G48" t="inlineStr">
        <is>
          <t>Richmond, VA, US</t>
        </is>
      </c>
      <c r="H48" s="2" t="n">
        <v>46065</v>
      </c>
      <c r="I48"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49">
      <c r="A49" t="inlineStr">
        <is>
          <t>in-f008c730d62db63e</t>
        </is>
      </c>
      <c r="B49" t="inlineStr">
        <is>
          <t>Senior Power BI Engineer (HIPAA Environment)</t>
        </is>
      </c>
      <c r="C49" t="inlineStr">
        <is>
          <t>IT Labs</t>
        </is>
      </c>
      <c r="D49" t="inlineStr">
        <is>
          <t>indeed</t>
        </is>
      </c>
      <c r="E49" t="inlineStr"/>
      <c r="F49" t="inlineStr"/>
      <c r="G49" t="inlineStr">
        <is>
          <t>Columbus, OH, US</t>
        </is>
      </c>
      <c r="H49" s="2" t="n">
        <v>46065</v>
      </c>
      <c r="I49"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50">
      <c r="A50" t="inlineStr">
        <is>
          <t>in-a810510c394ef592</t>
        </is>
      </c>
      <c r="B50" t="inlineStr">
        <is>
          <t>Senior Power BI Engineer (HIPAA Environment)</t>
        </is>
      </c>
      <c r="C50" t="inlineStr">
        <is>
          <t>IT Labs</t>
        </is>
      </c>
      <c r="D50" t="inlineStr">
        <is>
          <t>indeed</t>
        </is>
      </c>
      <c r="E50" t="inlineStr"/>
      <c r="F50" t="inlineStr"/>
      <c r="G50" t="inlineStr">
        <is>
          <t>Chicago, IL, US</t>
        </is>
      </c>
      <c r="H50" s="2" t="n">
        <v>46065</v>
      </c>
      <c r="I50"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51">
      <c r="A51" t="inlineStr">
        <is>
          <t>in-a6ccd826caa370a4</t>
        </is>
      </c>
      <c r="B51" t="inlineStr">
        <is>
          <t>Senior Power BI Engineer (HIPAA Environment)</t>
        </is>
      </c>
      <c r="C51" t="inlineStr">
        <is>
          <t>IT Labs</t>
        </is>
      </c>
      <c r="D51" t="inlineStr">
        <is>
          <t>indeed</t>
        </is>
      </c>
      <c r="E51" t="inlineStr"/>
      <c r="F51" t="inlineStr"/>
      <c r="G51" t="inlineStr">
        <is>
          <t>Charlotte, NC, US</t>
        </is>
      </c>
      <c r="H51" s="2" t="n">
        <v>46065</v>
      </c>
      <c r="I51" t="inlineStr">
        <is>
          <t>### **We are hiring a** **Senior Power BI Engineer** **to support a healthcare organization operating in a HIPAA\-regulated environment. The role focuses on delivering secure, compliant, enterprise\-grade reporting solutions while collaborating with security teams during ongoing compliance and MSS initiatives.**
This role requires **hands\-on HIPAA implementation experience** and deep expertise in Power BI architecture within regulated environments.
US Citizenship is mandatory due to data residency and compliance requirements.
**Key Responsibilities**
------------------------
* Design and implement secure Power BI dashboards and semantic models
* Build optimized data models (star/snowflake schema)
* Implement Row\-Level Security (RLS) and PHI access controls
* Ensure HIPAA\-compliant handling of sensitive healthcare data
* Collaborate with security teams during gap analysis, penetration testing, and vulnerability assessments
* Support audit readiness and documentation
* Work closely with stakeholders to translate clinical and operational data into insights
**Required Qualifications**
---------------------------
* US Citizen
* 6\+ years in BI/Data roles
* 4\+ years hands\-on Power BI experience (enterprise level)
* Proven experience in HIPAA compliance implementation projects
* Strong DAX and advanced data modeling skills
* Experience implementing RLS and secure data access frameworks
* Experience collaborating with security/compliance teams
### **Nice to Have**
* Experience working with MSS or security consulting initiatives
**Working Conditions**
----------------------
* Remote
* 1\-year 1099 contract (with possibility for extension)
* PTO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around the world \- the UK, the Netherlands, Brazil, Argentina, Serbia, Croatia, BIH, Montenegro, North Macedonia, and the Middle East. We are constantly growing, and we would love for you to become part of our team!</t>
        </is>
      </c>
    </row>
    <row r="52">
      <c r="A52" t="inlineStr">
        <is>
          <t>in-366cd47911fc5d3d</t>
        </is>
      </c>
      <c r="B52" t="inlineStr">
        <is>
          <t>Senior Data Engineer</t>
        </is>
      </c>
      <c r="C52" t="inlineStr">
        <is>
          <t>Press Ganey</t>
        </is>
      </c>
      <c r="D52" t="inlineStr">
        <is>
          <t>indeed</t>
        </is>
      </c>
      <c r="E52" t="inlineStr"/>
      <c r="F52" t="inlineStr"/>
      <c r="G52" t="inlineStr">
        <is>
          <t>Washington, DC, US</t>
        </is>
      </c>
      <c r="H52" s="2" t="n">
        <v>46065</v>
      </c>
      <c r="I52" t="inlineStr">
        <is>
          <t>**Company Description**
Press Ganey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Does analytical data flow through your veins? Are you fluent across cloud, on\-premises, platforms, and technologies? Do you have deep healthcare experience? Do you love understanding strategic direction, creating design and direction, then getting fingers on the keyboard? This role is for a Senior Data Engineer with strong data architecture experience. This person will design, develop, and support solutions to transport, store, and analyze our analytical data. They will be key in evolving and maturing our enterprise data strategy and capabilities.
**Duties \&amp; Responsibilities:**
**General**
* Create data architecture, pipelines, and analytical solutions to meet software and data science requirements for various PG\-MX Healthcare Products.
* Identify, evaluate, select, and prove out new technologies and toolsets.
* Create and execute Proofs of Concept and Proofs of Technology.
* Lead and direct the work of others in data dependent projects.
**Data Storage Design**
* Collaborate with software development, business teams, analysts, and data scientists to establish data storage, pipeline, and structure requirements.
* Design, develop, and maintain ETL/ELT pipelines using Databricks (PySpark, Delta Lake, SQL).
* Implement Data Lakehouse architecture leveraging Databrick Unity Catalog, Delta Live Tables, and Workflows.
* Build and optimize data ingestion frameworks for structured and unstructured data from diverse sources.
* Identify and plan for data storage performance requirements.
* Optimize Databricks clusters, jobs, and queries for performance and cost efficiency.
**Application Interface and Data Storage Implementation**
* Collaborate with software development, business teams, and data scientists to create and execute implementations.
* Identify impact of implementation on other applications and databases.
* Lead and mentor data engineers on data projects.
* Implement CI/CD for data pipelines using Git, Databricks Repos, and DevOps tools.
* Ensure Data quality, reliability, security compliances across environments.
**Master Data Management and Data Governance**
* Build and evolve Trusted Record systems to manage entities across the enterprise.
* Design, implement, and evolve solutions around person identity management.
* Develop and enforce data governance, lineage, and cataloging standards.
**Mentors Data Engineers**
* Identify areas of development and need.
* Provide targeted training and exploration for team members.
* Train and mentor data engineers on standards and best practices.
**Technical Skills:**
* Hands on experience of Azure data technologies (Databricks, Data Factory, Stream Analytics, Data Lake Storage, Synapse), on\-premises Microsoft tools (SQL DB and SSIS), and familiar with AWS data technologies.
* Proficiency in Python, SQL and distributed data processing frameworks (Spark), and familiar with C\#, PowerShell, and APIs.
* Significant experience with analytical solutions in relational databases such as MS SQL Server, Oracle, and DB2 as well as experience with NoSQL databases and solutions such as data lakes, document\-oriented databases, and graph databases.
* Strong understanding of data modeling, schema design, and ETL best practices
* Experience with data lineage, cataloging, and metadata management in Databricks and Unity Catalog.
* Skill in data modeling and experience with tools like ER/Studio or Erwin.
* Familiarity with version control (Git) and DevOps/CI\-CD practices.
* Familiarity with SQL performance tuning and Spark optimization techniques.
* Excellent problem\-solving and communication skills.
**Minimum Qualifications**
* Minimum of 5 years Data Engineering experience in an enterprise environment.
* Bachelor’s degree in technology or like field required.
**Don’t meet every single requirement?** Studies have shown that women and people of color are less likely to apply to jobs unless they meet every single qualification. At Press Ganey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base salary for this position ranges from $100,000 to $120,000\.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53">
      <c r="A53" t="inlineStr">
        <is>
          <t>in-156b61e9e237f687</t>
        </is>
      </c>
      <c r="B53" t="inlineStr">
        <is>
          <t>Lead BI Engineer</t>
        </is>
      </c>
      <c r="C53" t="inlineStr">
        <is>
          <t>Follett Corporation</t>
        </is>
      </c>
      <c r="D53" t="inlineStr">
        <is>
          <t>indeed</t>
        </is>
      </c>
      <c r="E53" t="inlineStr"/>
      <c r="F53" t="inlineStr"/>
      <c r="G53" t="inlineStr">
        <is>
          <t>Westchester, IL, US</t>
        </is>
      </c>
      <c r="H53" s="2" t="n">
        <v>46065</v>
      </c>
      <c r="I53" t="inlineStr">
        <is>
          <t>**Position Overview**
Follett Higher Education is a leading educational service provider and omnichannel retailer, providing students, faculty, staff, parents, and fans with the course materials, learning tools, and retail services needed to successfully support the collegiate journey. Follett Higher Education supports over 6 million students through its 1,100 physical and 1,750 eCommerce campus stores across North America.
The **Lead Business Intelligence Engineer** is responsible for designing and implementing data analytics solutions that enable the organization to make data\-driven decisions. This role works closely with enterprise stakeholders to identify requirements and then designs solutions that meet their needs.
**Responsibilities**
* Develop and implement end\-to\-end scalable and maintainable solutions using technologies such as Azure Data Factory, Azure Data Lake Storage, Azure Databricks, SQL Server, SSIS, SSAS, SSRS, and Power BI.
* Develop and maintain relationships with key stakeholders, including business users and IT leadership, to understand their requirements and design solutions that meet their needs.
* Develop data dictionaries, mapping, functional design, and other technical documentation.
* Perform data analysis and profiling to identify data quality issues and work with data owners to resolve them.
* Stay current with industry trends and emerging technologies and evaluate their potential use in the organization.
* Participate in project planning, including estimating development efforts and managing project timelines and resources.
Requirements:
* Bachelor's degree in a related field or equivalent.
* 7\+ years of experience designing and implementing end\-to\-end data analytics solutions.
* Experience designing and implementing semantic layers for Business Intelligence and Analytics consumption.
* Strong understanding of ETL processes and data pipelines, and experience developing them.
* Experience developing actionable reports and dashboards.
* Strong analytical and problem\-solving skills, with the ability to analyze complex data sets or business requirements and translate them into tangible solutions.
* Excellent communication and interpersonal skills, with the ability to work collaboratively with business stakeholders and technical teams.
* Experience in project management and Agile methodologies.
* Ability to work independently and as part of a team in a fast\-paced, dynamic environment.
* Experience with cloud computing platforms, such as Azure and Google Cloud Platform.
* Data Analytics, Business Intelligence, and Cloud certifications are a plus.
* Experience working in the retail and education industries is a plus.
Pay Transparency The annual salary/hourly rate range has been established based on the role, experience, skill set, and location. The exact starting salary/hourly rate within the range will depend on the role and the local market. This position may be eligible to participate in one of the Company’s incentive plans. The amount of any incentive payment varies and is subject to the terms and conditions of the applicable incentive plan. We offer a comprehensive benefits package which includes medical, dental, vision, disability, wellness programs, 401(k) plan, flex spending, paid holidays, and paid time off. Eligibility for benefits is governed by the applicable policies and plan documents.</t>
        </is>
      </c>
    </row>
    <row r="54">
      <c r="A54" t="inlineStr">
        <is>
          <t>in-8d46aec9092ec745</t>
        </is>
      </c>
      <c r="B54" t="inlineStr">
        <is>
          <t>Senior Data Engineer</t>
        </is>
      </c>
      <c r="C54" t="inlineStr">
        <is>
          <t>Natera</t>
        </is>
      </c>
      <c r="D54" t="inlineStr">
        <is>
          <t>indeed</t>
        </is>
      </c>
      <c r="E54">
        <f>HYPERLINK("https://www.indeed.com/viewjob?jk=8d46aec9092ec745", "https://www.indeed.com/viewjob?jk=8d46aec9092ec745")</f>
        <v/>
      </c>
      <c r="F54">
        <f>HYPERLINK("https://grnh.se/36ovox634us", "https://grnh.se/36ovox634us")</f>
        <v/>
      </c>
      <c r="G54" t="inlineStr">
        <is>
          <t>Austin, TX, US</t>
        </is>
      </c>
      <c r="H54" s="3" t="n">
        <v>46066</v>
      </c>
      <c r="I54" t="inlineStr">
        <is>
          <t>**POSITION SUMMARY:**
Design, develop, and maintain robust, scalable, and secure data pipelines for ingesting, transforming, and validating clinical real\-world data (RWD) from various sources. Implement software solutions using programming languages (e.g., Python, SQL) and cloud technologies (e.g., AWS) to support clinical data management and analysis workflows. Work closely with the clinical data management specialist and other engineers to ensure software and data are of high\-quality, scalable, and compliant with industry standards.
**PRIMARY RESPONSIBILITIES:**
* Communication and Team Collaboration:
	+ Collaborate with software/quality engineers/analysts and product managers (technical and non\-technical) to make key design and technical implementation decisions. Partner with stakeholders and users to define requirements and deliver reliable, extensible, operations\-friendly applications, services, solutions, data pipelines, or reports.
	+ Communicate testing progress, risks, and quality metrics effectively to project stakeholders and senior management.
* Data Engineering Expertise: Design, build, and optimize production\-grade ETL/ELT data pipelines and software components based on product requirements, and where applicable innovative ideas based on domain expertise.
* Data Analysis and Debugging: Analyze and fix defects identified within applications, services, solutions, data pipelines, or reports.Along with creating unit tests and coordinate testing within the Clinical Data and Software engineering team, and all relevant cross\-functional teams.
* Data Management: Write SQL, Python, ELT code to query raw and structured clinical, and genomic data for various clinical data management activities and to provide data as a service.
* Data\-as\-a\-Service: Create data marts, including performing data transformation and de\-identification for internal and external data projects, research initiatives, quality monitoring programs, and meeting regulator submission requirements.
* Cloud Computing: Develop and maintain scalable data pipelines, storage solutions, and processing workflows using AWS services (e.g., S3, Redshift).
* Workflow Orchestration: Experience with Apache Airflow for scheduling and managing complex data workflows. Review design alternatives and architectural proposals and provide relevant and timely recommendations and suggestions to leadership.
* Work Scoping and Estimation: Accurately scope and estimate work using sound engineering best practices.
* Software Development Lifecycle (SDLC): Apply version control (Git), CI/CD pipelines, and agile development methodologies.
* Process Improvement: Perform code reviews and provide relevant and timely recommendations and suggestions for solutioning to the leadership team, and when appropriate, independently implement solutions.
* New Hire Onboarding/Training: Support staff recruitment and onboarding.
* Mentorship: Provide strong leadership and support to new hires and cross\-functional team members, fostering an environment of professional development and growth.
* Conferences and Certifications: Maintenance of all relevant clinical or technical licensures. Attend conferences relevant to role and clinical field.
* Other duties and responsibilities to be performed as assigned
**QUALIFICATIONS:**
* Educational Background: BS degree in computer science or comparable program.
* Technical Skills and Background:
	+ 4\-5\+ years of overall software development experience, preferably building complex data or process management applications
	+ SQL databases (Postgres, Snowflake, Redshift, Athena), SQL, and ETL
	+ Excel/Macros, Quicksight and Tableau or similar applications
	+ AWS services like Redshift and S3
	+ Software engineering best practices including agile methodologies, code reviews, source management, build processes, testing, and operations
* Data Standards: Proficient with data standards (e.g., CDISC, FHIR) and regulatory requirements (e.g., HIPAA, GDPR) for data management and DEID.
* Database Systems: In\-depth knowledge of relational databases (e.g., PostgreSQL, MySQL).
* Software Development Lifecycle (SDLC): Expert knowledge of version control (Git), CI/CD pipelines, and agile development methodologies.
* Communication: Excellent written and verbal communication skills, capable of collaborating with clinical and non\-clinical teams.
* Autonomy: Proven ability to work independently, manage time effectively, prioritize and organize tasks, and meet strict productivity and quality deadlines
* General Expertise:
	+ Possess a high level of initiative and self\-motivation.
	+ Team player; can navigate supporting highly visible projects and tasks.
	+ In\-depth attention to detail and a fast learner.
	+ Responding to shifting priorities and changes.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55">
      <c r="A55" t="inlineStr">
        <is>
          <t>in-eea72f8507a38524</t>
        </is>
      </c>
      <c r="B55" t="inlineStr">
        <is>
          <t>Lead Data Engineer (Snowflake, DBT and Qlik)-1</t>
        </is>
      </c>
      <c r="C55" t="inlineStr">
        <is>
          <t>Realign</t>
        </is>
      </c>
      <c r="D55" t="inlineStr">
        <is>
          <t>indeed</t>
        </is>
      </c>
      <c r="E55">
        <f>HYPERLINK("https://www.indeed.com/viewjob?jk=eea72f8507a38524", "https://www.indeed.com/viewjob?jk=eea72f8507a38524")</f>
        <v/>
      </c>
      <c r="F55">
        <f>HYPERLINK("https://realign-llc.com/careers/job-details/IT900712LE-1", "https://realign-llc.com/careers/job-details/IT900712LE-1")</f>
        <v/>
      </c>
      <c r="G55" t="inlineStr">
        <is>
          <t>Raleigh, NC, US</t>
        </is>
      </c>
      <c r="H55" s="3" t="n">
        <v>46066</v>
      </c>
      <c r="I55" t="inlineStr">
        <is>
          <t>Raleigh, North Carolina 27513 Posted February 14th, 2026
 Looking for more job opportunities? Click here!
Job Type: Full Time
Job Category: IT
Job Description
**Role \- Lead Data Engineer (Snowflake, DBT and Qlik)**  
**Location \- Raleigh, NC \| Phoenix, AZ \| Dallas, TX (ONSITE)****Experience \- 10\+****Type \- Full Time**
---------------------
 **Job Description**  
Design, develop, and maintain robust and scalable data transformation pipelines using dbt on the Snowflake platform.
DBT Macro Development to Create and utilize Jinja\-based DBT macros to promote code reusability, modularity, and dynamic SQL generation within DBT projects.
Data Transformation \&amp; Orchestration to Implement and manage data transformation pipelines using DBT, integrating with various data sources and ensuring efficient data flow.
Utilize advanced dbt concepts, including macros, materializations (e.g., incremental, view, table), snapshots, and configurations to build efficient data models.
Write highly optimized and complex SQL queries for data manipulation, cleaning, aggregation, and transformation within dbt models.
Implement and enforce best practices for dbt project structure, version control (Git), documentation, and testing.
Collaborate with data analysts, engineers, and business stakeholders to understand data requirements and translate them into effective data models (e.g., star schema, snowflake schema).
Design and implement logical and physical data models within dbt to support analytical and reporting needs.
Leverage Snowflake features and functionalities for performance optimization, including virtual warehouses, clustering, caching, and query optimization.
Manage and optimize data ingestion and integration processes from various sources into Snowflake.
Ensure data quality, integrity, and lineage throughout the data transformation process.
Implement and maintain DBT tests to ensure data quality, integrity, and adherence to business rules.
Implement and maintain data governance policies and procedures within the dbt environment.
Develop and execute automated tests for dbt models to ensure data accuracy and reliability.
 **Required Skills**
Proven hands\-on experience with dbt in a production environment, including extensive use of macros and advanced modeling techniques.
Expert\-level proficiency in SQL for data querying, manipulation, and transformation.
Strong experience with Snowflake, including performance tuning and optimization.
Solid understanding of data warehousing concepts and ETL/ELT processes.
Experience with version control systems, particularly Git.
Familiarity with data modeling principles (star schema, snowflake schema).
Required Skills
DEVOPS ENGINEER
 SENIOR EMAIL SECURITY ENGINEER</t>
        </is>
      </c>
    </row>
    <row r="56">
      <c r="A56" t="inlineStr">
        <is>
          <t>in-a60c66323bb909ee</t>
        </is>
      </c>
      <c r="B56" t="inlineStr">
        <is>
          <t>Data Engineer-2</t>
        </is>
      </c>
      <c r="C56" t="inlineStr">
        <is>
          <t>Realign</t>
        </is>
      </c>
      <c r="D56" t="inlineStr">
        <is>
          <t>indeed</t>
        </is>
      </c>
      <c r="E56">
        <f>HYPERLINK("https://www.indeed.com/viewjob?jk=a60c66323bb909ee", "https://www.indeed.com/viewjob?jk=a60c66323bb909ee")</f>
        <v/>
      </c>
      <c r="F56">
        <f>HYPERLINK("https://realign-llc.com/careers/job-details/IT900694DA-2", "https://realign-llc.com/careers/job-details/IT900694DA-2")</f>
        <v/>
      </c>
      <c r="G56" t="inlineStr">
        <is>
          <t>Phoenix, AZ, US</t>
        </is>
      </c>
      <c r="H56" s="3" t="n">
        <v>46066</v>
      </c>
      <c r="I56" t="inlineStr">
        <is>
          <t>Phoenix, Arizona 85001 Posted February 14th, 2026
 Looking for more job opportunities? Click here!
Job Type: Full Time
Job Category: IT
Job Description
**Job Title: Data Engineer****Loc:** **Remote/Hybrid\- only from Raleigh, NC \| Phoenix, AZ \| Dallas, TX****Employment type :Full\-time** **Job Summary**
We are looking for a skilled Data Engineer to design, build, and maintain scalable data pipelines and data warehouse solutions. The ideal candidate will have strong experience in cloud\-based data platforms, automation, data governance, and performance optimization. **Key Responsibilities**
Design, develop, and maintain real\-time and batch data pipelines
Build and optimize ETL/ELT processes for data integration from multiple sources
Design and maintain data warehouse structures ensuring data quality and consistency
Implement data governance, security, and compliance standards
Apply data protection measures such as masking, tokenization, and RBAC
Monitor, troubleshoot, and optimize performance of large\-scale data systems
Develop automated testing and CI/CD pipelines for data workflows
Manage code deployments across environments including production and disaster recovery
Collaborate with data scientists, analysts, and cross\-functional teams
**Required Skills \&amp; Experience**
Experience building automated, cloud\-based data pipelines
Strong knowledge of Snowflake, DBT Cloud, Qlik Replicate
Hands\-on experience with AWS services (S3, Lambda, Glue, RDS, SQS, SNS)
Proficiency in Python, PySpark, and advanced SQL
Experience with Airflow (Astronomer) and orchestration tools
Knowledge of data governance, security, and compliance best practices
Experience handling structured and semi\-structured data (CSV, JSON, XML, etc.)
Experience implementing logging, monitoring, and performance tuning
Familiarity with CI/CD tools (GitLab/GitHub)
Certification in relevant data or cloud technologies
**Benefits:***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amp; Training Reimbursement.
* Time Off: Vacation, Time Off, Sick Leave \&amp; Holidays.
* Legal \&amp; Financial Assistance: Legal Assistance, 401K Plan, Performance Bonus, College Fund, Student Loan Refinancing.
Required Skills
DEVOPS ENGINEER
 SENIOR EMAIL SECURITY ENGINEER</t>
        </is>
      </c>
    </row>
    <row r="57">
      <c r="A57" t="inlineStr">
        <is>
          <t>in-d063ce797ce3a182</t>
        </is>
      </c>
      <c r="B57" t="inlineStr">
        <is>
          <t>Senior Analytics Engineer</t>
        </is>
      </c>
      <c r="C57" t="inlineStr">
        <is>
          <t>INSPYR Solutions</t>
        </is>
      </c>
      <c r="D57" t="inlineStr">
        <is>
          <t>indeed</t>
        </is>
      </c>
      <c r="E57">
        <f>HYPERLINK("https://www.indeed.com/viewjob?jk=d063ce797ce3a182", "https://www.indeed.com/viewjob?jk=d063ce797ce3a182")</f>
        <v/>
      </c>
      <c r="F57">
        <f>HYPERLINK("http://www.indeed.com/job/senior-analytics-engineer-d063ce797ce3a182", "http://www.indeed.com/job/senior-analytics-engineer-d063ce797ce3a182")</f>
        <v/>
      </c>
      <c r="G57" t="inlineStr">
        <is>
          <t>Irving, TX, US</t>
        </is>
      </c>
      <c r="H57" s="3" t="n">
        <v>46066</v>
      </c>
      <c r="I57" t="inlineStr">
        <is>
          <t>We are looking for a seasoned Analytics Engineer to help strengthen the organization’s analytics foundation. This role plays a critical part in improving data reliability, documentation, governance, and the adoption of AI\-driven analytics capabilities.
The current analytics stack includes Domo (used as both a cloud data warehouse and visualization layer), SQL Server as the primary application database, and Azure Logic Apps for external integrations. The ideal candidate can deliver quick business wins while also helping shape long\-term analytics strategy.
**Key Responsibilities**
**Data Quality \&amp; Governance**
* Design and maintain data quality frameworks, including validation checks, testing, and monitoring
* Create and maintain detailed documentation such as data dictionaries, transformation logic, business rules, and lineage
* Establish and enforce analytics engineering standards across the BI ecosystem
* Identify data issues, perform root cause analysis, and implement long\-term fixes
* Act as a champion for data governance and quality across the BI function
**Analytics Engineering \&amp; BI Development**
* Build and optimize data transformations using Domo Magic ETL (visual dataflows and SQL\-based)
* Develop scalable, analytics\-ready data models to support reporting and insights
* Create and maintain dashboards, cards, and visualizations aligned to business needs
* Administer the Domo platform, including access controls, scheduling, and performance tuning
* Automate reports and scheduled data deliveries for operational teams
* Partner with business stakeholders to gather requirements and translate them into technical solutions
* Diagnose and resolve data accuracy and performance issues throughout the analytics stack
**AI Strategy \&amp; Innovation**
* Assess available AI features within Domo and contribute to an AI adoption roadmap
* Use AI tools (e.g., Claude Code) to accelerate documentation and improve data discovery
* Advocate for thoughtful, strategic use of AI to increase efficiency and insight generation
* Stay up to date on analytics engineering trends and platform enhancements
**Required Qualifications**
**Experience**
* 5–7 years of experience in analytics engineering, BI, data analytics, or a related field
* Hands\-on ownership of data quality initiatives and validation processes
* Proven ability to create and maintain technical documentation and process standards
* Experience leading projects end to end with minimal oversight
**Technical Skills**
* Advanced SQL skills, including performance tuning, complex joins, and window functions
* Experience with a modern BI platform (Domo preferred; Tableau, Power BI, or similar accepted)
* Strong background in ETL/ELT pipelines and data transformation workflows
* Solid understanding of dimensional modeling and data warehousing concepts
* Familiarity with GitHub or similar version control systems
**Business \&amp; Communication**
* Ability to clearly explain technical concepts to non\-technical audiences
* Strong analytical and problem\-solving mindset
* Comfortable collaborating with distributed and cross\-functional teams
* Self\-directed with a passion for continuous improvement
* Skilled at managing competing priorities and stakeholder expectations
**Preferred Qualifications**
* Direct experience with the Domo platform (Magic ETL, Beast Modes, administration)
* Exposure to Azure services and Logic Apps
* Experience applying AI/ML tools in analytics workflows
* Background in SaaS, public sector, or public safety environments
* Proficiency in an object\-oriented language (Python, .NET, or similar)
* Familiarity with JSON and YAML
* Bachelor’s degree in Computer Science, Engineering, Information Systems, or a related discipline
Job Type: Full\-time
Pay: $130,000\.00 \- $160,000\.00 per year
Benefits:
* Dental insurance
* Flexible schedule
* Health insurance
* Paid time off
* Vision insurance
Work Location: Hybrid remote in Irving, TX 75038</t>
        </is>
      </c>
    </row>
    <row r="58">
      <c r="A58" t="inlineStr">
        <is>
          <t>in-f287d495d72a1ff0</t>
        </is>
      </c>
      <c r="B58" t="inlineStr">
        <is>
          <t>Data Engineer-2</t>
        </is>
      </c>
      <c r="C58" t="inlineStr">
        <is>
          <t>Realign</t>
        </is>
      </c>
      <c r="D58" t="inlineStr">
        <is>
          <t>indeed</t>
        </is>
      </c>
      <c r="E58">
        <f>HYPERLINK("https://www.indeed.com/viewjob?jk=f287d495d72a1ff0", "https://www.indeed.com/viewjob?jk=f287d495d72a1ff0")</f>
        <v/>
      </c>
      <c r="F58">
        <f>HYPERLINK("https://realign-llc.com/careers/job-details/IT900693DA-2", "https://realign-llc.com/careers/job-details/IT900693DA-2")</f>
        <v/>
      </c>
      <c r="G58" t="inlineStr">
        <is>
          <t>Raleigh, NC, US</t>
        </is>
      </c>
      <c r="H58" s="3" t="n">
        <v>46066</v>
      </c>
      <c r="I58" t="inlineStr">
        <is>
          <t>Raleigh, North Carolina 27513 Posted February 14th, 2026
 Looking for more job opportunities? Click here!
Job Type: Full Time
Job Category: IT
Job Description
**Job Title: Data Engineer****Loc:** **Remote/Hybrid\- only from Raleigh, NC \| Phoenix, AZ \| Dallas, TX****Employment type :Full\-time** **Job Summary**
We are looking for a skilled Data Engineer to design, build, and maintain scalable data pipelines and data warehouse solutions. The ideal candidate will have strong experience in cloud\-based data platforms, automation, data governance, and performance optimization. **Key Responsibilities**
Design, develop, and maintain real\-time and batch data pipelines
Build and optimize ETL/ELT processes for data integration from multiple sources
Design and maintain data warehouse structures ensuring data quality and consistency
Implement data governance, security, and compliance standards
Apply data protection measures such as masking, tokenization, and RBAC
Monitor, troubleshoot, and optimize performance of large\-scale data systems
Develop automated testing and CI/CD pipelines for data workflows
Manage code deployments across environments including production and disaster recovery
Collaborate with data scientists, analysts, and cross\-functional teams
**Required Skills \&amp; Experience**
Experience building automated, cloud\-based data pipelines
Strong knowledge of Snowflake, DBT Cloud, Qlik Replicate
Hands\-on experience with AWS services (S3, Lambda, Glue, RDS, SQS, SNS)
Proficiency in Python, PySpark, and advanced SQL
Experience with Airflow (Astronomer) and orchestration tools
Knowledge of data governance, security, and compliance best practices
Experience handling structured and semi\-structured data (CSV, JSON, XML, etc.)
Experience implementing logging, monitoring, and performance tuning
Familiarity with CI/CD tools (GitLab/GitHub)
Certification in relevant data or cloud technologies
**Benefits:***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amp; Training Reimbursement.
* Time Off: Vacation, Time Off, Sick Leave \&amp; Holidays.
* Legal \&amp; Financial Assistance: Legal Assistance, 401K Plan, Performance Bonus, College Fund, Student Loan Refinancing.
Required Skills
DEVOPS ENGINEER
 SENIOR EMAIL SECURITY ENGINEER</t>
        </is>
      </c>
    </row>
    <row r="59">
      <c r="A59" t="inlineStr">
        <is>
          <t>in-2ce30f65e2f2c88a</t>
        </is>
      </c>
      <c r="B59" t="inlineStr">
        <is>
          <t>Lead Data Engineer (Snowflake, DBT and Qlik)-1</t>
        </is>
      </c>
      <c r="C59" t="inlineStr">
        <is>
          <t>Realign</t>
        </is>
      </c>
      <c r="D59" t="inlineStr">
        <is>
          <t>indeed</t>
        </is>
      </c>
      <c r="E59">
        <f>HYPERLINK("https://www.indeed.com/viewjob?jk=2ce30f65e2f2c88a", "https://www.indeed.com/viewjob?jk=2ce30f65e2f2c88a")</f>
        <v/>
      </c>
      <c r="F59">
        <f>HYPERLINK("https://realign-llc.com/careers/job-details/IT900713LE-1", "https://realign-llc.com/careers/job-details/IT900713LE-1")</f>
        <v/>
      </c>
      <c r="G59" t="inlineStr">
        <is>
          <t>Phoenix, AZ, US</t>
        </is>
      </c>
      <c r="H59" s="3" t="n">
        <v>46066</v>
      </c>
      <c r="I59" t="inlineStr">
        <is>
          <t>Phoenix, Arizona 85001 Posted February 14th, 2026
 Looking for more job opportunities? Click here!
Job Type: Full Time
Job Category: IT
Job Description
**Role \- Lead Data Engineer (Snowflake, DBT and Qlik)**  
**Location \- Raleigh, NC \| Phoenix, AZ \| Dallas, TX (ONSITE)****Experience \- 10\+****Type \- Full Time**
---------------------
 **Job Description**  
Design, develop, and maintain robust and scalable data transformation pipelines using dbt on the Snowflake platform.
DBT Macro Development to Create and utilize Jinja\-based DBT macros to promote code reusability, modularity, and dynamic SQL generation within DBT projects.
Data Transformation \&amp; Orchestration to Implement and manage data transformation pipelines using DBT, integrating with various data sources and ensuring efficient data flow.
Utilize advanced dbt concepts, including macros, materializations (e.g., incremental, view, table), snapshots, and configurations to build efficient data models.
Write highly optimized and complex SQL queries for data manipulation, cleaning, aggregation, and transformation within dbt models.
Implement and enforce best practices for dbt project structure, version control (Git), documentation, and testing.
Collaborate with data analysts, engineers, and business stakeholders to understand data requirements and translate them into effective data models (e.g., star schema, snowflake schema).
Design and implement logical and physical data models within dbt to support analytical and reporting needs.
Leverage Snowflake features and functionalities for performance optimization, including virtual warehouses, clustering, caching, and query optimization.
Manage and optimize data ingestion and integration processes from various sources into Snowflake.
Ensure data quality, integrity, and lineage throughout the data transformation process.
Implement and maintain DBT tests to ensure data quality, integrity, and adherence to business rules.
Implement and maintain data governance policies and procedures within the dbt environment.
Develop and execute automated tests for dbt models to ensure data accuracy and reliability.
 **Required Skills**
Proven hands\-on experience with dbt in a production environment, including extensive use of macros and advanced modeling techniques.
Expert\-level proficiency in SQL for data querying, manipulation, and transformation.
Strong experience with Snowflake, including performance tuning and optimization.
Solid understanding of data warehousing concepts and ETL/ELT processes.
Experience with version control systems, particularly Git.
Familiarity with data modeling principles (star schema, snowflake schema).
Required Skills
DEVOPS ENGINEER
 SENIOR EMAIL SECURITY ENGINEER</t>
        </is>
      </c>
    </row>
    <row r="60">
      <c r="A60" t="inlineStr">
        <is>
          <t>in-559eb91d48d06a73</t>
        </is>
      </c>
      <c r="B60" t="inlineStr">
        <is>
          <t>Sr. Qlik Data Engineer-1</t>
        </is>
      </c>
      <c r="C60" t="inlineStr">
        <is>
          <t>Realign</t>
        </is>
      </c>
      <c r="D60" t="inlineStr">
        <is>
          <t>indeed</t>
        </is>
      </c>
      <c r="E60">
        <f>HYPERLINK("https://www.indeed.com/viewjob?jk=559eb91d48d06a73", "https://www.indeed.com/viewjob?jk=559eb91d48d06a73")</f>
        <v/>
      </c>
      <c r="F60">
        <f>HYPERLINK("https://realign-llc.com/careers/job-details/IT900704SR-1", "https://realign-llc.com/careers/job-details/IT900704SR-1")</f>
        <v/>
      </c>
      <c r="G60" t="inlineStr">
        <is>
          <t>Raleigh, NC, US</t>
        </is>
      </c>
      <c r="H60" s="3" t="n">
        <v>46066</v>
      </c>
      <c r="I60" t="inlineStr">
        <is>
          <t>Raleigh, North Carolina 27513 Posted February 14th, 2026
 Looking for more job opportunities? Click here!
Job Type: Full Time
Job Category: IT
Job Description
**Job Title:** Sr. Qlik Data Engineer  
**Location** – Raleigh, NC  
**FTE** **Job Description*** Data Architecture and Strategy \- Design and implement scalable, efficient data architectures. Lead the development of data strategy aligned with business objectives. Evaluate and integrate new technologies to enhance data capabilities
* Hands\-on Data Pipeline Development \- Implement complex data pipelines for real\-time and batch processing. Optimize data flows for high\-volume, high\-velocity data environments. Develop advanced ETL processes for diverse data sources.
* Data Governance and Quality Management \- Establish and enforce data governance policies and best practices. Implement data quality frameworks and monitoring systems. Ensure compliance with data regulations and standards
* Performance Optimization and Troubleshooting \- Analyze and optimize system performance for large\-scale data operations. Troubleshoot complex data issues and implement robust solutions
* Mentorship and Knowledge Sharing \- Mentor junior data engineers and provide technical guidance. Contribute to the development of best practices and standards. Collaborate with cross\-functional teams to drive data literacy
* Testing \&amp; Automation – Write unit test cases, validate the data integrity \&amp; consistency requirements, build automated data pipelines using GitLab, Git hub, CICD tools.
* Code Deployment \&amp; Release Management \- Adopt release management processes to promote code deployment to various environments including production, disaster recovery, and support activities.
 **Technical/Business Skills:*** Strong hands\-on experience in building robust metadata\-driven, automated data pipeline solutions leveraging modern cloud\-based data technologies, tools for large data platforms.
* Strong experience leveraging data security, governance methodologies meeting data compliance requirements.
* Strong hands\-on experience building medallion architecture automated ELT data pipelines, snow pipe frameworks leveraging Qlik Replicate, DBT Cloud, snowflake with CICD.
* Strong hands\-on experience building data pipelines, data integrity solutions across multiple data sources and targets like SQL Server, Oracle, Mainframe\-DB2, files, Snowflake.
* Experience working with various structured \&amp; semi\-structured data files \- CSV, fixed width, JSON, XML, Excel, and mainframe VSAM.
* Experience using S3, Lambda, SQS, SNS, Glue, RDS AWS services.
* Excellent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 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Financial banking experience is a plus.
* Must have one or more certifications in the relevant technology fields.
Required Skills
CLOUD SECURITY ENGINEER
 DEVOPS ENGINEER
 SENIOR EMAIL SECURITY ENGINEER</t>
        </is>
      </c>
    </row>
    <row r="61">
      <c r="A61" t="inlineStr">
        <is>
          <t>in-162601753580914f</t>
        </is>
      </c>
      <c r="B61" t="inlineStr">
        <is>
          <t>Hadoop Data Engineer-2</t>
        </is>
      </c>
      <c r="C61" t="inlineStr">
        <is>
          <t>Realign</t>
        </is>
      </c>
      <c r="D61" t="inlineStr">
        <is>
          <t>indeed</t>
        </is>
      </c>
      <c r="E61">
        <f>HYPERLINK("https://www.indeed.com/viewjob?jk=162601753580914f", "https://www.indeed.com/viewjob?jk=162601753580914f")</f>
        <v/>
      </c>
      <c r="F61">
        <f>HYPERLINK("https://realign-llc.com/careers/job-details/IT90039HA-2", "https://realign-llc.com/careers/job-details/IT90039HA-2")</f>
        <v/>
      </c>
      <c r="G61" t="inlineStr">
        <is>
          <t>Addison, TX, US</t>
        </is>
      </c>
      <c r="H61" s="3" t="n">
        <v>46066</v>
      </c>
      <c r="I61" t="inlineStr">
        <is>
          <t>Addison, Texas 75001 Posted February 14th, 2026
 Looking for more job opportunities? Click here!
Job Type: Full Time
Job Category: IT
Job Description
**Role: Hadoop Data Engineer****Location: Addison, TX****FTE only** **Job Description****Must Have Technical/Functional Skills** **Primary Skill: Hadoop (HDFS, Hive, Spark), Big Data ETL/ELT, Distributed Processing, MS SQL Server,****Secondary: Artificial Intelligence/ Machine learning****Experience: Minimum 10 years** **Roles \&amp; Responsibilities**
? Design and implement scalable batch and/or streaming data pipelines using Hadoop ecosystem tools.
? Develop and optimize data ingestion processes from multiple sources (RDBMS, files, APIs, logs).
? Build and maintain datasets in HDFS/Hive and ensure data quality, lineage, and governance.
? Perform performance tuning for distributed workloads (partitioning, file formats, resource management).
? Create and optimize complex queries, stored procedures, and ETL workflows in MS SQL Server.
? Collaborate with data scientists/analysts to deliver feature\-ready datasets for ML models.
? Implement monitoring and alerting for pipeline health and data SLAs.
? Document architecture, workflows, data dictionaries, and operational runbooks.
? Support production deployments, incident triage, and root cause analysis. **Required Skills \&amp; Qualifications**
? Strong hands\-on experience with Hadoop components (e.g., HDFS, Hive, YARN, MapReduce/Spark).
? Experience with data modeling and data warehousing concepts.
? Solid proficiency in MS SQL Server (T\-SQL, query optimization, indexing, stored procedures).
? Experience with ETL/ELT design patterns and job scheduling (e.g., Oozie/Airflow/Control\-M).
? Strong understanding of distributed computing concepts and performance tuning.
? Familiarity with Python/Scala/Java for data processing (any one preferred).
? Bachelor’s degree in Computer Science, Engineering, or equivalent experience.
Required Skills
DEVOPS ENGINEER
 SENIOR EMAIL SECURITY ENGINEER</t>
        </is>
      </c>
    </row>
    <row r="62">
      <c r="A62" t="inlineStr">
        <is>
          <t>in-3762a9568412e73a</t>
        </is>
      </c>
      <c r="B62" t="inlineStr">
        <is>
          <t>Lead Data Engineer (Snowflake, DBT and Qlik)-1</t>
        </is>
      </c>
      <c r="C62" t="inlineStr">
        <is>
          <t>Realign</t>
        </is>
      </c>
      <c r="D62" t="inlineStr">
        <is>
          <t>indeed</t>
        </is>
      </c>
      <c r="E62">
        <f>HYPERLINK("https://www.indeed.com/viewjob?jk=3762a9568412e73a", "https://www.indeed.com/viewjob?jk=3762a9568412e73a")</f>
        <v/>
      </c>
      <c r="F62">
        <f>HYPERLINK("https://realign-llc.com/careers/job-details/IT900714LE-1", "https://realign-llc.com/careers/job-details/IT900714LE-1")</f>
        <v/>
      </c>
      <c r="G62" t="inlineStr">
        <is>
          <t>Dallas, TX, US</t>
        </is>
      </c>
      <c r="H62" s="3" t="n">
        <v>46066</v>
      </c>
      <c r="I62" t="inlineStr">
        <is>
          <t>Dallas, Texas 75019 Posted February 14th, 2026
 Looking for more job opportunities? Click here!
Job Type: Full Time
Job Category: IT
Job Description
**Role \- Lead Data Engineer (Snowflake, DBT and Qlik)**  
**Location \- Raleigh, NC \| Phoenix, AZ \| Dallas, TX (ONSITE)****Experience \- 10\+****Type \- Full Time**
---------------------
 **Job Description**  
Design, develop, and maintain robust and scalable data transformation pipelines using dbt on the Snowflake platform.
DBT Macro Development to Create and utilize Jinja\-based DBT macros to promote code reusability, modularity, and dynamic SQL generation within DBT projects.
Data Transformation \&amp; Orchestration to Implement and manage data transformation pipelines using DBT, integrating with various data sources and ensuring efficient data flow.
Utilize advanced dbt concepts, including macros, materializations (e.g., incremental, view, table), snapshots, and configurations to build efficient data models.
Write highly optimized and complex SQL queries for data manipulation, cleaning, aggregation, and transformation within dbt models.
Implement and enforce best practices for dbt project structure, version control (Git), documentation, and testing.
Collaborate with data analysts, engineers, and business stakeholders to understand data requirements and translate them into effective data models (e.g., star schema, snowflake schema).
Design and implement logical and physical data models within dbt to support analytical and reporting needs.
Leverage Snowflake features and functionalities for performance optimization, including virtual warehouses, clustering, caching, and query optimization.
Manage and optimize data ingestion and integration processes from various sources into Snowflake.
Ensure data quality, integrity, and lineage throughout the data transformation process.
Implement and maintain DBT tests to ensure data quality, integrity, and adherence to business rules.
Implement and maintain data governance policies and procedures within the dbt environment.
Develop and execute automated tests for dbt models to ensure data accuracy and reliability.
 **Required Skills**
Proven hands\-on experience with dbt in a production environment, including extensive use of macros and advanced modeling techniques.
Expert\-level proficiency in SQL for data querying, manipulation, and transformation.
Strong experience with Snowflake, including performance tuning and optimization.
Solid understanding of data warehousing concepts and ETL/ELT processes.
Experience with version control systems, particularly Git.
Familiarity with data modeling principles (star schema, snowflake schema).
Required Skills
DEVOPS ENGINEER
 SENIOR EMAIL SECURITY ENGINEER</t>
        </is>
      </c>
    </row>
    <row r="63">
      <c r="A63" t="inlineStr">
        <is>
          <t>in-2364d411400bf82c</t>
        </is>
      </c>
      <c r="B63" t="inlineStr">
        <is>
          <t>Senior Data Engineer</t>
        </is>
      </c>
      <c r="C63" t="inlineStr">
        <is>
          <t>Lytx</t>
        </is>
      </c>
      <c r="D63" t="inlineStr">
        <is>
          <t>indeed</t>
        </is>
      </c>
      <c r="E63">
        <f>HYPERLINK("https://www.indeed.com/viewjob?jk=2364d411400bf82c", "https://www.indeed.com/viewjob?jk=2364d411400bf82c")</f>
        <v/>
      </c>
      <c r="F63">
        <f>HYPERLINK("https://lytx.wd1.myworkdayjobs.com/en-US/Lytx/job/Office---San-Diego-CA/Senior-Data-Engineer_R-4093", "https://lytx.wd1.myworkdayjobs.com/en-US/Lytx/job/Office---San-Diego-CA/Senior-Data-Engineer_R-4093")</f>
        <v/>
      </c>
      <c r="G63" t="inlineStr">
        <is>
          <t>San Diego, CA, US</t>
        </is>
      </c>
      <c r="H63" s="3" t="n">
        <v>46065</v>
      </c>
      <c r="I63" t="inlineStr">
        <is>
          <t>At Lytx, we make roadways safer by transforming real‑time video and telematics into actionable safety intelligence. The Data Platform is the backbone of that mission \- ingesting and processing massive event streams, shaping trusted datasets, and serving low‑latency insights that power products and analytics across the company. As a Senior Data Engineer, you’ll design, build, and operate high‑scale streaming and batch pipelines, optimize our Redshift data lake, and raise the bar on data quality, reliability, and cost efficiency.
What You’ll Do* Build and operate streaming pipelines with Kafka and streaming technologies (i.e. Flink) for real‑time telemetry and event processing.
* Design robust ETL with Airflow into Redshift and S3, supporting analytics, product use cases, and downstream services.
* Model data (event/telemetry and serving schemas); own data contracts, schema evolution, and table partitioning/compaction strategies.
* Optimize performance \&amp; cost across Redshift, Iceberg/Athena, and streaming jobs
* Harden quality, reliability, and observability: SLAs/SLOs, lineage, testing, validation, alerting, and incident response for data pipelines and datasets.
* Serve data to applications via APIs/GraphQL and scalable query services (Athena/Redshift), ensuring predictable latency and well‑documented contracts.
* Collaborate cross‑functionally with application teams to translate business needs into durable, scalable data assets.
* Mentor engineers and contribute to standards, patterns, and best practices; be a continuous learner who uplifts team capabilities.
What You’ll Bring* 6\+ years of data engineering experience designing and operating production‑grade streaming \+ batch data systems at scale.
* Deep hands‑on experience with Kafka and stream processing technology
* Strong SQL and performance tuning in Redshift; practical experience with Postgres.
* Production experience with Airflow (DAG design, SLAs, retries, idempotency) and Flink (job optimization).
* Experience with open table formats \- Apache Iceberg (preferred) including partition evolution, schema evolution; comfort with Athena query performance.
* Solid data modeling for telemetry/events and analytics; understanding of data contracts, schema registry, and CDC patterns.
* Proficiency in object\-oriented programming languages such as C\# / Java / Python; strong software engineering fundamentals (testing, CI/CD, code review).
* AWS experience (S3, Redshift, Athena, IAM; EKS is a plus).
* Clear communicator who owns outcomes, balances speed with rigor, and thrives in a collaborative, high‑impact environment.
Nice to Have* Experience with IoT/telematics data.
* Knowledge of dbt / Great Expectations (or other data testing frameworks).
* Terraform/IaC, Kubernetes, and cost‑aware architecture.
What Success Looks Like* Reliable, observable pipelines with clear SLAs; lower latency, fewer incidents, and better data quality.
* Faster queries and lower cost in Redshift and Athena.
* High‑adoption, well‑documented datasets and data APIs that product/analytics teams trust.
* Measurable improvements to insights through timely, accurate, and accessible data.
\_\_\_\_\_\_\_\_\_\_\_  
Lytx is powered by cutting\-edge technology and Happy People. You want to use your powers for good, and that’s exactly what we do at Lytx. Our team is made up of people who are making a difference every day with technology that helps save lives each year.
Benefits:* Medical, dental and vision insurance
* Health Savings Account
* Flexible Spending Accounts
* Telehealth
* 401(k) and 401(k) match
* Life and AD\&amp;D insurance
* Short\-Term and Long\-Term Disability
* FTO or PTO
* Employee Well\-Being program
* 11 paid holidays plus 1 inclusive holiday per year
* Volunteer Time Off
* Employee Referral program
* Education Reimbursement Program
* Employee Recognition and Appreciation program
* Additional perk and voluntary benefit programs
Salary is based on a number of factors including market location and may vary depending on job\-related knowledge, skills, and experience. This position is also eligible for an incentive compensation plan. The expected hiring salary for this position is:
$136,000\.00 \- $172,000\.00
Innovation Lives Here  
You go all in no matter what you do, and so do we. At Lytx, we’re powered by cutting\-edge technology and Happy People. You want your work to make a positive impact in the world, and that’s what we do. Join our diverse team of hungry, humble and capable people united to make a difference.
Together, we help save lives on our roadways!
Lytx, Inc. is proud to be an equal opportunity employer. We’re committed to building a diverse and inclusive workforce and do not discriminate based on race, color, religion, sex, sexual orientation, gender identity or expression, gender, genetic information, uniformed service, national origin, age, veteran status, disability, pregnancy, or any other status protected by federal or state law. We are committed to providing reasonable accommodation for candidates with disabilities who need assistance during the hiring process. To request a reasonable accommodation, please email TA@lytx.com. Lytx conducts background checks on applicants who receive a conditional offer of employment in accordance with applicable local, state, federal and regional laws. Qualified applicants with arrest or conviction records will be considered. Background check results may potentially result in the withdrawal of a conditional offer of employment and will be made in accordance with all applicable local, state, federal and regional laws.</t>
        </is>
      </c>
    </row>
    <row r="64">
      <c r="A64" t="inlineStr">
        <is>
          <t>in-397be106fba89fbb</t>
        </is>
      </c>
      <c r="B64" t="inlineStr">
        <is>
          <t>Assc Dir-Data Engineer</t>
        </is>
      </c>
      <c r="C64" t="inlineStr">
        <is>
          <t>Moody's</t>
        </is>
      </c>
      <c r="D64" t="inlineStr">
        <is>
          <t>indeed</t>
        </is>
      </c>
      <c r="E64">
        <f>HYPERLINK("https://www.indeed.com/viewjob?jk=397be106fba89fbb", "https://www.indeed.com/viewjob?jk=397be106fba89fbb")</f>
        <v/>
      </c>
      <c r="F64">
        <f>HYPERLINK("https://careers.moodys.com/assc-dir-data-engineer/job/12700?utm_source=indeed&amp;jobPipeline=indeed", "https://careers.moodys.com/assc-dir-data-engineer/job/12700?utm_source=indeed&amp;jobPipeline=indeed")</f>
        <v/>
      </c>
      <c r="G64" t="inlineStr">
        <is>
          <t>US</t>
        </is>
      </c>
      <c r="H64" s="3" t="n">
        <v>46065</v>
      </c>
      <c r="I64" t="inlineStr">
        <is>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**Employment eligibility to work in the U.S. is required, as Moody’s will not pursue visa sponsorship for this position** **Skills and Competencies*** Proven senior\-level data engineering experience designing and operating data products on the Databricks Lakehouse (Delta Lake) in regulated environments.
* Hands\-on experience building and running Databricks Delta Live Tables (DLT) in production, including incremental/near\-real\-time patterns, expectations, and operationalization.
* Strong orchestration experience using AWS MWAA (Managed Workflows for Apache Airflow) and Databricks Workflows to schedule, monitor, and recover pipelines.
* Expert SQL plus strong Python/Spark skills; deep experience implementing transformations and tests using dbt.
* Strong DataOps mindset: CI/CD for data, data observability/monitoring, incident triage, performance tuning, and designing for reliability and auditability.
* Literacy in Machine Learning concepts and workflows (e.g., feature generation, training/serving considerations), with the ability to partner effectively with ML engineers/data scientists and ensure responsible use.
* Experience using AI tools to streamline workflows and enhance operational efficiency. Proven ability to implement AI\-powered solutions to solve business challenges. Demonstrates a growing awareness of AI risk management and a commitment to responsible and ethical AI use.
 **Education**
Bachelor’s degree in Computer Science, Engineering, or a related field (or equivalent practical experience). **Responsibilities*** Build and operate governed Databricks Lakehouse pipelines (DLT/dbt) orchestrated via MWAA to deliver trusted, compliant data products.
* Provide access to usable data for Corps and Gov business applications, embedded analytics, and ad\-hoc stakeholder requests.
* Own the ‘pipes’ that enable downstream use cases—reliable ingestion, transformation, and delivery patterns that support customer\-facing risk solutions.
* Design, build, and operate production Delta Live Tables (DLT) pipelines to improve data freshness, quality, and operational resilience.
* Implement transformations, testing, and validation using dbt, SQL, and Spark/Python to ensure accuracy, consistency, and trust.
* Orchestrate and monitor workflows using AWS MWAA (Airflow) and Databricks Workflows, implementing alerting, retries, backfills, and runbook\-driven operations.
* Build robust infrastructure and reusable frameworks that allow stakeholders to create predictive and prescriptive analytics (and ML) on top of platform data.
* Enable open configurations and patterns so product and engineering teams can embed analytics and pipelines within their own code repositories safely and consistently.
* Drive technical design and execution for key initiatives; clarify scope, identify risks, and deliver iteratively in ambiguous problem spaces.
* Improve existing systems through iterative, non\-disruptive refactoring (backwards\-compatible changes, staged migrations, measurable improvements).
* Mentor other engineers and contribute to engineering standards and the technical vision of the CnG Data and AI Platform.
 **About the team**
Our CnG Data and AI Platform Data Engineering team focuses on providing access to usable data across the Corps and Gov Operating Unit by interacting with core business applications and the Data Factory via the Data Platform.  
The Data Platform is an umbrella term describing the infrastructure and content of data access. We strive to implement a Data Mesh architecture to enable broader access to Moody’s Analytics\-wide data.
Data Mesh is an organizational philosophy where original data sources are owned by a data producer, and those sources are copied into a centralized data lake that can be used by Operating Unit\-wide resources.  
For US\-based roles only: the anticipated hiring base salary range for this position is $140,200\.00 \- $203,350\.00,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Moody’s is an equal opportunity employer. All qualified applicants will receive consideration for employment without regard to race, color, sex, gender, age, religion or creed, national origin, ancestry, citizenship, marital or familial status, sexual orientation, gender identity, gender expression, genetic information, physical or mental disability, military or veteran status, or any other characteristic protected by law. Moody’s also provides reasonable accommodation to qualified individuals with disabilities or based on a sincerely held religious belief in accordance with applicable laws. If you need to inquire about a reasonable accommodation, or need assistance with completing the application process, please email accommodations@moodys.com. This contact information is for accommodation requests only, and cannot be used to inquire about the status of applications
For San Francisco positions, qualified applicants with criminal histories will be considered for employment consistent with the requirements of the San Francisco Fair Chance Ordinance.
This position may be considered a promotional opportunity, pursuant to the Colorado Equal Pay for Equal Work Act.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is>
      </c>
    </row>
    <row r="65">
      <c r="A65" t="inlineStr">
        <is>
          <t>in-73ea5baa9a2bef8d</t>
        </is>
      </c>
      <c r="B65" t="inlineStr">
        <is>
          <t>Senior/Mid Level Data Engineer - Active TS is a MUST (ONSITE - 100%)</t>
        </is>
      </c>
      <c r="C65" t="inlineStr">
        <is>
          <t>Visual Soft, Inc</t>
        </is>
      </c>
      <c r="D65" t="inlineStr">
        <is>
          <t>indeed</t>
        </is>
      </c>
      <c r="E65">
        <f>HYPERLINK("https://www.indeed.com/viewjob?jk=73ea5baa9a2bef8d", "https://www.indeed.com/viewjob?jk=73ea5baa9a2bef8d")</f>
        <v/>
      </c>
      <c r="F65">
        <f>HYPERLINK("https://visualsoftinc.catsone.com/careers/23641-General/jobs/16774735-SeniorMid-Level-Data-Engineer--Active-TS-is-a-MUST-ONSITE--100/?ref=Indeed", "https://visualsoftinc.catsone.com/careers/23641-General/jobs/16774735-SeniorMid-Level-Data-Engineer--Active-TS-is-a-MUST-ONSITE--100/?ref=Indeed")</f>
        <v/>
      </c>
      <c r="G65" t="inlineStr">
        <is>
          <t>Huntsville, AL, US</t>
        </is>
      </c>
      <c r="H65" s="3" t="n">
        <v>46065</v>
      </c>
      <c r="I65" t="inlineStr">
        <is>
          <t>Visual Soft, Inc is seeking qualified candidates to work on our efforts with a Prime for their end customer, a federal agency in **Huntsville, AL**
**Job Title**: Data Engineer (Senior / Mid\-Level) – ETL / Cloud / AWS – Top Secret Clearance  
**Location**: Huntsville, Alabama (100% Onsite)  
**Clearance Required**: Active Top Secret Clearance (U.S. Citizenship Required)  
**Employment Type**: Full\-Time / Permanent/1099 Consultant  
**Education**: Bachelor’s Degree (B.S.) in Computer Science, Information Systems, Engineering, or related field  
**Experience**:  
Senior: 8\+ years of hands\-on data engineering experience  
Mid\-Level: 5\+ years of hands\-on data engineering experience  
**Job Descriptio**n  
We are seeking Data Engineers (Senior and Mid\-Level) to support secure, mission\-critical data environments within a classified cloud infrastructure.  
These roles are fully onsite in Huntsville, AL and require an active Top Secret clearance.  
The ideal candidates will have strong experience with ETL development, data migration, Java\-based data pipelines, and relational/NoSQL databases (Oracle, PostgreSQL, MongoDB), along with exposure to AWS cloud services and Agile/Scrum methodologies.  
**Key Responsibilities**  
Design, develop, and maintain ETL workflows to extract, transform, and load large\-scale structured and unstructured datasets.  
Develop data migration solutions between legacy and modern systems using SQL, Java, and cloud\-native tools.  
Implement data integration frameworks leveraging AWS services such as Glue, Lambda, S3, RDS, Redshift, and Kinesis.  
Develop automation scripts using Python, Shell, or Bash for deployment, data validation, and maintenance tasks.  
Maintain and enhance data pipelines for real\-time and batch data processing.  
Support data quality, metadata management, and governance activities.  
Participate in Agile/Scrum sprints, contributing to design, code reviews, testing, and documentation.  
Troubleshoot and resolve data\-related issues across on\-premises and AWS environments.  
**Desired qualifications**  
Bachelor’s degree in Computer Science, Engineering, or related technical field.  
5\+ (Mid) or 8\+ (Senior) years of experience in data engineering or database development.  
Strong hands\-on experience with ETL tools (e.g., Informatica, Talend, Pentaho, AWS Glue, or custom Java ETL frameworks).  
Proficiency in SQL and at least one major RDBMS (Oracle or PostgreSQL).  
Experience with data migration projects and data quality validation.  
Proficient in Java or Python for data processing and automation.  
Experience working with cloud technologies, preferably AWS (RDS, S3, Lambda, Redshift, Glue).  
Working knowledge of Linux/Unix environments and shell scripting.  
Experience in an Agile/Scrum development environment.  
Excellent problem\-solving, analytical, and communication skills.  
**Our standard benefits include**:Our standard benefits include 3 weeks of Paid time off (PTO that includes sick leave). Any unused PTO will be issued as a check at the end of an employee's anniversary with us. we also provide 2 floating and 8 public holidays. Floating and holidays expire at the end of every year of service of an employee. In addition, company will cover 50% of health and dental insurances only for all full time employees, however, dependents can be added at extra cost. Employee's health and dental coverage becomes effective after 30 days or first of the month after an employee completes initial 30 working days, we cover 50% for the employee's health and dental insurances. An employee has to finish all of your paper work for health and dental in the first 30 days of your employment with us. We provide STD, LTD and one time salary equivalent of life insurance at NO cost to all full time employees. All full time employees or w\-2 employees with no benefits will be eligible to participate in company's 401k program after 90 days of employment with a company match of 4%, immediate vesting. In addition, all w\-2 employees are eligible to be part of company's profit sharing, no employee contributions required.</t>
        </is>
      </c>
    </row>
    <row r="66">
      <c r="A66" t="inlineStr">
        <is>
          <t>in-c91bcd4105b7a155</t>
        </is>
      </c>
      <c r="B66" t="inlineStr">
        <is>
          <t>Starburst Data Engineer-5</t>
        </is>
      </c>
      <c r="C66" t="inlineStr">
        <is>
          <t>Realign</t>
        </is>
      </c>
      <c r="D66" t="inlineStr">
        <is>
          <t>indeed</t>
        </is>
      </c>
      <c r="E66">
        <f>HYPERLINK("https://www.indeed.com/viewjob?jk=c91bcd4105b7a155", "https://www.indeed.com/viewjob?jk=c91bcd4105b7a155")</f>
        <v/>
      </c>
      <c r="F66">
        <f>HYPERLINK("https://realign-llc.com/careers/job-details/IT83118ST-5", "https://realign-llc.com/careers/job-details/IT83118ST-5")</f>
        <v/>
      </c>
      <c r="G66" t="inlineStr">
        <is>
          <t>Charlotte, NC, US</t>
        </is>
      </c>
      <c r="H66" s="3" t="n">
        <v>46065</v>
      </c>
      <c r="I66" t="inlineStr">
        <is>
          <t>Charlotte, North Carolina 28105 Posted February 13th, 2026
 Looking for more job opportunities? Click here!
Job Type: Full Time
Job Category: IT
Job Description
**Job Title:** Starburst Data Engineer  
**Location** – Charlotte ,NC \&amp; Plano , TX  
**FTE Only**  
Must Have Technical/Functional Skills
 Primary Skill: Starburst
Secondary: Data Virtualization Engineer, Dremio, Presto, SQL Performance Tuning, Shell Scripting, Autosys
Experience: Minimum 10 years **Roles \&amp; Responsibilities***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Required Skills
DEVOPS ENGINEER
 SENIOR EMAIL SECURITY ENGINEER</t>
        </is>
      </c>
    </row>
    <row r="67">
      <c r="A67" t="inlineStr">
        <is>
          <t>in-0bd4df7e504c24c9</t>
        </is>
      </c>
      <c r="B67" t="inlineStr">
        <is>
          <t>Lead Data Engineer</t>
        </is>
      </c>
      <c r="C67" t="inlineStr">
        <is>
          <t>Arcadia.io</t>
        </is>
      </c>
      <c r="D67" t="inlineStr">
        <is>
          <t>indeed</t>
        </is>
      </c>
      <c r="E67">
        <f>HYPERLINK("https://www.indeed.com/viewjob?jk=0bd4df7e504c24c9", "https://www.indeed.com/viewjob?jk=0bd4df7e504c24c9")</f>
        <v/>
      </c>
      <c r="F67">
        <f>HYPERLINK("https://jobs.lever.co/arcadia/811000d1-b400-491b-a712-f2484ba03e66", "https://jobs.lever.co/arcadia/811000d1-b400-491b-a712-f2484ba03e66")</f>
        <v/>
      </c>
      <c r="G67" t="inlineStr">
        <is>
          <t>Remote, US</t>
        </is>
      </c>
      <c r="H67" s="3" t="n">
        <v>46065</v>
      </c>
      <c r="I67" t="inlineStr">
        <is>
          <t>*Arcadia is dedicated to happier, healthier days for all. We believe that there is a better healthcare world – one powered by data. Our platform transforms complex, diverse data into a unified foundation for health, helping organizations deliver better care, boost revenue, and lower costs.*  
*We’re a team of fiercely driven individuals committed to making healthcare more sustainable—and we’re looking for passionate people to help us get there.* *For more information, visit* *arcadia.io*. **Why This Role Is Important to Arcadia**  
The Arcadia Data Engineering team onboards and supports the data feed integrations between Client Claim and Clinical data management platforms and our Healthcare Solution Platform. Our customers are top Healthcare providers and payers, and we help them integrate their internal systems with our analytic platform. The Data Engineering team is responsible for the data architecture that drives the partnership with customers and other internal organizations to drive success through adoption of cutting edge analytic solutions that leverage new age technologies and best practices. Our Data Engineers require both SQL Database knowledge and design , along with multiple programing languages.
As a Lead Data Engineer, you will drive the successful development of solution architecture and the completion of data pipeline connectors that automate the flow of data between client Claim and Clinical data platforms and our analytic health solution platform. Your efforts will be critical to driving the long\-term partnership between Arcadia and our customers. **What Success Looks Like****In 3 months*** Learn the different areas of the data connector life cycle, and develop a working knowledge of the technical stacks, storage platforms, data models, and Arcadia's development cycle
* Familiarize yourself with the existing data pipeline and associated product capabilities
* Set to work on new ingestion pipelines with full bandwidth available (as formal training will end)
 **In 6 months*** Meaningfully contribute to team efficiency by building or rolling out new functionality to enhance team speed
* Build a backlog of development projects that you can start executing on in the next 6 months
* Build strong relationships with engineering organization that supports the data engineering stack so that you can help drive stack improvements
* Set your own personal vision of development and career aspirations and set a working path forward with leadership to work on how we can help you attain those goals
* Contribute to scrum ceremonies and ceremonies within the dev cycles while successfully updating status and progress in Jira
 **In 12 months*** Demonstrate impact to larger team’s ability to get the work done faster
* Continue to work with Product, Engineering or Implementation to build out tools for better data integration capabilities
* Work on standardizing data connector development with better abstraction patterns
* Become a SME (subject matter expert) on Arcadia’s data stack
### **What You'll Be Doing**
* + As a Lead Data Engineer, you will drive the successful development of solution architecture and the completion of data pipeline connectors that automate the flow of data between client data platforms and our analytic health solution platform. Your outcomes are critical to driving the long\-term partnership between Arcadia and our customers.
	+ You will primarily do the following:
	+ Improving the process of how we design and document data pipelines
	+ Identifying high leverage improvement projects and driving them to completion
	+ Support of our processes in partaking in peer code reviews, sprint planning, product grooming, maintaining Jira tasks and peer test reviews
	+ You will be expected to contribute to multiple implementations simultaneously, which will include both new customer setup as well as support and enhancements for existing customers
	+ *The expectations of the day to day of an engineer are as follows:*
	+ **Delivery**
	+ Responsible for delivery of work on expected timelines
	+ Able to identify risk to project success and communicate to leadership
	+ Works mostly independently on delivery w/decreasing involvement from engineering and more senior team members
	+ Able to apply critical thinking and problem solving skills to propose solutions for complex problems within day to day work
	+ **Technical Domain Knowledge:**
	+ Develop a deep understanding of our systems so you can work on projects to improve them
	+ Developing ability to understand technical issues and communicate potential solutions to team members or engineering team
	+ **Business Domain Knowledge:**
	+ Developing working knowledge of the business of healthcare data and how it interacts within the Arcadia products
	+ Understanding of shared value contracts that our customers are in and how data is impacted by them
	+ Developing knowledge of industry data expected values such as PMPM by LOBs, MM trends, etc.
	+ **Communication Skills:**
	+ Developing internal and external professional communication skills including presentation of issues using appropriate industry vocabulary
	+ **Team Projects:**
	+ Responsible for contributing to the advancement of team processes and internal
### **What You'll Bring**
* + Senior Experience Level of 5\-8 years post\-grad with relevant industry experience or graduate level degree.
	+ **TECH**
	+ As a Lead Data Engineer you will be expected to problem solve coding issues and enhancements with frameworks that are built in Spark, while also leveraging technical skills to partake in idea sessions on process improvement and POC design of how to carry out a solution
	+ SQL: 5\+ years (Preferred)
	+ Python: 3\+ years (Preferred)
	+ Spark: 4\+ years (Preferred)
	+ Database Architecture: 2\-3 years (Preferred)
	+ Cloud Architecture: 1\-2 years (Preferred)
	+ 
	+ **DATA**
	+ As a Lead Data Engineer you will be expected to problem solve some basic data analysis issues and work the data to create analytic enhancements
	+ Healthcare Data: 2\-4 years (Preferred)
	+ Healthcare Analytics: 1\-3 years (Preferred)
### **Would Love For You To Have**
* + AWS (S3 and EC2\): 2\-3 years
	+ Nifi: 3\- 5 years
	+ Kafka: 3\-5 years
	+ Java : 3\-5 years
	+ Healthcare Analytics: 3\-5 years
### **What You'll Get**
* + Chance to be surrounded by a team of extremely talented and dedicated individuals driven to succeed
	+ Be a part of a mission driven company that is transforming the healthcare industry by changing the way patients receive care
	+ A flexible, remote friendly company with personality and heart
	+ Employee driven programs and initiatives for personal and professional development
	+ Be a member of the Arcadian and Barkadian Community
$150,000 \- $175,000 a year
**About Arcadia**
Arcadia.io helps innovative providers and payers across the country transform healthcare to reduce cost while improving patient health. We do this by aggregating large amounts of disparate data, applying algorithms to identify opportunities to provide better patient care, and making those opportunities actionable by physicians at the point of care in near\-real time. We are passionate about helping our customers drive meaningful outcomes. We are growing fast and have emerged as a market leader in the highly competitive population health management software market and have been recognized by industry analysts KLAS, IDC, Forrester, and Chilmark for our leadership. For a better sense of our brand and products, please explore our website. **Protect Yourself**
If you have concerns about the authenticity of a job offer or recruitment\-related communication claiming to be from Arcadia, we encourage you to verify by contacting us directly at (781\) 202\-3600 and select option 3\. For more information, visit our website. *This position is responsible for following all Security policies and procedures in order to protect all PHI under Arcadia's custodianship as well as Arcadia Intellectual Properties. For any security\-specific roles, the responsibilities would be further defined by the hiring manager.*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8">
      <c r="A68" t="inlineStr">
        <is>
          <t>in-6cedfa903a167400</t>
        </is>
      </c>
      <c r="B68" t="inlineStr">
        <is>
          <t>Data Engineer</t>
        </is>
      </c>
      <c r="C68" t="inlineStr">
        <is>
          <t>NEP GROUP</t>
        </is>
      </c>
      <c r="D68" t="inlineStr">
        <is>
          <t>indeed</t>
        </is>
      </c>
      <c r="E68">
        <f>HYPERLINK("https://www.indeed.com/viewjob?jk=6cedfa903a167400", "https://www.indeed.com/viewjob?jk=6cedfa903a167400")</f>
        <v/>
      </c>
      <c r="F68">
        <f>HYPERLINK("https://nepgroup.hrmdirect.com/employment/view.php?req=3632692&amp;jbsrc=1014&amp;location=764c6bdf-2a46-30fc-cef1-69888a8e927a", "https://nepgroup.hrmdirect.com/employment/view.php?req=3632692&amp;jbsrc=1014&amp;location=764c6bdf-2a46-30fc-cef1-69888a8e927a")</f>
        <v/>
      </c>
      <c r="G68" t="inlineStr">
        <is>
          <t>Atlanta, GA, US</t>
        </is>
      </c>
      <c r="H68" s="3" t="n">
        <v>46065</v>
      </c>
      <c r="I68" t="inlineStr">
        <is>
          <t>We’re looking for an experienced Data Engineer to help design, build, and optimize modern data pipelines that power analytics, BI, and machine learning across NEP Group. In this role, you’ll develop scalable ETL/ELT workflows feeding Snowflake and Databricks, collaborate closely with BI and ML teams, and continuously improve our data platform to support a growing global organization.
If you enjoy working with large datasets, modern cloud tools, and solving complex data challenges, this is a chance to make a real impact.
Preference is for this to be a hybrid role in Pittsburgh, but we are open to fully remote candidates in Eastern or Central time zones.
### **What You’ll Do:**
* Design, develop, and automate ETL/ELT pipelines feeding Snowflake and Databricks
* Build and maintain scalable ingestion pipelines using dbt, Databricks, and Fivetran
* Optimize queries, data partitioning strategies, and schema design for performance and cost
* Partner with BI and ML teams to support analytics and advanced data use cases
* Identify opportunities to improve data infrastructure and implement best\-practice solutions
* Troubleshoot data issues and provide technical guidance and support
* Contribute to ongoing improvements in reliability, scalability, and data quality
### **What You’ll Need:**
* 5\+ years of experience in data engineering with strong Python, SQL, and Spark skills
* Hands\-on experience building and automating ETL/ELT pipelines and working with data warehouses
* Solid understanding of data modeling, schema design, and performance optimization
* Experience with cloud\-based data platforms such as Databricks and modern storage solutions (e.g., Delta Lake)
* Familiarity with CI/CD, data versioning, and best practices for scalable data infrastructure
* Knowledge of data governance, data quality, and lineage concepts
* Understanding of cloud cost optimization, security, and access control best practices
###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athttps://www.nepgroup.com/career/careers</t>
        </is>
      </c>
    </row>
    <row r="69">
      <c r="A69" t="inlineStr">
        <is>
          <t>in-a12922e597093d78</t>
        </is>
      </c>
      <c r="B69" t="inlineStr">
        <is>
          <t>Data Engineer</t>
        </is>
      </c>
      <c r="C69" t="inlineStr">
        <is>
          <t>NEP GROUP</t>
        </is>
      </c>
      <c r="D69" t="inlineStr">
        <is>
          <t>indeed</t>
        </is>
      </c>
      <c r="E69">
        <f>HYPERLINK("https://www.indeed.com/viewjob?jk=a12922e597093d78", "https://www.indeed.com/viewjob?jk=a12922e597093d78")</f>
        <v/>
      </c>
      <c r="F69">
        <f>HYPERLINK("https://nepgroup.hrmdirect.com/employment/view.php?req=3632692&amp;jbsrc=1014&amp;location=bb4662c4-3e36-2723-c372-9a472f6565f1", "https://nepgroup.hrmdirect.com/employment/view.php?req=3632692&amp;jbsrc=1014&amp;location=bb4662c4-3e36-2723-c372-9a472f6565f1")</f>
        <v/>
      </c>
      <c r="G69" t="inlineStr">
        <is>
          <t>Charlotte, NC, US</t>
        </is>
      </c>
      <c r="H69" s="3" t="n">
        <v>46065</v>
      </c>
      <c r="I69" t="inlineStr">
        <is>
          <t>We’re looking for an experienced Data Engineer to help design, build, and optimize modern data pipelines that power analytics, BI, and machine learning across NEP Group. In this role, you’ll develop scalable ETL/ELT workflows feeding Snowflake and Databricks, collaborate closely with BI and ML teams, and continuously improve our data platform to support a growing global organization.
If you enjoy working with large datasets, modern cloud tools, and solving complex data challenges, this is a chance to make a real impact.
Preference is for this to be a hybrid role in Pittsburgh, but we are open to fully remote candidates in Eastern or Central time zones.
### **What You’ll Do:**
* Design, develop, and automate ETL/ELT pipelines feeding Snowflake and Databricks
* Build and maintain scalable ingestion pipelines using dbt, Databricks, and Fivetran
* Optimize queries, data partitioning strategies, and schema design for performance and cost
* Partner with BI and ML teams to support analytics and advanced data use cases
* Identify opportunities to improve data infrastructure and implement best\-practice solutions
* Troubleshoot data issues and provide technical guidance and support
* Contribute to ongoing improvements in reliability, scalability, and data quality
### **What You’ll Need:**
* 5\+ years of experience in data engineering with strong Python, SQL, and Spark skills
* Hands\-on experience building and automating ETL/ELT pipelines and working with data warehouses
* Solid understanding of data modeling, schema design, and performance optimization
* Experience with cloud\-based data platforms such as Databricks and modern storage solutions (e.g., Delta Lake)
* Familiarity with CI/CD, data versioning, and best practices for scalable data infrastructure
* Knowledge of data governance, data quality, and lineage concepts
* Understanding of cloud cost optimization, security, and access control best practices
###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athttps://www.nepgroup.com/career/careers</t>
        </is>
      </c>
    </row>
    <row r="70">
      <c r="A70" t="inlineStr">
        <is>
          <t>in-97ec94fb3d385ee1</t>
        </is>
      </c>
      <c r="B70" t="inlineStr">
        <is>
          <t>Data Engineer</t>
        </is>
      </c>
      <c r="C70" t="inlineStr">
        <is>
          <t>NEP GROUP</t>
        </is>
      </c>
      <c r="D70" t="inlineStr">
        <is>
          <t>indeed</t>
        </is>
      </c>
      <c r="E70">
        <f>HYPERLINK("https://www.indeed.com/viewjob?jk=97ec94fb3d385ee1", "https://www.indeed.com/viewjob?jk=97ec94fb3d385ee1")</f>
        <v/>
      </c>
      <c r="F70">
        <f>HYPERLINK("https://nepgroup.hrmdirect.com/employment/view.php?req=3632692&amp;jbsrc=1014&amp;location=f3a1fda1-8e3d-abae-de90-772ba19ba822", "https://nepgroup.hrmdirect.com/employment/view.php?req=3632692&amp;jbsrc=1014&amp;location=f3a1fda1-8e3d-abae-de90-772ba19ba822")</f>
        <v/>
      </c>
      <c r="G70" t="inlineStr">
        <is>
          <t>Dallas, TX, US</t>
        </is>
      </c>
      <c r="H70" s="3" t="n">
        <v>46065</v>
      </c>
      <c r="I70" t="inlineStr">
        <is>
          <t>We’re looking for an experienced Data Engineer to help design, build, and optimize modern data pipelines that power analytics, BI, and machine learning across NEP Group. In this role, you’ll develop scalable ETL/ELT workflows feeding Snowflake and Databricks, collaborate closely with BI and ML teams, and continuously improve our data platform to support a growing global organization.
If you enjoy working with large datasets, modern cloud tools, and solving complex data challenges, this is a chance to make a real impact.
Preference is for this to be a hybrid role in Pittsburgh, but we are open to fully remote candidates in Eastern or Central time zones.
### **What You’ll Do:**
* Design, develop, and automate ETL/ELT pipelines feeding Snowflake and Databricks
* Build and maintain scalable ingestion pipelines using dbt, Databricks, and Fivetran
* Optimize queries, data partitioning strategies, and schema design for performance and cost
* Partner with BI and ML teams to support analytics and advanced data use cases
* Identify opportunities to improve data infrastructure and implement best\-practice solutions
* Troubleshoot data issues and provide technical guidance and support
* Contribute to ongoing improvements in reliability, scalability, and data quality
### **What You’ll Need:**
* 5\+ years of experience in data engineering with strong Python, SQL, and Spark skills
* Hands\-on experience building and automating ETL/ELT pipelines and working with data warehouses
* Solid understanding of data modeling, schema design, and performance optimization
* Experience with cloud\-based data platforms such as Databricks and modern storage solutions (e.g., Delta Lake)
* Familiarity with CI/CD, data versioning, and best practices for scalable data infrastructure
* Knowledge of data governance, data quality, and lineage concepts
* Understanding of cloud cost optimization, security, and access control best practices
###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athttps://www.nepgroup.com/career/careers</t>
        </is>
      </c>
    </row>
    <row r="71">
      <c r="A71" t="inlineStr">
        <is>
          <t>in-cb81210470905a85</t>
        </is>
      </c>
      <c r="B71" t="inlineStr">
        <is>
          <t>Data Engineer</t>
        </is>
      </c>
      <c r="C71" t="inlineStr">
        <is>
          <t>NEP GROUP</t>
        </is>
      </c>
      <c r="D71" t="inlineStr">
        <is>
          <t>indeed</t>
        </is>
      </c>
      <c r="E71">
        <f>HYPERLINK("https://www.indeed.com/viewjob?jk=cb81210470905a85", "https://www.indeed.com/viewjob?jk=cb81210470905a85")</f>
        <v/>
      </c>
      <c r="F71">
        <f>HYPERLINK("https://nepgroup.hrmdirect.com/employment/view.php?req=3632692&amp;jbsrc=1014&amp;location=712c37e6-8ae1-b880-fbe2-469a97f147e6", "https://nepgroup.hrmdirect.com/employment/view.php?req=3632692&amp;jbsrc=1014&amp;location=712c37e6-8ae1-b880-fbe2-469a97f147e6")</f>
        <v/>
      </c>
      <c r="G71" t="inlineStr">
        <is>
          <t>Pittsburgh, PA, US</t>
        </is>
      </c>
      <c r="H71" s="3" t="n">
        <v>46065</v>
      </c>
      <c r="I71" t="inlineStr">
        <is>
          <t>We’re looking for an experienced Data Engineer to help design, build, and optimize modern data pipelines that power analytics, BI, and machine learning across NEP Group. In this role, you’ll develop scalable ETL/ELT workflows feeding Snowflake and Databricks, collaborate closely with BI and ML teams, and continuously improve our data platform to support a growing global organization.
If you enjoy working with large datasets, modern cloud tools, and solving complex data challenges, this is a chance to make a real impact.
Preference is for this to be a hybrid role in Pittsburgh, but we are open to fully remote candidates in Eastern or Central time zones.
### **What You’ll Do:**
* Design, develop, and automate ETL/ELT pipelines feeding Snowflake and Databricks
* Build and maintain scalable ingestion pipelines using dbt, Databricks, and Fivetran
* Optimize queries, data partitioning strategies, and schema design for performance and cost
* Partner with BI and ML teams to support analytics and advanced data use cases
* Identify opportunities to improve data infrastructure and implement best\-practice solutions
* Troubleshoot data issues and provide technical guidance and support
* Contribute to ongoing improvements in reliability, scalability, and data quality
### **What You’ll Need:**
* 5\+ years of experience in data engineering with strong Python, SQL, and Spark skills
* Hands\-on experience building and automating ETL/ELT pipelines and working with data warehouses
* Solid understanding of data modeling, schema design, and performance optimization
* Experience with cloud\-based data platforms such as Databricks and modern storage solutions (e.g., Delta Lake)
* Familiarity with CI/CD, data versioning, and best practices for scalable data infrastructure
* Knowledge of data governance, data quality, and lineage concepts
* Understanding of cloud cost optimization, security, and access control best practices
###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athttps://www.nepgroup.com/career/careers</t>
        </is>
      </c>
    </row>
    <row r="72">
      <c r="A72" t="inlineStr">
        <is>
          <t>in-a4e11adfb7990d0f</t>
        </is>
      </c>
      <c r="B72" t="inlineStr">
        <is>
          <t>Senior Data Engineer, Data Intelligence</t>
        </is>
      </c>
      <c r="C72" t="inlineStr">
        <is>
          <t>FFF Enterprises</t>
        </is>
      </c>
      <c r="D72" t="inlineStr">
        <is>
          <t>indeed</t>
        </is>
      </c>
      <c r="E72">
        <f>HYPERLINK("https://www.indeed.com/viewjob?jk=a4e11adfb7990d0f", "https://www.indeed.com/viewjob?jk=a4e11adfb7990d0f")</f>
        <v/>
      </c>
      <c r="F72">
        <f>HYPERLINK("https://jobs.dayforcehcm.com/en-US/fffenter/join-our-team/jobs/362", "https://jobs.dayforcehcm.com/en-US/fffenter/join-our-team/jobs/362")</f>
        <v/>
      </c>
      <c r="G72" t="inlineStr">
        <is>
          <t>Flower Mound, TX, US</t>
        </is>
      </c>
      <c r="H72" s="3" t="n">
        <v>46065</v>
      </c>
      <c r="I72" t="inlineStr">
        <is>
          <t>**Why We Are \- Who We Are:** About FFF Enterprises
What We Do \- https://www.fffenterprises.com/company/what\-we\-do.html
Senior Data Engineer
Position Summary
The Senior Data Engineer will work with our data management team. This role focuses on leveraging advanced technologies such as Databricks, Delta Lake, FiveTran, and Google Cloud Platform (GCP) to enhance our data infrastructure and drive innovative data solutions. Utilizing experience with Databricks administration, Unity Catalog, and JAR file management to optimize our data processes and support advanced analytics initiatives
Essential Functions and Duties
* Design and implement robust data pipelines using Databricks and integrate these with Delta Lake for efficient data storage and management.
* Manage end\-to\-end data workflows from ingestion to insights, utilizing FiveTran for seamless data integration and GCP for scalable cloud solutions.
* Administer Databricks environments, ensuring optimal configuration, security, and performance across all data operations.
* Utilize Unity Catalog to manage data governance across all Databricks workspaces, ensuring compliance with data privacy and security policies.
* Develop and maintain scalable and efficient data models and architecture, supporting the strategic goals of the organization.
* Collaborate with data scientists and analysts to deploy machine learning models and complex analytical projects.
* Monitor, troubleshoot, and optimize data systems, proposing and implementing improvements to enhance performance.
* Document all data procedures and systems, ensuring clear and accurate records are maintained for compliance and operational efficiency.
* Stay updated with the latest innovations in data engineering and introduce new tools and techniques to keep the data infrastructure at the forefront
* Always represent the Company in a professional manner and appearance.
* Understand and internalize the Company’s purpose,
* Display loyalty to the Company and its organizational values.
* Display enthusiasm and dedication to learning how to be more effective on the job and share knowledge with others.
* Work effectively with co\-workers, internal and external customers and others by sharing ideas in a constructive and positive manner; listen to and objectively consider ideas and suggestions from others; keep commitments; keep others informed of work progress, timetables, and issues; address problems and issues constructively to find mutually acceptable and practical business solutions; address others by name, title, or other respectful identifier, and respect the diversity of our work force in actions, words, and deeds.
* Comply with the policies and procedures stated in the Injury and Illness Prevention Program by always working in a safe manner and immediately reporting any injury, safety hazard, or program violation.
* Ensure conduct is consistent with all Compliance Program Policies and procedures when engaging in any activity on behalf of the company. Immediately report any concerns or violations.
* Other duties as assigned.
Education, Knowledge, Skills, and Experience
**Required Education:**  
* Bachelor’s degree in computer science, engineering, information technology or related field or four (4\) years of relevant experience in lieu of degree.
* Master’s degree in related field a plus.
**Required Knowledge:**  
* General knowledge of advanced concepts, practices and procedures related to design and implementation of robust data pipelines
* Proven expertise in Databricks administration and managing large\-scale data environments.
* Strong experience with SQL, Python, and other scripting languages commonly used in data engineering.
* Familiarity with Fivetran or similar data integration tools and understanding of ETL processes
* Previous experience managing end\-to\-end data workflows
**Required Experience:**  
* Minimum of five (5\) years of experience \[nine (9\) years for non\-degreed candidates] in a data engineering role with significant exposure to Databricks, Delta Lake, and cloud platforms like GCP.
**Preferred Experience:**  
* Experience with Unity Catalog and managing data access and security within a Databricks environment.
* Knowledge of Java Archive (JAR) files and their applications in data projects.
**Required Skills:**  
* Must have strong organizational skills
* Must have a detail orientation and the proven ability to prioritize work
* Must have effective verbal and written communication skills
* Must have the ability to work with limited supervision and as part of a team
* Sound decision\-making abilities
* Excellent problem\-solving skills and the ability to work in a dynamic, fast\-paced environment.
* Strong communication and collaboration skills, capable of working effectively across multiple teams.
**Preferred Skills:**  
* Experience with machine learning and AI workflows.
* Familiarity with Apache workflows, such as Apache Airflow or Apache NiFi, showcasing the ability to design, implement, and manage complex data pipelines and workflows.
* Knowledge of data visualization and reporting tools (e.g., Power BI, Tableau).
**Professional Certification:**  
* Certifications in data engineering or a related field a plus
Physical requirements
Vision, hearing, speech, movements requiring the use of wrists, hands and/or fingers. Must have the ability to view a computer screen for prolonged periods and the ability to sit for extended periods. Must have the ability to work the hours and days required to complete the essential functions of the position, as scheduled. The employee occasionally lifts to 20 lbs. and occasionally kneels and bends. Must have the ability to travel occasionally. Working condition include normal office setting.
Mental Demands
Learning, thinking, concentration and the ability to work under pressure, particularly during busy times. Must be able to pay close attention to detail and be able to work as a member of a team to ensure excellent customer service. Must have the ability to interact effectively with co\-workers and customers, and exercise self\-control and diplomacy in customer and employee relations’ situations. Must have the ability to exercise discretion as well as appropriate judgments when necessary. Must be proactive in finding solutions.
Direct Reports
No
EEO Statement
FFF Enterprises and Nufactor are an equal opportunity employer and prohibits discrimination and harassment based on the following characteristics: race, color, religion, national origin, physical or mental disability, gender, age (40 years and over) qualified veteran and any other characteristic protected by state or federal anti\-discrimination law covering employment. These categories are defined according to Government Code section 12920\. The Company prohibits unlawful discrimination based on the perception that anyone has any of those characteristics or is associated with a person who has or is perceived as having any of those characteristics.
To be considered for a position with FFF Enterprises, Inc, applicants must complete and sign the application.
Employee Benefits Available for FFF Enterprises Team Members
**Employee benefits include:**  
* Medical Insurance
* Dental Insurance
* Vision Discount Program
* Vision Insurance Plan
* Health Savings Account (HSA)
* Flexible Spending Account (FSA)
* Dependent Care Flexible Spending Account
* Employee Assistance Program (EAP)
* Group Life and AD\&amp;D
* Voluntary Supplemental Life Insurance Plans
* Short Term Disability
* Long Term Disability Income Protection
* 401k Profit Sharing Retirement Plan \- Discretionary Match
* Discretionary Bonus
* Supplemental Insurance Plans
* Prepaid Legal/Identity Theft Plan
* Paid Holidays/Vacation/Sick Days
* Seven (7\) Paid Holidays, Two (2\) Week Vacation, Five (5\) Sick Days, and One (1\) Float Day for CA, NC, and TX
All Other States Receive One Hundred Twenty (120\) Hours of PTO
* Tuition Reimbursement Program
* Notary Services
* Employee Referral Bonus
* Vendor Discount Programs
* Corporate Individual Travel Program
**(Note:** We comply with the ADA and consider reasonable accommodation measures that may be necessary for eligible applicants/employees to perform essential functions. Hire may be subject to passing a medical examination, and to skill and agility tests.)</t>
        </is>
      </c>
    </row>
    <row r="73">
      <c r="A73" t="inlineStr">
        <is>
          <t>in-037e0e8a8807ae2b</t>
        </is>
      </c>
      <c r="B73" t="inlineStr">
        <is>
          <t>Senior System Software Engineer - Data Engineering</t>
        </is>
      </c>
      <c r="C73" t="inlineStr">
        <is>
          <t>NVIDIA</t>
        </is>
      </c>
      <c r="D73" t="inlineStr">
        <is>
          <t>indeed</t>
        </is>
      </c>
      <c r="E73">
        <f>HYPERLINK("https://www.indeed.com/viewjob?jk=037e0e8a8807ae2b", "https://www.indeed.com/viewjob?jk=037e0e8a8807ae2b")</f>
        <v/>
      </c>
      <c r="F73">
        <f>HYPERLINK("https://nvidia.wd5.myworkdayjobs.com/en-US/NVIDIAExternalCareerSite/job/US-CA-Santa-Clara/Senior-System-Software-Engineer---Data-Engineering_JR2013258", "https://nvidia.wd5.myworkdayjobs.com/en-US/NVIDIAExternalCareerSite/job/US-CA-Santa-Clara/Senior-System-Software-Engineer---Data-Engineering_JR2013258")</f>
        <v/>
      </c>
      <c r="G73" t="inlineStr">
        <is>
          <t>Santa Clara, CA, US</t>
        </is>
      </c>
      <c r="H73" s="3" t="n">
        <v>46065</v>
      </c>
      <c r="I73" t="inlineStr">
        <is>
          <t>NVIDIA’s Hardware Infrastructure organization is looking for a Senior Data Engineer to become part of the Data \&amp; Observability Platform. We serve and collaborate directly with NVIDIA’s rapidly growing AI, HW, and SW engineering and research teams to provide the data backbone that powers our massive\-scale operations. We are seeking an Infrastructure\-Focused Data Engineer to develop the foundational infrastructure of our data platform. In this role, you will build high\-throughput pipelines that move petabytes of telemetry data and manage our central Data Lakehouse. Uniquely, you will also work in an embedded capacity with engineering teams, optimizing their data schemas and efficiency to solve real\-world scale challenges.
What you’ll be doing:* Build Scalable Data Pipelines: Develop and deploy high\-throughput, reliable pipelines to move substantial volumes of telemetry information from global edge locations to our central Data Lakehouse.
* Architect the Data Lakehouse: Lead the implementation of our tiered storage strategy. You will design efficient schemas that optimize for both write\-heavy real\-time ingestion and fast, cost\-effective interactive queries.
* Orchestration \&amp; Automation: Modernize workflow scheduling by implementing robust, code\-based data pipelines. You will build workflows that handle complex dependencies, automated backfills, and intelligent retries.
* Drive Embedded Data Optimization: Partner directly with internal engineering teams to audit their data usage. You will identify heavy\-hitter datasets and primary storage consumers, refactor inefficient schemas, and enforce lifecycle policies to significantly reduce storage costs.
* Manage Data Infrastructure: Own the operation of the underlying platform. You will manage stateful deployments on Kubernetes, optimize Spark performance, and ensure the reliability of our streaming architecture.
* Enforce Quality \&amp; Governance: Implement automated schema validation and data quality checks to prevent bad data from entering the lake. You will collaborate with security teams to apply automated masking and access controls.
What we need to see:* BS or MS in Computer Science, Electrical Engineering, or related field (or equivalent experience).
* 8\+ years of experience in Data Engineering with a strong focus on Infrastructure, Streaming, or Platform building.
* Strong Coding Fluency: Expert proficiency in Python for automation, tooling, and orchestration. Proficiency in Java or Scala for high\-performance data processing (Spark/Flink).
* Deep Streaming Expertise: Extensive experience with Kafka. You have a deep understanding of consumer groups, partition strategies, offset management, and handling backpressure in high\-volume environments.
* Data Lake Experience: Hands\-on experience with modern table formats (Apache Iceberg, Delta Lake, or Hudi) and distributed query engines (Trino/Presto/Spark).
* Containerization \&amp; Ops: Deploy, configure, and debug applications on Kubernetes using Helm.
Ways to stand out from the crowd:* Familiarity with EDA workflows, semiconductor design lifecycles, or experience managing simulation/emulation logs for hardware engineering teams.
* Ability to navigate complex organizational structures, partnering with hardware architects and engineering leads to translate broad requirements into concrete data infrastructure solutions.
* Experience migrating from legacy search stores (Elasticsearch/OpenSearch) to Cold Storage (S3/Iceberg).
* Experience with high\-performance log routing frameworks like Vector.
* Background in identifying cost drivers in petabyte\-scale environments and implementing storage cost optimization initiatives.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74">
      <c r="A74" t="inlineStr">
        <is>
          <t>in-9d2abfb9552820d6</t>
        </is>
      </c>
      <c r="B74" t="inlineStr">
        <is>
          <t>Data Engineer (for Monet Bank)</t>
        </is>
      </c>
      <c r="C74" t="inlineStr">
        <is>
          <t>Beal Bank</t>
        </is>
      </c>
      <c r="D74" t="inlineStr">
        <is>
          <t>indeed</t>
        </is>
      </c>
      <c r="E74">
        <f>HYPERLINK("https://www.indeed.com/viewjob?jk=9d2abfb9552820d6", "https://www.indeed.com/viewjob?jk=9d2abfb9552820d6")</f>
        <v/>
      </c>
      <c r="F74">
        <f>HYPERLINK("https://workforcenow.adp.com/mascsr/default/mdf/recruitment/recruitment.html?cid=10dd6c90-6f02-4d79-ad7d-f9cf2301a573&amp;jobId=563446", "https://workforcenow.adp.com/mascsr/default/mdf/recruitment/recruitment.html?cid=10dd6c90-6f02-4d79-ad7d-f9cf2301a573&amp;jobId=563446")</f>
        <v/>
      </c>
      <c r="G74" t="inlineStr">
        <is>
          <t>Plano, TX, US</t>
        </is>
      </c>
      <c r="H74" s="3" t="n">
        <v>46065</v>
      </c>
      <c r="I74" t="inlineStr">
        <is>
          <t>**About Monet Bank**
Monet Bank is pioneering the future of banking and money movement — faster, more efficient, and built for the modern financial ecosystem.
At our core, we believe Monet Bank is an essential bridge to the next generation of banking and payments infrastructure. As a profitable, well\-capitalized Texas state\-chartered bank and FDIC\-Insured — backed by the full faith and credit of the U.S. Government **—** Monet combines the strength and stability of traditional banking with forward\-thinking financial technology innovation.
We recognize the fundamental inefficiencies in legacy payment networks and are building a strong team to thoughtfully challenge assumptions and pursue smarter, more scalable solutions. Our focus is on modern banking services that empower merchants to reclaim margins, enable fintechs to operate cross\-border at scale, and support technology platforms in embedding seamless financial services.
If you are motivated by building secure, intentional, and future\-ready banking infrastructure, we invite you to explore opportunities with Monet Bank.
**Job Description**
Data Engineer to design, build, and maintain scalable data pipelines and infrastructure that support analytics, reporting, and data\-driven decision making. This role will work closely with data analysts, data scientists, and software engineering teams to ensure reliable and high\-quality data solutions.  
*Essential Duties and Responsibilities:*
**Key Responsibilities**
**Architecture \&amp; Design**
* Design and own our end\-to\-end data platform architecture on Databricks and Apache Spark
* Define standards for data modeling, pipeline design, and data quality across the organization
* Evaluate and introduce new tools and frameworks as the team and company scales
* Drive decisions on medallion architecture, Delta Lake structure, and cluster optimization
**Engineering \&amp; Delivery**
* Build and maintain robust, scalable ELT/ETL pipelines using Spark and Databricks workflows
* Develop reusable frameworks, libraries, and templates that accelerate team productivity
* Own reliability and observability of our data pipelines — monitoring, alerting, and incident response
* Write clean, well\-documented, testable code and hold the bar for engineering quality
**Analytics \&amp; Enablement**
* Partner with analytics and business stakeholders to translate complex needs into sound data models
* Build self\-serve data assets that reduce bottlenecks and empower non\-engineering users
* Support ad\-hoc data investigations and exploratory analysis as needed
**Team Leadership \&amp; Mentorship**
* Act as a technical mentor and go\-to resource for junior and mid\-level engineers on the team
* Lead design reviews, code reviews, and architectural discussions
* Help define hiring standards and contribute to interviewing and onboarding as the team grows
* Serve as a thought partner to leadership on data strategy and platform roadmap
**Required Qualifications**
* 7\+ years of data engineering experience, with 2\+ years operating at a senior or staff level
* Deep expertise with Apache Spark — performance tuning, optimization, and production troubleshooting
* Hands\-on experience with Databricks including Unity Catalog, Delta Live Tables, and Databricks Workflows
* Strong SQL skills and experience with dimensional modeling, data vault, or medallion architecture
* Experience designing and maintaining production\-grade data pipelines with high reliability standards
* Comfortable operating as a generalist — you can move between infrastructure, pipelines, and analytics layers
* Strong communication skills; able to explain technical concepts to non\-technical stakeholders
**Preferred Qualifications**
* Experience with Python\-based orchestration tools (Airflow, Prefect, or similar)
* Familiarity with dbt for transformation layers
* Cloud platform experience (AWS), cloud\-native storage and compute
* Experience building with small teams at a growth\-stage company
* Background in analytics engineering or data architecture in addition to core engineering
* Knowledge of data governance and security best practices
Experience in financial services or highly regulated environments  
* 
**Benefits options include:**
* Medical, dental and vision coverage
* 401K with company match
* 11 paid holidays
* Accrue up to 17 vacation/sick days per year in your first year on a pro rata basis
Applicant may be eligible for annual discretionary bonus  
* 
No relocation assistance provided.  
If you are looking to be a part of a winning team and meet the above requirements, we look forward to hearing from you.  
Monet Bank and their affiliates are Equal Opportunity Employers. Monet Bank and their affiliates do not discriminate against any candidate or employee on the basis of race, national origin, color, genetics, sex, marital status, sexual orientation, gender identity, age, disability, pregnancy, religion or religious affiliation, veteran or service member status, or any other characteristic protected by federal, state or local laws.  
*All applicants have rights under federal employment laws. To view your rights and government notices on the Family Medical Leave Act (FMLA), the Equal Employment Opportunity (EEO) and the Employee Polygraph Projection Act (EPPA), please see the following Department of Labor links:* FMLA EEO EPPA  
Notice to California Residents: Monet Bank and their affiliates may collect personal information about you as part of the job application or employment process. Please see the California Privacy Rights Act Policies at CPRA Policy , CPRA Policy \| CLMG Corp , CPRA \| CSG Investments CPRA Policy \| for details.</t>
        </is>
      </c>
    </row>
    <row r="75">
      <c r="A75" t="inlineStr">
        <is>
          <t>in-20acb03d91798531</t>
        </is>
      </c>
      <c r="B75" t="inlineStr">
        <is>
          <t>Senior Financial Analytics Engineer</t>
        </is>
      </c>
      <c r="C75" t="inlineStr"/>
      <c r="D75" t="inlineStr">
        <is>
          <t>indeed</t>
        </is>
      </c>
      <c r="E75">
        <f>HYPERLINK("https://www.indeed.com/viewjob?jk=20acb03d91798531", "https://www.indeed.com/viewjob?jk=20acb03d91798531")</f>
        <v/>
      </c>
      <c r="F75">
        <f>HYPERLINK("https://apply.workable.com/j/92FD314C67", "https://apply.workable.com/j/92FD314C67")</f>
        <v/>
      </c>
      <c r="G75" t="inlineStr">
        <is>
          <t>Washington, DC, US</t>
        </is>
      </c>
      <c r="H75" s="3" t="n">
        <v>46065</v>
      </c>
      <c r="I75" t="inlineStr">
        <is>
          <t>Our partner, an innovative data, analytics, and strategy consultant, seeks a Senior Financial Analytics Engineer to drive internal initiatives and provide quantitative analysis support services for a major financial regulatory agency. At the agency, you will support a credit ratings analysis program that includes developing software solutions for quantitative modeling, analyzing Nationally Recognized Statistical Rating Organization (NRSRO) data disclosures for regulatory compliance, and conducting data\-driven research across asset\-backed securities, fixed income instruments, and related credit markets.
Our Partner Firm
Our partner firm is not your typical federal consultancy. They are committed to creating measurable social value alongside business performance. They pair mission\-driven, technically challenging work on large and complex datasets with a culture that rewards initiative: direct client access, real ownership of your work product, and engagement with a panorama of subject matter spaces and skills development through both client and firm development activities.
Responsibilities
Client Delivery
* Develop software solutions supporting quantitative analysis and modeling for credit ratings data
* Analyze NRSRO data disclosures for compliance with applicable rules and statutes
* Maintain analytical frameworks for utilizing data and quantitative analyses to identify potential areas for further inquiry
* Conduct data\-driven research related to the credit rating industry; summarize findings concisely through charts and graphs
* Test deployment and functionality of internal systems and applications after new features are added
* Document and quality\-assure all project work prior to client delivery
* Attend meetings with agency staff, securities industry participants, other government agencies, and relevant external organizations as needed
Firm Development
* Contribute meaningfully to building Peregrine as an enterprise — whether through leading business development pursuits, developing internal tools or intellectual property, mentoring colleagues, or maintaining an active publication record
* Collaborate with firm leadership to identify and drive initiatives that strengthen Peregrine's capabilities and market position
**Requirements:**  
Core Technologies
* Proficiency in Python and R\-statistical language for quantitative analysis, statistical modeling, and software development
* Advanced SQL skills and database management; advanced Excel and VBA skills
* Experience with cloud platforms such as AWS
* Experience building, deploying, and administering analytical applications, including analyzing user needs and translating them into software solutions
Domain Expertise
* Expert domain knowledge of NRSROs and the credit rating industry \- this is central to the work
* Domain knowledge of asset\-backed securities, asset pricing methods, and financial fixed income instruments
* Previous experience working with XBRL data files
* Experience with financial data modeling
* Excellent professional qualifications, preferably evidenced by publication, industry acknowledgement, or academic recognition
Professional Skills
* 10\+ years of professional experience in software development, quantitative analysis, or a related discipline
* Background in computer science and statistical analysis
* Excellent written and oral communication skills
* Defined experience as a facilitator and collaborator in professional or academic environments
Education and Experience
* Ph.D. required, preferably in Finance, Economics, Computer Science, Data Science, Applied Mathematics, Statistics, or a related quantitative field
* U.S. citizenship and ability to obtain and maintain a Public Trust suitability determination
* Remote position; greater Washington, DC area preferred for hybrid engagement
Preferred Qualifications
* Prior experience in a regulatory, consulting, or client\-services environment
Who You Are
You are an energized and highly motivated problem solver looking to make a positive social impact through building a top\-tier social enterprise. You leverage your financial and technical skills to deliver exceptional client value, but you also see your skills as an avenue for broader contribution. You are someone who takes initiative without being asked:
pursuing a business development lead, prototyping an internal tool, publishing a paper, or mentoring a junior team member. You want ownership not just of your deliverables but of the firm's trajectory.
You will work within a managed delivery structure coordinating with a Program Manager, while maintaining the autonomy and technical judgment expected of a senior expert.
**Benefits:**  
* Health Coverage: Full medical, dental, and vision — 100% of employee premiums covered
* Life \&amp; Disability Insurance: Fully covered
* 401(k): 100% match up to 4%, immediate vesting
* Unlimited PTO
* Tuition Reimbursement
* Professional Development: Onboarding support, sponsored training, and high\-impact federal project opportunities
Peregrine Advisors is an equal opportunity employer.</t>
        </is>
      </c>
    </row>
    <row r="76">
      <c r="A76" t="inlineStr">
        <is>
          <t>in-6dcef0d6166b0173</t>
        </is>
      </c>
      <c r="B76" t="inlineStr">
        <is>
          <t>Data Engineer (for Monet Bank)</t>
        </is>
      </c>
      <c r="C76" t="inlineStr"/>
      <c r="D76" t="inlineStr">
        <is>
          <t>indeed</t>
        </is>
      </c>
      <c r="E76">
        <f>HYPERLINK("https://www.indeed.com/viewjob?jk=6dcef0d6166b0173", "https://www.indeed.com/viewjob?jk=6dcef0d6166b0173")</f>
        <v/>
      </c>
      <c r="F76">
        <f>HYPERLINK("https://workforcenow.adp.com/mascsr/default/mdf/recruitment/recruitment.html?cid=10dd6c90-6f02-4d79-ad7d-f9cf2301a573&amp;ccId=19000101_000001&amp;jobId=563446&amp;source=IN&amp;lang=en_US", "https://workforcenow.adp.com/mascsr/default/mdf/recruitment/recruitment.html?cid=10dd6c90-6f02-4d79-ad7d-f9cf2301a573&amp;ccId=19000101_000001&amp;jobId=563446&amp;source=IN&amp;lang=en_US")</f>
        <v/>
      </c>
      <c r="G76" t="inlineStr">
        <is>
          <t>Plano, TX, US</t>
        </is>
      </c>
      <c r="H76" s="3" t="n">
        <v>46065</v>
      </c>
      <c r="I76" t="inlineStr">
        <is>
          <t>**About Monet Bank**
Monet Bank is pioneering the future of banking and money movement — faster, more efficient, and built for the modern financial ecosystem.
At our core, we believe Monet Bank is an essential bridge to the next generation of banking and payments infrastructure. As a profitable, well\-capitalized Texas state\-chartered bank and FDIC\-Insured — backed by the full faith and credit of the U.S. Government **—** Monet combines the strength and stability of traditional banking with forward\-thinking financial technology innovation.
We recognize the fundamental inefficiencies in legacy payment networks and are building a strong team to thoughtfully challenge assumptions and pursue smarter, more scalable solutions. Our focus is on modern banking services that empower merchants to reclaim margins, enable fintechs to operate cross\-border at scale, and support technology platforms in embedding seamless financial services.
If you are motivated by building secure, intentional, and future\-ready banking infrastructure, we invite you to explore opportunities with Monet Bank.
**Job Description**
Data Engineer to design, build, and maintain scalable data pipelines and infrastructure that support analytics, reporting, and data\-driven decision making. This role will work closely with data analysts, data scientists, and software engineering teams to ensure reliable and high\-quality data solutions.
 *Essential Duties and Responsibilities:*
**Key Responsibilities**
**Architecture \&amp; Design**
* Design and own our end\-to\-end data platform architecture on Databricks and Apache Spark
* Define standards for data modeling, pipeline design, and data quality across the organization
* Evaluate and introduce new tools and frameworks as the team and company scales
* Drive decisions on medallion architecture, Delta Lake structure, and cluster optimization
**Engineering \&amp; Delivery**
* Build and maintain robust, scalable ELT/ETL pipelines using Spark and Databricks workflows
* Develop reusable frameworks, libraries, and templates that accelerate team productivity
* Own reliability and observability of our data pipelines — monitoring, alerting, and incident response
* Write clean, well\-documented, testable code and hold the bar for engineering quality
**Analytics \&amp; Enablement**
* Partner with analytics and business stakeholders to translate complex needs into sound data models
* Build self\-serve data assets that reduce bottlenecks and empower non\-engineering users
* Support ad\-hoc data investigations and exploratory analysis as needed
**Team Leadership \&amp; Mentorship**
* Act as a technical mentor and go\-to resource for junior and mid\-level engineers on the team
* Lead design reviews, code reviews, and architectural discussions
* Help define hiring standards and contribute to interviewing and onboarding as the team grows
* Serve as a thought partner to leadership on data strategy and platform roadmap
**Required Qualifications**
* 7\+ years of data engineering experience, with 2\+ years operating at a senior or staff level
* Deep expertise with Apache Spark — performance tuning, optimization, and production troubleshooting
* Hands\-on experience with Databricks including Unity Catalog, Delta Live Tables, and Databricks Workflows
* Strong SQL skills and experience with dimensional modeling, data vault, or medallion architecture
* Experience designing and maintaining production\-grade data pipelines with high reliability standards
* Comfortable operating as a generalist — you can move between infrastructure, pipelines, and analytics layers
* Strong communication skills; able to explain technical concepts to non\-technical stakeholders
**Preferred Qualifications**
* Experience with Python\-based orchestration tools (Airflow, Prefect, or similar)
* Familiarity with dbt for transformation layers
* Cloud platform experience (AWS), cloud\-native storage and compute
* Experience building with small teams at a growth\-stage company
* Background in analytics engineering or data architecture in addition to core engineering
* Knowledge of data governance and security best practices
* Experience in financial services or highly regulated environments
 **Benefits options include:**
* Medical, dental and vision coverage
* 401K with company match
* 11 paid holidays
* Accrue up to 17 vacation/sick days per year in your first year on a pro rata basis
* Applicant may be eligible for annual discretionary bonus
No relocation assistance provided.
If you are looking to be a part of a winning team and meet the above requirements, we look forward to hearing from you.
Monet Bank and their affiliates are Equal Opportunity Employers. Monet Bank and their affiliates do not discriminate against any candidate or employee on the basis of race, national origin, color, genetics, sex, marital status, sexual orientation, gender identity, age, disability, pregnancy, religion or religious affiliation, veteran or service member status, or any other characteristic protected by federal, state or local laws.
 *All applicants have rights under federal employment laws. To view your rights and government notices on the Family Medical Leave Act (FMLA), the Equal Employment Opportunity (EEO) and the Employee Polygraph Projection Act (EPPA), please see the following Department of Labor links:* FMLAEEOEPPA
Notice to California Residents: Monet Bank and their affiliates may collect personal information about you as part of the job application or employment process. Please see the California Privacy Rights Act Policies at CPRA Policy, CPRA Policy \| CLMG Corp, CPRA \| CSG Investments CPRA Policy \| for details.</t>
        </is>
      </c>
    </row>
    <row r="77">
      <c r="A77" t="inlineStr">
        <is>
          <t>in-563831e32dca1375</t>
        </is>
      </c>
      <c r="B77" t="inlineStr">
        <is>
          <t>Senior Data Engineer</t>
        </is>
      </c>
      <c r="C77" t="inlineStr">
        <is>
          <t>Information Technology Senior Management Forum</t>
        </is>
      </c>
      <c r="D77" t="inlineStr">
        <is>
          <t>indeed</t>
        </is>
      </c>
      <c r="E77">
        <f>HYPERLINK("https://www.indeed.com/viewjob?jk=563831e32dca1375", "https://www.indeed.com/viewjob?jk=563831e32dca1375")</f>
        <v/>
      </c>
      <c r="F77">
        <f>HYPERLINK("https://jobs.itsmfleaders.org/job/vvvyj4/senior-data-engineer/mclean/va", "https://jobs.itsmfleaders.org/job/vvvyj4/senior-data-engineer/mclean/va")</f>
        <v/>
      </c>
      <c r="G77" t="inlineStr">
        <is>
          <t>McLean, VA, US</t>
        </is>
      </c>
      <c r="H77" s="3" t="n">
        <v>46065</v>
      </c>
      <c r="I77" t="inlineStr">
        <is>
          <t>Posted Date
2/13/2026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78">
      <c r="A78" t="inlineStr">
        <is>
          <t>in-512009038ae36941</t>
        </is>
      </c>
      <c r="B78" t="inlineStr">
        <is>
          <t>Senior Data Engineer</t>
        </is>
      </c>
      <c r="C78" t="inlineStr">
        <is>
          <t>Information Technology Senior Management Forum</t>
        </is>
      </c>
      <c r="D78" t="inlineStr">
        <is>
          <t>indeed</t>
        </is>
      </c>
      <c r="E78">
        <f>HYPERLINK("https://www.indeed.com/viewjob?jk=512009038ae36941", "https://www.indeed.com/viewjob?jk=512009038ae36941")</f>
        <v/>
      </c>
      <c r="F78">
        <f>HYPERLINK("https://jobs.itsmfleaders.org/job/w3pe4s/senior-data-engineer/mclean/va", "https://jobs.itsmfleaders.org/job/w3pe4s/senior-data-engineer/mclean/va")</f>
        <v/>
      </c>
      <c r="G78" t="inlineStr">
        <is>
          <t>McLean, VA, US</t>
        </is>
      </c>
      <c r="H78" s="3" t="n">
        <v>46065</v>
      </c>
      <c r="I78" t="inlineStr">
        <is>
          <t>Posted Date
2/13/2026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79">
      <c r="A79" t="inlineStr">
        <is>
          <t>in-0f1359f9ad2cb9fd</t>
        </is>
      </c>
      <c r="B79" t="inlineStr">
        <is>
          <t>Senior Data Engineer (Bank Tech)</t>
        </is>
      </c>
      <c r="C79" t="inlineStr">
        <is>
          <t>Information Technology Senior Management Forum</t>
        </is>
      </c>
      <c r="D79" t="inlineStr">
        <is>
          <t>indeed</t>
        </is>
      </c>
      <c r="E79">
        <f>HYPERLINK("https://www.indeed.com/viewjob?jk=0f1359f9ad2cb9fd", "https://www.indeed.com/viewjob?jk=0f1359f9ad2cb9fd")</f>
        <v/>
      </c>
      <c r="F79">
        <f>HYPERLINK("https://jobs.itsmfleaders.org/job/wag9bk/senior-data-engineer-(bank-tech)/mclean/va", "https://jobs.itsmfleaders.org/job/wag9bk/senior-data-engineer-(bank-tech)/mclean/va")</f>
        <v/>
      </c>
      <c r="G79" t="inlineStr">
        <is>
          <t>McLean, VA, US</t>
        </is>
      </c>
      <c r="H79" s="3" t="n">
        <v>46065</v>
      </c>
      <c r="I79" t="inlineStr">
        <is>
          <t>Posted Date
2/13/2026
Description
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Wilmington, DE: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Wilmington, DE: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80">
      <c r="A80" t="inlineStr">
        <is>
          <t>in-c9a924959a4b4d6f</t>
        </is>
      </c>
      <c r="B80" t="inlineStr">
        <is>
          <t>Senior Data Engineer (Bank Tech)</t>
        </is>
      </c>
      <c r="C80" t="inlineStr">
        <is>
          <t>Information Technology Senior Management Forum</t>
        </is>
      </c>
      <c r="D80" t="inlineStr">
        <is>
          <t>indeed</t>
        </is>
      </c>
      <c r="E80">
        <f>HYPERLINK("https://www.indeed.com/viewjob?jk=c9a924959a4b4d6f", "https://www.indeed.com/viewjob?jk=c9a924959a4b4d6f")</f>
        <v/>
      </c>
      <c r="F80">
        <f>HYPERLINK("https://jobs.itsmfleaders.org/job/3qakuy/senior-data-engineer-(bank-tech)/mclean/va", "https://jobs.itsmfleaders.org/job/3qakuy/senior-data-engineer-(bank-tech)/mclean/va")</f>
        <v/>
      </c>
      <c r="G80" t="inlineStr">
        <is>
          <t>McLean, VA, US</t>
        </is>
      </c>
      <c r="H80" s="3" t="n">
        <v>46065</v>
      </c>
      <c r="I80" t="inlineStr">
        <is>
          <t>Posted Date
2/13/2026
Description
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New York, NY: $176,500 \- $201,400 for Senior Data Engineer  
Wilmington, DE: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New York, NY: $176,500 \- $201,400 for Senior Data Engineer  
Wilmington, DE: $147,100 \- $167,900 for Senior Data Engineer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81">
      <c r="A81" t="inlineStr">
        <is>
          <t>in-0273ebdcab380c68</t>
        </is>
      </c>
      <c r="B81" t="inlineStr">
        <is>
          <t>Senior Data Platform Engineer</t>
        </is>
      </c>
      <c r="C81" t="inlineStr">
        <is>
          <t>United Community Bank</t>
        </is>
      </c>
      <c r="D81" t="inlineStr">
        <is>
          <t>indeed</t>
        </is>
      </c>
      <c r="E81">
        <f>HYPERLINK("https://www.indeed.com/viewjob?jk=0273ebdcab380c68", "https://www.indeed.com/viewjob?jk=0273ebdcab380c68")</f>
        <v/>
      </c>
      <c r="F81">
        <f>HYPERLINK("https://careers-ucbi.icims.com/jobs/1601/job?utm_source=indeed_integration&amp;iis=Job%20Board&amp;iisn=Indeed&amp;indeed-apply-token=73a2d2b2a8d6d5c0a62696875eaebd669103652d3f0c2cd5445d3e66b1592b0f", "https://careers-ucbi.icims.com/jobs/1601/job?utm_source=indeed_integration&amp;iis=Job%20Board&amp;iisn=Indeed&amp;indeed-apply-token=73a2d2b2a8d6d5c0a62696875eaebd669103652d3f0c2cd5445d3e66b1592b0f")</f>
        <v/>
      </c>
      <c r="G81" t="inlineStr">
        <is>
          <t>Greenville, SC, US</t>
        </is>
      </c>
      <c r="H81" s="3" t="n">
        <v>46065</v>
      </c>
      <c r="I81" t="inlineStr">
        <is>
          <t>Overview:
We are seeking an experienced **Senior** **Data Platform Engineer** with deep expertise in Snowflake operations to ensure the reliability, scalability, and security of our enterprise data environment. This role is pivotal in driving operational excellence, automation, and integration across our data platforms. As a senior technical leader, you will serve as the go\-to expert for Snowflake administration, performance and optimization, while collaborating with cross\-functional teams to enable seamless data delivery. The ideal candidate combines advanced technical skills with strategic thinking and a passion for building efficient, compliant, and cost\-effective data solutions.
What You’ll Do:
* **Strategic Leadership:**
	+ Define and implement Snowflake operational standards and best practices.
	+ Act as the primary Snowflake SME for architecture, security, and performance.
	+ Mentor junior team members and provide technical guidance.
* **Advanced Platform Administration:**
	+ Oversee account configuration, role hierarchy, and security policies.
	+ Whether API integrations, storage integrations, External access integrations, or native apps, this role will be key in establishing and maintaining these.
	+ Ensure high availability and disaster recovery readiness.
* **Performance \&amp; Cost Optimization:**
	+ Conduct deep\-dive performance analysis and implement tuning strategies.
	+ Monitor credit usage with budgets for usage trends and proactively manage warehouse scaling and credits.
	+ Manage multi\-cluster warehouses and optimize compute resources for cost efficiency.
* **Automation \&amp; DevOps Integration:**
	+ Design and implement automation for provisioning, monitoring, and maintenance tasks.
	+ Integrate Snowflake with CI/CD pipelines and infrastructure\-as\-code frameworks.
* **Governance \&amp; Compliance:**
	+ Participate in adhering to data governance, tagging, and retention policies.
	+ Support audits and compliance reporting for regulatory requirements.
* **Cross\-Functional Collaboration:**
	+ Partner with data engineering, analytics, and security teams to align Snowflake operations with business goals.
	+ Provide guidance on query optimization and workload management.
Requirements For Success:
* **Education:** Bachelor's degree in Computer Science or a related field or equivalent education experience can be substituted.
* **Experience:** 8\-yerars minimum number of years of experience candidate must have to be successful in the role.
* **Required Skills:**
	+ 5\+ years of experience in Snowflake administration and operations.
	+ Expert\-level SQL and deep understanding of Snowflake architecture.
	+ Strong knowledge of RBAC, security, and compliance frameworks.
	+ Experience with ETL/ELT tools and data integration strategies.
	+ Able to work onsite at the bank’s headquarters in Greenville, South Carolina.
* **Preferred Skills:**
* Proficiency in Python or other scripting languages for automation.
* Familiarity with Azure and DevOps practices.
* Experience with monitoring tools and cost optimization strategies.
* Snowflake certifications including Snowflake SnowPro certification and badges.
Conditions of Employment:
* Must be able to pass a criminal background \&amp; credit check
* This is a full\-time, non\-remote position
 **FLSA Status:** Exempt **Ready to take your career to the next level? Apply now and become a vital part of our team!**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Reasonable accommodations may be made to enable individuals with disabilities to perform the essential functions.  
Pay Range: USD $68,287\.00 \- USD $113,209\.00 /Yr.</t>
        </is>
      </c>
    </row>
    <row r="82">
      <c r="A82" t="inlineStr">
        <is>
          <t>in-e536a51692edad08</t>
        </is>
      </c>
      <c r="B82" t="inlineStr">
        <is>
          <t>Associate Data Engineer</t>
        </is>
      </c>
      <c r="C82" t="inlineStr">
        <is>
          <t>Western Governors University</t>
        </is>
      </c>
      <c r="D82" t="inlineStr">
        <is>
          <t>indeed</t>
        </is>
      </c>
      <c r="E82">
        <f>HYPERLINK("https://www.indeed.com/viewjob?jk=e536a51692edad08", "https://www.indeed.com/viewjob?jk=e536a51692edad08")</f>
        <v/>
      </c>
      <c r="F82">
        <f>HYPERLINK("https://wgu.wd5.myworkdayjobs.com/en-US/External/job/Guadalajara-MX/Associate-Data-Engineer_JR-024363", "https://wgu.wd5.myworkdayjobs.com/en-US/External/job/Guadalajara-MX/Associate-Data-Engineer_JR-024363")</f>
        <v/>
      </c>
      <c r="G82" t="inlineStr">
        <is>
          <t>US</t>
        </is>
      </c>
      <c r="H82" s="3" t="n">
        <v>46065</v>
      </c>
      <c r="I82"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principal function of the Associate Data Engineer is to build robust ETL/ ELT pipelines to make data available to Data Analysts, Data Scientists, and other internal business units. The Data Engineer will be responsible for coding and working through the development cycle of ETL/ELT jobs and BI reporting. They will understand business requirements and design optimal ETL/ELT process for data acquisition, transformation, and publication for ease of analysis.  
The Data Engineer will follow agile development methodology for timely delivery of accurate data. They must have coding proficiency to write unit tests for pipeline functionality as well as data quality – this includes job monitoring, alerting, and code versioning and deployment. This position is also expected to develop, modify, and deploy formal and ad hoc reports.  
Associate Data Engineer
The principal function of the Associate Data Engineer is to build robust ETL/ ELT pipelines to make data available to Data Analysts, Data Scientists, and other internal business units. The Data Engineer will be responsible for coding and working through the development cycle of ETL/ELT jobs and BI reporting. They will understand business requirements and design optimal ETL/ELT process for data acquisition, transformation, and publication for ease of analysis.  
The Data Engineer will follow agile development methodology for timely delivery of accurate data. They must have coding proficiency to write unit tests for pipeline functionality as well as data quality – this includes job monitoring, alerting, and code versioning and deployment. This position is also expected to develop, modify, and deploy formal and ad hoc reports.  
Essential Functions and Responsibilities:* Develops and builds ETL/ELT data pipelines for use in data analysis.
* Creates and maintains optimal data pipeline architecture.
* Keeps data separated and secure across multiple cloud environments.
* Assembles large, complex data sets that meet functional and non\-functional business requirements.
* Delivers ad\-hoc and analytical reports to internal users and teams.
* Monitors and maintains ETL/ELT jobs and troubleshoots load issues.
* Manages change requests/ticket queues for analytical reports and ETL/ELT jobs.
* Performs data/technology discovery from new sources and third\-party applications for data ingestion.
* Creates complex reports and dashboards in Cognos and Tableau.
* Ingests and transforms structured, semi\-structured, and unstructured data from sources including relational databases, NoSQL, external APIs, JSON, XML, delimited files, and more.
* Works and delivers in agile methodology for new development projects. Delivers efficient and effective solutions on time.
* Analyzes and understands data sources and designs a data model for data capture and ETL/ELT.
* Identifies bugs, applies fixes, and checks data quality via process/pipeline audits.
* Uses industry best practices for code development, testing, implementation, and documentation.
* Performs other job\-related duties as assigned.
Knowledge, Skills, And Abilities* Excellent verbal and written communication skills, along with technical documentation skills.
* Ability to work with team members, as well as cross\-team for product delivery.
* Ability to work in an agile environment with timely delivery of ETL/ELT pipelines and reports.
* Knowledge and experience using tools like Jira, Confluence, and GitHub.
* Ability to develop processes for the audit of data integrity.
* Knowledge and experience with validation and testing development to analyze and debug issues.
* Experience with relational SQL and NoSQL databases.
* Knowledge and experience with object\-oriented/object function scripting languages, like Python, Java, and Scala.
* Knowledge and experience with big data tools, like Databricks, Hadoop, Spark, Kafka, etc.
* Exposure to analytical reporting tools, preferably Power BI and Tableau.
Minimum Qualifications* 2 \+ years of experience in Data Engineering, Data Integration, Big Data, Business Intelligence, or Software Engineering.
* Bachelor’s degree in management information systems, Computer Science, or a related field.
Equivalent relevant experience performing the essential functions of this job may substitute for education degree requirements. Generally, equivalent relevant experience is defined as 1 year of experience for 1 year of education and is at the discretion of the hiring manager.  
Preferred Qualification* Higher Education Domain Exposure
Location:  
This role is currently remote within México; the position will shift to a hybrid model once our Guadalajara office opens.* As an equal opportunity employer, we recognize our strength lies in our people and commit to creating an inclusive environment where all can thrive, regardless of race, age, gender orientation, sexual orientation, religion, or disability.
*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 This role includes participation in a rotating on\-call schedule shared among team members to ensure support coverage outside regular hours. Rotation may be required depending on team needs. We value the “you build it, you own it” principle — on\-call participation reflects our commitment to ownership, accountability, and reliability.
* Learn more about our WGU Mexico Team by clicking here.
\#LI\-OM1
This role includes participation in a rotating on\-call schedule shared among team members to ensure support coverage outside regular hours. Rotation may be required depending on team needs. We value the “you build it, you own it” principle — on\-call participation reflects our commitment to ownership, accountability, and reliability.
Learn more about our WGU Mexico Team by clicking here.</t>
        </is>
      </c>
    </row>
    <row r="83">
      <c r="A83" t="inlineStr">
        <is>
          <t>in-152dd67da20a0e62</t>
        </is>
      </c>
      <c r="B83" t="inlineStr">
        <is>
          <t>Data Engineering Manager</t>
        </is>
      </c>
      <c r="C83" t="inlineStr">
        <is>
          <t>Storable</t>
        </is>
      </c>
      <c r="D83" t="inlineStr">
        <is>
          <t>indeed</t>
        </is>
      </c>
      <c r="E83">
        <f>HYPERLINK("https://www.indeed.com/viewjob?jk=152dd67da20a0e62", "https://www.indeed.com/viewjob?jk=152dd67da20a0e62")</f>
        <v/>
      </c>
      <c r="F83">
        <f>HYPERLINK("https://grnh.se/t4qz4qfw4us", "https://grnh.se/t4qz4qfw4us")</f>
        <v/>
      </c>
      <c r="G83" t="inlineStr">
        <is>
          <t>Austin, TX, US</t>
        </is>
      </c>
      <c r="H83" s="3" t="n">
        <v>46065</v>
      </c>
      <c r="I83" t="inlineStr">
        <is>
          <t>**Summary**
At **Storable**, we're on a mission to power the future of storage. Our innovative platform helps businesses manage, track, and grow their self\-storage operations, and we're looking for a Data Manager to join our data\-driven team. Storable is committed to leveraging cutting\-edge technologies to improve the efficiency, accessibility, and insights derived from data, empowering our team to make smarter decisions and foster impactful growth.
As a Data Manager, you will play a pivotal role in overseeing and shaping our data operations, ensuring that our data is organized, accessible, and effectively managed across the organization. You will lead a talented team, work closely with cross\-functional teams, and drive the development of strategies to enhance data quality, availability, and security.
**Key Responsibilities:**
* **Lead Data Management Strategy:** Define and execute the data management vision, strategy, and best practices, ensuring alignment with Storable's business goals and objectives.
* **Oversee Data Pipelines:** Design, implement, and maintain scalable data pipelines using industry\-standard tools to efficiently process and manage large\-scale datasets.
* **Ensure Data Quality \&amp; Governance:** Implement data governance policies and frameworks to ensure data accuracy, consistency, and compliance across the organization.
* **ETL Development**: Build, optimize, and maintain **ETL pipelines** for ingesting, transforming, and delivering large datasets from multiple sources.
* **Workflow Orchestration**: Manage and schedule complex workflows using **Apache Airflow**.
* **Query Engines \&amp; Processing Frameworks**: Leverage **Trino (Presto), Apache Spark, and other**
* **Manage Cross\-Functional Collaboration:** Partner with engineering, product, and business teams to make data accessible and actionable, and ensure it drives informed decision\-making.
* **Optimize Data Infrastructure:** Leverage modern **data tools** and platforms (e.g., **AWS, Apache Airflow, Apache Iceberg**) to create an efficient, reliable, and scalable data infrastructure.
* **Monitor \&amp; Improve Performance:** Proactively monitor data processes and workflows, troubleshoot issues, and optimize performance to ensure high reliability and data integrity.
* **Mentorship \&amp; Leadership:** Lead and develop a team of data engineers and analysts, fostering a collaborative environment where innovation and continuous improvement are valued.
**Qualifications:**
* **Proven Expertise in Data Management:** Significant experience in managing data infrastructure, data governance, and optimizing data pipelines at scale.
* **Technical Proficiency:** Strong hands\-on experience with data tools and platforms such as **Apache Airflow, Apache Iceberg,** and **AWS services (S3, Lambda, Redshift, Glue, Athena)**.
* **Data Pipeline Mastery:** Familiarity with designing, implementing, and optimizing **data pipelines** and **workflows** in **Python** or other languages for data processing.
* Hands\-on experience with **Trino/Presto** and **Apache Spark** for distributed data processing.
* Solid understanding of **data modeling, warehousing concepts, and schema design**.
* **Experience with Data Governance:** Solid understanding of data privacy, quality control, and governance best practices.
* **Leadership Skills:** Ability to lead and mentor teams, influence stakeholders, and drive data initiatives across the organization.
* **Analytical Mindset:** Strong problem\-solving abilities and a data\-driven approach to improving business operations.
* **Excellent Communication:** Ability to communicate complex data concepts to both technical and non\-technical stakeholders effectively.
* **Bonus Points:** Experience with visualization tools (e.g., **Looker, Tableau**) and reporting frameworks to provide actionable insights.
**Why Storable?**
* **Cutting\-Edge Technology:** Work with the latest tools and technologies to solve complex data challenges.
* **Impactful Work:** Join a dynamic and growing company where your work directly contributes to shaping the future of the storage industry.
* **Collaborative Culture:** Be part of a forward\-thinking, inclusive environment where innovation and teamwork are at the core of everything we do.
* **Career Growth:** We believe in continuous learning and provide ample opportunities for personal and professional development.
**About Us:**
At Storable, we believe storage operators should have one partner they can trust to help you get the results they need for their business. That's why we've built the industry's first fully integrated platform that offers facility management software, facility websites, marketing programs and services, payments, and deeply integrated tenant insurance capabilities all in one solution.
We leverage our platform in combination with our over 25 years of storage industry expertise to help our thousands of storage customers achieve their tenant experience and operational efficiency objectives every single day.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Protect Yourself from Fraudulent Activities Targeting Job Seekers
We've been made aware of fraudulent activities where an individual or group is pretending to represent Storable, attempting to deceive job seekers by using our company's good name and stellar reputation.
To protect yourself, please consider the following guidelines: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directly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We're committed to ensuring a transparent and secure hiring process.
Thank you for your vigilance and interest in joining our team.</t>
        </is>
      </c>
    </row>
    <row r="84">
      <c r="A84" t="inlineStr">
        <is>
          <t>in-773506618533a58d</t>
        </is>
      </c>
      <c r="B84" t="inlineStr">
        <is>
          <t>Data Engineer</t>
        </is>
      </c>
      <c r="C84" t="inlineStr">
        <is>
          <t>Teza Technologies</t>
        </is>
      </c>
      <c r="D84" t="inlineStr">
        <is>
          <t>indeed</t>
        </is>
      </c>
      <c r="E84">
        <f>HYPERLINK("https://www.indeed.com/viewjob?jk=773506618533a58d", "https://www.indeed.com/viewjob?jk=773506618533a58d")</f>
        <v/>
      </c>
      <c r="F84">
        <f>HYPERLINK("https://jobs.ashbyhq.com/teza-technologies/5835dedb-2ac0-4f3b-838e-53e33e0a2dc8?utm_source=gpPOaeLn2W", "https://jobs.ashbyhq.com/teza-technologies/5835dedb-2ac0-4f3b-838e-53e33e0a2dc8?utm_source=gpPOaeLn2W")</f>
        <v/>
      </c>
      <c r="G84" t="inlineStr">
        <is>
          <t>Austin, TX, US</t>
        </is>
      </c>
      <c r="H84" s="3" t="n">
        <v>46065</v>
      </c>
      <c r="I84" t="inlineStr">
        <is>
          <t>**About the role**
Teza Technologies is looking for Data Engineers to join our data team. Data drives systematic trading and is critical to all aspects of the firm's business.
This is a hands\-on position on a small team of data engineers with growth potential, as this team will grow rapidly over the next couple of years. The firm is looking for outstanding technical skills, strong attention to detail, and experience architecting and building data platforms.
 **Location**  
Austin, TX / Chicago, IL / London, UK(Hybrid mode with 3 days in\-office requirement)
 **Responsibilities**
* Work directly with Portfolio Managers and Quantitative Developers to translate business requirements into technical solutions; be a resource to explain dataset details and nuances.
* Expand our data warehouse by designing and adding new sources and functionality; improve robustness, speed and scalability of our systems; manage data entitlements
* Provide innovative data management, analytics and technology input to the team and management.
* Evaluate new tools and technologies suitable for organizing, querying and streaming large datasets.
* Design and build automated systems for data cleansing, anomaly detection, monitoring and alerting.
* Support our production data warehouse as required.
* Develop and maintain strong vendor relationships aligned with our business objectives.
 **Basic Requirements**
* Proficiency in Python and Unix/Linux for data manipulation, scripting, and automation.
* Strong SQL knowledge and familiarity with NoSQL databases (ideally Postgres and MongoDB), including query optimization and performance tuning.
* Strong understanding of data modeling principles, including both normalization and denormalization techniques.
* Familiarity with cloud platforms, e.g. AWS or GCP
* Experience with Git version control, collaborative workflows (e.g., Github), and understanding of CI/CD best practices.
* Bachelor’s degree in Computer Science, Information Technology or related field.
 **Nice to have Requirements**
* Financial industry internships / experience are a plus.
* Experience with Java recommended.
* Experience with on\-premises data infrastructure (e.g., Hadoop)
* Experience with Apache Airflow or similar workflow orchestration tools.
* An understanding of best practices for data modeling, including data normalization techniques.
* Master’s degree in Computer Science, Information Technology, Data Science or related field.
 **Benefits**
* Health, visual and dental insurance
* Flexible sick time policy</t>
        </is>
      </c>
    </row>
    <row r="85">
      <c r="A85" t="inlineStr">
        <is>
          <t>in-b7614879d2442543</t>
        </is>
      </c>
      <c r="B85" t="inlineStr">
        <is>
          <t>Analytics Engineer - Digital Learning - UTK</t>
        </is>
      </c>
      <c r="C85" t="inlineStr">
        <is>
          <t>University of Tennessee Health Science Center</t>
        </is>
      </c>
      <c r="D85" t="inlineStr">
        <is>
          <t>indeed</t>
        </is>
      </c>
      <c r="E85">
        <f>HYPERLINK("https://www.indeed.com/viewjob?jk=b7614879d2442543", "https://www.indeed.com/viewjob?jk=b7614879d2442543")</f>
        <v/>
      </c>
      <c r="F85">
        <f>HYPERLINK("https://fa-ewlq-saasfaprod1.fa.ocs.oraclecloud.com/hcmUI/CandidateExperience/en/sites/CX_1/requisitions/preview/7019", "https://fa-ewlq-saasfaprod1.fa.ocs.oraclecloud.com/hcmUI/CandidateExperience/en/sites/CX_1/requisitions/preview/7019")</f>
        <v/>
      </c>
      <c r="G85" t="inlineStr">
        <is>
          <t>Knoxville, TN, US</t>
        </is>
      </c>
      <c r="H85" s="3" t="n">
        <v>46065</v>
      </c>
      <c r="I85" t="inlineStr">
        <is>
          <t>As an Analytics Engineer, you will support the division by designing, building, and maintaining analytics\-ready data solutions that power reporting, dashboards, and data\-informed decision\-making. You will focus on developing robust data models, ETL pipelines, and BI datasets, as well as assisting with database migration efforts to UT’s cloud environment. Your work will ensure reliable, performant, and well\-documented data assets that serve stakeholders across the division.
**Data Engineering, ETL, and Data Modeling**
* Design, build, and maintain ETL/ELT pipelines that extract, transform, and load data into Digital Learning databases and semantic models
* Collaborate with analysts to design, develop, and maintain accurate and reliable conceptual, logical, and physical data models that support reporting and self\-service analytics
* Implement best practices including star schema modeling, optimized DAX measures, and dataset performance tuning
* Ensure data quality and accuracy throughout the ETL process
* Monitor, troubleshoot, and resolve ETL failures and data anomalies to ensure reliable data availability
* Develop subject matter expertise in institutional data sources that support the Digital Learning mission
* Remain current with evolving analytics engineering tools, techniques, and industry best practices
* Document ETL workflows, transformations, and data lineage to support transparency and maintainability
**Database Migration and Modernization**
* Plan and execute migrations of data and schemas from MySQL to Microsoft SQL Server and Microsoft Fabric
* Analyze existing MySQL databases and design improved SQL Server schemas
* Migrate tables, views, indexes, constraints, and relationships while ensuring data integrity and compatibility
* Validate migrated data for accuracy, completeness, and performance.
* Collaborate with application, infrastructure, and data stakeholders to support smooth migration efforts
**Data Analytics and Visualization**
* Translate business requirements into analytics solutions and intuitive visualizations
* Provide guidance and technical consultation to departmental partners regarding analytics, metrics, and reporting approaches
**Implementation, Maintenance, and Documentation of Processes**
* Follow established coding standards, version control practices, and documentation guidelines
* Improve efficiency and reliability of analytics workflows through automation and optimization
* Identify and resolve data quality issues to maintain consistency and integrity across datasets
* Maintain documentation for data definitions, business rules, schemas, and analytics processes
* Support continuous improvement of the division’s analytics and reporting infrastructure
**Required Qualifications**
* **Education:** Bachelor’s degree in Computer Science, Information Systems, Data Analytics, Engineering, or a related field.
* **Experience** :
	+ Minimum of four (4\) years of progressively responsible experience in analytics engineering, data engineering, or business intelligence
	+ Strong proficiency in SQL, including writing complex queries and stored procedures
	+ Proven experience with database servers, designing and maintaining ETL pipelines and migrating or modernizing databases
**Preferred Qualifications**
* **Education:** Master's degree in a related analytical or technical field
* **Experience:**
	+ Microsoft Fabric Analytics Engineer Certification (Exam DP\-600\) or similar certification
	+ Five (5\) or more years of experience in analytics engineering, business intelligence, or data engineering
	+ Experience working in a higher education or public\-sector environment
	+ Experience with Microsoft Fabric environment
	+ Experience with complex data sets including manipulating, merging, restructuring, and analyzing large data sets
	+ Demonstrated experience developing reports and semantic models using Microsoft Power BI
**Work Location**
* Knoxville, TN. This position does have the potential for a hybrid working capacity.
**Compensation and Benefits**
* **UT market range: MR 12**
* **Hiring Range: $85,000\-100,000/year dependent on experience**
* 
**Application Instructions**
* For full consideration, applicants must attach a letter of interest, resume, and the name, address, email, and phone number of three professional references, in addition to completing the application. This position does have the potential for a hybrid working capacity.
Screening of applicants will begin immediately and continue until the position has been filled. DL\_UT  
* 
**About The College/Department/Division**
Digital Learning at UT, is a unit charged with advancing UT’s commitment to discovery, creativity, learning, and engagement, specifically for online learners. Using advanced and innovative technologies, Digital Learning at UT will provide scalable solutions that enhance the online learning experience and reduce barriers to student access and success, providing a tremendous impact to online learners across the state and the nation. At Digital Learning, we want to be bold and impactful, transforming the future of online education through innovative thinking and collaborative problem\-solving. Join our dynamic and inclusive Digital Learning team where we take pride in teamwork, excellence, and a shared commitment to shaping the future through education and innovation.  
**Additional Information on all postings provided by UTK**</t>
        </is>
      </c>
    </row>
    <row r="86">
      <c r="A86" t="inlineStr">
        <is>
          <t>in-81d8950157760c67</t>
        </is>
      </c>
      <c r="B86" t="inlineStr">
        <is>
          <t>Principal Machine Learning &amp; Data Engineer</t>
        </is>
      </c>
      <c r="C86" t="inlineStr">
        <is>
          <t>Twilio</t>
        </is>
      </c>
      <c r="D86" t="inlineStr">
        <is>
          <t>indeed</t>
        </is>
      </c>
      <c r="E86">
        <f>HYPERLINK("https://www.indeed.com/viewjob?jk=81d8950157760c67", "https://www.indeed.com/viewjob?jk=81d8950157760c67")</f>
        <v/>
      </c>
      <c r="F86">
        <f>HYPERLINK("https://jobs.twilio.com/careers/job/1099542306759?domain=twilio.com", "https://jobs.twilio.com/careers/job/1099542306759?domain=twilio.com")</f>
        <v/>
      </c>
      <c r="G86" t="inlineStr">
        <is>
          <t>Remote, US</t>
        </is>
      </c>
      <c r="H86" s="3" t="n">
        <v>46065</v>
      </c>
      <c r="I86"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Twilio’s next L5 Machine Learning \&amp; Data Engineer to lead the design, build, and operation of the internal ML\-and\-data platform that powers every customer interaction. You will architect cloud\-native pipelines, model\-serving infrastructure, and developer tooling that allow Twilio’s product teams to iterate rapidly and safely at scale, advancing our mission to unlock the imagination of builders.
**About the job**
Twilio’s next L5 Machine Learning \&amp; Data Engineer to lead the design, build, and operation of the internal ML\-and\-data platform that powers every customer interaction. You will architect cloud\-native pipelines, model\-serving infrastructure, and developer tooling that allow Twilio’s product teams to iterate rapidly and safely at scale, advancing our mission to unlock the imagination of builders.
**Responsibilities**
In this role, you’ll:
* Architect and evolve Twilio’s end\-to\-end ML and real\-time data platforms for reliability, security, and cost efficiency.
* Design scalable feature stores, streaming and batch pipelines, and low\-latency model\-serving layers on AWS.
* Implement MLOps best practices—automated testing, CI/CD, monitoring, and rollback—for hundreds of daily deployments.
* Own system design reviews, threat modeling, and performance tuning for high\-volume communications workloads.
* Lead cross\-functional engineering efforts, breaking down complex initiatives into executable roadmaps.
* Mentor staff and senior engineers, raising the technical bar through code reviews and pair programming.
* Partner with Product, Security, and Compliance to meet stringent privacy and governance requirements (HIPAA, SOC 2, GDPR).
* Champion a culture of experimentation, data\-driven decision\-making, and continuous improvement.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Bachelor’s or higher in Computer Science, Engineering, Mathematics, or equivalent practical experience.
* 7\+ years building and operating production data or machine\-learning systems at scale.
* Expert fluency in Python and one compiled language (Java, Scala, Go, or C\+\+).
* Hands\-on mastery of distributed data frameworks (Spark/Flink), SQL/NoSQL stores, and streaming platforms (Kafka/Kinesis).
* Demonstrated success designing cloud\-native architectures on AWS, including Terraform\-managed infrastructure.
* Deep knowledge of container orchestration (Kubernetes/EKS), service\-mesh networking, and autoscaling strategies.
* Practical experience implementing MLOps tooling such as MLflow, Kubeflow, SageMaker, or Vertex AI.
* Strong grasp of model\-lifecycle concerns—feature engineering, offline/online parity, A/B testing, drift detection, and retraining.
* Proven ability to lead technical projects end\-to\-end and influence without authority across multiple teams.
* Exceptional written and verbal communication skills, with a bias toward clarity and action.
**Desired:**
* Graduate degree focused on machine learning, distributed systems, or applied statistics.
* Contributions to open\-source ML or data infrastructure projects.
* Experience with privacy\-enhancing technologies (differential privacy, homomorphic encryption) or on\-device inference.
* Background in conversational AI, real\-time communications, or large\-language\-model deployment at scale.
* Exposure to compliance\-heavy environments (HIPAA, PCI\-DSS) and secure multi\-tenant design patterns.
* Published research, patents, or conference talks in ML systems or data engineering.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$184,500 \- $230,700\.
* Based in New York, New Jersey, Washington State, or California (outside of the San Francisco Bay area): $195,300 \- $244,200\.
* Based in the San Francisco Bay area, California: $217,000 \- $271,300\.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May 21st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87">
      <c r="A87" t="inlineStr">
        <is>
          <t>in-4b2793694af7bb2d</t>
        </is>
      </c>
      <c r="B87" t="inlineStr">
        <is>
          <t>Analytics Engineer - Digital Learning - UTK</t>
        </is>
      </c>
      <c r="C87" t="inlineStr">
        <is>
          <t>University of Tennessee</t>
        </is>
      </c>
      <c r="D87" t="inlineStr">
        <is>
          <t>indeed</t>
        </is>
      </c>
      <c r="E87">
        <f>HYPERLINK("https://www.indeed.com/viewjob?jk=4b2793694af7bb2d", "https://www.indeed.com/viewjob?jk=4b2793694af7bb2d")</f>
        <v/>
      </c>
      <c r="F87">
        <f>HYPERLINK("https://fa-ewlq-saasfaprod1.fa.ocs.oraclecloud.com/hcmUI/CandidateExperience/en/sites/CX_1/requisitions/preview/7019", "https://fa-ewlq-saasfaprod1.fa.ocs.oraclecloud.com/hcmUI/CandidateExperience/en/sites/CX_1/requisitions/preview/7019")</f>
        <v/>
      </c>
      <c r="G87" t="inlineStr">
        <is>
          <t>Knoxville, TN, US</t>
        </is>
      </c>
      <c r="H87" s="3" t="n">
        <v>46065</v>
      </c>
      <c r="I87" t="inlineStr">
        <is>
          <t>As an Analytics Engineer, you will support the division by designing, building, and maintaining analytics\-ready data solutions that power reporting, dashboards, and data\-informed decision\-making. You will focus on developing robust data models, ETL pipelines, and BI datasets, as well as assisting with database migration efforts to UT’s cloud environment. Your work will ensure reliable, performant, and well\-documented data assets that serve stakeholders across the division.
**Data Engineering, ETL, and Data Modeling**
* Design, build, and maintain ETL/ELT pipelines that extract, transform, and load data into Digital Learning databases and semantic models
* Collaborate with analysts to design, develop, and maintain accurate and reliable conceptual, logical, and physical data models that support reporting and self\-service analytics
* Implement best practices including star schema modeling, optimized DAX measures, and dataset performance tuning
* Ensure data quality and accuracy throughout the ETL process
* Monitor, troubleshoot, and resolve ETL failures and data anomalies to ensure reliable data availability
* Develop subject matter expertise in institutional data sources that support the Digital Learning mission
* Remain current with evolving analytics engineering tools, techniques, and industry best practices
* Document ETL workflows, transformations, and data lineage to support transparency and maintainability
**Database Migration and Modernization**
* Plan and execute migrations of data and schemas from MySQL to Microsoft SQL Server and Microsoft Fabric
* Analyze existing MySQL databases and design improved SQL Server schemas
* Migrate tables, views, indexes, constraints, and relationships while ensuring data integrity and compatibility
* Validate migrated data for accuracy, completeness, and performance.
* Collaborate with application, infrastructure, and data stakeholders to support smooth migration efforts
**Data Analytics and Visualization**
* Translate business requirements into analytics solutions and intuitive visualizations
* Provide guidance and technical consultation to departmental partners regarding analytics, metrics, and reporting approaches
**Implementation, Maintenance, and Documentation of Processes**
* Follow established coding standards, version control practices, and documentation guidelines
* Improve efficiency and reliability of analytics workflows through automation and optimization
* Identify and resolve data quality issues to maintain consistency and integrity across datasets
* Maintain documentation for data definitions, business rules, schemas, and analytics processes
* Support continuous improvement of the division’s analytics and reporting infrastructure
**Required Qualifications**
* **Education:** Bachelor’s degree in Computer Science, Information Systems, Data Analytics, Engineering, or a related field.
* **Experience** :
	+ Minimum of four (4\) years of progressively responsible experience in analytics engineering, data engineering, or business intelligence
	+ Strong proficiency in SQL, including writing complex queries and stored procedures
	+ Proven experience with database servers, designing and maintaining ETL pipelines and migrating or modernizing databases
**Preferred Qualifications**
* **Education:** Master's degree in a related analytical or technical field
* **Experience:**
	+ Microsoft Fabric Analytics Engineer Certification (Exam DP\-600\) or similar certification
	+ Five (5\) or more years of experience in analytics engineering, business intelligence, or data engineering
	+ Experience working in a higher education or public\-sector environment
	+ Experience with Microsoft Fabric environment
	+ Experience with complex data sets including manipulating, merging, restructuring, and analyzing large data sets
	+ Demonstrated experience developing reports and semantic models using Microsoft Power BI
**Work Location**
* Knoxville, TN. This position does have the potential for a hybrid working capacity.
**Compensation and Benefits**
* **UT market range: MR 12**
* **Hiring Range: $85,000\-100,000/year dependent on experience**
* 
**Application Instructions**
* For full consideration, applicants must attach a letter of interest, resume, and the name, address, email, and phone number of three professional references, in addition to completing the application. This position does have the potential for a hybrid working capacity.
Screening of applicants will begin immediately and continue until the position has been filled. DL\_UT  
* 
**About The College/Department/Division**
Digital Learning at UT, is a unit charged with advancing UT’s commitment to discovery, creativity, learning, and engagement, specifically for online learners. Using advanced and innovative technologies, Digital Learning at UT will provide scalable solutions that enhance the online learning experience and reduce barriers to student access and success, providing a tremendous impact to online learners across the state and the nation. At Digital Learning, we want to be bold and impactful, transforming the future of online education through innovative thinking and collaborative problem\-solving. Join our dynamic and inclusive Digital Learning team where we take pride in teamwork, excellence, and a shared commitment to shaping the future through education and innovation.  
**Additional Information on all postings provided by UTK**
The University of Tennessee, Knoxville, has shaped leaders, changemakers, and innovative thinkers since its founding in 1794\. The university is home to more than 38,000 students and 10,000 statewide employees—the Volunteers—who uphold the university’s tradition of lighting the way for others through leadership and service.  
UT Knoxville offers over 900 programs of study across 14 degree\-granting colleges and schools. As Tennessee’s flagship land\-grant university, its footprint spans the entire state. The university holds the highest Carnegie classification for research activity and has deep partnerships with industry leaders and the US Department of Energy’s largest multidisciplinary laboratory, Oak Ridge National Laboratory.  
The Knoxville campus serves and recruits for UT Knoxville, including the Institute of Agriculture and the Space Institute, as well as the UT Institute of Public Service.  
UT Knoxville considers its employees its number one asset. With values that focus on work\-life balance, compensation, and innovation leadership, all Vols are supported to advance professionally. Employees have access to career development and coaching, continued education, and an extensive list of development and training possibilities. The Volunteer employee experience implements structures and practices to attract and retain top\-tier talent, fostering a strong staff community and supporting a culture of involvement and engagement for everyone.  
The university holds a strong commitment to its land\-grant mission of learning and engagement, with a tradition of service and leadership that carries that Volunteer spirit throughout the state and around the world. It has been ranked nationally as “Best Employer for New Graduates,” “One of America’s Best Large Employers,” and “Best Workplace for Women,” and has been designated as “Best Place for Working Parents” by Forbes Magazine.  
Apply today and join the Tennessee Volunteer community!</t>
        </is>
      </c>
    </row>
    <row r="88">
      <c r="A88" t="inlineStr">
        <is>
          <t>in-751e3aca40afd374</t>
        </is>
      </c>
      <c r="B88" t="inlineStr">
        <is>
          <t>Starburst Data Engineer-5</t>
        </is>
      </c>
      <c r="C88" t="inlineStr">
        <is>
          <t>Realign</t>
        </is>
      </c>
      <c r="D88" t="inlineStr">
        <is>
          <t>indeed</t>
        </is>
      </c>
      <c r="E88">
        <f>HYPERLINK("https://www.indeed.com/viewjob?jk=751e3aca40afd374", "https://www.indeed.com/viewjob?jk=751e3aca40afd374")</f>
        <v/>
      </c>
      <c r="F88">
        <f>HYPERLINK("https://realign-llc.com/careers/job-details/IT83119ST-5", "https://realign-llc.com/careers/job-details/IT83119ST-5")</f>
        <v/>
      </c>
      <c r="G88" t="inlineStr">
        <is>
          <t>Plano, TX, US</t>
        </is>
      </c>
      <c r="H88" s="3" t="n">
        <v>46065</v>
      </c>
      <c r="I88" t="inlineStr">
        <is>
          <t>Plano, Texas 75023 Posted February 13th, 2026
 Looking for more job opportunities? Click here!
Job Type: Full Time
Job Category: IT
Job Description
**Job Title:** Starburst Data Engineer  
**Location** – Charlotte ,NC \&amp; Plano , TX  
**FTE Only**  
Must Have Technical/Functional Skills
 Primary Skill: Starburst
Secondary: Data Virtualization Engineer, Dremio, Presto, SQL Performance Tuning, Shell Scripting, Autosys
Experience: Minimum 10 years **Roles \&amp; Responsibilities*** Demonstrated expertise in Starburst Data Virtualization, including designing and implementing data virtualization solutions, optimizing query performance across distributed data sources, and integrating Starburst with enterprise data architectures.
* Analyze data mapping documents and business requirements to design comprehensive test plans and cases.
* Perform source\-to\-target data reconciliation, check data loading, and ensure transformation rules are applied correctly.
* Write complex SQL scripts for validation (count, data completeness, data consistency, data truncation).
* Identify, log, and track data defects using tools like JIRA or HP ALM or Octane.
* Automate test scripts and validate data volume, performance, and scalability.
* Expert\-level knowledge of SQL for data analysis.
* Experience with tools such as Informatica and IDMC.
* Understanding of data warehouse concepts and architectures (e.g., star/snowflake schema).
* Familiarity with Hadoop or Spark is often preferred.
* Validate HiveQL, HDFS file structures, and data processing within the Hadoop cluster.
* Strong analytical and troubleshooting skills.
* Excellent communication for collaborating with developers and stakeholders.
Tools \&amp; Skills:
Starburst, IDMC, Informatica Power center, Hive, Kafka Knowledge
SQL, Oracle, PL/SQL
Domain: Banking knowledge, Payments knowledge preferred.
Concept: Data Virtualization, Data Warehousing, Data Transformation, ETL/ELT, Data Quality.
Required Skills
DEVOPS ENGINEER
 SENIOR EMAIL SECURITY ENGINEER</t>
        </is>
      </c>
    </row>
    <row r="89">
      <c r="A89" t="inlineStr">
        <is>
          <t>in-1dc890ff592de558</t>
        </is>
      </c>
      <c r="B89" t="inlineStr">
        <is>
          <t>Senior Manager, Data Engineering</t>
        </is>
      </c>
      <c r="C89" t="inlineStr">
        <is>
          <t>HappyCo</t>
        </is>
      </c>
      <c r="D89" t="inlineStr">
        <is>
          <t>indeed</t>
        </is>
      </c>
      <c r="E89">
        <f>HYPERLINK("https://www.indeed.com/viewjob?jk=1dc890ff592de558", "https://www.indeed.com/viewjob?jk=1dc890ff592de558")</f>
        <v/>
      </c>
      <c r="F89">
        <f>HYPERLINK("https://jobs.lever.co/happyco/fbb47eeb-1daa-496a-81ca-0e181a660a01?lever-source=Indeed", "https://jobs.lever.co/happyco/fbb47eeb-1daa-496a-81ca-0e181a660a01?lever-source=Indeed")</f>
        <v/>
      </c>
      <c r="G89" t="inlineStr">
        <is>
          <t>Remote, US</t>
        </is>
      </c>
      <c r="H89" s="3" t="n">
        <v>46065</v>
      </c>
      <c r="I89" t="inlineStr">
        <is>
          <t>**HappyCo is a company where people can grow their careers and work with like minded people, with no egos or politics. HappyCo is values driven and offers a flexible, supportive culture. Join HappyCo and** **Make Work Happy****!**  
We’re looking for an experienced (**Senior) Manager of Data Engineering** to join our team.
HappyCo is seeking an experienced and strategic Senior Manager of Data Engineering to drive the development and execution of our data initiatives, ensuring alignment with the company’s goals and product roadmap. This role will play a critical part in shaping our data architecture, warehousing, analytics, and reporting to enable data\-driven decision making across the organization.  
As a key collaborator, the Senior Manager of Data Engineering will work across departments to understand business data needs, developing and maintaining scalable data infrastructure to support storage, reporting, and security. This role will oversee ETL/ELT pipeline development, implement data governance best practices, and ensure cost\-effective utilization of cloud services and tooling.  
Additionally, this person will lead a small but impactful team, providing mentorship and technical guidance while fostering a culture of collaboration and continuous improvement.  
Core Responsibilities:* Support and execute the data strategy to align with company goals and the product roadmap
* Oversee technical execution for data\-related initiatives, including data architecture, warehousing, analytics, and reporting
* Collaborate with stakeholders across departments to understand and address data and insight needs
* Develop and maintain scalable and secure data infrastructure to support storage, reporting, and security requirements
* Implement best practices for building and maintaining ETL/ELT pipelines and ensure effective data governance
* Lead and mentor a small team of data engineers, fostering professional growth and collaboration
* Monitor and optimize the cost and performance of data products, cloud services, and third\-party tooling
### **What we think you need to be successful**
* 5\+ years of experience in data engineering, data warehousing, or enterprise reporting, with a strong track record of executing data strategies
* Proficiency with Looker is required
* Hands\-on experience with BI and data warehouse tools, databases, and data modeling (relational, document\-based, SQL, NoSQL)
* Strong expertise in data modeling techniques and strategies to ensure efficient, scalable data structures
* Proficiency in programming and scripting (Python, SQL, Bash preferred) for data pipeline development and automation
* Experience working with cloud platforms such as AWS, Azure, or GCP (preferred)
* Proven leadership skills, with experience managing and mentoring junior data engineers and/or analysts
* Process improvement mindset, identifying and implementing efficiencies in data workflows and infrastructure
* Excellent communication and collaboration skills, with the ability to translate complex technical concepts into business\-friendly language
### **Keys to happiness at HappyCo**
* Pushing forward in ambiguity while striving for clarity
* Prioritizing for sustained impact vs helping in the moment
* Empowering teams instead of enforcing standards
* Leveraging technology to serve humanity in a way that is accessible
* Being a proactive contributor to the design and research team culture, with a strong growth mindset
* Experience and understanding of early\-stage startups and challenges
* Experience within the multifamily residential property industry
* Previous research experience in an Enterprise B2B SaaS context where complex workflows and systems have been tackled
### **Technologies Used**
* Cloud Platforms \&amp; Services: Google Cloud Platform (GCP) \- including BigQuery, Cloud Storage, Datastream, Cloud SQL, Pub/Sub, Cloud Functions, and other key GCP services for scalable data infrastructure
* Data Engineering \&amp; Processing: Databricks
* Databases \&amp; Storage: PostgreSQL, MySQL, and NoSQL solutions (such as Bigtable, MongDB, DocumentDB)
* AI \&amp; Machine Learning: GCP Vertex AI, GCP Gemini AI, and OpenAI models for predictive analytics, automation, and data\-driven decision\-making
* Business Intelligence \&amp; Visualization: Looker \&amp; LookML, plus experience with complementary BI tools like Tableau or PowerBI for enhanced reporting and analytics
\#LI\-Remote **About HappyCo**
Founded in 2011, HappyCo (happy.co) builds mobile and cloud solutions to enable real\-time property data. Our flagship product suite 'Happy Property’ has more than 5 million units on its platform.  
We’re everyday people with a shared purpose — improving the lives of others. Our team is made up of thinkers, talkers, planners, makers, builders and everything in between. Together, we’re turning our passions into happier communities!  
When customers use our software, their communities get stronger. Our tools empower everyone in multifamily property management to improve their operations and maximize returns, which means they’re building better experiences for their residents. Learn more about our Product Vision here! **Our HappyCo Culture \&amp; Values**
HappyCo strives to build better communities. So naturally, we are dedicated to making our own community an enjoyable place that lets us do our best work. We’re devoted to building an inclusive, supportive culture that empowers each HappyCo’er to succeed and grow. To learn more about our culture, check out our Glassdoor page and our careers page!  
HappyCo’s culture is driven by our core values of Make Happiness, Better Together, Get Good Sh\*t Done, Customer Obsessed and Kaizen \- sounds great, right, but what does this mean for you? *We believe in supporting people to do their best work and thrive, and building a diverse, equitable, and inclusive company is core to our mission. Our goal is to ensure that HappyCo upholds an inclusive environment where all people feel that they are equally respected and valued, whether they are applying for an open position or working at the company. We welcome applicants of any educational background, gender identity and expression, sexual orientation, religion, ethnicity, age, citizenship, socioeconomic status, disability, and veteran status. HappyCo is also committed to providing reasonable accommodations for qualified individuals with disabilities and disabled veterans in our job application procedures.* *A note to Recruitment Agencies: Please don’t reach out to us about our roles \- we’ve got it covered. We don’t accept unsolicited agency resumes and HappyCo is not responsible for any fees related to unsolicited resumes*</t>
        </is>
      </c>
    </row>
    <row r="90">
      <c r="A90" t="inlineStr">
        <is>
          <t>in-a515b1fee36eac5a</t>
        </is>
      </c>
      <c r="B90" t="inlineStr">
        <is>
          <t>Senior Manager, Data Engineering</t>
        </is>
      </c>
      <c r="C90" t="inlineStr">
        <is>
          <t>Information Technology Senior Management Forum</t>
        </is>
      </c>
      <c r="D90" t="inlineStr">
        <is>
          <t>indeed</t>
        </is>
      </c>
      <c r="E90">
        <f>HYPERLINK("https://www.indeed.com/viewjob?jk=a515b1fee36eac5a", "https://www.indeed.com/viewjob?jk=a515b1fee36eac5a")</f>
        <v/>
      </c>
      <c r="F90">
        <f>HYPERLINK("https://jobs.itsmfleaders.org/job/kdtrg6/senior-manager-data-engineering/chicago/il", "https://jobs.itsmfleaders.org/job/kdtrg6/senior-manager-data-engineering/chicago/il")</f>
        <v/>
      </c>
      <c r="G90" t="inlineStr">
        <is>
          <t>Chicago, IL, US</t>
        </is>
      </c>
      <c r="H90" s="3" t="n">
        <v>46064</v>
      </c>
      <c r="I90" t="inlineStr">
        <is>
          <t>Posted Date
2/12/2026
Description
Senior Manager, Data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Spark, Python, Java, Databricks, Snowflake, Data Lakehouse or Iceberg
* 4\+ years of experience with a public cloud (AWS, Microsoft Azure, Google Cloud)
* 5\+ years experience with Distributed data/computing tools (Glue, EMR, Kafka, Spark, Gurobi, or MySQL)
* 4\+ year experience working on real\-time data and streaming applications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Data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Spark, Python, Java, Databricks, Snowflake, Data Lakehouse or Iceberg
* 4\+ years of experience with a public cloud (AWS, Microsoft Azure, Google Cloud)
* 5\+ years experience with Distributed data/computing tools (Glue, EMR, Kafka, Spark, Gurobi, or MySQL)
* 4\+ year experience working on real\-time data and streaming applications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li-4349636595</t>
        </is>
      </c>
      <c r="B2" t="inlineStr">
        <is>
          <t>Analytics Engineer 4 - Ads</t>
        </is>
      </c>
      <c r="C2" t="inlineStr">
        <is>
          <t>Netflix</t>
        </is>
      </c>
      <c r="D2" t="inlineStr">
        <is>
          <t>linkedin</t>
        </is>
      </c>
      <c r="E2" t="inlineStr"/>
      <c r="F2" t="inlineStr"/>
      <c r="G2" t="inlineStr"/>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Ads Data Science and Engineering team at Netflix’s mission is to help build the foundation of the Ads business at Netflix. We design effective metrics, conduct analyses and develop analytic tools, and build predictive models and algorithms using machine learning \- all with the goal of creating more choices and joy for our members.
 As an Analytics Engineer, you’ll help design foundational datasets, metrics, and dashboards to measure the success of the Ads business and generate insights by scoping and executing deep dive analysis. You’ll work closely with partner teams, such as Product and Data Engineering, to gain a deep understanding of key user needs and business problems, and drive analytical projects to solve them in this 0 to 1 space. This is an exciting opportunity to be a founding member of this new business area for Netflix!
**Responsibilities**
* Lead the creation of metrics that provide insight and help with decision\-making
* Develop high\-impact dashboards and analyses to build visibility into the health of our ad platform, ad operations, and lead efforts to scale reporting through automation
* Facilitate information self\-service to business users through data pipelines and custom analytic tools
* Collaborate effectively with senior analytics engineers and cross\-functional partners to identify gaps or opportunities and drive analytical projects to solve them.
**Qualifications**
* Experience conducting analysis and providing recommendations to inform key business decisions, as well as building effective metrics and dashboards
* Comfortable with SQL and Python; some exposure to ETL and data warehousing
* A strong communicator with an interest in building strong stakeholder relationships
* Excited to learn about new fields with the ability to be scrappy and adapt as needed
* Comfortable with ambiguity; able to thrive with some oversight in a fast\-paced space
* While it’s a bonus if you have prior experience in Ads, it’s not required for this role!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$421,000\.00\.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li-4363987681</t>
        </is>
      </c>
      <c r="B3" t="inlineStr">
        <is>
          <t>Big Data Engineer</t>
        </is>
      </c>
      <c r="C3" t="inlineStr">
        <is>
          <t>Throtle</t>
        </is>
      </c>
      <c r="D3" t="inlineStr">
        <is>
          <t>linkedin</t>
        </is>
      </c>
      <c r="E3" t="inlineStr"/>
      <c r="F3" t="inlineStr"/>
      <c r="G3" t="inlineStr">
        <is>
          <t>Red Bank, NJ</t>
        </is>
      </c>
      <c r="H3" t="inlineStr"/>
      <c r="I3" t="inlineStr">
        <is>
          <t>**Benefits:**
* 401(k)
* 401(k) matching
* Company parties
* Competitive salary
* Dental insurance
* Flexible schedule
* Free food \&amp; snacks
* Health insurance
* Paid time off
* Parental leave
* Training \&amp; development
* Vision insurance
**Job Summary**
 Please consider joining our technology team at Throtle as a Big Data Developer. In this role, you will be part of the team that is responsible for transforming and maintaining several billion records that make Throtle’s data onboarding solution work. You’ll need to be able to evaluate incoming data, perform specialized hygiene, and standardize it for consumption by multiple processes. You’ll be working in a fast\-paced, high volume processing environment where quality and attention to the details are paramount.
**Duties/Responsibilities**
* Design and implement data pipelines and transformations using big data technologies such as Spark, Hadoop, and related ecosystems
* Develop and maintain complex SQL queries for data extraction and reporting, and optimize query performance and scalability
* Design and develop software components that integrate with our identity graphs, client data, and keying processes
* Participate in capacity monitoring and planning
* Develop and maintain technical documentation
* Ensure data integrity and quality in development process, including conducting data research and analysis to identify trends and patterns
* Work with cross\-functional teams to ensure software systems meet business requirements and are scalable for future growth, including developing predictive models and enhancing data quality
* Position will require that the individual understands all regulations and laws applicable to their assigned roles and responsibilities. Additionally, the individual will be responsible for the development, implementation, and regular maintenance of policies and procedures that govern the work of assigned roles and responsibilities, including compliance with the security requirements of ePHI.
**Required Skill And Abilities**
* Experience with large\-scale data processing and analytics platforms, including Hadoop, Spark,or related ecosystems
* Knowledge of distributed computing concepts and experience with cloud\-based infrastructure
* Experience with fuzzy logic matching and tools
* Experience with AWS infrastructure
**Education And Experience**
* 4\+ years of experience working with Big Data technologies, including, Spark, and SQL databases
* Proficiency in programming languages such as Scala, Java, Python, Shell or a combination thereof
* Expertise in data modeling, database design, and development
* Experience in building and maintaining data transformations (ETL) using SQL, Python, Scala, or Java
* Ability to analyze, troubleshoot and performance tune queries
* Ability to identify problems, and effectively communicate solutions to peers and management
* Strong analytical and problem\-solving skills to address complex software and data challenges
* Ability to work effectively with cross\-functional teams and communicate technical designs and solutions to non\-technical stakeholders
**About Throtle:**
 Throtle is a leading identity company trusted by the world’s top brands and agencies located in Red Bank, NJ. At Throtle, we empower brands at scale with true individual\-based marketing using a data\-centric identity and onboarding approach.
 Throtle is a company that truly values its employees and their work\-life balance. We offer a comprehensive, competitive, and inclusive set of health, financial and other benefits that support your total well\-being:
* Competitive compensation.
* Comprehensive benefits include Medical, Dental, and Vision.
* Life insurance.
* Long\-Term Disability
* A generous PTO program.
* A 401k plan supported by a company match.
* Half Day Summer Fridays (close at 1 p.m. Memorial Day to Labor Day).
* Early Fridays (office closes at 3 p.m.).
* Hybrid Schedule (Mondays and Fridays WFH)
* The office is closed between Christmas and New Year.
* Company\-sponsored lunch at least 1x a month.
* Professional Development Policy!
**And much MORE!**
*Throtle is an equal\-opportunity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Flexible work from home options available.</t>
        </is>
      </c>
    </row>
    <row r="4">
      <c r="A4" t="inlineStr">
        <is>
          <t>li-4363977830</t>
        </is>
      </c>
      <c r="B4" t="inlineStr">
        <is>
          <t>Big Data Engineer</t>
        </is>
      </c>
      <c r="C4" t="inlineStr">
        <is>
          <t>Throtle</t>
        </is>
      </c>
      <c r="D4" t="inlineStr">
        <is>
          <t>linkedin</t>
        </is>
      </c>
      <c r="E4" t="inlineStr"/>
      <c r="F4" t="inlineStr"/>
      <c r="G4" t="inlineStr">
        <is>
          <t>Red Bank, NJ</t>
        </is>
      </c>
      <c r="H4" t="inlineStr"/>
      <c r="I4" t="inlineStr">
        <is>
          <t>**Benefits:**
* 401(k)
* 401(k) matching
* Company parties
* Competitive salary
* Dental insurance
* Flexible schedule
* Free food \&amp; snacks
* Health insurance
* Opportunity for advancement
* Paid time off
* Parental leave
* Training \&amp; development
* Vision insurance
**Big Data Engineer (Hybrid position)**
**Job Summary**
 As a Big Data Engineer at Throtle, you will be responsible for designing and developing complex software systems that integrate with Throtle big data processing solutions. You will work closely with cross\-functional teams to architect scalable, secure, and maintainable software systems that meet the needs of our business.
**Duties/Responsibilities**
* Design and develop software architectures for large\-scale data processing and analytics platforms
* Collaborate with data engineers to design and implement data pipelines and transformations using big data technologies such as Hadoop, Spark, Kafka, and related ecosystems
* Develop and maintain complex SQL queries for data extraction and reporting, and optimize query performance and scalability
* Design and develop software components that integrate with our identity graphs, client data, and keying processes
* Work with cross\-functional teams to ensure software systems meet business requirements and are scalable for future growth
* Develop and maintain technical documentation for software architectures and designs
* Ensure data integrity and quality in development process
* Position will require that the individual understands all regulations and laws applicable to their assigned roles and responsibilities. Additionally, the individual will be responsible for the development, implementation, and regular maintenance of policies and procedures that govern the work of assigned roles and responsibilities, including compliance with the security requirements of ePHI.
**Required Skill And Abilities**
* Strong understanding of software design patterns, architecture principles, and big data technologies
* Proficiency in programming languages such as Java, Python, Scala, or similar languages
* Experience with large\-scale data processing and analytics platforms, including Hadoop, Spark, Kafka, and related ecosystems
* Knowledge of distributed computing concepts and experience with cloud\-based infrastructure (AWS)
* Strong analytical and problem\-solving skills to address complex software architecture challenges
* Ability to work effectively with cross\-functional teams and communicate technical designs and solutions to non\-technical stakeholders
**Education And Experience**
* Bachelor's Degree in Computer Science, Engineering, or a related field
* Master's Degree or certification in Software Architecture or a related field preferred but not required
* 5\+ years of professional experience in software development, architecture, or a related field
* Bachelor’s Degree in related field such as computer science, Engineering, or related field.
* Experience in data modeling, relational and NoSQL databases, SQL and programming languages for building big data pipelines and transformations.
**About Throtle:**
 Throtle is a leading identity company trusted by the world’s top brands and agencies located in Red Bank, NJ. At Throtle, we empower brands at scale with true individual\-based marketing using a data\-centric identity and onboarding approach.
 Throtle is a company that truly values its employees and their work\-life balance. We offer a comprehensive, competitive, and inclusive set of health, financial and other benefits that support your total well\-being:
* Competitive compensation.
* Comprehensive benefits include Medical, Dental, and Vision.
* Life insurance.
* Long\-Term Disability
* A generous PTO program.
* A 401k plan supported by a company match.
* Half Day Summer Fridays (close at 1 p.m. Memorial Day to Labor Day).
* Early Fridays (office closes at 3 p.m.).
* Hybrid Schedule (Mondays and Fridays WFH)
* The office is closed between Christmas and New Year.
* Company\-sponsored lunch at least 1x a month.
* Professional Development Policy! And much MORE!
*Throtle is an equal\-opportunity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Flexible work from home options available.</t>
        </is>
      </c>
    </row>
    <row r="5">
      <c r="A5" t="inlineStr">
        <is>
          <t>li-4372735472</t>
        </is>
      </c>
      <c r="B5" t="inlineStr">
        <is>
          <t>Senior Data Engineer</t>
        </is>
      </c>
      <c r="C5" t="inlineStr">
        <is>
          <t>Miratech</t>
        </is>
      </c>
      <c r="D5" t="inlineStr">
        <is>
          <t>linkedin</t>
        </is>
      </c>
      <c r="E5" t="inlineStr"/>
      <c r="F5" t="inlineStr"/>
      <c r="G5" t="inlineStr">
        <is>
          <t>Little Canada, MN</t>
        </is>
      </c>
      <c r="H5" t="inlineStr"/>
      <c r="I5" t="inlineStr">
        <is>
          <t>**Company Description**
 Miratech helps visionaries change the world. We are a global IT services and consulting company that brings together enterprise and start\-up innovation. Today, we support digital transformation for some of the world's largest enterprises. By partnering with both large and small players, we stay at the leading edge of technology, remain nimble even as a global leader, and create technology that helps our clients further enhance their business. We are a values\-driven organization and our culture of Relentless Performance has enabled over 99% of Miratech's engagements to succeed by meeting or exceeding our scope, schedule, and/or budget objectives since our inception in 1989\.
 Miratech has coverage across  5 continents and operates in over 25 countries around the world. Miratech retains nearly 1000 full\-time professionals, and our annual growth rate exceeds 25%.
**Job Description**
 The Data Engineer leads the design, development, and maintenance of scalable and secure data architecture, pipelines, and systems to support the company’s data\-driven initiatives. This role not only ensures the integrity, performance, and delivery of data solutions but also guides the broader data engineering team, mentors junior engineers, and drives innovation and best practices. The Senior Data Engineer collaborates cross\-functionally to align data solutions with strategic business goals and plays a critical role in shaping the company’s data infrastructure roadmap.
**Responsibilities:**
* Design, build, and scale robust ETL pipelines to support complex data workflows while ensuring high performance, reliability, and adaptability to evolving business needs.
* Automate and manage data ingestion from diverse sources (databases, APIs, cloud platforms), ensuring system resilience, fault tolerance, and failover readiness.
* Optimize data storage, processing, and retrieval layers to balance performance, scalability, and cost efficiency across the data platform.
* Modernize and enhance legacy data systems by identifying gaps, implementing architectural improvements, and aligning solutions with future business requirements.
* Lead technical excellence within the data engineering function through mentorship, code reviews, best\-practice enforcement, and adoption of advanced tools and frameworks.
* Ensure end\-to\-end data quality, integrity, and governance by implementing validation, monitoring, testing, and compliance\-focused data controls.
* Collaborate cross\-functionally with analytics, product, engineering, DevOps, and business stakeholders to translate requirements into scalable data models and transformations.
* Drive a data\-driven culture and long\-term data strategy by enabling self\-service analytics, maintaining clear documentation, leading training initiatives, and contributing to architecture roadmaps and governance policies.
 Qualifications
* 10\+ years of hands\-on experience in Data Engineering
* Bachelor’s degree in Data Engineering, Computer Science, Data Analytics, or a related field is required. Master’s degree preferred.
* Advanced proficiency in Python and SQL, with proven experience in ETL pipeline development.
* Experience with cloud data platforms such as AWS, GCP, or Azure, including cloud\-native data engineering tools and services.
* Strong understanding of modern data architecture patterns, including batch processing, streaming, and event\-driven systems, along with industry best practices.
* Demonstrated ability to optimize data workflows, troubleshoot complex data issues, and ensure high performance, scalability, and reliability of data systems.
* Strong project management skills, with the ability to work independently, manage priorities, and deliver high\-quality outcomes in a fast\-paced environment.
**Nice to Have**
* Hands\-on experience with modern data platforms and tools such as data warehouses/lakehouses (Snowflake, Redshift, BigQuery), big data or streaming frameworks (Spark, Kafka), and data orchestration tools (Airflow or equivalents).
* Previous experience working with large\-scale healthcare or insurance organizations.
**We Offer**
* Culture of Relentless Performance: Join a technology\-driven team with a 99% project success rate and over 30% year\-over\-year revenue growth.
* Competitive Pay and Benefits: Comprehensive compensation package including health insurance and relocation support.
* Work From Anywhere Culture: Flexibility to work remotely.
* Growth Mindset: Access to certification programs, mentorship, internal mobility, and continuous learning opportunities.
* Global Impact: Work on impactful projects with leading global clients.
* Welcoming Multicultural Environment: Inclusive, collaborative, and supportive workplace with regular team\-building activities.
* Social Sustainability Values: Commitment to IT education, community empowerment, fair practices, environmental sustainability, and gender equality.
*Miratech is an equal opportunity employer and does not discriminate against any employee or applicant for employment on the basis of race, color, religion, sex, national origin, age, disability, veteran status, sexual orientation, gender identity, or any other protected status under applicable law.*
 Additional Information
 All your information will be kept confidential according to EEO guidelines.</t>
        </is>
      </c>
    </row>
    <row r="6">
      <c r="A6" t="inlineStr">
        <is>
          <t>li-4363472016</t>
        </is>
      </c>
      <c r="B6" t="inlineStr">
        <is>
          <t>Data Engineer, Monetization</t>
        </is>
      </c>
      <c r="C6" t="inlineStr">
        <is>
          <t>Twitch</t>
        </is>
      </c>
      <c r="D6" t="inlineStr">
        <is>
          <t>linkedin</t>
        </is>
      </c>
      <c r="E6" t="inlineStr"/>
      <c r="F6" t="inlineStr"/>
      <c r="G6" t="inlineStr">
        <is>
          <t>San Francisco, CA</t>
        </is>
      </c>
      <c r="H6" t="inlineStr"/>
      <c r="I6"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Monetization organization you will work on making Twitch’s massive data sets robust and consumable by people around the company. You’ll work with a team of other data engineers to build and maintain data pipelines that allow our stakeholders to understand our business.
 You can work from Twitch’s headquarters in San Francisco, CA.
**You Will:**
* Work closely with data scientists and engineers to create robust data architectures and pipelines
* Develop and manage scalable data pipelines to extract, transform, and load data from various sources
* Collaborate with stakeholders to understand business requirements and translate them into data\-driven solutions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 Develop and manage scalable, automated, and fault\-tolerant data solutions using technologies such as Spark, EMR, Python, Redshift, Glue, and S3
**You Have:**
* 1\+ year of experience working in a data engineering, data science, or software engineering capacity
* Deep expertise in writing and maintaining robust data pipelines in SQL and Python
* Ability to turn data requirements from stakeholders into actionable plans
* Extensive experience with cloud computing tools, like AWS, Azure, or Google cloud
* Proven experience implementing best practices in data pipelines, ensuring accuracy, consistency, and reliability
**Bonus Points**
* Bachelor's degree, or Master's degree in computer science, statistics, information systems, or a related, technical field
* Experience with a scripting language (e.g., Python, Java, or R)
* Familiarity and interest in Twitch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TW9081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CA, San Francisco
 $116,500—$185,000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7">
      <c r="A7" t="inlineStr">
        <is>
          <t>li-4361634164</t>
        </is>
      </c>
      <c r="B7" t="inlineStr">
        <is>
          <t>Data Engineer</t>
        </is>
      </c>
      <c r="C7" t="inlineStr">
        <is>
          <t>Heaven Hill Brands</t>
        </is>
      </c>
      <c r="D7" t="inlineStr">
        <is>
          <t>linkedin</t>
        </is>
      </c>
      <c r="E7" t="inlineStr"/>
      <c r="F7" t="inlineStr"/>
      <c r="G7" t="inlineStr">
        <is>
          <t>Louisville, KY</t>
        </is>
      </c>
      <c r="H7" t="inlineStr"/>
      <c r="I7" t="inlineStr">
        <is>
          <t>**This role is an office position based in Louisville, Kentucky.**
**What The Role Is**
 The Data Engineer will build and manage data pipelines from both primary external and internal sources into central data repositories, and from there to usable, business\-facing, enterprise\-ready data sources. This position will work within a scrum team and will use Asana to plan and document work.
 The Data Engineer is expected to understand large language models and have experience using them to drive data engineering solutions, including IDE\-integrated and external LLM\-based coding tools. This position may also design and support language\-model\-drive solutions for end user reporting and analytical needs in partnership with our AI program.
**How You Will Spend Your Time?**
* Build, maintain, and optimize commercial analytics data products and models that support FP\&amp;A, Sales, and other commercial teams.
* Collaborate with the Commercial scrum, IT, and business stakeholders to define requirements, prioritize work, and deliver high\-quality data products.
* Enterprise Ready Data Sources
+ Curate enterprise\-ready data sources for consumption by Power BI for self\-service analytics in the business, as well as ingestion in data science workflows, web applications, and R Shiny or similar tools.
+ Focus on commercial data products that integrate internal financial and sales data with external syndicated sources to support forecasting, performance measurement, and decision\-making.
* Data Pipelines (ETL/ELT)
+ Write data pipelines from external and internal commercial data sources into central data locations (data lake / Fabric lakehouse) using SQL, R, and/or Python.
+ Transition legacy OLAP\- and SSIS\-based workflows into well\-documented, transparent, and fully reproducible ETL/ELT environments likely driven by notebook (code \+ text) solutions within Fabric and related tooling.
+ Write data pipelines from central repositories to enterprise\-ready data sources for consumption by web apps, data scientists, analyst professionals, and Power BI semantic models.
+ Work with transparency, best practices, and documentation as guiding principles.
+ Leverage integrated large language models (LLMs) and AI\-assisted tooling to accelerate coding, documentation, testing, and ideation of data and analytics solutions..
* Other duties as required to support changing business needs.
**Who You Are…**
**Required Skills and Experience:**
* Bachelor’s degree in computer science or related field, or may substitute equivalent experience for educational requirement.
* Minimum 2 years of experience creating and managing robust data pipelines (ETL/ELT) that follow best practices, including medallion architecture, unit testing, and related standards.
* Minimum 2 years of experience with database administration (SQL Server, Oracle or similar relational databases).
* Programming languages: SQL (required); experience with Python and/or R (preferred).
* Knowledge of MS SQL Server, SQL, Reporting Services, Analysis Services, and Integration Services for historical workloads.
* Experience with Microsoft Fabric, Power BI, and notebook\-based development, or a demonstrated ability to learn these quickly.
* An attitude of continuous improvement and learning.
* A team player with excellent interpersonal skills who is comfortable working with a business integrated scrum to plan and complete work.
* Comfortable with “change as the only constant” and willing to flex as priorities shift; understands that 'other duties as required' is part of the core role.
* The use of AI\-assisted development tools (for example, integrated LLM copilots).
**Valued But Not Required Skills And Experience**
* R and Python experience
* Familiarity with Power BI and semantic model design.
* Familiarity with R Shiny applications.
* Understanding of the Posit Team set of applications.
* Familiarity with data sources used in the spirits industry (Nielsen, NABCA, SRS, distributor data, etc.).
**Physical Requirements**
 While performing duties of job, the employee is occasionally required to:
* Stand; walk; use hands and fingers to handle, or feel objects, and use of computer; reach with hands and arms.
* Lift and/or move up to 50 pounds.
**Benefits**
* Paid Vacation
* 11 Paid Holidays
* Health, Dental \&amp; Vision eligibility from day one
* FSA/HSA
* 401K match
* EAP
* Maternity/Paternity Leave
 Heaven Hill and its affiliates are committed to fostering a diverse workforce as an Equal Employment Opportunity company. We invite applications from candidates of all backgrounds, without regard to race, religion, color, sex, sexual orientation, natural origin, gender identity or expression, age, disability, veteran status, or any other legally protected characteristic.</t>
        </is>
      </c>
    </row>
    <row r="8">
      <c r="A8" t="inlineStr">
        <is>
          <t>li-4371782474</t>
        </is>
      </c>
      <c r="B8" t="inlineStr">
        <is>
          <t>Data Engineer</t>
        </is>
      </c>
      <c r="C8" t="inlineStr">
        <is>
          <t>AARATECH</t>
        </is>
      </c>
      <c r="D8" t="inlineStr">
        <is>
          <t>linkedin</t>
        </is>
      </c>
      <c r="E8" t="inlineStr"/>
      <c r="F8" t="inlineStr"/>
      <c r="G8" t="inlineStr"/>
      <c r="H8" t="inlineStr"/>
      <c r="I8"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9">
      <c r="A9" t="inlineStr">
        <is>
          <t>li-4371778532</t>
        </is>
      </c>
      <c r="B9" t="inlineStr">
        <is>
          <t>Data Engineer</t>
        </is>
      </c>
      <c r="C9" t="inlineStr">
        <is>
          <t>AARATECH</t>
        </is>
      </c>
      <c r="D9" t="inlineStr">
        <is>
          <t>linkedin</t>
        </is>
      </c>
      <c r="E9" t="inlineStr"/>
      <c r="F9" t="inlineStr"/>
      <c r="G9" t="inlineStr"/>
      <c r="H9" t="inlineStr"/>
      <c r="I9"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0">
      <c r="A10" t="inlineStr">
        <is>
          <t>li-4311836563</t>
        </is>
      </c>
      <c r="B10" t="inlineStr">
        <is>
          <t>Data Engineer – Platform &amp; Product</t>
        </is>
      </c>
      <c r="C10" t="inlineStr">
        <is>
          <t>Artisan Partners</t>
        </is>
      </c>
      <c r="D10" t="inlineStr">
        <is>
          <t>linkedin</t>
        </is>
      </c>
      <c r="E10" t="inlineStr"/>
      <c r="F10" t="inlineStr"/>
      <c r="G10" t="inlineStr">
        <is>
          <t>Milwaukee, WI</t>
        </is>
      </c>
      <c r="H10" t="inlineStr"/>
      <c r="I10" t="inlineStr">
        <is>
          <t>We are seeking a skilled and solution\-oriented Data Engineer to contribute to the development of our growing Data Engineering function. This role will be instrumental in designing and optimizing data workflows, building domain\-specific pipelines, and enhancing platform services. The ideal candidate will help evolve our Snowflake\-based data platform into a scalable, domain\-oriented architecture that supports business\-critical analytics and machine learning initiatives.
**Responsibilities**
 The candidate is expected to:
* Design and build reusable platform services, including pipeline frameworks, CI/CD workflows, data validation utilities, data contracts, lineage integrations
* Develop and maintain data pipelines for sourcing, transforming, and delivering trusted datasets into Snowflake
* Partner with Data Domain Owners to onboard new sources, implement data quality checks, and model data for analytics and machine learning use cases
* Collaborate with the Lead Data Platform Engineer and Delivery Manager to deliver monthly feature releases and support bug remediation
* Document and promote best practices for data pipeline development, testing, and deployment
**Qualifications**
 The successful candidate will possess strong analytical skills and attention to detail. Additionally, the ideal candidate will possess:
* 3\-6 years of experience in data engineering or analytics engineering
* Strong SQL and Python skills; experience with dbt or similar transformation frameworks
* Demonstrated experience building pipelines and services on Snowflake or other modern cloud data platforms
* Understanding of data quality, validation, lineage, and schema evolution
* Background in financial or market data (trading, pricing, benchmarks, ESG) is a plus
* Strong collaboration and communication skills, with a passion for enabling domain teams
 Privacy Notice for California Applicants
 Artisan Partners Limited Partnership is an equal opportunity employer. Artisan Partners does not discriminate on the basis of race, religion, color, national origin, gender, age, disability, marital status, sexual orientation or any other characteristic protected under applicable law. All employment decisions are made on the basis of qualifications, merit and business need.
 /span\&gt;</t>
        </is>
      </c>
    </row>
    <row r="11">
      <c r="A11" t="inlineStr">
        <is>
          <t>li-4371795344</t>
        </is>
      </c>
      <c r="B11" t="inlineStr">
        <is>
          <t>Data Engineer</t>
        </is>
      </c>
      <c r="C11" t="inlineStr">
        <is>
          <t>AARATECH</t>
        </is>
      </c>
      <c r="D11" t="inlineStr">
        <is>
          <t>linkedin</t>
        </is>
      </c>
      <c r="E11" t="inlineStr"/>
      <c r="F11" t="inlineStr"/>
      <c r="G11" t="inlineStr"/>
      <c r="H11" t="inlineStr"/>
      <c r="I11"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2">
      <c r="A12" t="inlineStr">
        <is>
          <t>li-4372729596</t>
        </is>
      </c>
      <c r="B12" t="inlineStr">
        <is>
          <t>Data Engineer (Snowflake)</t>
        </is>
      </c>
      <c r="C12" t="inlineStr">
        <is>
          <t>STAFFWORXS</t>
        </is>
      </c>
      <c r="D12" t="inlineStr">
        <is>
          <t>linkedin</t>
        </is>
      </c>
      <c r="E12" t="inlineStr"/>
      <c r="F12" t="inlineStr"/>
      <c r="G12" t="inlineStr">
        <is>
          <t>Charlotte, NC</t>
        </is>
      </c>
      <c r="H12" t="inlineStr"/>
      <c r="I12" t="inlineStr">
        <is>
          <t>**Job Title:** 
 Data Engineer (Snowflake)
**Location:** 
 Charlotte, NC (Hybrid)
**Domain:** 
 Investment / Financial Services
**Job Summary:** 
 We are seeking a Data Engineer with strong Snowflake and Data Architecture experience to support enterprise data initiatives for a leading investment management client in Charlotte, NC. The role focuses on designing scalable cloud data architectures, building robust data pipelines, and enabling investment analytics and reporting.
**Key Responsibilities:** 
* Design and implement scalable data architecture on Snowflake
* Develop and optimize ELT/ETL pipelines
* Build dimensional data models for investment analytics
* Ingest data from trading, portfolio, and market data systems
* Ensure data governance, performance tuning, and cost optimization
* Collaborate with business and technology stakeholders
**Required Skills:** 
* 5\+ years of Data Engineering experience
* Strong hands\-on Snowflake expertise
* Proven experience in Data Architecture \&amp; data modeling
* Advanced SQL and Python
* Experience with AWS and ETL tools (Airflow/dbt/Informatica preferred)
* Investment/financial services domain experience preferred</t>
        </is>
      </c>
    </row>
    <row r="13">
      <c r="A13" t="inlineStr">
        <is>
          <t>li-4371785418</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li-4369619971</t>
        </is>
      </c>
      <c r="B14" t="inlineStr">
        <is>
          <t>Data Engineer</t>
        </is>
      </c>
      <c r="C14" t="inlineStr">
        <is>
          <t>Integra Connect</t>
        </is>
      </c>
      <c r="D14" t="inlineStr">
        <is>
          <t>linkedin</t>
        </is>
      </c>
      <c r="E14" t="inlineStr"/>
      <c r="F14" t="inlineStr"/>
      <c r="G14" t="inlineStr"/>
      <c r="H14" t="inlineStr"/>
      <c r="I14" t="inlineStr">
        <is>
          <t>**Company Summary:** 
 We are a value\-based, precision medicine company specializing in Health IT, real\-world data, and digital health solutions for specialty providers, payers, and life sciences companies.Through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**Job Description:** 
 The Data Engineer is responsible for designing, building, and maintaining secure, scalable data pipelines and infrastructure that power Integra Connect’s healthcare analytics and product platforms. This role requires strong technical expertise in data engineering combined with an understanding of healthcare data standards and compliance frameworks. The ideal candidate will be skilled in transforming complex, heterogeneous healthcare data into clean, usable datasets that drive insights and innovation.
**Responsibilities:** 
* Design and implement robust data pipelines to ingest, transform, and deliver healthcare data from multiple sources, including EHRs, claims systems, labs, and registries.
* Develop and maintain data models and warehouses that support analytics, reporting, and real\-world evidence generation.
* Ensure compliance with HIPAA, HITECH, and other healthcare data privacy and security standards.
* Work with product managers, architects, and data scientists to translate business and clinical requirements into technical specifications.
* Implement best practices for data quality, lineage, and governance across all data assets.
* Develop and optimize SQL queries, stored procedures, and ETL/ELT workflows using tools such as Snowflake, dbt, and modern cloud platforms (AWS, Azure, or GCP).
* Participate in peer code and design reviews to ensure accuracy, scalability, and maintainability.
* Troubleshoot complex data issues, conduct root cause analyses, and implement long\-term solutions.
* Serve as a technical subject matter expert for healthcare data engineering and integration.
* Support internal and external stakeholders by addressing data\-related inquiries and production issues.
**Qualifications:** 
* Minimum 3 years of experience in data or software engineering.
* Strong SQL development experience, including stored procedures and performance optimization.
* Hands\-on experience with Snowflake, dbt, and cloud\-based data technologies.
* Solid understanding of ETL/ELT processes, data warehousing, and data modeling concepts.
* Working knowledge of healthcare data standards and formats (HL7, FHIR, X12, CCD, etc.).
* Familiarity with healthcare data types (clinical data, claims, pharmacy, lab, and patient registries).
* Bachelor’s degree in Computer Science, Engineering, or a related field—or equivalent professional experience.
* Proficiency in one or more modern programming languages (SQL preferred; Python or Java a plus).
* Experience working in agile development environments (Scrum, Kanban).
* Strong analytical, problem\-solving, and communication skills.
**Preferred Qualifications:** 
* Experience with data orchestration tools (e.g., Mage Ai (a plus), Airflow, Prefect)
* Exposure to healthcare analytics, population health management, or real\-world evidence generation.
* Advanced degree in Computer Science, Data Engineering, or a related field.
* Familiarity with healthcare interoperability frameworks and APIs.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February 28, 2026\. All applications must be received by this date to be considered.**</t>
        </is>
      </c>
    </row>
    <row r="15">
      <c r="A15" t="inlineStr">
        <is>
          <t>li-4372228971</t>
        </is>
      </c>
      <c r="B15" t="inlineStr">
        <is>
          <t>Data Engineer, Sr.</t>
        </is>
      </c>
      <c r="C15" t="inlineStr">
        <is>
          <t>Wiraa</t>
        </is>
      </c>
      <c r="D15" t="inlineStr">
        <is>
          <t>linkedin</t>
        </is>
      </c>
      <c r="E15" t="inlineStr"/>
      <c r="F15" t="inlineStr"/>
      <c r="G15" t="inlineStr"/>
      <c r="H15" t="inlineStr"/>
      <c r="I15" t="inlineStr">
        <is>
          <t>**About The Company**
 Sharecare is a leading digital healthcare company committed to transforming the way individuals and healthcare providers manage health and wellness. By leveraging innovative technology and data\-driven insights, Sharecare delivers comprehensive software solutions and services that enhance care quality, improve health outcomes, and reduce healthcare costs. Its platform integrates benefits navigation, care management, home care resources, health information management, and more, making healthcare more accessible and efficient for users. Serving a diverse range of stakeholders including health plan sponsors, health systems, physician practices, and pharmaceutical brands, Sharecare aims to personalize and scale value\-based care initiatives.
**About The Role**
 Sharecare is seeking a highly skilled Senior Data Engineer to join our dynamic team. In this pivotal role, you will be responsible for designing, developing, and maintaining our next\-generation data platform that supports high\-profile partners and enterprise clients. Collaborating closely with cross\-functional teams including Product, Account Management, QA, Analytics, and Architecture, you will deliver scalable, reliable, and secure data solutions that drive strategic decision\-making and operational efficiency. This position offers a unique opportunity to work in a fast\-paced, agile environment, contributing to groundbreaking advancements in health information technology and digital health solutions. The ideal candidate will possess a strong technical background in Python\-based data engineering, cloud\-native architectures, and orchestration frameworks, coupled with a proactive and analytical mindset.
**Qualifications**
* Bachelor’s degree or higher in Computer Science, Data Engineering, or a related field
* 10\+ years of experience in data engineering or related roles
* Proficiency in Python and related libraries such as Pandas, SQLAlchemy, Boto3, Paramiko, Flask, and FastAPI
* Advanced SQL skills with experience analyzing healthcare datasets (claims, provider directories, etc.)
* Hands\-on experience with orchestration tools like Apache Airflow and Databricks Workflows
* Strong expertise in Apache Spark; familiarity with Apache Flink is a plus
* Experience integrating with .NET applications and working with SQL Server
* Cloud platform experience (AWS, Azure, or GCP) is required
* Knowledge of data warehousing solutions such as Amazon Redshift or Vertica
* Solid understanding of distributed systems and functional programming concepts
* Proficiency with Git, CI/CD pipelines, and modern deployment practices
* Exposure to streaming technologies, containerization, and ML pipelines is preferred
* Familiarity with AI tools and large language models is a plus
**Responsibilities**
* Design, build, and maintain scalable data pipelines utilizing Python, Apache Airflow, and Apache Spark
* Analyze business and technical requirements to develop reliable, scalable data solutions
* Develop, validate, deploy, and support complex ETL/ELT workflows at enterprise scale
* Create secure, maintainable REST APIs adhering to company standards
* Implement real\-time and batch processing solutions for diverse data sources
* Develop reusable data engineering frameworks and AI tools for enterprise\-wide adoption
* Define and manage domain\-based “source of truth” data models, ensuring scalability and data lineage traceability
* Implement data governance practices, automate data quality checks, and facilitate pipeline testing
* Optimize data infrastructure for performance, cost efficiency, and reliability
* Manage source control, CI/CD pipelines, and oversee production deployments
* Collaborate with data scientists and analysts to support AI/ML initiatives and data\-driven projects
**Benefits**
* Competitive salary and performance\-based incentives
* Comprehensive health, dental, and vision insurance plans
* Retirement savings plans with company matching
* Flexible work arrangements and remote work opportunities
* Professional development and continuous learning programs
* Generous paid time off and holiday leave
* Employee wellness programs and resources
* Collaborative and innovative work environment
 Equal Opportunity
 Sharecare and its subsidiaries are Equal Opportunity Employers. We are committed to creating an inclusive environment where all employees and applicants are treated with respect and dignity. Qualified applicants will receive consideration for employment without regard to race, color, sex, national origin, sexual orientation, gender identity, religion, age, disability, genetic information, protected veteran status, or any other protected characteristic under applicable law. We value diversity and strive to foster a workplace that reflects the communities we serve.</t>
        </is>
      </c>
    </row>
    <row r="16">
      <c r="A16" t="inlineStr">
        <is>
          <t>li-4371785458</t>
        </is>
      </c>
      <c r="B16" t="inlineStr">
        <is>
          <t>Data Engineer</t>
        </is>
      </c>
      <c r="C16" t="inlineStr">
        <is>
          <t>AARATECH</t>
        </is>
      </c>
      <c r="D16" t="inlineStr">
        <is>
          <t>linkedin</t>
        </is>
      </c>
      <c r="E16" t="inlineStr"/>
      <c r="F16" t="inlineStr"/>
      <c r="G16" t="inlineStr"/>
      <c r="H16" t="inlineStr"/>
      <c r="I16"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7">
      <c r="A17" t="inlineStr">
        <is>
          <t>li-4372227910</t>
        </is>
      </c>
      <c r="B17" t="inlineStr">
        <is>
          <t>Data Engineer II</t>
        </is>
      </c>
      <c r="C17" t="inlineStr">
        <is>
          <t>Wiraa</t>
        </is>
      </c>
      <c r="D17" t="inlineStr">
        <is>
          <t>linkedin</t>
        </is>
      </c>
      <c r="E17" t="inlineStr"/>
      <c r="F17" t="inlineStr"/>
      <c r="G17" t="inlineStr"/>
      <c r="H17" t="inlineStr"/>
      <c r="I17" t="inlineStr">
        <is>
          <t>**About The Company**
 Dynatron is at the forefront of transforming the automotive service industry through innovative SaaS solutions that deliver measurable results for thousands of dealership service departments. Our proprietary analytics, automation capabilities, and AI\-powered workflows empower service leaders to increase profitability, enhance customer satisfaction, and operate with greater efficiency. As a rapidly expanding organization with strong market traction and a diverse product ecosystem, Dynatron is scaling quickly and continuously pushing the boundaries of automotive service technology.
**About The Role**
 We are seeking a hands\-on, forward\-thinking GenAI Data Engineer to join our dynamic team. In this high\-impact role, you will be responsible for architecting and scaling the next generation of AI systems that power Dynatron’s intelligent SaaS platform. Your primary focus will be designing production\-grade Retrieval\-Augmented Generation (RAG) pipelines, integrating enterprise data with leading large language models (LLMs), and building the infrastructure necessary for real\-time generative insights across the organization. This position offers a unique opportunity to shape the technical foundation of AI innovation within a fast\-growth SaaS environment. If you excel at the intersection of data engineering and applied machine learning, and are passionate about building modern GenAI capabilities from the ground up, this role provides a platform for making a meaningful and visible impact.
**Qualifications**
* Bachelor’s or Master’s degree in Computer Science, Data Engineering, or related field
* 5\+ years of experience in data engineering, including 2\+ years developing GenAI or LLM\-based solutions
* Proficiency in AWS Bedrock, SageMaker, or Google Vertex AI
* Experience with LangChain, LlamaIndex, or similar frameworks
* Knowledge of Snowflake, Redshift, or Databricks
* Strong programming skills in Python and SQL, with experience in API integrations
* Hands\-on experience with vector databases such as Pinecone, FAISS, Chroma, or Amazon OpenSearch
* Proven track record of building RAG pipelines, embeddings, and prompt\-chaining architectures
* Deep understanding of data modeling, orchestration, and MLOps best practices
* Ability to integrate LLM capabilities into enterprise SaaS products and data platforms
**Responsibilities**
* Design and maintain scalable data pipelines for training, fine\-tuning, and retrieval\-augmented generation (RAG) use cases
* Develop ingestion frameworks utilizing AWS Glue, Lambda, Kinesis, and Step Functions to support large\-scale AI workloads
* Create embedding pipelines, feature stores, and integrate vector databases like Pinecone, FAISS, Chroma, and Amazon OpenSearch
* Transform unstructured data such as documents, text, images, and logs into AI\-ready assets for LLM applications
* Build end\-to\-end GenAI pipelines connecting enterprise data with LLMs including Anthropic Claude, Amazon Titan, OpenAI GPT, and Llama 3
* Implement tools like LangChain, LlamaIndex, and Bedrock Agents to deliver context\-rich RAG, prompt\-chaining, and conversational intelligence
* Develop LLM\-powered APIs that support natural language querying, summarization, search, and generative workflows
* Optimize prompts, context windows, model evaluation, and response quality to enhance system performance
* Deploy, monitor, and optimize LLM workflows on AWS Bedrock and other cloud AI platforms
* Establish CI/CD pipelines for GenAI systems using tools such as Airflow, Prefect, GitHub Actions, or AWS CodePipeline
* Implement data and model observability frameworks to track drift, accuracy, latency, and overall performance
* Collaborate with Data Science and MLOps teams to streamline model fine\-tuning, deployment, and scalable operations
* Ensure governance, security, and responsible AI practices through data lineage, access controls, encryption, and compliance measures
* Maintain transparency and ethical standards by documenting prompt logs, telemetry, and audit trails supporting SOC2, GDPR, and CCPA compliance
**Benefits**
* Comprehensive health, vision, and dental insurance coverage
* Employer\-paid short\-term and long\-term disability insurance, as well as life insurance
* 401(K) retirement plan with a competitive company match
* Flexible vacation policy and 9 paid holidays annually
* Remote\-first work environment promoting work\-life balance
 Equal Opportunity
 Dynatron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18">
      <c r="A18" t="inlineStr">
        <is>
          <t>li-4372171725</t>
        </is>
      </c>
      <c r="B18" t="inlineStr">
        <is>
          <t>Staff Data Engineer</t>
        </is>
      </c>
      <c r="C18" t="inlineStr">
        <is>
          <t>Artisan</t>
        </is>
      </c>
      <c r="D18" t="inlineStr">
        <is>
          <t>linkedin</t>
        </is>
      </c>
      <c r="E18" t="inlineStr"/>
      <c r="F18" t="inlineStr"/>
      <c r="G18" t="inlineStr"/>
      <c r="H18" t="inlineStr"/>
      <c r="I18" t="inlineStr">
        <is>
          <t>**About Artisan** 
 We're building AI employees. Not chatbots. Not copilots. Autonomous digital workers that do real jobs.
 Our first, Ava, is an AI BDR used by hundreds of companies. She researches leads, writes and sends emails in a customer's voice, runs multi\-step outbound sequences, manages her own deliverability infrastructure, self\-optimizes over time, and handles objections and meeting booking. She's not a tool someone uses. She's a teammate.
 We're a YC W24 company, have raised $35M\+ from investors including Y Combinator, and are at $8M\+ ARR. Right now we're building Ava 2\.0, a step change in what an AI employee can do. The engineering problems are hard and the surface area is enormous.
**Role overview** 
 You'll be the first Data Engineer on the Artisan team! We're managing a database of hundreds of millions of leads and creating real\-time intent signals which monitor data fields for those leads. You'll own everything data\-related at Artisan.
* Design, build, and maintain scalable data pipelines that process and transform large volumes of structured and unstructured data
* Manage ingestion from third\-party APIs, internal systems, and customer datasets
* Develop and maintain data models, data schemas, and storage systems optimized for ML and product performance
* Collaborate with ML engineers to prepare model\-ready datasets, embeddings, feature stores, and evaluation data
* Implement data quality monitoring, validation, and observability
* Work closely with product engineers to support new features that rely on complex data flows
* Optimize systems for performance, cost, and reliability
* Contribute to early architecture decisions, infrastructure design, and best practices for data governance
* Build tooling that enables the entire team to access clean, well\-structured data
**Location:** 
 San Francisco, New York, or Remote USA
**Team:** 
 Engineering
**Reports to:** 
 CPTO, Sam Stallings
**Who you are** 
* 3\+ years of experience as a Data Engineer
* Proficiency in Python, SQL, and modern data tooling (dbt, Airflow, Dagster, or similar)
* Comfort working in fast, ambiguous environments
* Experience designing and operating ETL/ELT pipelines in production
* Experience with cloud platforms (AWS, GCP, or Azure)
* Familiarity with data lakes, warehouses, and vector databases
* Experience integrating APIs and working with semi\-structured data (JSON, logs, event streams)
* Strong understanding of data modeling and optimization
* Bonus: experience supporting LLMs, embeddings, or ML training pipelines
* Bonus: startup experience
**Interview process** 
1. Introductory chat with our recruiter
2. 60\-minute
 technical interview with an engineer
3. A second
 60\-minute
 technical interview with an engineer
4. 30\-minute interview with Sam, our CPTO
5. 15\-minute culture and values interview with Jaspar, our CEO
**Our culture and values** 
* Founder mindset. Everyone acts like an owner: take initiative, think big, challenge ideas, and push for 10× outcomes
* Obsessed with impact. We apply the 80/20 rule, kill sunk costs quickly, and focus on what actually moves the needle
* Customer\-first, always. Every decision is made with the customer experience at the center
* High standards, every detail. Quality matters in everything we ship, from product and code to copy and design
* Clear, direct communication. We value candor, fast responses, and feedback
* Winning team energy. We bring positive vibes, low ego, zero drama, and genuinely enjoy building together</t>
        </is>
      </c>
    </row>
    <row r="19">
      <c r="A19" t="inlineStr">
        <is>
          <t>li-4372251672</t>
        </is>
      </c>
      <c r="B19" t="inlineStr">
        <is>
          <t>Big Data Engineer</t>
        </is>
      </c>
      <c r="C19" t="inlineStr">
        <is>
          <t>Akkodis Group Nordics</t>
        </is>
      </c>
      <c r="D19" t="inlineStr">
        <is>
          <t>linkedin</t>
        </is>
      </c>
      <c r="E19" t="inlineStr"/>
      <c r="F19" t="inlineStr"/>
      <c r="G19" t="inlineStr">
        <is>
          <t>Plano, TX</t>
        </is>
      </c>
      <c r="H19" t="inlineStr"/>
      <c r="I19" t="inlineStr">
        <is>
          <t>Akkodis is seeking a
 **Big Data Engineer** 
 for a
 **Contract job** 
 with a client in
 **Plano, TX(Hybrid)** 
 . Responsibilities include developing processes to interact with HDFS and Oracle, creating workflows using Autosys, and ensuring ML/AI models are production\-ready while working in an agile environment.
**Rate Range:** 
 $60/hour to $70/hour; The rate may be negotiable based on experience, education, geographic location, and other factors.
**Big Data Engineer Job Responsibilities Include**
* Develop and enhance application components for supporting ML/AI models and data ingestion processes with a focus on code resiliency and stability.
* Build processes to interact with HDFS and Oracle using Python/PySpark and Oracle PL/SQL.
* Create, schedule, and manage workflows and jobs using Autosys.
* Collaborate with development teams to contribute to story refinement and deliver data requirements throughout the delivery life cycle.
* Leverage architecture components to integrate, clean, transform, and control data as per acceptance criteria.
* Develop and execute test plans to identify issues, errors, and underlying causes, ensuring data accuracy and reliability.
* Drive complex information technology projects, ensuring on\-time delivery and adherence to team delivery and release processes.
* Identify, define, and document data engineering requirements for deployment, maintenance, and business functionality.
* Work independently with strong analytical skills, while also being an excellent team player in a fast\-paced agile environment.
* Contribute to data resiliency capabilities and ensure that ML/AI models are ready for production.
**Desired Qualifications**
* BS/master’s in computer science, Engineering, or a related field.
* 10\+ years of relevant experience in Big Data engineering and development.
* Expertise in Oracle PL/SQL, Hadoop ecosystem, Hive Tables, and Python/PySpark.
* Experience in creating workflows and scheduling jobs using Autosys, with a strong background in machine learning and data resiliency.
 If you are interested in this role, then please click APPLY NOW. For other opportunities available at Akkodis, or any questions, feel free to contact me at
 **Shivani.Singh2@** 
**akkodisgroup.com** 
**.**
**Pay Details:** 
 $60\.00 to $70\.00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0">
      <c r="A20" t="inlineStr">
        <is>
          <t>li-4372231885</t>
        </is>
      </c>
      <c r="B20" t="inlineStr">
        <is>
          <t>Senior Data Engineer</t>
        </is>
      </c>
      <c r="C20" t="inlineStr">
        <is>
          <t>Loop Recruitment</t>
        </is>
      </c>
      <c r="D20" t="inlineStr">
        <is>
          <t>linkedin</t>
        </is>
      </c>
      <c r="E20" t="inlineStr"/>
      <c r="F20" t="inlineStr"/>
      <c r="G20" t="inlineStr"/>
      <c r="H20" t="inlineStr"/>
      <c r="I20" t="inlineStr">
        <is>
          <t>**Sr. Data Engineer \| Remote (US – EST/CST) \| Exciting SaaS** 
 📍
 **Remote – must be located in EST or CST** 
 💰
 **$145,000 – $175,000 \+ benefits** 
 AWS \| Python \| Streaming \| Data DevOps \| SaaS \| AI Tooling
 Our client is an
 **exciting, fast\-growing SaaS company** 
 operating in the insurance technology space, building scalable platforms that power customer acquisition and real\-time decisioning.
 They design high\-throughput systems that enhance digital customer journeys and help businesses grow through intelligent, data\-driven experiences. Data engineering sits at the heart of the platform \- and they’re investing heavily to scale it the right way.
 If you’re motivated by ownership, impact, and building reliable data systems in a modern SaaS environment, this is a standout opportunity.
**ROLE: Sr. Data Engineer (Platform, Pipelines, Data DevOps)** 
 We’re looking for a
 **Senior Data Engineer** 
 to play a key role in designing, building, and scaling a modern data platform.
 This is a senior, hands\-on role with real influence \- combining deep technical work with collaboration, mentorship, and platform ownership. You’ll work closely with Product Engineering and BI teams to deliver trusted, high\-quality data across analytics and real\-time use cases.
**What You’ll Be Doing** 
* Design, build, and maintain scalable
 **ETL / ELT pipelines** 
 across batch and real\-time environments
* Architect and own the
 **OLAP data platform** 
 (Redshift and related components), partnering with product engineers on OLTP data integrations
* Build reliable, observable, and maintainable pipelines using
 **Python, AWS Glue, Kafka / Kinesis**
* Define and enforce best practices around
 **data quality, validation, automated testing, and CI/CD**
* Own and evolve data models supporting analytics, product usage tracking, and real\-time decision\-making
* Collaborate with BI, Product, and cross\-functional stakeholders to translate requirements into robust data solutions
* Improve data reliability, governance, lineage, and observability across the stack
* Mentor engineers and help set strong data engineering and platform standards
**What You’ll Bring** 
* 5\+ years’ experience as a
 **Data Engineer** 
 working with large\-scale data systems
* Strong Python expertise for building and orchestrating data pipelines
* Deep experience with
 **AWS Redshift** 
 , including performance tuning, modelling, and workload management
* Hands\-on experience with
 **AWS Glue, Kafka/Kinesis** 
 , and streaming data patterns
* Proven
 **Data DevOps** 
 experience, including: Managing OLAP data infrastructure, Coordinating OLTP data workflows with product engineering, CI/CD and infrastructure tooling (Terraform, CloudFormation, GitHub Actions, CodePipeline, etc.) \&amp; Automated testing frameworks for data
* 🗣️ Strong communicator \- comfortable partnering with BI and product teams to design scalable data solutions
* 💪 Ownership\-driven mindset and comfort in a fast\-paced, growth\-oriented SaaS environment
* 🤖 Confident using modern
 **AI\-assisted development tools** 
 (e.g. Cursor, Claude Code, agent\-based tooling) \- knowing when to trust, adapt, or override outputs to deliver high\-quality solutions
**Nice to Haves** 
* Experience with
 **ClickHouse** 
 or other analytical databases
* Exposure to workflow orchestrators (Airflow, etc.)
* Docker and container platforms (ECS, EKS, etc.)
* Familiarity with data observability tooling
 Apply now to join a
 **US\-based SaaS business** 
 where data engineering is mission\-critical, ownership is real, and your work directly impacts product, analytics, and decision\-making 🚀</t>
        </is>
      </c>
    </row>
    <row r="21">
      <c r="A21" t="inlineStr">
        <is>
          <t>li-4368430732</t>
        </is>
      </c>
      <c r="B21" t="inlineStr">
        <is>
          <t>Senior Data Engineer</t>
        </is>
      </c>
      <c r="C21" t="inlineStr">
        <is>
          <t>U.S. Bank</t>
        </is>
      </c>
      <c r="D21" t="inlineStr">
        <is>
          <t>linkedin</t>
        </is>
      </c>
      <c r="E21" t="inlineStr"/>
      <c r="F21" t="inlineStr"/>
      <c r="G21" t="inlineStr">
        <is>
          <t>Charlotte, NC</t>
        </is>
      </c>
      <c r="H21" t="inlineStr"/>
      <c r="I21"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Key Responsibilities:
 Data Lake Architecture and Experience:
* Guide team to migrate from on Prem Cloudera to Azure cloud environment.
* Designed and implemented scalable data lake solutions using Snowflake and Databricks, Developed and optimized data pipelines for ingestion, transformation, and storage.
* Managed data governance, quality, and security across cloud environments and Implemented performance tuning, automation, and CI/CD for data workflows.
* Collaborated with cross\-functional teams to support cloud migration activities
 Cloudera Cluster Management:
* Install, configure, manage, and monitor Cloudera Hadoop clusters, ensuring high availability, performance, and security. This includes managing HDFS, YARN, and other ecosystem components.
 Performance Optimization:
* Tune Hadoop, Hive, and Spark jobs and configurations for optimal performance, efficiency, and resource utilization. This includes optimizing queries, managing partitions, and leveraging in\-memory capabilities.
 Troubleshooting and Support:
* Diagnose and resolve issues related to Linux servers, networks, cluster health, job failures, and performance bottlenecks. Provide on\-call support and collaborate with other teams to ensure smooth operations.
 Security, Governance, and Secrets Management:
* Implement and manage security measures within the Cloudera environment, including Kerberos, Apache Ranger, and Atlas, to ensure data governance and compliance.
* Setup and manage HashiCorp Vault for secure keys and secrets management.
* Utilize CyberArk for privileged access management and secure administrative tasks on the cluster.
 Data and Application Migration:
* Migrate Hadoop, Hive, and Spark data and applications to Azure cloud services such as Azure Synapse Analytics, Azure Databricks, or Snowflake. Ensure data integrity, performance tuning, and validation.
* Automation and Scripting: Develop scripts (e.g., shell, Ansible, Python) for automating administrative tasks, deployments, and monitoring. Work with users to develop, debug, optimize Hive/Spark/Python programs that connect to the Cloudera environment.
 Documentation:
* Create and maintain documentation for system configurations, operational procedures, and troubleshooting knowledge bases.
 Vendor Collaboration:
* Work closely with the Cloudera vendor to stay current with the latest releases, perform upgrades, and address vulnerabilities.
**Basic Qualifications**
* Advanced degree in Computer Science, Engineering, or related field.
* Deep expertise in Data Engineering and Management technologies, synthetic data, automation, advanced analytics.
* 7\+ years of hands\-on experience in Data engineering, Cloud platform management, and performance optimization.
* Hands\-on experience with Hadoop, Hive, Spark, and migration of Big Data into Azure cloud services.
* Working knowledge and hands\-on experience in Data Integration and Data Lake Architectures with Databricks and Snowflake platforms.
* Working knowledge of Microsoft Azure cloud and big data migration to cloud platforms.
* Proficiency in Linux, clustering, and distributed systems.
* Expertise in Hive and Spark for data processing and analytics.
* Expertise in Hadoop ecosystem components such as HDFS, YARN, Hive, Spark, and Sqoop.
* Proficiency in languages such as shell, Python, Pyspark for automating workflows, deployments, and monitoring.
* Expertise in Linux, Network, Python scripting, DNS, Kerberos, LDAP/AD, JupyterHub.
* Experience in creating and maintaining documentation for system configurations, operational procedures, and troubleshooting knowledge bases.
* Strong problem\-solving skills and the ability to diagnose and resolve system failures and performance bottlenecks.
* Excellent communication and collaboration skills to work effectively with cross\-functional teams
* Preferred Skills and Experience:
* Strong experience with Cloudera Hadoop distribution administration.
* Strong problem\-solving, analytical skills.
* Deep understanding of banking, operations, risk, and compliance—pairing technical fluency with business and regulatory acumen.
* Experience on change management process and addressing PCI and PII data requirements.
* Experience in cloud\-native architectures (Azure/AWS), Kubernetes, Docker, and containerized workflows.
* Experience in implementing secure systems with secure API design, IAM integration, Kerberos, Active Directory, and Azure SSO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2">
      <c r="A22" t="inlineStr">
        <is>
          <t>li-4372258420</t>
        </is>
      </c>
      <c r="B22" t="inlineStr">
        <is>
          <t>Data Engineer III</t>
        </is>
      </c>
      <c r="C22" t="inlineStr">
        <is>
          <t>Akkodis Group Nordics</t>
        </is>
      </c>
      <c r="D22" t="inlineStr">
        <is>
          <t>linkedin</t>
        </is>
      </c>
      <c r="E22" t="inlineStr"/>
      <c r="F22" t="inlineStr"/>
      <c r="G22" t="inlineStr">
        <is>
          <t>Cupertino, CA</t>
        </is>
      </c>
      <c r="H22" t="inlineStr"/>
      <c r="I22" t="inlineStr">
        <is>
          <t>Akkodis is seeking a
 **Data Engineer III** 
 for a
 **Contract** 
 with a client in
 **San Diego/Cupertino, CA.** 
 Candidate must have strong battery data engineering expertise with hands‑on experience in MATLAB to process large‑scale testing datasets for algorithm development.
**Rate Range:** 
 $90/hour to $93/hour; The rate may be negotiable based on experience, education, geographic location, and other factors.
**Data Engineer III Job Responsibilities Include**
* Develops scalable data pipelines and processing tools to deliver clean, reliable battery datasets for model development.
* Aggregates and normalizes cell and pack data to support accurate estimation, optimization, and analysis workflows.
* Ingests and processes large volumes of lab and field test data while performing data quality checks and feature extraction for performance evaluation.
* Builds labelled datasets, feature stores, and model‑ready data to support machine learning training and algorithm validation efforts.
* Runs simulation workflows—including scenario generation and parameter sweeps to validate battery models and produce performance projections.
* Ensures synchronization, validation, and traceability of ground‑truth signals to maintain consistent, high‑quality datasets across research activities.
**Required Qualifications**
* Candidate must have a degree in Data Science, Electrical Engineering, Computer Science, Chemical Engineering, Mechanical Engineering, or a related field.
* 5\-7 Years of experience required.
* Candidate must have strong hands‑on experience in MATLAB for battery data analysis, modelling, and algorithm validation activities.
* Candidate must possess knowledge of battery modelling and control algorithms, with the ability to build scalable datasets and support simulation workflows for performance projections.
 If you are interested in this role, then please click APPLY NOW. For other opportunities available at Akkodis, or any questions, feel free to contact me at
 **Govind.Pandey@** 
**akkodisgroup.com.**
**Pay Details:** 
 $90\.00 to $93\.00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3">
      <c r="A23" t="inlineStr">
        <is>
          <t>li-4317497338</t>
        </is>
      </c>
      <c r="B23" t="inlineStr">
        <is>
          <t>Business Intelligence and Analytics Engineer</t>
        </is>
      </c>
      <c r="C23" t="inlineStr">
        <is>
          <t>BetterHelp</t>
        </is>
      </c>
      <c r="D23" t="inlineStr">
        <is>
          <t>linkedin</t>
        </is>
      </c>
      <c r="E23" t="inlineStr"/>
      <c r="F23" t="inlineStr"/>
      <c r="G23" t="inlineStr">
        <is>
          <t>San Jose, CA</t>
        </is>
      </c>
      <c r="H23" t="inlineStr"/>
      <c r="I23"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BI and Analytics Engineer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We are looking for a Business Intelligence and Analytics Engineer to help us in developing best in class data tools to deliver high quality tools and services and maintain our accelerated growth. These tools must be developed and maintained using best practices to ensure scalability and stakeholder trust as we grow in both size and scope.
 You will work cross functionally closely with both technical and business stakeholders across the company, as well as optimize our data stack for delivering trustworthy, discoverable, impactful data to fit their needs.
**What will you do?**
* Act as a subject matter expert (SME) and deliver training to the cross functional teams to enable business users to make data\-driven decisions.
* Deliver direct analytical insights like dashboards and ad\-hoc analyses to business stakeholders
* Collaborate with the teams across the company to understand their use cases and deliver high value data tools
* Live and breathe SQL
* Ensure data quality and freshness at every step of the pipeline for data trust and consistency
* Create reverse ETL flows to make modeled data directly to stakeholders in the tools they use to foster fast and informed decision making
* Define and build robust DataOps pipelines and data expectations to ensure the effective delivery of data to all internal data services
* Explore, propose, and integrate new data sources and software solutions into the reporting environment
* Contribute to data\-driven culture at BetterHelp by directly training stakeholders as well as creating resources such as documentation for empowering others to perform their own analyses
* Enjoy great teamwork, have lots of fun, and take pride in building a world\-class product that makes a difference in people's lives.
* Partner with data and machine learning engineers and work with a modern data stack: Airflow, FiveTran, Snowflake, dbt, and Looker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BSc/MA in a quantitative discipline such as Computer Science, Statistics, Math, or Engineering
* At least 2 years of experience in an analytics engineering, data engineering, data analytics, or a related field
* Advanced experience working with data pipeline tools, particularly in\-warehouse transformation tools (preferably dbt)
* Advanced experience with SQL
* Experience querying and designing performant tables within OLAP data warehouses (e.g. Snowflake, BigQuery)
* At least 1 year experience working \&amp; developing with BI Tools (preferably Looker)
* Familiarity with frameworks and tradeoffs in building complex data models, preferably working work dimensional modeling frameworks (e.g. Kimball, Data Vault)
* Excellent communication (oral and written), attention to detail, time management and organizational skills
* Experience and comfort using the command line
* Experience using git for version control
**Bonus (Great To Have, But Not Required)**
* Familiarity with patterns for handling large\-scale data transformations (e.g. dbt incremental models, horizontal/vertical scaling big data patterns)
* Experience working with Python\-based workflow orchestration tools (e.g. Airflow)
* Experience working with Docker and container orchestration (e.g. Kubernetes, ECS)
* Experience with web\-based B2C, marketplace products
* Familiarity with web event tracking tools like Snowplow
* Experience defining and building DataOps practices and deployment strategies
* Experience defining data governance procedures \&amp; working with data catalogs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$100,000 \- $140,000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24">
      <c r="A24" t="inlineStr">
        <is>
          <t>li-4372730674</t>
        </is>
      </c>
      <c r="B24" t="inlineStr">
        <is>
          <t>Azure Databricks Data Engineer</t>
        </is>
      </c>
      <c r="C24" t="inlineStr">
        <is>
          <t>MethodHub</t>
        </is>
      </c>
      <c r="D24" t="inlineStr">
        <is>
          <t>linkedin</t>
        </is>
      </c>
      <c r="E24" t="inlineStr"/>
      <c r="F24" t="inlineStr"/>
      <c r="G24" t="inlineStr">
        <is>
          <t>Seattle, WA</t>
        </is>
      </c>
      <c r="H24" t="inlineStr"/>
      <c r="I24" t="inlineStr">
        <is>
          <t>**Job Title: Azure Databricks Platform Engineer** 
**Location: Seattle, WA/Dallas, TX** 
**Duration: Fulltime with Client** 
**Client: Direct** 
 Our client is urgently seeking a Platform Engineer for enterprise\-level metadata management and data access initiatives. The ideal candidate will have deep expertise in platform administration of Databricks and Unity Catalog and will drive strategic alignment across technical and business teams. This role is open to relocation and offers the opportunity to shape scalable, secure data ecosystems.
**Your Role** 
 • Implement data provisioning patterns based on business requirements, following predefined processes, policies, standards, and metadata management rules
 • Create and manage distributed workspaces in Databricks, set up workspace policies, provision Databricks clusters and manage data infrastructure sizing and capacity
 • Create Python notebooks, implement data masking processes, create UDFs (SQL/Python), troubleshoot data pipelines
 • Ensure data security and compliance with regulations using Databricks and Privacera's features
 • Navigate multi\-step enterprise approval process across architecture, security, and governance teams
 • Design and implement data architecture leveraging technologies such as Databricks, Unity Catalog, and Privacera.
 • Develop, optimize, and manage data pipelines for ETL processes using Databricks, with a focus on data integrity and quality
 • Design and maintain data models and schemas, incorporating Unity Catalog and Collibra data governance practices
 • Establish a robust data governance strategy, defining standards, metadata management, lineage, and quality practices
 • Operationalize Machine Learning models in Batch and Real Time Data Pipelines, leveraging relevant governance setups
 • Collaborate with cross\-functional teams including data scientists, engineers, and analysts to translate business requirements into scalable solutions
 • Foster collaboration and clarity in complex, ambiguous environments.
**Your skills and experience:** 
 • Extensive hands\-on platform engineering experience with Databricks and Unity Catalog
 • Proven success in implementing distributed Databricks workspaces, SQL, and Python, scripting, and automation
 • Experience with Azure infrastructure provisioning
 • Familiarity with data governance frameworks and compliance standards
 • Familiarity with Privacera data security and access control management
 • Familiarity with data requirements of common ML/AI use cases
 • Awareness of data governance frameworks, enterprise data compliance requirements, metadata modeling, data architecture, and enterprise\-scale data discovery solutions</t>
        </is>
      </c>
    </row>
    <row r="25">
      <c r="A25" t="inlineStr">
        <is>
          <t>li-4371787530</t>
        </is>
      </c>
      <c r="B25" t="inlineStr">
        <is>
          <t>Data Engineer</t>
        </is>
      </c>
      <c r="C25" t="inlineStr">
        <is>
          <t>Haystack</t>
        </is>
      </c>
      <c r="D25" t="inlineStr">
        <is>
          <t>linkedin</t>
        </is>
      </c>
      <c r="E25" t="inlineStr"/>
      <c r="F25" t="inlineStr"/>
      <c r="G25" t="inlineStr"/>
      <c r="H25" t="inlineStr"/>
      <c r="I25" t="inlineStr">
        <is>
          <t>Sr. AI Platform Data Engineer \| Hawthorne, California, United States \| Hybrid \| 139100 USD yearly
 We're working with Amazon on this exciting opportunity. We are seeking an AI Platform Data Engineer to design and implement innovative AI\-native data platforms and curated datasets for machine learning initiatives. This role is crucial in transforming how data supports decision\-making within the organization.
 The Role
 • Build and maintain efficient, scalable, and secure data pipelines and curated datasets for AI/ML consumption.
 • Develop AI\-native self\-service data platforms using an AI\-first development methodology.
 • Partner with software engineers, scientists, analysts, and business stakeholders across various verticals.
 • Implement AI\-powered self\-service platforms with natural language interfaces.
 • Create intelligent governance systems for data classification, PII detection, and lineage tracking.
 • Lead AI\-assisted stakeholder engagement sessions and facilitate AI\-augmented workshops.
 What You'll Need
 • 5\+ years of data engineering experience.
 • 3\+ years of experience with data querying languages (e.g., SQL) or scripting languages (e.g., Python).
 • Experience developing, deploying, and managing AI products at scale.
 • Extensive hands\-on experience with Generative AI (GenAI) enhanced development, AI coding assistants, and prompt engineering.
 • Experience with data modeling, warehousing, and building ETL pipelines for analytics and ML use cases.
 • Demonstrated ability to build tools, frameworks, or platforms that enable others.
 What's On Offer
 • Opportunity to work at the forefront of AI transformation within a major company.
 • Collaborate with diverse teams on cutting\-edge AI/ML initiatives.
 • Develop and implement innovative AI\-powered solutions to improve data quality and usability.
 • A comprehensive total compensation package including various benefits.
 Apply via Haystack today!</t>
        </is>
      </c>
    </row>
    <row r="26">
      <c r="A26" t="inlineStr">
        <is>
          <t>li-4372700816</t>
        </is>
      </c>
      <c r="B26" t="inlineStr">
        <is>
          <t>10+ Year - Data Engineer – Python, Azure &amp; Databricks | NJ/ NY | F2F interview || NO H1B VISA</t>
        </is>
      </c>
      <c r="C26" t="inlineStr">
        <is>
          <t>Arkisol Inc</t>
        </is>
      </c>
      <c r="D26" t="inlineStr">
        <is>
          <t>linkedin</t>
        </is>
      </c>
      <c r="E26" t="inlineStr"/>
      <c r="F26" t="inlineStr"/>
      <c r="G26" t="inlineStr">
        <is>
          <t>New York, United States</t>
        </is>
      </c>
      <c r="H26" t="inlineStr"/>
      <c r="I26" t="inlineStr">
        <is>
          <t>**Job Title:** 
 Data Engineer – Python, Azure \&amp; Databricks.
 Location: NJ/ NY
 Duration: 6\+ Months.
**Job Description:** 
 We are looking for a Data Engineer with strong experience in Python, Azure, and Databricks to design, build, and optimize scalable data pipelines. The role involves working with large datasets, implementing ETL/ELT processes, and supporting analytics and reporting needs.
**Key Responsibilities:** 
* Develop and maintain data pipelines using Python and Databricks
* Design and manage data solutions on Azure (ADF, ADLS, Azure SQL/Synapse)
* Optimize data processing and ensure data quality and reliability
* Collaborate with analytics, BI, and business teams
**Required Skills:** 
* Strong hands\-on experience with Python
* Experience with Azure data services and Databricks
* Knowledge of ETL/ELT, SQL, and data warehousing concepts
 📩 Please send your resumes to
 **parames.baskar@arkisol.com** 
 . Let’s connect and make great things happen together! 🚀</t>
        </is>
      </c>
    </row>
    <row r="27">
      <c r="A27" t="inlineStr">
        <is>
          <t>li-4368435736</t>
        </is>
      </c>
      <c r="B27" t="inlineStr">
        <is>
          <t>Senior Data Engineer</t>
        </is>
      </c>
      <c r="C27" t="inlineStr">
        <is>
          <t>U.S. Bank</t>
        </is>
      </c>
      <c r="D27" t="inlineStr">
        <is>
          <t>linkedin</t>
        </is>
      </c>
      <c r="E27" t="inlineStr"/>
      <c r="F27" t="inlineStr"/>
      <c r="G27" t="inlineStr">
        <is>
          <t>Atlanta, GA</t>
        </is>
      </c>
      <c r="H27" t="inlineStr"/>
      <c r="I2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Key Responsibilities:
 Data Lake Architecture and Experience:
* Guide team to migrate from on Prem Cloudera to Azure cloud environment.
* Designed and implemented scalable data lake solutions using Snowflake and Databricks, Developed and optimized data pipelines for ingestion, transformation, and storage.
* Managed data governance, quality, and security across cloud environments and Implemented performance tuning, automation, and CI/CD for data workflows.
* Collaborated with cross\-functional teams to support cloud migration activities
 Cloudera Cluster Management:
* Install, configure, manage, and monitor Cloudera Hadoop clusters, ensuring high availability, performance, and security. This includes managing HDFS, YARN, and other ecosystem components.
 Performance Optimization:
* Tune Hadoop, Hive, and Spark jobs and configurations for optimal performance, efficiency, and resource utilization. This includes optimizing queries, managing partitions, and leveraging in\-memory capabilities.
 Troubleshooting and Support:
* Diagnose and resolve issues related to Linux servers, networks, cluster health, job failures, and performance bottlenecks. Provide on\-call support and collaborate with other teams to ensure smooth operations.
 Security, Governance, and Secrets Management:
* Implement and manage security measures within the Cloudera environment, including Kerberos, Apache Ranger, and Atlas, to ensure data governance and compliance.
* Setup and manage HashiCorp Vault for secure keys and secrets management.
* Utilize CyberArk for privileged access management and secure administrative tasks on the cluster.
 Data and Application Migration:
* Migrate Hadoop, Hive, and Spark data and applications to Azure cloud services such as Azure Synapse Analytics, Azure Databricks, or Snowflake. Ensure data integrity, performance tuning, and validation.
* Automation and Scripting: Develop scripts (e.g., shell, Ansible, Python) for automating administrative tasks, deployments, and monitoring. Work with users to develop, debug, optimize Hive/Spark/Python programs that connect to the Cloudera environment.
 Documentation:
* Create and maintain documentation for system configurations, operational procedures, and troubleshooting knowledge bases.
 Vendor Collaboration:
* Work closely with the Cloudera vendor to stay current with the latest releases, perform upgrades, and address vulnerabilities.
**Basic Qualifications**
* Advanced degree in Computer Science, Engineering, or related field.
* Deep expertise in Data Engineering and Management technologies, synthetic data, automation, advanced analytics.
* 7\+ years of hands\-on experience in Data engineering, Cloud platform management, and performance optimization.
* Hands\-on experience with Hadoop, Hive, Spark, and migration of Big Data into Azure cloud services.
* Working knowledge and hands\-on experience in Data Integration and Data Lake Architectures with Databricks and Snowflake platforms.
* Working knowledge of Microsoft Azure cloud and big data migration to cloud platforms.
* Proficiency in Linux, clustering, and distributed systems.
* Expertise in Hive and Spark for data processing and analytics.
* Expertise in Hadoop ecosystem components such as HDFS, YARN, Hive, Spark, and Sqoop.
* Proficiency in languages such as shell, Python, Pyspark for automating workflows, deployments, and monitoring.
* Expertise in Linux, Network, Python scripting, DNS, Kerberos, LDAP/AD, JupyterHub.
* Experience in creating and maintaining documentation for system configurations, operational procedures, and troubleshooting knowledge bases.
* Strong problem\-solving skills and the ability to diagnose and resolve system failures and performance bottlenecks.
* Excellent communication and collaboration skills to work effectively with cross\-functional teams
* Preferred Skills and Experience:
* Strong experience with Cloudera Hadoop distribution administration.
* Strong problem\-solving, analytical skills.
* Deep understanding of banking, operations, risk, and compliance—pairing technical fluency with business and regulatory acumen.
* Experience on change management process and addressing PCI and PII data requirements.
* Experience in cloud\-native architectures (Azure/AWS), Kubernetes, Docker, and containerized workflows.
* Experience in implementing secure systems with secure API design, IAM integration, Kerberos, Active Directory, and Azure SSO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8">
      <c r="A28" t="inlineStr">
        <is>
          <t>li-4364645561</t>
        </is>
      </c>
      <c r="B28" t="inlineStr">
        <is>
          <t>Senior Data Engineer</t>
        </is>
      </c>
      <c r="C28" t="inlineStr">
        <is>
          <t>Bitly</t>
        </is>
      </c>
      <c r="D28" t="inlineStr">
        <is>
          <t>linkedin</t>
        </is>
      </c>
      <c r="E28" t="inlineStr"/>
      <c r="F28" t="inlineStr"/>
      <c r="G28" t="inlineStr"/>
      <c r="H28" t="inlineStr"/>
      <c r="I28" t="inlineStr">
        <is>
          <t>**Senior Data Engineer** 
**Remote** 
**$150K\-180K base salary \+ equity** 
**\*\*\* Must live in or be willing to relocate to one of the following states to be eligible for hire: Arizona, California, Colorado, Connecticut, Florida, Georgia, Illinois, Louisiana, Massachusetts, Michigan, Minnesota, New York, New Jersey, North Carolina, Pennsylvania, Texas, Vermont, Virginia, Washington \*\*\*** 
**Eligibility \&amp; Closing US applicants must be currently authorized to work in the United States on a full\-time basis. Bitly does not sponsor or support any immigration processing.** 
 Bitly is the world’s leading Connections Platform, empowering businesses to create memorable connections with their customers at every physical and digital touchpoint. From Fortune 500 companies to small businesses, millions of people around the world rely on Bitly for custom short links, QR Codes, and landing pages that are easy to create, share, and manage. With tools to track and optimize every interaction, we help businesses understand what drives the greatest impact.
 As we continue to redefine how brands interact with customers, we're looking for passionate individuals eager to drive innovation and shape the future of engagement. Join us in turning every click, tap, and scan into a powerful catalyst for connections.
 We know the best teams bring different backgrounds, perspectives, and lived experiences. If you're excited about a role and believe your skills and experiences align meaningfully with it, we encourage you to apply.
**The Role** 
 As a Senior Data Engineer at Bitly, you will be part of a seasoned data engineering team responsible for designing and building Bitly's next\-generation data platform that powers analytics, experimentation, and AI\-driven product features used by millions of users. You'll architect, build, and maintain infrastructure responsible for delivering data to our internal stakeholders as well as customer applications.
 Bitly supports every country in the world and every platform imaginable. Our systems are built to process an enormous amount of data (billions of monthly events). To support our scale, our infrastructure consists of hundreds of servers, dozens of services, and numerous real\-time data streams.
**What You'll Do** 
* Build well\-tested, well\-documented data services and improve existing ones—optimized for both traditional analytics and emerging GenAI/ML workloads.
* Create pipelines to move and transform data efficiently; Design flexible internal and external APIs to expose our data.
* Establish and enforce architectural and data quality standards, including monitoring, observability, and governance frameworks.
* Collaborate effectively with cross\-functional leaders (across product, data science, engineering, marketing, finance, analytics, etc.) to ensure on\-time delivery of key initiatives.
* Support our internal teams in maintaining and designing user tracking events.
* Mentor other engineers on best practices and implementation approaches and champion a culture of continuous learning, technical rigor, and AI\-first engineering practices.
**Who You Are** 
* You have hands\-on experience in data engineering on cloud platforms (GCP preferred), with focus on cost and performance optimization.
* You are adept at clearly communicating technical concepts to engineers and cross\-functional stakeholders.
* You are an expert in SQL and Python, with deep experience in data modeling, optimization, and reusable frameworks.
* You have proven track record with modern data stack: orchestration (Airflow), transformation (dbt), streaming (Beam/Spark), and data processing (Dataflow),
* You are experienced in data platform operations: containerization (Docker/Kubernetes), CI/CD pipelines, and data governance.
* You are familiar with modern data paradigms such as lakehouse architectures, event\-driven systems, and AI\-centric data tooling.
**US Employee Benefits** 
 Your benefits start on Day 1!
 Health \&amp; Wellbeing
* Inclusive health, dental, and vision plans built to support diverse lifestyles.
* Employer contribution to HSA plans.
* Generous paid parental leave.
* Enhanced support for reproductive health, family planning, and new parents.
* Robust mental health support and Employee Assistance Program (EAP) with confidential counseling services.
* Comprehensive well\-being benefits including reimbursement program.
* Flexible PTO policy.
 Financial
* 401k with up to 4% employer match, access to financial professionals to offer our employees the opportunity to plan for a strong financial future well beyond their working years,
* Company Stock Options.
* Life, Short\-term Disability, and Long\-term Disability options.
* Flexible workspace support provided, including home office, cell phone, and WiFi service reimbursement.
* Coworking reimbursement for eligible employees.
* Voluntary Benefits: Pet Insurance, LegalShield, IDShield, Hospitalization, and Accident coverages.
* Reimbursement for professional development.
 Inclusion \&amp; Belonging
* Impactful connections and community building through our Employee Resource Groups.
* Company\-sponsored events to connect Bitizens together.
**Our Values** 
* Be a Catalyst. As an innovative technology company, we build our products to be a catalyst for connection and encourage our team to be catalysts for meaningful impact both at work and in the world.
* Take Ownership. In our highly collaborative culture, Individual accountability is critical. We depend on each other to solve our customers' most challenging problems and celebrate the wins together.
* Champion Inclusion. Our product connects people of all backgrounds and abilities. And our company is built on the belief that our differences make us better and that everyone deserves the opportunity in which to thrive.
* Show Integrity. We don’t cut corners. We don’t look for the easy way out. We approach every day with a shared mindset \- let’s do the right thing, even if it’s the harder thing.
* Have Fun. Whether your time is here is as short as a Bitly link or as long as the links your grandma sends you, we want your experience at Bitly to be fun and memorable. We hope the connections you make here last a lifetime.</t>
        </is>
      </c>
    </row>
    <row r="29">
      <c r="A29" t="inlineStr">
        <is>
          <t>li-4364185118</t>
        </is>
      </c>
      <c r="B29" t="inlineStr">
        <is>
          <t>Lead Data Engineer</t>
        </is>
      </c>
      <c r="C29" t="inlineStr">
        <is>
          <t>InterEx Group</t>
        </is>
      </c>
      <c r="D29" t="inlineStr">
        <is>
          <t>linkedin</t>
        </is>
      </c>
      <c r="E29" t="inlineStr"/>
      <c r="F29" t="inlineStr"/>
      <c r="G29" t="inlineStr">
        <is>
          <t>Chicago, IL</t>
        </is>
      </c>
      <c r="H29" t="inlineStr"/>
      <c r="I29" t="inlineStr">
        <is>
          <t>**Lead Data Engineer / Technical Architect** 
**Location:** 
 Chicago (preferred) \| New York (secondary) \| Remote Considered
**Reporting to:** 
 CIO
**Start date:** 
 ASAP
 Open to SOW to Hire, SOW, or FTE
**About the Role** 
 We are looking for an experienced Lead Data Engineer / Technical Architect to design and deliver a full end\-to\-end data architecture strategy for a large\-scale, on\-premise data environment.
 The organization currently manages approximately over 500TB of data distributed across multiple systems and environments. The CIO is leading an initiative to centralize and modernize the data estate, and we require a senior engineer to evaluate the current state, define the future\-state architecture, and implement the foundational engineering required to support long\-term growth.
 This is a hands\-on role combining strategic architecture with practical engineering execution.
**Key Responsibilities** 
* Assess and evaluate existing distributed data systems
* Design and implement a centralized data architecture strategy
* Consolidate fragmented data into a unified environment
* Architect and build a scalable on\-prem data lake
* Design and implement the next\-stage data warehouse
* Define the end\-to\-end data lifecycle strategy, including governance and best practices
* Create and deliver a clear roadmap for future scalability
* Lead engineering efforts (approx. 70% hands\-on engineering / 30% architecture)
* Act as a strategic advisor to the CIO on data direction and infrastructure decisions
* Collaborate cross\-functionally and mentor team members where required
**Technical Requirements** 
**Required Skills:** 
* Strong proficiency in Python
* Experience with C\+\+
* Advanced SQL expertise
* Ability to build and manage large\-scale data systems
* Experience designing and implementing data lakes and data warehouses
* Strong understanding of data architecture, lifecycle management, and governance
**Critical Requirement:** 
 All data is hosted
 **on\-premise** 
 . Cloud\-based architecture is not in scope. Candidates must have significant experience designing and delivering on\-prem data infrastructure solutions.
**What We’re Looking For** 
* A strategic thinker who can define the long\-term data roadmap
* A hands\-on engineer capable of building foundational systems
* Someone who can confidently advise executive leadership
* A team player with strong communication skills
* A solution\-oriented individual who can “come in and tell us where to go”
 USC or Green Card Holders only. No third parties.</t>
        </is>
      </c>
    </row>
    <row r="30">
      <c r="A30" t="inlineStr">
        <is>
          <t>li-4372730707</t>
        </is>
      </c>
      <c r="B30" t="inlineStr">
        <is>
          <t>Senior AWS Data Engineer</t>
        </is>
      </c>
      <c r="C30" t="inlineStr">
        <is>
          <t>Themesoft Inc.</t>
        </is>
      </c>
      <c r="D30" t="inlineStr">
        <is>
          <t>linkedin</t>
        </is>
      </c>
      <c r="E30" t="inlineStr"/>
      <c r="F30" t="inlineStr"/>
      <c r="G30" t="inlineStr"/>
      <c r="H30" t="inlineStr"/>
      <c r="I30" t="inlineStr">
        <is>
          <t>**Sr AWS Data Engineer** 
 Location: Remote (Across USA any Location)
 Hire type: Fulltime
**Required Skills:** 
* Programming: Proficiency in Python, SQL, and shell scripting.
* AWS Expertise: Hands\-on experience with AWS services (Glue, Redshift, S3, Lambda, CloudWatch).
* Automation: Experience with CI/CD tools (Terraform, Jenkins, AWS CodePipeline).
* Data Integration: Strong knowledge of ETL/ELT processes and frameworks.
* Soft Skills: Strong problem\-solving, collaboration, and communication skills.
**Qualifications:** 
 Bachelor’s degree in Computer Science, Data Engineering, or related field.
 5\+ years of experience in data engineering and pipeline development.
 AWS Certified Data Analytics or AWS Certified Developer is a plus.</t>
        </is>
      </c>
    </row>
    <row r="31">
      <c r="A31" t="inlineStr">
        <is>
          <t>li-4371761603</t>
        </is>
      </c>
      <c r="B31" t="inlineStr">
        <is>
          <t>Senior Data Platform Engineer</t>
        </is>
      </c>
      <c r="C31" t="inlineStr">
        <is>
          <t>RemoteHunter</t>
        </is>
      </c>
      <c r="D31" t="inlineStr">
        <is>
          <t>linkedin</t>
        </is>
      </c>
      <c r="E31" t="inlineStr"/>
      <c r="F31" t="inlineStr"/>
      <c r="G31" t="inlineStr"/>
      <c r="H31" t="inlineStr"/>
      <c r="I31" t="inlineStr">
        <is>
          <t>About the Opportunity:
 Senior Data Platform Engineer to lead the evolution of a cloud\-based data ecosystem across multiple business units. This role combines hands\-on engineering with architectural guidance, governance leadership, and cross\-functional collaboration. The ideal candidate has deep experience with modern data engineering practices, including medallion architecture, and plays a key role in shaping the long\-term direction of the data platform.
 Responsibilities:
 • Lead design, development, and enhancement of a secure, high\-quality, analytics\-ready cloud data platform.
 • Champion medallion architecture (Bronze/Silver/Gold) for ingestion, refinement, and consumption layers.
 • Provide architectural guidance on data modeling, transformation patterns, and platform standards.
 • Define best practices for Bronze\-layer ingestion ensuring lineage, traceability, and auditability.
 • Establish Silver\-layer refinement standards for cleansing, harmonization, and schema consistency.
 • Oversee creation of Gold\-layer curated datasets optimized for reporting, analytics, and self\-service.
 • Develop and enforce data quality frameworks, validation rules, and monitoring processes across all layers.
 • Lead integration across diverse data sources including APIs, cloud applications, and on\-premise systems.
 • Mentor team members on data engineering patterns, performance optimization, and scalable design.
 • Troubleshoot complex issues across pipelines, cloud resources, and orchestration tools to minimize disruption.
 • Partner with Cyber Security, Compliance, and Legal teams to ensure adherence to data residency, privacy, and security requirements.
 • Define and maintain access control strategies including row\-level security and identity\-based permissions.
 • Promote governance practices supporting data stewardship, cataloging, and lifecycle management.
 • Manage platform updates, license renewals, and long\-term capacity planning.
 • Lead design and maintenance of CI/CD pipelines for consistent automated deployments.
 • Establish branching strategies, code review standards, and workflows promoting quality and collaboration.
 • Guide adoption of DevOps best practices to improve delivery speed, reliability, and observability.
 • Represent the data platform in change management forums and align platform strategy with organizational goals.
 • Partner with business analysts, product owners, and leadership to translate business needs into scalable data solutions.
 • Influence long\-term data strategy, platform roadmap, and technology adoption decisions.
 Requirements:
 • 10\+ years of hands\-on experience as a Data Engineer in Azure.
 • Expert knowledge of Microsoft 365 services and Azure.
 • Expert level proficiency in Dataverse.
 • Expert knowledge of data modeling and database concepts.
 • Expert proficiency in programming languages such as T\-SQL, Python, or R.
 • Expert understanding of cloud computing concepts.
 • Expert understanding of Application Lifecycle Management principles.
 • Expert experience designing and developing data warehouse solutions.
 • Experience with Microsoft Fabric Lakehouse and Data Warehouses.
 Benefits \&amp; Perks:
 • Employee Stock Ownership Plan (ESOP)
 • 401K plan
 • Medical, Dental, Vision, and Life Insurance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li-4371780514</t>
        </is>
      </c>
      <c r="B32" t="inlineStr">
        <is>
          <t>Data Engineer - Manager</t>
        </is>
      </c>
      <c r="C32" t="inlineStr">
        <is>
          <t>Employvision Inc.</t>
        </is>
      </c>
      <c r="D32" t="inlineStr">
        <is>
          <t>linkedin</t>
        </is>
      </c>
      <c r="E32" t="inlineStr"/>
      <c r="F32" t="inlineStr"/>
      <c r="G32" t="inlineStr">
        <is>
          <t>Miami, FL</t>
        </is>
      </c>
      <c r="H32" t="inlineStr"/>
      <c r="I32" t="inlineStr">
        <is>
          <t>**Overview**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**Skills /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**Qualifications**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1. **Enterprise Data Lake Implementation:** 
 Led the design and deployment of a cloud\-based data lake solution for a Fortune 500 retail client, integrating data from multiple sources (e.g., ERPs, POS systems, e\-commerce platforms) to enable advanced analytics and reporting capabilities.
2. **Real\-Time Analytics Platform:** 
 Managed the development of a real\-time analytics platform using Databricks for a financial services organization, enabling real\-time fraud detection and risk assessment through streaming data ingestion and processing.
3. **Data Warehouse Modernization:** 
 Oversaw the modernization of a legacy data warehouse to a cloud\-native architecture for a healthcare provider, implementing ETL processes with Databricks and improving data accessibility for analytics and reporting.</t>
        </is>
      </c>
    </row>
    <row r="33">
      <c r="A33" t="inlineStr">
        <is>
          <t>li-4371752881</t>
        </is>
      </c>
      <c r="B33" t="inlineStr">
        <is>
          <t>Staff Data Engineer</t>
        </is>
      </c>
      <c r="C33" t="inlineStr">
        <is>
          <t>RemoteHunter</t>
        </is>
      </c>
      <c r="D33" t="inlineStr">
        <is>
          <t>linkedin</t>
        </is>
      </c>
      <c r="E33" t="inlineStr"/>
      <c r="F33" t="inlineStr"/>
      <c r="G33" t="inlineStr"/>
      <c r="H33" t="inlineStr"/>
      <c r="I33" t="inlineStr">
        <is>
          <t>About the Opportunity:
 This role is for a Staff Data Platform Engineer responsible for designing, building, and owning core systems within a streaming data platform. The position involves hands\-on implementation of key platform capabilities and setting the technical direction for system evolution. The engineer will collaborate with product and engineering teams to translate needs into platform features and develop shared libraries, frameworks, and tooling for reliable data streaming.
 Responsibilities:
 • Design, build, and operate core platform systems including schema management, streaming frameworks, and event mesh systems
 • Define technical standards and patterns for the Streaming Data Platform team
 • Lead cross\-team design reviews for systems interacting with or dependent on the streaming platform
 • Drive platform reliability, performance, and cost strategy across streaming services
 • Design and implement shared libraries, frameworks, and tooling for stream consumers
 • Partner with product and engineering teams to translate requirements into platform capabilities
 • Produce technical proposals and documentation detailing design, trade\-offs, and long\-term implications
 • Serve as an escalation point for complex streaming issues and high\-impact incidents
 • Mentor and develop senior engineers through technical guidance and challenging assignments
 Requirements:
 • 8\+ years of experience in backend engineering, data engineering, or platform engineering
 • Deep expertise with Kafka including internals, operational tuning, and ecosystem tooling
 • Proven experience designing and operating multi\-service distributed systems
 • Experience setting technical direction for a team or domain
 • Strong written and verbal communication skills with the ability to present complex technical topics to diverse audiences
 • Experience with schema evolution, data contracts, or data governance patterns
 • Experience building self\-service platforms or developer\-facing tooling is a plus
 • Experience with infrastructure as code tools; Terraform experience is a plus
 • Experience developing in Go is a strong plus
 Compensation:
 • Salary range is $180,500 to $237,500, representing base pay only and excluding short\-term or long\-term incentive compensation
 • Base pay considers factors such as location, experience, qualifications, and training
 • Remote employees may be eligible for a home office setup stipend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4">
      <c r="A34" t="inlineStr">
        <is>
          <t>li-4343289211</t>
        </is>
      </c>
      <c r="B34" t="inlineStr">
        <is>
          <t>Consulting Data Engineer</t>
        </is>
      </c>
      <c r="C34" t="inlineStr">
        <is>
          <t>HCA Healthcare</t>
        </is>
      </c>
      <c r="D34" t="inlineStr">
        <is>
          <t>linkedin</t>
        </is>
      </c>
      <c r="E34" t="inlineStr"/>
      <c r="F34" t="inlineStr"/>
      <c r="G34" t="inlineStr">
        <is>
          <t>Austin, TX</t>
        </is>
      </c>
      <c r="H34" t="inlineStr"/>
      <c r="I34" t="inlineStr">
        <is>
          <t>Introduction
 Do you want to join an organization that invests in you as a Consulting Data Engineer? At St. David’s HealthCare, you come first. HCA Healthcare has committed up to $300 million in programs to support our incredible team members over the course of three years.
**Benefits**
 St. David’s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Consulting Data Engineer like you to be a part of our team.
**Summary**
 Job Summary and Qualifications
 As a Consulting Data Engineer, you’ll contribute to the full lifecycle of data solution development – from designing robust data architectures and pipelines to deploying and maintaining scalable infrastructure to move, process, and store data. You’ll drive the development of reliable, high\-performance data systems that support analytics, innovative software solutions, and real\-time decision\-making. This role requires experience with modern data engineering tools and frameworks, strong data modeling skills, deep proficiency in SQL for both complex analytical queries and operational pipeline logic, and a cloud\-first mindset. The ideal candidate thrives in dynamic environments, enjoys optimizing complex data workflows, and is passionate about delivering trustworthy data solutions in accelerated development cycles.
 What You will do:
* Design, build, and maintain scalable data infrastructure, pipelines, and workflows using modern data engineering tools and frameworks.
* Write and maintain complex SQL for both operational data processing and advanced analytical queries.
* Collaborate cross\-functionally with analysts, data scientists, engineers, and business stakeholders to understand data needs and deliver impactful solutions.
* Interpret complex data specifications and regulatory requirements and translate them into accurate, performant SQL queries and data logic.
* Implement data quality assurance processes, including validation checks, anomaly detection, and monitoring to ensure accurate data delivery
* Create comprehensive technical documentation covering data pipeline architecture, validation strategies, test outcomes, and operational procedures to support maintainability and knowledge sharing.
* Lead troubleshooting activities for data pipelines and infrastructure.
* Advocate for best practices in automation, data orchestration, and cloud\-native data engineering solutions.
* Provide after\-hours/on\-call support as needed
* Performs other duties as assigned
 What qualifications you will need:
* 7\+ years of experience in a data engineering role
* Bachelor's degree or combination or professional experience/education required.
* Master's degree in Computer Science or related field preferred.
* Rapid Application Development (RAD): Familiarity with iterative and incremental development approaches, including prototyping and rapid deployment cycles required
* Query Languages: SQL experience (googleSQL, t\-SQL, pgSQL preferred) required
* Data Acquisition: Ability to connect to and retrieve data from a variety of sources including APIs, cloud storage, SQL databases, and flat files required
* Data Transformation: Expertise in writing robust parsing logic, applying schema transformations, and normalizing for downstream consumption required
* Cloud Infrastructure: Experience with cloud development technologies (Google Cloud Platform preferred)
* Programming Languages: Proficiency in a primary programming language (Python preferred)
* Streaming Architecture: Working knowledge of streaming and event driven architectures
* DevOps/Version Control: Understanding of DevOps practices (Version Control \&amp; Agile Tools: Git, JIRA, Confluence, GitHub Actions, etc.)
* Support and Monitoring: Experience with monitoring and instrumentation practices
* Essentials Skills: Excellent communication skills both written and verbal
* Context Switching: Skillful at navigating and reprioritizing tasks in response to shifting operational demands.
* Prototyping: Ability to build rapid proofs\-of\-concept and iterate quickly based on stakeholder feedback.
* Service and Quality Excellence: Ability to demonstrate an uncompromising commitment to delivering exceptional care to create an unmatched value proposition for our patients.
* Honor our Mission and Values: Ability to build trust and act with authenticity to cultivate a culture of integrity, inclusion, and mutual respect.
* Effective Decision Making: Ability to make timely, informed decisions that are in the best interest of our patients, employees, providers, community and HCA.
* Attain and Leverage Strategic Relationships: Ability to develop and strengthen collaborative relationships with both internal and external stakeholders to advance the care of our patients and the growth of HCA.
* Lead and Develop Others: Ability to lead others to accomplish organizational goals and objectives; provide meaningful coaching and mentoring to increase the capabilities of individuals and teams and drive employee engagement.
* Communicate with Impact: Ability to deliver information in a clear, concise, and compelling manner to effectively engage others and achieve desired results.
* Achieve Success through Change: Ability to identify opportunities for improvement and innovation, remove barriers and resistance, and enable desired behaviors.
 "Good people beget good people."\- Dr. Thomas Frist, Sr.
 HCA Healthcare Co\-Founder
 We are a family 270,000 dedicated professionals! Our Talent Acquisition team is reviewing applications for our Consulting Data Engineer opening. Qualified candidates will be contacted for interviews.Submit your resume today to join our community of caring!
 We are an equal opportunity employer. We do not discriminate on the basis of race, religion, color, national origin, gender, sexual orientation, age, marital status, veteran status, or disability status.</t>
        </is>
      </c>
    </row>
    <row r="35">
      <c r="A35" t="inlineStr">
        <is>
          <t>li-4343287449</t>
        </is>
      </c>
      <c r="B35" t="inlineStr">
        <is>
          <t>Senior Staff Data Engineer, Marketplaces DNA</t>
        </is>
      </c>
      <c r="C35" t="inlineStr">
        <is>
          <t>Airbnb</t>
        </is>
      </c>
      <c r="D35" t="inlineStr">
        <is>
          <t>linkedin</t>
        </is>
      </c>
      <c r="E35" t="inlineStr"/>
      <c r="F35" t="inlineStr"/>
      <c r="G35" t="inlineStr"/>
      <c r="H35" t="inlineStr"/>
      <c r="I3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Marketplaces Data and AI is a group of passionate machine learning, software, data, and analytics engineers. We are responsible for developing new, cutting\-edge AI and data products that leverage Airbnb’s massive datasets across Users, Listings, Pricing, and Supply/Demand. You will be a crucial part of the Guest and Host organization, building the intelligence that powers the web and native apps used by hundreds of millions of guests and hosts globally.
**The Difference You Will Make**
 You will own some of the most critical data at Airbnb including Users, Listings, and Marketplaces. You will help uplevel Data Engineering practice and foundation while partnering with partner and infra teams to ship data products and ML models. This is a unique opportunity to shape how we develop data products for not just the Users, Listings, and Marketplaces team but also across Airbnb.
 You will play a major role in how data is integrated into our Guest and Host products by
* understanding the business and product need
* aligning with software engineers, ml engineers and data scientist on data flow designing the foundational data models and uplevel critical data sources
* building scalable data architectures that push the boundaries on latency and volume of data
**A Typical Day**
 We are in the middle of tremendous growth and transformation in the data domain, with significant investments into intelligent products powered by Machine Learning. We are seeking product oriented Senior Staff Data Engineers to drive entity models across Users, Listings, and Marketplace and product initiatives across Quality, Merchandising, and Supply growth.
* Develop and automate large scale, high\-performance batch and streaming data processing systems to power Airbnb’s Guest and Host products, machine learning models, and business insights.
* Partner closely with infra teams to improve scalability, data governance, and efficiency
* Evangelize high quality software engineering practices towards building data infrastructure and pipelines at scale, collaborate with infrastructure teams to streamline best practices.
* Advocate for high bar for data and engineering quality ensure eng deliverables are reliable, efficient, well documented, testable, \&amp; maintainable.
* Design our data models for optimal storage and understanding, with thoughtful dataflows to power critical product and business requirements.
**Your Expertise**
* 12\+ years of relevant industry experience with a Bachelor’s and/or Master’s degree in CS/EE, or equivalent experience, or 9\+ years of experience with a PhD
* Experience collaborating with client, backend, ml, analytics teams, product and business partners
* Experience designing and deploying high performance systems with reliable monitoring and logging practices.
* Effectively work across team boundaries to establish overarching data architecture, data flow, and provide guidance to individual teams.
* Strong knowledge of relational databases and query authoring (SQL).
* Strong expertise with Java / Scala / Spark and operating on data at the petabyte scale.
* Excellent communication skills, both written and verbal.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$244,000—$305,000 USD</t>
        </is>
      </c>
    </row>
    <row r="36">
      <c r="A36" t="inlineStr">
        <is>
          <t>li-4372721699</t>
        </is>
      </c>
      <c r="B36" t="inlineStr">
        <is>
          <t>Lead Data Engineer - Solution Architect</t>
        </is>
      </c>
      <c r="C36" t="inlineStr">
        <is>
          <t>Capgemini</t>
        </is>
      </c>
      <c r="D36" t="inlineStr">
        <is>
          <t>linkedin</t>
        </is>
      </c>
      <c r="E36" t="inlineStr"/>
      <c r="F36" t="inlineStr"/>
      <c r="G36" t="inlineStr">
        <is>
          <t>Chicago, IL</t>
        </is>
      </c>
      <c r="H36" t="inlineStr"/>
      <c r="I3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**About The Job You're Considering**
 Senior solution architect who can guide assessing and architecting the strategic Data and AI capabilties needed to transform client's business. The ideal candidate is responsible for shaping, designing, and guiding the adoption of AI across the organization. This role defines end\-to\-end Data and AI strategy, connects business outcomes with the right AI technologies, and architects scalable, secure, and responsible data and AI solutions.
 Your role
* Data and AI Strategy \&amp; Roadmap Development
* Data and AI Architecture \&amp; Solution Design
* Technology Evaluation \&amp; Tooling
* Data Strategy \&amp; Foundation Alignment
* Data and AI Governance, Compliance \&amp; Risk Management
* Business Engagement \&amp; Thought Leadership'
**Skills And Experience**
* Data \&amp; AI architecture experience
* Leadership and engamenet with client experience
 The base compensation range for this role in the posted location is: $148,508 \- $ 250,640\.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7">
      <c r="A37" t="inlineStr">
        <is>
          <t>li-4371757760</t>
        </is>
      </c>
      <c r="B37" t="inlineStr">
        <is>
          <t>Data Engineering Consultant V -  Medicare, Medicaid, Claims, SQL, SAS, Python</t>
        </is>
      </c>
      <c r="C37" t="inlineStr">
        <is>
          <t>Kaiser Permanente</t>
        </is>
      </c>
      <c r="D37" t="inlineStr">
        <is>
          <t>linkedin</t>
        </is>
      </c>
      <c r="E37" t="inlineStr"/>
      <c r="F37" t="inlineStr"/>
      <c r="G37" t="inlineStr">
        <is>
          <t>Oakland, CA</t>
        </is>
      </c>
      <c r="H37" t="inlineStr"/>
      <c r="I37" t="inlineStr">
        <is>
          <t>**Overview**
 Full\-stack data engineer with equal depth in backend and frontend, delivering end\-to\-end features from UI/UX to services and data. Strong in Python (FastAPI/Flask) building secure, versioned REST/GraphQL APIs and microservices. Proven microservices architecture experience: service boundaries, async/event\-driven messaging, resilience patterns, and API gateways. Frontend expertise in React and Angular with component\-driven design, performance optimization, and accessibility\-first UI. Solid data skills across SQL/NoSQL, caching, migrations, and query tuning for scalable, reliable systems. Production\-ready delivery: Docker/Kubernetes, CI/CD, cloud (AWS/Azure/GCP), observability (logs/metrics/tracing), and automated testing.
**Job Summary**
 This individual contributor is primarily responsible for driving strategic data\-informed decisions, gathering data and information on targeted variables in an established systematic fashion, preparing data for analytic efforts, and interpreting complex data analyses. This position drives the execution of creative data analytic approaches leading to actionable outcomes across functional areas, business and/or clinical lines, designs, implements, and automates business and reporting solutions, and leads the development of advanced analytical and/or statistical models enabling informed business decisions.
**Essential Responsibilities**
*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 Designs, implements, and automates business and reporting solutions by partnering with stakeholders to advise in their design, planning, and implementation while ensuring consistency and coherency; evaluating and summarizing data and results; creating summary statistics; designing data reports, visualizations, and/or interactive Business Intelligence (BI) reports; reporting to stakeholders on key findings; identifying needs for the development and implementation of additional reporting solutions; and preparing documentation as appropriate.
*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**Minimum Qualifications**
* Minimum three (3\) years experience in a leadership role with or without direct reports.
* Bachelors degree in Mathematics, Statistics, Engineering, Social/Physical/Life Science, Business, or related field and Minimum eight (8\) years experience in data analytics or a directly related field. Additional equivalent work experience in a directly related field may be substituted for the degree requirement.
**Additional Requirements**
* Knowledge, Skills, and Abilities (KSAs): Negotiation; Business Planning; Written Communication; Data Extraction; Data Mining; Data Visualization Tools; Statistical Programming Language; Relational Database Management; Vendor Management; Project Management
**Preferred Qualifications**
* Three (3\) years project management experience.
* Three (3\) years relational database experience.</t>
        </is>
      </c>
    </row>
    <row r="38">
      <c r="A38" t="inlineStr">
        <is>
          <t>li-4372245743</t>
        </is>
      </c>
      <c r="B38" t="inlineStr">
        <is>
          <t>Big Data Engineer</t>
        </is>
      </c>
      <c r="C38" t="inlineStr">
        <is>
          <t>Akkodis Group Nordics</t>
        </is>
      </c>
      <c r="D38" t="inlineStr">
        <is>
          <t>linkedin</t>
        </is>
      </c>
      <c r="E38" t="inlineStr"/>
      <c r="F38" t="inlineStr"/>
      <c r="G38" t="inlineStr">
        <is>
          <t>Plano, TX</t>
        </is>
      </c>
      <c r="H38" t="inlineStr"/>
      <c r="I38" t="inlineStr">
        <is>
          <t>Akkodis is seeking a
 **Big Data Engineer** 
 for a
 **Contract** 
 job with a client in
 **Plano, TX (Hybrid)** 
 . The ideal candidate must have strong expertise in the Hadoop ecosystem and RDBMS, with a solid understanding of data processing, storage, and analysis.
**Rate Range:** 
 $60/hour to $67/hour; The rate may be negotiable based on experience, education, geographic location, and other factors.
**Big Data Engineer Job Responsibilities Include**
* Design and develop data processing and ingestion solutions using Hadoop and related technologies (HDFS, MapReduce, Hive, Impala, PySpark) or Teradata.
* Write scalable, robust, and high\-performance code for data processing and analysis.
* Build and manage data processing workflows and pipelines for batch and real\-time data.
* Develop and maintain middleware services using Python.
* Create and query GraphQL\-based queries.
* Write optimized SQL queries considering large data sizes (up to 30\-30TB).
* Work with Unix shell scripting for process automation and optimization.
* Collaborate on performance improvements and identify optimization opportunities.
* Develop REST APIs using Python and integrate with various data systems.
* Work with Graph databases and Autosys for job scheduling and automation.
* Follow secure coding practices and risk management protocols.
* Contribute to Agile development practices and testing concepts.
**Desired Qualifications**
* Bachelor’s or master’s degree in computer science, Engineering, or a related field.
* 3\+ years of experience in Big Data engineering or a related role.
* Expertise in Hadoop ecosystem tools (HDFS, MapReduce, Hive, Impala, PySpark) and Teradata.
* Proficiency in Python for middleware services and developing REST APIs.
**Must\-Have**
* We need big data experience and Teradata experience along with autopsy and unix shell scripting.
 If you are interested in this role, then please click APPLY NOW. For other opportunities available at Akkodis, or any questions, feel free to contact me at
 **Shivani.Singh2@** 
**akkodisgroup.com**
**Pay Details:** 
 $60\.00 to $67\.00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39">
      <c r="A39" t="inlineStr">
        <is>
          <t>li-4372241852</t>
        </is>
      </c>
      <c r="B39" t="inlineStr">
        <is>
          <t>Data Engineer</t>
        </is>
      </c>
      <c r="C39" t="inlineStr">
        <is>
          <t>TEKsystems</t>
        </is>
      </c>
      <c r="D39" t="inlineStr">
        <is>
          <t>linkedin</t>
        </is>
      </c>
      <c r="E39" t="inlineStr"/>
      <c r="F39" t="inlineStr"/>
      <c r="G39" t="inlineStr">
        <is>
          <t>Westerville, OH</t>
        </is>
      </c>
      <c r="H39" t="inlineStr"/>
      <c r="I39" t="inlineStr">
        <is>
          <t>Description
 TEKsystems is seeking a lead ETL developer to help one of our large clients in Ohio. This will be a long term role working with a great team .
 Skills
 Python, snowflake, Sql
 Data Warehouse ETL Developer Lead
 As a Lead Developer, you will design, develop, maintain and enhance code ensuring all IT SDLC processes are documented and practiced, working closely with multiple technology teams across the enterprise. Key technologies include AWS EC2/Glue, Snowflake, Python and IBM DataStage.
 Modifies existing software/application programs, which are typically more complex in nature, or writes new programs to support user and management needs. Designs, tests, debugs, documents, and implements those programs. Consults with users to design, modify, and explain program changes or to provide technical support. Resolves problems which occur in production systems. May serve as project leader in the development of automated systems or procedures. Provides direction and training to other team members.
 Job Type \&amp; Location
 This is a Contract position based out of Columbus, OH.
 Pay And Benefits
 The pay range for this position is $55\.00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Columbus,OH. Application Deadline This position is anticipated to close on Feb 19,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0">
      <c r="A40" t="inlineStr">
        <is>
          <t>li-4311714413</t>
        </is>
      </c>
      <c r="B40" t="inlineStr">
        <is>
          <t>Lead Data Engineer – Financial Data, Compliance &amp; Business Intelligence</t>
        </is>
      </c>
      <c r="C40" t="inlineStr">
        <is>
          <t>Crowe</t>
        </is>
      </c>
      <c r="D40" t="inlineStr">
        <is>
          <t>linkedin</t>
        </is>
      </c>
      <c r="E40" t="inlineStr"/>
      <c r="F40" t="inlineStr"/>
      <c r="G40" t="inlineStr">
        <is>
          <t>Los Angeles, CA</t>
        </is>
      </c>
      <c r="H40" t="inlineStr"/>
      <c r="I40"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1">
      <c r="A41" t="inlineStr">
        <is>
          <t>li-4311593564</t>
        </is>
      </c>
      <c r="B41" t="inlineStr">
        <is>
          <t>NEON IT Infrastructure Administrator - Data Engineer</t>
        </is>
      </c>
      <c r="C41" t="inlineStr">
        <is>
          <t>Battelle</t>
        </is>
      </c>
      <c r="D41" t="inlineStr">
        <is>
          <t>linkedin</t>
        </is>
      </c>
      <c r="E41" t="inlineStr"/>
      <c r="F41" t="inlineStr"/>
      <c r="G41" t="inlineStr">
        <is>
          <t>Boulder, CO</t>
        </is>
      </c>
      <c r="H41" t="inlineStr"/>
      <c r="I41"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**Company Overview**
 Battelle manages and operates the National Ecological Observatory Network (NEON) program, which is solely funded by the National Science Foundation. A 30\+ year project dedicated to understanding how changes in climate, land use and invasive species impact ecology, the observatory’s scientists and engineers are collecting a comprehensive range of ecological data on a continental scale across 20 eco\-climatic domains representing US ecosystems. Our teams use cutting\-edge technology, including an airborne observation platform that captures images of regional landscapes and vegetation; mobile, relocatable, and fixed data collection sites with automated ground sensors to monitor soil and atmosphere; and trained field crews who observe and sample populations of diverse organisms and collect soil and water data. Once structures are completed, a leading\-edge cyberinfrastructure will calibrate, store and publish this information. The Observatory includes more than 500\+ personnel and is the first of its kind designed to detect and enable forecasting of ecological change at continental scales.
**Job Summary**
 We are currently seeking a highly skilled and motivated
 **NEON IT Infrastructure Administrator – Data Engineer** 
 to join our team. This role offers the flexibility of
 **remote work** 
 .
 The IT Infrastructure Administrator will play a critical part in supporting the NEON program by overseeing the design, implementation, optimization, and ongoing support of data collection, storage, and access systems. Operating with minimal supervision, the successful candidate will lead complex infrastructure initiatives, including system installations, upgrades, and modernization efforts. This position requires a strategic thinker who can evaluate business needs and objectives, analyze and organize raw data, and build robust data systems and pipelines. A key focus will be on enhancing data quality and ensuring efficient, scalable access to data across the organization.
**Responsibilities**
* Provides expert data analysis and modeling, and physical/logical design.
* Performs complex data warehouse design.
* Leads database development functions such as query optimization and schema design.
* Leads database administration functions including backups, restores, maintenance, and security configuration.
* Leads projects by actively engaging in initiating, planning, executing, monitoring, and closing projects.
* Trains other IT staff members in best practices.
* Contributes to the development of procedures and standards for database development.
* Identifies ways to improve data reliability, efficiency, and quality.
* Prepares data for predictive and prescriptive modeling.
* Assists with database integration into other applications and infrastructure components.
* Performs needs assessment and evaluates new technology to improve and maintain core and enterprise infrastructure.
* Engages external vendors when needed to solve complex problems or bugs.
* Provides occasional after\-hours support.
**Key Qualifications**
* Bachelor’s degree in Computer Science or related field with 8 years of experience as a Data Engineer/Data Analyst/Database Administrator or equivalent combination of education and/or experience.
* Experience with database environments including PostgreSQL.
* Experience with Trino query engine.
* Experience with Apache Hive data warehouse software.
* Experience with programming languages (Python, Java)
* Experience with Git and CI/CD practices.
* Ability to troubleshoot and resolve complex issues with databases and software.
* Ability to effectively document all technical designs and solutions.
* Experience with automation.
* Must be a U.S. Citizen
**Preferred Qualifications**
* Experience working in Google Cloud environment including CloudSQL and GKE
* Experience working with MySQL, Microsoft SQL, and Oracle databases.
* Experience working in a scientific environment.
 Salary
 Pay Range: $104,600\-$149,000
 This information reflects the anticipated base salary range for this position based on current national data. Minimums and maximums may vary based on location. Individual pay is based on skills, experience, and other relevant factors.
**Benefits: Live an Extraordinary Life**
 We care about your well\-being, not just on the job. Battelle offers comprehensive and competitive benefits to help you live your best life.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row>
    <row r="42">
      <c r="A42" t="inlineStr">
        <is>
          <t>li-4372246249</t>
        </is>
      </c>
      <c r="B42" t="inlineStr">
        <is>
          <t>Staff Data Engineer</t>
        </is>
      </c>
      <c r="C42" t="inlineStr">
        <is>
          <t>Artisan</t>
        </is>
      </c>
      <c r="D42" t="inlineStr">
        <is>
          <t>linkedin</t>
        </is>
      </c>
      <c r="E42" t="inlineStr"/>
      <c r="F42" t="inlineStr"/>
      <c r="G42" t="inlineStr"/>
      <c r="H42" t="inlineStr"/>
      <c r="I42" t="inlineStr">
        <is>
          <t>**About Artisan** 
 We're building AI employees. Not chatbots. Not copilots. Autonomous digital workers that do real jobs.
 Our first, Ava, is an AI BDR used by hundreds of companies. She researches leads, writes and sends emails in a customer's voice, runs multi\-step outbound sequences, manages her own deliverability infrastructure, self\-optimizes over time, and handles objections and meeting booking. She's not a tool someone uses. She's a teammate.
 We're a YC W24 company, have raised $35M\+ from investors including Y Combinator, and are at $8M\+ ARR. Right now we're building Ava 2\.0, a step change in what an AI employee can do. The engineering problems are hard and the surface area is enormous.
**Role overview** 
 You'll be the first Data Engineer on the Artisan team! We're managing a database of hundreds of millions of leads and creating real\-time intent signals which monitor data fields for those leads. You'll own everything data\-related at Artisan.
* Design, build, and maintain scalable data pipelines that process and transform large volumes of structured and unstructured data
* Manage ingestion from third\-party APIs, internal systems, and customer datasets
* Develop and maintain data models, data schemas, and storage systems optimized for ML and product performance
* Collaborate with ML engineers to prepare model\-ready datasets, embeddings, feature stores, and evaluation data
* Implement data quality monitoring, validation, and observability
* Work closely with product engineers to support new features that rely on complex data flows
* Optimize systems for performance, cost, and reliability
* Contribute to early architecture decisions, infrastructure design, and best practices for data governance
* Build tooling that enables the entire team to access clean, well\-structured data
**Location:** 
 San Francisco, New York, or Remote USA
**Team:** 
 Engineering
**Reports to:** 
 CPTO, Sam Stallings
**Who you are** 
* 3\+ years of experience as a Data Engineer
* Proficiency in Python, SQL, and modern data tooling (dbt, Airflow, Dagster, or similar)
* Comfort working in fast, ambiguous environments
* Experience designing and operating ETL/ELT pipelines in production
* Experience with cloud platforms (AWS, GCP, or Azure)
* Familiarity with data lakes, warehouses, and vector databases
* Experience integrating APIs and working with semi\-structured data (JSON, logs, event streams)
* Strong understanding of data modeling and optimization
* Bonus: experience supporting LLMs, embeddings, or ML training pipelines
* Bonus: startup experience
**Interview process** 
1. Introductory chat with our recruiter
2. 60\-minute
 technical interview with an engineer
3. A second
 60\-minute
 technical interview with an engineer
4. 30\-minute interview with Sam, our CPTO
5. 15\-minute culture and values interview with Jaspar, our CEO
**Our culture and values** 
* Founder mindset. Everyone acts like an owner: take initiative, think big, challenge ideas, and push for 10× outcomes
* Obsessed with impact. We apply the 80/20 rule, kill sunk costs quickly, and focus on what actually moves the needle
* Customer\-first, always. Every decision is made with the customer experience at the center
* High standards, every detail. Quality matters in everything we ship, from product and code to copy and design
* Clear, direct communication. We value candor, fast responses, and feedback
* Winning team energy. We bring positive vibes, low ego, zero drama, and genuinely enjoy building together</t>
        </is>
      </c>
    </row>
    <row r="43">
      <c r="A43" t="inlineStr">
        <is>
          <t>li-4348892992</t>
        </is>
      </c>
      <c r="B43" t="inlineStr">
        <is>
          <t>Data Engineer</t>
        </is>
      </c>
      <c r="C43" t="inlineStr">
        <is>
          <t>Anuvu</t>
        </is>
      </c>
      <c r="D43" t="inlineStr">
        <is>
          <t>linkedin</t>
        </is>
      </c>
      <c r="E43" t="inlineStr"/>
      <c r="F43" t="inlineStr"/>
      <c r="G43" t="inlineStr">
        <is>
          <t>Lombard, IL</t>
        </is>
      </c>
      <c r="H43" t="inlineStr"/>
      <c r="I43" t="inlineStr">
        <is>
          <t>*Location: Lombard, IL*
*Remote Options: Position is completely remote but may eventually be on Hybrid arrangement.*
**What You’ll Be Doing**
* Analyze complex data elements and systems, data flows, dependencies, and relationships to troubleshoot data issues across the business and presents solutions to development team.
* Perform ad\-hoc analyses of data stored in Air view and write SQL and/or Python scripts, stored procedures, functions.
* Design and build scalable pipelines to process terabytes of data.
* Focus on the design, implementation, and operation of data management systems to meet business needs. This includes designing how the data will be stored, consumed, and integrated into our systems.
* Developing metrics using data infrastructure to monitor performance of systems.
* Creation and management of databases to support large scale aggregation processes.
* Contribute to the vision for data infrastructure, data science, and analytics.
**What We’re Looking For**
* Bachelor’s Degree or higher
* 2\-4 years of working experience as a database engineering support personnel.
* Strong knowledge of Python.
* Experience with MySQL server and administration.
* Strong SQL skills.
* Comfortable navigating in a Linux environment, with bash shell scripting a bonus
* Experience building and deploying on AWS, especially with RDS, EC2, S3, EMR and Redshift.
* Experience building custom ETL, data warehousing, and pipeline infrastructure.
* Expertise transforming and standardizing and aggregating large datasets. And validating your work.
* Comfort with the DevOps side of engineering.
* Experience with Web Development Frameworks such as Django is a big plus.
* Interest in machine learning and statistics.
**This Might Be the Right Place if You….**
* Are a team fit; can help advance our global, inclusive culture
* Are you a self\-starter who likes to roll up your sleeves and take initiative with minimal direction
* Can think about tomorrow, while getting your work done today
* Are a collaborative team player; the primary audience will be internal teams
* Are curious and open to learning and finding new solutions
* Are able to provide and accept feedback in a constructive manner
* Are organized, have strong communication skills, and do whatever it takes to get things done
**The Benefits Of Working Here**
* Generous 401(k) Matching
* Company Paid Short\-Term \&amp; Long\-Term Disability
* Company Paid Life/AD\&amp;D Insurance
* Company Paid Wellness Programs
* Company Health Savings Account Contributions
* Employee Assistance Program
* Flexible Spending Accounts for Dependent Care, Medical \&amp; Transit
* Paid Parental Leave and more!
**Advanced \| Agile \| Applied**
*Anuvu is an equal\-opportunity employer. Qualified applicants will receive consideration for employment without regard to race, color, religion, sex, sexual orientation, gender identity, national origin, disability, or protected veteran status.*
***Due to a high volume of applications received, we are unable to contact each applicant individually regarding the status of their application.***
**Let Innovation Move You.**</t>
        </is>
      </c>
    </row>
    <row r="44">
      <c r="A44" t="inlineStr">
        <is>
          <t>li-4311710374</t>
        </is>
      </c>
      <c r="B44" t="inlineStr">
        <is>
          <t>Lead Data Engineer – Financial Data, Compliance &amp; Business Intelligence</t>
        </is>
      </c>
      <c r="C44" t="inlineStr">
        <is>
          <t>Crowe</t>
        </is>
      </c>
      <c r="D44" t="inlineStr">
        <is>
          <t>linkedin</t>
        </is>
      </c>
      <c r="E44" t="inlineStr"/>
      <c r="F44" t="inlineStr"/>
      <c r="G44" t="inlineStr">
        <is>
          <t>Dallas, TX</t>
        </is>
      </c>
      <c r="H44" t="inlineStr"/>
      <c r="I4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5">
      <c r="A45" t="inlineStr">
        <is>
          <t>li-4371768447</t>
        </is>
      </c>
      <c r="B45" t="inlineStr">
        <is>
          <t>Data Engineer, Support</t>
        </is>
      </c>
      <c r="C45" t="inlineStr">
        <is>
          <t>RemoteHunter</t>
        </is>
      </c>
      <c r="D45" t="inlineStr">
        <is>
          <t>linkedin</t>
        </is>
      </c>
      <c r="E45" t="inlineStr"/>
      <c r="F45" t="inlineStr"/>
      <c r="G45" t="inlineStr"/>
      <c r="H45" t="inlineStr"/>
      <c r="I45" t="inlineStr">
        <is>
          <t>About the Opportunity:
 The organization provides an end\-to\-end ecosystem designed to support Programs of All\-Inclusive Care for the Elderly (PACE) in delivering care, improving financial performance, and ensuring compliance. It replaces outdated technology with solutions for care coordination, risk adjustment, population health, and utilization management. The role focuses on supporting operations and improving outcomes for dual\-eligible seniors with complex healthcare needs.
 Responsibilities:
 • Own and maintain a legacy population health analytics product, focusing on backend data pipelines and the full\-stack application
 • Operate the production analytics product, managing data ingestion, transformation, orchestration, and the user interface
 • Build, maintain, and debug backend data pipelines using Airflow, Python (Pandas, Selenium), Snowflake, dbt, and Airbyte, emphasizing data quality and performance
 • Manage full\-stack analytics application, including backend services (Node.js) and frontend components (React)
 • Address bug fixes, operational issues, and production incidents, understanding system behavior and failure modes
 • Investigate and resolve data quality issues, pipeline failures, and application defects with durable fixes
 • Improve legacy codebases balancing speed, correctness, and maintainability
 • Communicate clearly about system health, root causes, and technical tradeoffs with teams and stakeholders
 Requirements:
 • Bachelor’s degree in Computer Science, Information Systems, or related field, or equivalent experience
 • 1 to 4 years of experience as a Software Engineer or Data Engineer
 • Proficiency in Python and experience with production data pipelines or ETL/ELT workflows
 • Working knowledge of SQL and relational or analytical databases
 • Exposure to backend or full\-stack development, including JavaScript and Node.js
 • Familiarity with frontend technologies like React or willingness to learn and maintain existing frontend code
 • Basic knowledge of modern data tools such as Airflow, dbt, Snowflake, and Airbyte
 • Ability to debug legacy systems and handle complex technical issues
 • Strong ownership and accountability for production systems
 • Clear written and verbal communication skills
 Preferred:
 • Experience maintaining legacy systems in production
 • Exposure to healthcare data, analytics platforms, or regulated environments
 • Experience working in small teams or fast\-paced environments
 Benefits \&amp; Perks:
 • Competitive salary and benefits package including uncapped PTO and health insurance
 • Professional development and growth opportunities
 • Flexible remote work environment
 Compensation:
 • Salary range for this role is $95,000 to $120,000 annually
 • Ideal candidate expected near midpoint of range; final pay based on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6">
      <c r="A46" t="inlineStr">
        <is>
          <t>li-4371778367</t>
        </is>
      </c>
      <c r="B46" t="inlineStr">
        <is>
          <t>Data Engineer</t>
        </is>
      </c>
      <c r="C46" t="inlineStr">
        <is>
          <t>Haystack</t>
        </is>
      </c>
      <c r="D46" t="inlineStr">
        <is>
          <t>linkedin</t>
        </is>
      </c>
      <c r="E46" t="inlineStr"/>
      <c r="F46" t="inlineStr"/>
      <c r="G46" t="inlineStr"/>
      <c r="H46" t="inlineStr"/>
      <c r="I46" t="inlineStr">
        <is>
          <t>Data Science Software Engineer \| New York, New York State, United States \| Hybrid
 We're working with MassMutual on this exciting opportunity. Join a fast\-paced R\&amp;D team to build systems, infrastructure, and applications that drive Data Science and AI initiatives across the enterprise. This role offers the chance to influence technical strategies and operationalize AI solutions.
 The Role
 • Collaborate with diverse stakeholders to define strategies for data ingestion, cloud infrastructure, and application development.
 • Serve as a technical Subject Matter Expert (SME), guiding architectural decisions and ensuring alignment with enterprise standards.
 • Provide technical leadership for multiple initiatives, promoting engineering best practices and high\-quality delivery.
 • Design and implement reusable software libraries and components to accelerate development and increase efficiency.
 • Lead complex problem\-solving to deliver scalable, resilient, and maintainable systems.
 • Implement infrastructure\-as\-code and monitor/remediate software vulnerabilities.
 What You'll Need
 • 7\+ years working with data and relevant computational frameworks and systems.
 • 7\+ years of experience building complex software systems (pipelines/services/backends/frontends).
 • 7\+ years of software development experience using Python and developing backend applications with API services.
 • 5\+ years of experience with AWS cloud services (EKS, EC2, Lambda, etc.) and Terraform.
 • 7\+ years of experience writing complex SQL queries for relational databases.
 • 5\+ years of experience with Agile methodologies and hands\-on experience with Jenkins pipelines and/or GitHub Actions.
 What's On Offer
 • Opportunity to work in a highly collaborative and innovative R\&amp;D environment.
 • Be part of a talented, cross\-functional team that values learning and continuous improvement.
 • Direct impact on MassMutual’s Data Science and AI ecosystems.
 • Emphasis on innovation, fun, accountability, and building secure, reliable software.
 Apply via Haystack today!</t>
        </is>
      </c>
    </row>
    <row r="47">
      <c r="A47" t="inlineStr">
        <is>
          <t>li-4372014860</t>
        </is>
      </c>
      <c r="B47" t="inlineStr">
        <is>
          <t>Senior Analytics Engineer</t>
        </is>
      </c>
      <c r="C47" t="inlineStr">
        <is>
          <t>BetterUp</t>
        </is>
      </c>
      <c r="D47" t="inlineStr">
        <is>
          <t>linkedin</t>
        </is>
      </c>
      <c r="E47" t="inlineStr"/>
      <c r="F47" t="inlineStr"/>
      <c r="G47" t="inlineStr">
        <is>
          <t>Texas, United States</t>
        </is>
      </c>
      <c r="H47" t="inlineStr"/>
      <c r="I47"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48">
      <c r="A48" t="inlineStr">
        <is>
          <t>li-4372781187</t>
        </is>
      </c>
      <c r="B48" t="inlineStr">
        <is>
          <t>Data Engineer</t>
        </is>
      </c>
      <c r="C48" t="inlineStr">
        <is>
          <t>Vestwell</t>
        </is>
      </c>
      <c r="D48" t="inlineStr">
        <is>
          <t>linkedin</t>
        </is>
      </c>
      <c r="E48" t="inlineStr"/>
      <c r="F48" t="inlineStr"/>
      <c r="G48" t="inlineStr">
        <is>
          <t>Austin, TX</t>
        </is>
      </c>
      <c r="H48" t="inlineStr"/>
      <c r="I48" t="inlineStr">
        <is>
          <t>Vestwell is the financial technology company powering the new savings economy. The New York City\-based fintech platform redefines how people save for the critical aspects of life across retirement, education, and healthcare savings needs. Today, Vestwell enables over 350,000 businesses and nearly 1\.5 Million active savers, with over $30 billion in assets saved across all 50 United States.
 Vestwell offers a range of products, including workplace\-delivered retirement plans, employer\-offered student loan repayment benefits, and various savings accounts for education, emergencies, and individuals with disabilities.
 Vestwell's platform serves a diverse clientele, including financial advisers, employers, third\-party administrators, financial institutions, payroll providers, government agencies, and individual savers. To learn more, visit vestwell.com
**Who Are We Looking For?**
 The Engineering team is looking for a Data Engineer who can confidently contribute across our reporting and data stack and is ready to take on increasing ownership over time. You will work closely with senior engineers, but you will also drive your own projects, contribute to technical decisions, and help improve our data platform.
 You are a great fit for our team if you:
* Have solid hands\-on experience with data engineering patterns and tools
* Can balance detail\-oriented implementation work with an eye toward long\-term scalability and maintainability
* Care deeply about the quality, reliability, and impact of the systems you build
 You will collaborate with more senior engineers on architecture and design, but you should be comfortable proposing solutions, estimating work, and seeing projects through from design to production.
**What Will You Be Doing?**
**You May**
* Design, build, and maintain reliable data pipelines and workflows that support reporting and analytics use cases
* Work with large, complex data sets to meet business requirements, improve data quality, and ensure data is accurate and timely
* Develop and optimize infrastructure for extracting, loading, and transforming data from a variety of sources
* Build and enhance analytics tools and data models that power reporting and provide actionable insights into key business metrics
* Collaborate with stakeholders on the Product, Operations, and Executive teams to understand their data needs and deliver solutions that meet those needs
* Support production systems, including monitoring, troubleshooting, incident response, and continuous improvement of performance and reliability
* Contribute to team practices, including code reviews, documentation, and occasionally helping more junior teammates
**Requirements**
* 3–5 years of experience as a Data Engineer or in a closely related data\-focused engineering role
* Strong SQL skills and experience working with relational databases
* Hands\-on experience building and optimizing cloud data pipelines (ETL/ELT)
* Experience building processes that support data transformation, data modeling, metadata management, and dependency/workload management
* Experience with AWS cloud services such as EMR, S3, Glue, SES, SNS/SQS, or EC2 (or similar services on another cloud provider) is preferred but not required.
* Strong analytical skills and experience working with unstructured or semi\-structured data
* Working knowledge of message queuing, stream processing, and highly scalable data stores
* Experience working with and supporting cross\-functional teams
* Python programming experience, especially in data engineering contexts
* Experience with Snowflake or another modern cloud data warehouse
* Experience with ETL/ELT and data transformation tools such as Fivetran, dbt, etc.
* Experience with Business Intelligence tools such as Sigma, Tableau, Metabase, Looker, etc.
* A Computer Science or related technical degree, or equivalent practical experience
 This role will be based in either the Austin office, and will be part of Vestwell's hybrid in\-office operation.
 The expected base salary range for this position is $115K \- $130K base. This position is eligible to participate in the Company Bonus Pool and is eligible to receive new hire equity in the Company. Please note that salary bands are based on NY and other similar metro areas and may differ based on where the role is ultimately hired.
**Our Benefits**
 We’re an innovative, high\-growth company, with lots of exciting milestones ahead. We value health and wellness at Vestwell and in addition to a dedicated Employee Wellbeing Committee, we offer competitive health coverage and generous vacation offering. We have adopted a hybrid office policy, but all employees are welcome at our bright, comfortable office with many workspace options in our Midtown Manhattan, Austin, King of Prussia, and Phoenix offices, so everyone has a setting that is the most productive for them. Oh, and naturally we have a great 401(k) plan!
**OUR PROCESS**
 It starts the same for every candidate: getting to know the team members through 1\-2 conversations about Vestwell, your experience, and your interests. Next steps can vary by role, but the usual next steps are a skill or experience screen (e.g. a coding interview for an Engineer, a portfolio review for a Designer, deeper experience call for other roles) which leads to a virtual or in\-person interview panel after that if the screens go well.
 *Before making an offer, our interview process concludes with a references check stage for your recruiter to meet with a current or former supervisor and peer.* 
 We prioritize transparency and lack of surprise throughout the process.
 For your awareness you will only receive correspondence from recruiting@vestwell.com any other domain not ending in Vestwell.com is not our Recruitment team.
*Vestwell’s* 
*Privacy Policy.* 
*Attention California residents: In the course of conducting our business and complying with federal, state, and local government regulations governing such matters as employment, tax, insurance, etc., we must collect Personal Information from you. Should you accept employment with Vestwell you may view our California Privacy Rights Act here:* 
*Vestwell’s California Privacy Rights Policy.*</t>
        </is>
      </c>
    </row>
    <row r="49">
      <c r="A49" t="inlineStr">
        <is>
          <t>li-4363998858</t>
        </is>
      </c>
      <c r="B49" t="inlineStr">
        <is>
          <t>Data Engineer</t>
        </is>
      </c>
      <c r="C49" t="inlineStr">
        <is>
          <t>FanDuel</t>
        </is>
      </c>
      <c r="D49" t="inlineStr">
        <is>
          <t>linkedin</t>
        </is>
      </c>
      <c r="E49" t="inlineStr"/>
      <c r="F49" t="inlineStr"/>
      <c r="G49" t="inlineStr">
        <is>
          <t>Atlanta, GA</t>
        </is>
      </c>
      <c r="H49" t="inlineStr"/>
      <c r="I49" t="inlineStr">
        <is>
          <t>**THE POSITION**
 Our roster has an opening with your name on it
 FanDuel is looking for a Data Support Engineer to advance our data capabilities and ensure the reliability and performance of our critical data pipelines and infrastructure. FanDuel's competitive edge is enabled by our ability to leverage accurate and timely data for informed decision\-making.
 As a Data Support Engineer, you will be a valued member of the Data Support team, maintaining exceptional standards and servicing the needs of data consumers across the company. You will ensure the health of our data infrastructure, contribute to the delivery of reliable, timely, and consumable data, and combine technical troubleshooting with proactive monitoring. You'll have the opportunity to work in an agile environment where you will team up with colleagues having experience in data engineering, machine learning and more.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Provide on\-call technical assistance to analysts, data consumers, and data engineering teams, responding to inquiries relating to query optimization, reporting anomalies, complex data pipeline issues, failed jobs, and data inconsistencies.
* Investigate and resolve data quality issues in response to system alerts or notifications from stakeholders, ensuring compliance with internal/external audits and control practices.
* Design and implement batch and real\-time data pipelines to the data warehouse or data lake using data transformation technologies, enhancing monitoring dashboards and support tools.
* Lead impactful initiatives to enhance data pipelines and other data operations capabilities while mentoring and onboarding new support data engineers. Identify operational inefficiencies and implement automation solutions to reduce manual intervention.
* Create and maintain technical support documentation, including FAQs, troubleshooting steps, support runbooks, and a knowledge base of solutions to recurring issues.
* Drive operational best practices and shape workflows for routine consumer support, operations monitoring, incident management, and problem management.
* Administer account access to tools across the technology stack in accordance with our governance policies.
 Able to join team's On\-call Pager duty rotation to ensure 24/7 coverage and timely response to critical data issues.
**THE STATS**
 What we're looking for in our next teammate
* Minimum of 3\+ years of experience in data engineering with focus on operational support
* Advanced SQL skills with proven query optimization experience
* Strong problem\-solving skills with ability to take ownership and accountability for issues through resolution
* Python programming proficiency for automation and data processing
* Experience with cloud data platforms (AWS, Databricks, Spark)
* Understanding of data warehousing and ETL/ELT processing
* Experience with dimensional data modeling, batch data ingestion, and real\-time technologies like Kafka or Kinesis
* Working knowledge of orchestration and monitoring tools (Airflow, Datadog, Databand, DataFold, Monte Carlo, Prometheus, Grafana)
* Strong incident management and root cause analysis capabilities
* Customer\-oriented mindset with focus on delivering high\-quality support services and attention to detail
* Exceptional communication and interpersonal skills
* Proven ability to work effectively within teams and across organizational boundaries
* Experience owning and coordinating issues across multiple time zones
* Experience identifying operational inefficiencies and implementing automation solutions using AI techniques
 Preferred Qualifications:
* Experience with data streaming patterns and tools like Dbt
* Familiarity with CI/CD practices for data pipelines (BuildKite or Github Actions)
* Familiarity with data visualization tools such as Tableau or Looker
* Exposure to database design, performance analysis, and data quality metrics
* Exposure to Data Science, Machine Learning, and AI applications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50">
      <c r="A50" t="inlineStr">
        <is>
          <t>li-4372030000</t>
        </is>
      </c>
      <c r="B50" t="inlineStr">
        <is>
          <t>Senior Analytics Engineer</t>
        </is>
      </c>
      <c r="C50" t="inlineStr">
        <is>
          <t>BetterUp</t>
        </is>
      </c>
      <c r="D50" t="inlineStr">
        <is>
          <t>linkedin</t>
        </is>
      </c>
      <c r="E50" t="inlineStr"/>
      <c r="F50" t="inlineStr"/>
      <c r="G50" t="inlineStr">
        <is>
          <t>New York, United States</t>
        </is>
      </c>
      <c r="H50" t="inlineStr"/>
      <c r="I50"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51">
      <c r="A51" t="inlineStr">
        <is>
          <t>li-4372015922</t>
        </is>
      </c>
      <c r="B51" t="inlineStr">
        <is>
          <t>Senior Analytics Engineer</t>
        </is>
      </c>
      <c r="C51" t="inlineStr">
        <is>
          <t>BetterUp</t>
        </is>
      </c>
      <c r="D51" t="inlineStr">
        <is>
          <t>linkedin</t>
        </is>
      </c>
      <c r="E51" t="inlineStr"/>
      <c r="F51" t="inlineStr"/>
      <c r="G51" t="inlineStr">
        <is>
          <t>San Francisco, CA</t>
        </is>
      </c>
      <c r="H51" t="inlineStr"/>
      <c r="I51"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52">
      <c r="A52" t="inlineStr">
        <is>
          <t>li-4372029020</t>
        </is>
      </c>
      <c r="B52" t="inlineStr">
        <is>
          <t>Senior Analytics Engineer</t>
        </is>
      </c>
      <c r="C52" t="inlineStr">
        <is>
          <t>BetterUp</t>
        </is>
      </c>
      <c r="D52" t="inlineStr">
        <is>
          <t>linkedin</t>
        </is>
      </c>
      <c r="E52" t="inlineStr"/>
      <c r="F52" t="inlineStr"/>
      <c r="G52" t="inlineStr">
        <is>
          <t>San Francisco, CA</t>
        </is>
      </c>
      <c r="H52" t="inlineStr"/>
      <c r="I52"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53">
      <c r="A53" t="inlineStr">
        <is>
          <t>li-4372026102</t>
        </is>
      </c>
      <c r="B53" t="inlineStr">
        <is>
          <t>Senior Analytics Engineer</t>
        </is>
      </c>
      <c r="C53" t="inlineStr">
        <is>
          <t>BetterUp</t>
        </is>
      </c>
      <c r="D53" t="inlineStr">
        <is>
          <t>linkedin</t>
        </is>
      </c>
      <c r="E53" t="inlineStr"/>
      <c r="F53" t="inlineStr"/>
      <c r="G53" t="inlineStr">
        <is>
          <t>Austin, CO</t>
        </is>
      </c>
      <c r="H53" t="inlineStr"/>
      <c r="I53"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54">
      <c r="A54" t="inlineStr">
        <is>
          <t>li-4372013855</t>
        </is>
      </c>
      <c r="B54" t="inlineStr">
        <is>
          <t>Senior Analytics Engineer</t>
        </is>
      </c>
      <c r="C54" t="inlineStr">
        <is>
          <t>BetterUp</t>
        </is>
      </c>
      <c r="D54" t="inlineStr">
        <is>
          <t>linkedin</t>
        </is>
      </c>
      <c r="E54" t="inlineStr"/>
      <c r="F54" t="inlineStr"/>
      <c r="G54" t="inlineStr">
        <is>
          <t>Arlington, VA</t>
        </is>
      </c>
      <c r="H54" t="inlineStr"/>
      <c r="I54"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55">
      <c r="A55" t="inlineStr">
        <is>
          <t>li-4372768434</t>
        </is>
      </c>
      <c r="B55" t="inlineStr">
        <is>
          <t>Jr Data Engineer</t>
        </is>
      </c>
      <c r="C55" t="inlineStr">
        <is>
          <t>Halvik</t>
        </is>
      </c>
      <c r="D55" t="inlineStr">
        <is>
          <t>linkedin</t>
        </is>
      </c>
      <c r="E55" t="inlineStr"/>
      <c r="F55" t="inlineStr"/>
      <c r="G55" t="inlineStr">
        <is>
          <t>Washington, DC</t>
        </is>
      </c>
      <c r="H55" t="inlineStr"/>
      <c r="I55" t="inlineStr">
        <is>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Cutting\-Edge Technology across the US Government. Be a part of something special!
**Role And Responsibilities**
* Analyze Informatica workflows and mappings to understand source\-to\-target logic, transformations, dependencies, and scheduling order.
* Convert Informatica mappings into Databricks pipelines using PySpark / Spark SQL
* Implement data ingestion from on\-prem and cloud sources into Databricks (landing → bronze → silver)
* Adapt existing ETL logic to align with a new enterprise data model, identifying gaps and required transformation changes
* Support unit testing, reconciliation, and data validation between legacy and modern pipelines
* Document migration logic, assumptions, and deviations from legacy behavior
* Collaborate with senior engineers, data architects, and QA teams during iterative migration cycles
**Required Skills**
* Working knowledge of Informatica PowerCenter:
* Mappings, workflows, sessions.
* Common transformations (Source Qualifier, Expression, Lookup, Joiner, Aggregator, Router, Filter)
* Basic to intermediate experience with Databricks: PySpark, Spark, SQL, Notebooks and jobs
* Strong SQL fundamentals (joins, aggregations, window functions)
* Understanding of ETL / ELT concepts, data warehousing, and batch processing Data Modeling \&amp; Analysis Skills
* Interpret legacy data models and mapping documents.
* Identify how legacy fields map (or do not map) to a new target data model
* Flag missing logic, derived fields, or transformation gaps early
* Strong attention to detail when validating row counts, aggregates, and business rules
**Preferred Skills**
* Exposure to Informatica\-to\-Databricks migration or similar modernization efforts.
* Familiarity with Delta Lake, medallion architecture (Bronze / Silver / Gold).
* Basic understanding of AWS (S3, IAM concepts)
* Experience reading or generating code from Informatica XML exports
* Bachelor's Degree in a related area or equivalent experience.
**Halvik offers a competitive full benefits package including:** 
 Company\-supported medical, dental, vision, life, STD, and LTD insuranceBenefits include 11 federal holidays and PTOEligible employees may receive performance\-based incentives in recognition of individual and/or team achievements.401(k) with company matchingFlexible Spending Accounts for commuter, medical, and dependent care expensesTuition AssistanceCharitable Contribution matching
*Halvik Corp is an* 
*equal opportunity employer. All qualified applicants will receive consideration for employment without regard to race, color, religion, sex, sexual orientation, gender identity, national origin, disability or veteran status.*
 Halvik's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56">
      <c r="A56" t="inlineStr">
        <is>
          <t>li-4364196636</t>
        </is>
      </c>
      <c r="B56" t="inlineStr">
        <is>
          <t>Data Engineer</t>
        </is>
      </c>
      <c r="C56" t="inlineStr">
        <is>
          <t>TAS Energy</t>
        </is>
      </c>
      <c r="D56" t="inlineStr">
        <is>
          <t>linkedin</t>
        </is>
      </c>
      <c r="E56" t="inlineStr"/>
      <c r="F56" t="inlineStr"/>
      <c r="G56" t="inlineStr"/>
      <c r="H56" t="inlineStr"/>
      <c r="I56" t="inlineStr">
        <is>
          <t>**Position Overview**
 The Data Engineer is responsible for designing, building, and maintaining the organization’s enterprise data pipelines, curated datasets, and analytics platform foundation. This role enables timely, accurate, and trusted decision\-making by ensuring reliable, scalable, and governed data flows across the Enterprise Resource Planning (ERP) system, Product Lifecycle Management (PLM) system, and other integrated business applications.
 The Data Engineer will engineer ingestion and curation from vendor\-hosted enterprise data repositories and integration services, including Infor OS Data Lake and supported extraction methods (e.g., Data Fabric Objects API, Compass SQL API / Compass JDBC Driver, ION Data Lake Flows, and ETL Client for Data Lake). The role will enable enterprise analytics and reporting through Microsoft Fabric and Power BI, and will use Spark/PySpark, SQL, and Python to deliver performant, scalable transformations.
 This role also supports the organization’s increasing use of AI\-enabled analytics by preparing high\-quality, well\-governed datasets and following company requirements for responsible and compliant AI usage.
**Key Job Responsibilities**
**Data Engineering \&amp; Architecture (Microsoft Fabric / Lakehouse)**
* Design and maintain a modern enterprise analytics foundation using Microsoft Fabric (Lakehouse/Warehouse patterns) to support governed reporting and self\-service analytics.
* Build and manage curated data layers aligned to medallion\-style processing (raw → standardized → curated) using Spark/PySpark, SQL, and Python.
* Develop and maintain enterprise data models optimized for analytics performance, consistent KPI definitions, and reuse across business domains.
**Data Integration \&amp; Ingestion (Infor OS Data Lake \+ APIs \+ Flows)**
* Develop and support automated ingestion from Infor OS Data Lake using supported extraction/integration methods such as:
+ Data Fabric Objects API (object/file extraction)
+ Compass SQL API / Compass JDBC Driver (query\-based extraction)
+ ION Data Lake Flows (scheduled push to connection points)
+ ETL Client for Data Lake (scheduled transfer patterns)
+ Stream Pipelines where applicable for continuous/near real\-time delivery
* Implement incremental loading patterns, orchestration, monitoring, alerting, and failure recovery to ensure reliable delivery of daily/near real\-time datasets.
* Partner with application and integration teams to align ingestion with upstream interfaces, data contracts, and security requirements.
**Reporting \&amp; Analytics Enablement (Power BI \+ Dataset Modeling)**
* Provide trusted, well\-documented datasets that enable enterprise dashboards and self\-service analytics in Power BI.
* Build and maintain business\-friendly semantic/dimensional models that support high\-performance dashboards and consistent KPI definitions.
* Support modernization and migration of reporting assets into Microsoft Fabric, ensuring datasets and models align to reporting needs and enterprise metric definitions.
**Data Quality, Governance \&amp; Master Data Support**
* Implement validation, reconciliation, and anomaly detection to ensure accuracy and completeness of curated datasets.
* Establish automated checks for common data issues (duplicates, missing attributes, invalid statuses, inconsistent units of measure).
* Partner with master data stakeholders and business data stewards to define standards, drive adoption, and remediate root\-cause issues impacting data quality.
**AI\-Enabled Analytics Support (Practical AI Competency)**
* Prepare AI\-ready datasets by ensuring data completeness, consistency, lineage, and documentation (e.g., feature\-ready curated tables, standardized definitions, and auditability).
* Support AI\-assisted development workflows (e.g., using copilots/assistants to accelerate transformation code generation, documentation, and standardization) while adhering to company AI requirements for accuracy, confidentiality, compliance, and labeling of AI\-generated content where required.
**Operational Excellence (Reliability, Supportability, Documentation)**
* Develop and maintain runbooks, operational documentation, lineage notes, and standardized naming conventions for pipelines, datasets, and reporting layers.
* Track pipeline health metrics (freshness, completeness, latency, failure rates) and continuously improve reliability and performance.
* Provide knowledge transfer and training to analysts and IT Business Applications team members to improve overall data fluency.
* All other duties as assigned by TAS.
**Job Skills**
* Strong understanding of modern data architectures (data lake/lakehouse/warehouse), data modeling, and ETL/ELT engineering patterns.
* Proficiency in SQL and Python for data transformation and pipeline development.
* Hands\-on experience with Spark/PySpark for scalable transformations and performance tuning.
* Experience integrating and extracting data from Infor OS Data Lake using Data Fabric Objects API, Compass SQL API/JDBC, ION Data Lake Flows, ETL Client for Data Lake, and/or Stream Pipelines.
* Experience developing enterprise analytics assets using Microsoft Fabric and enabling dashboards and self\-service reporting using Power BI.
* Ability to implement data quality controls, reconciliation, documentation, and lineage practices that support trust and auditability.
* Practical AI competency: ability to prepare AI\-ready datasets and responsibly use AI assistants to improve productivity while maintaining accuracy, confidentiality, and compliance.
* Strong communication skills to translate business needs into technical solutions and collaborate with both technical and non\-technical stakeholders.
**EDUCATION \&amp; TRAINING**
* Bachelor’s degree in Information Systems, Computer Science, Data Engineering, or a related field; equivalent experience may be considered in lieu of a degree.
* Preferred training/certifications in one or more areas: cloud data platforms, data engineering, analytics engineering, data governance, or AI fundamentals for data/analytics professionals.
**Minimum Requirements**
* 3\+ years of experience in data engineering, analytics engineering, or a related technical role.
* Demonstrated experience building and maintaining curated datasets used for enterprise reporting and analytics.
* Demonstrated experience with at least two of the following toolsets:
+ Microsoft Fabric (Lakehouse/Warehouse, pipelines/notebooks)
+ Power BI (dataset modeling and dashboard enablement)
+ Infor OS Data Lake extraction/integration methods (Objects API, Compass SQL API/JDBC, ION Data Lake Flows, ETL Client, Stream Pipelines)
+ Spark/PySpark
* Experience implementing monitoring/alerting or operational runbooks for production data pipelines.
* Familiarity with manufacturing/operations reporting domains (production, inventory, procurement, costing, project execution) preferred.
 PHYSICAL REQUIREMENTS/WORK ENVIRONMENT:
 Position is at least 80% to 95% at a desk working with computer. Ability to exert up to 10 pounds of force occasionally and/or a negligible amount of force frequently or constantly to lift, carry, push, pull or otherwise move objects, including the human body. Performs other physical activities including use of fingers, sitting, stooping, bending, crouching, talking, hearing, and performing repetitive motions. Visual acuity requirements include color, depth perception and field of vision necessary to prepare and analyze data and figures, operate a computer terminal, and conduct extensive reading. The incumbent will be subject to inside environmental conditions.
**COMPANY OVERVIEW:**
 Join a team driven to excel in all that we do! When you join TAS, you join a Houston\-headquartered company that is part of a large Houston\-headquartered publicly traded company, Comfort Systems USA, with a solid reputation built on outstanding value, integrity, and customer focus. We offer our customers and employees the best of both worlds: a small company feel with the resources, talent, process, and international reach of a large company.
 TAS delivers innovative packaged modular systems that are engineered and manufactured in one of our Houston, TX facilities and utilized in data centers, power, and commercial/industrial utility system applications. TAS has successfully delivered and commissioned over 520 packages to over 33 countries. The company is headquartered in Houston, TX and has five ISO 9001 certified manufacturing facilities in Houston, encompassing 1\.2m sq. feet with proximity to major shipping ports and interstate highways. TAS manages all logistics and transportation facilitating accelerated construction at customer’s facilities.
 TAS’ fastest growing business is the data center market. By applying deep expertise in cooling, thermodynamics, and power, TAS has developed an entire product line that revolutionizes data center delivery.
 With our tremendous market potential, advanced technological systems, entrepreneurial culture as well as a talented and productive workforce, we continue to set and exceed aggressive market penetration and financial goals. More information is available on the company website at: www.tas.com.
*IMPORTANT NOTICE:* 
*TAS has a tobacco\-free workplace policy, under which individuals are not allowed to smoke or use tobacco or nicotine products on the TAS premises, while conducting TAS business off premises or take "smoking" breaks during working hours. “smoking” and “tobacco or nicotine products” includes, but is not limited to, product such as cigarettes, e\-cigarettes, cigars, pipes, vaping, all forms of smokeless tobacco (chewing tobacco, snuff, dip) and clove cigarettes*
*The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
*Applications and resumes will be kept on file for a limited time and the Company is under no duty or obligation to contact applicants if they are not selected for the job applied for or if other jobs become available in the future. Applicants that desire to apply for a job that becomes available at the Company in the future, should submit a new employment application or resume.*
*TAS Energy Inc. guarantees equal employment opportunities to all qualified applicants. All qualified applicants will receive consideration for employment, without regard to age, race, color, religion, sex, sexual orientation, gender identity, or national origin.*</t>
        </is>
      </c>
    </row>
    <row r="57">
      <c r="A57" t="inlineStr">
        <is>
          <t>li-4372773472</t>
        </is>
      </c>
      <c r="B57" t="inlineStr">
        <is>
          <t>Senior Data Engineer, Real World Data</t>
        </is>
      </c>
      <c r="C57" t="inlineStr">
        <is>
          <t>Proscia</t>
        </is>
      </c>
      <c r="D57" t="inlineStr">
        <is>
          <t>linkedin</t>
        </is>
      </c>
      <c r="E57" t="inlineStr"/>
      <c r="F57" t="inlineStr"/>
      <c r="G57" t="inlineStr">
        <is>
          <t>Philadelphia, PA</t>
        </is>
      </c>
      <c r="H57" t="inlineStr"/>
      <c r="I57" t="inlineStr">
        <is>
          <t>This position is on\-site 2\-3 days in Philadelphia
**About Proscia**
 Pathology is at the center of medicine and is undergoing a profound transformation as the final frontier of digitization in healthcare. We started Proscia to accelerate pathology’s transition from microscope to images, and to use AI to change the way we think about cancer. We can’t change medicine alone. That’s why we’re looking for curious thinkers. Big dreamers. Developers, evangelists, pathologists, and scientists. Exceptional talent to help us use AI for good and advance humankind.
 At Proscia, we push the limits of medicine and technology, solving problems the world has never solved before. We build software used by thousands of scientists and pathologists, who work on the front lines of fighting cancer for patients globally. To accelerate our vision, Proscia has raised over $100M in capital from world\-class healthcare and technology investors.
**About This Position**
 As a Senior Data Engineer, you will contribute to Proscia’s growing Real World Data (RWD) business, which operates as a “startup within a startup.” In this entrepreneurial environment, you will help build and scale innovative data solutions that drive better outcomes for cancer patients and support cutting\-edge research into therapies and drug regimens. Success in this role requires independence, adaptability, and close collaboration with cross\-functional teams while maintaining alignment with broader engineering initiatives.
 What You’ll Do
 Working At a Startup Like Proscia Means Wearing Many Hats, But When You Come To Work, You Can Expect To Focus On The Following
* Develop and refine data pipelines in collaboration with the RWD team and customers, ensuring seamless extraction, transformation, and loading (ETL) of data from customer systems into Proscia’s repositories.
* Work independently to identify and implement process improvements, such as automating manual data migration tasks to accelerate data flows.
* Design, build, and optimize API integrations, including REST and event\-driven/pub\-sub architectures, to enable real\-time data ingestion, transfer, and quantification.
* Modify and create Python scripts to allow customers to efficiently upload data, including images, metadata, and other formats.
* Architect data models, data warehouse design patterns and scalable database solutions to support rapidly growing data while ensuring efficient performance and metadata processing.
* Collaborate with cross\-functional teams, including the core engineering and AI teams, to align technical strategies and ensure seamless integration of RWD solutions with the larger Proscia platform.
* Operate with a startup mindset, contributing to the RWD team’s agility and entrepreneurial spirit while delivering high\-impact results.
 What We’re Seeking
 We’re looking for people who are smart, nice, and get stuff done. Proscia thrives on entrepreneurial thinkers who excel in fast\-paced, challenging environments and are ready to build the plane while flying it.
**Our Ideal Candidate Has**
* 3–5\+ years of professional experience with Python scripting for data management.
* 3\+ years of experience with detailed knowledge of data warehouse technical architectures.
* Strong analytical skills and attention to detail, with a proactive approach to solving problems.
* Experience with JavaScript and familiarity with modern frameworks (preferred).
* Proficiency in SQL and/or PostgreSQL.
* Hands\-on experience with REST API development and integrations.
* Experience in cloud platforms, particularly AWS (preferred).
* Expertise with Snowflake or similar data warehouse platforms
* Software engineering principles testing (definition of unit tests, integration tests), setting up CI/CD pipelines and experience with containerization technologies like Docker and orchestration tools like Kubernetes.
* The ability to work independently within a cross\-functional team and coordinate effectively across other engineering teams to design and implement high quality data pipelines.
* A Bachelor’s degree in Computer Science, Computer Engineering, or Electrical Engineering (Master’s degree preferred).
* Experience working in the life sciences/biopharmaceutical industry is a plus.
 Beyond Just Work
 At Proscia, we want our people to thrive inside and outside the office. Along with competitive pay, we provide comprehensive benefits, flexible schedules, and insurance options to promote long\-term health and personal growth.
 Our creative, collaborative office environment in Philadelphia is designed for agility, complete with writable walls and breakout spaces. Remote teammates stay connected through innovative collaboration tools and regular opportunities for in\-person interaction.
 We celebrate diversity and foster a culture where everyone belongs. Proscia is proud to be an equal\-opportunity workplace.</t>
        </is>
      </c>
    </row>
    <row r="58">
      <c r="A58" t="inlineStr">
        <is>
          <t>li-4372760909</t>
        </is>
      </c>
      <c r="B58" t="inlineStr">
        <is>
          <t>Senior Data Engineer</t>
        </is>
      </c>
      <c r="C58" t="inlineStr">
        <is>
          <t>Jahnel Group</t>
        </is>
      </c>
      <c r="D58" t="inlineStr">
        <is>
          <t>linkedin</t>
        </is>
      </c>
      <c r="E58" t="inlineStr"/>
      <c r="F58" t="inlineStr"/>
      <c r="G58" t="inlineStr">
        <is>
          <t>Schenectady, NY</t>
        </is>
      </c>
      <c r="H58" t="inlineStr"/>
      <c r="I58" t="inlineStr">
        <is>
          <t>Jahnel Group’s mission is to provide the absolute best environment for software creators to pursue their passion by connecting them with great clients doing meaningful work.
 We get to build some of the most complex and compelling applications for our clients located across the country. We’re a fast\-growing INC 5000 recognized company, yet we still work as a very close\-knit team (100\+ employees). We’re growing like crazy, and if you’re looking for the next place to call home, hit us up for a beer or coffee.
**Who We’re Looking For**
 We are seeking a Senior Data Engineer with strong cloud and data platform experience to design, build, and maintain scalable data solutions that support analytics, reporting, and data\-driven decision\-making.
 This role sits at the intersection of infrastructure, data modeling, and analytics enablement. For more senior candidates, this position may include technical leadership, architectural ownership, and mentorship responsibilities.
**Primary Responsibilities**
* Design, build, and maintain scalable, cloud\-based data pipelines and platforms.
* Develop and optimize batch and event\-driven data workflows primarily in AWS.
* Build and manage data warehousing solutions using Snowflake.
* Ensure data quality, reliability, security, and performance across pipelines and platforms.
* Partner with analytics, product, and client stakeholders to translate business needs into data solutions.
* Design and implement data models that support analytics, reporting, and downstream applications.
* Collaborate with DevOps and platform teams to deploy production\-ready data systems.
* Monitor, troubleshoot, and improve data pipeline performance and cost efficiency.
**Skills and Qualifications**
* 5\+ years of experience as a Data Engineer or in a similar role.
* Strong proficiency in SQL and data modeling concepts.
* Hands\-on experience with Snowflake or similar cloud data warehouses.
* Experience building and operating data pipelines in AWS (e.g., S3, Lambda, Glue, Redshift, MSK, etc.).
* Proficiency with Python or a similar language for data engineering tasks.
* Experience with ETL/ELT frameworks and orchestration tools (e.g., Airflow, dbt).
* Solid understanding of data reliability, security, and governance best practices.
* Experience working in Agile development environments.
* Strong communication skills and comfort working in client\-facing setting.
**Preferred Qualifications**
* Experience with GCP data services (BigQuery, Dataflow, Pub/Sub).
* Exposure to real\-time or streaming data systems (Kafka, MSK, Pub/Sub).
* Prior technical leadership or mentorship experience.
* Familiarity with containerization or orchestration tools (Docker, Kubernetes).
* Experience supporting analytics, BI, or machine learning use cases.
* Cloud or data engineering certifications.
**Where We’re Looking For It**
* Schenectady, New York, United States
* 100% Remote for the right candidate
**Compensation Package (Salary Transparency for US Based Employees)** 
* Salary Range: $120,000 \- $140,000
+ Salary is negotiable based on qualifications, certifications, and experience
* Free Health Insurance Option for all (Single, 2\-Party, and Family)
* 401k Safe Harbor Plan
* Profit Sharing Program
* Generous PTO \- Maternity / Paternity Leave
* Side Hustle Opportunities
* Certification Reimbursement and Bounty Program
**Other Information**
 The work hours will be approximately 9:00 am to 5:00 pm EST, depending on workload, with the occasional late night when a tight deadline calls for it. We work for security\-conscious clients, thus background checks will be required.
**Position available immediately.**</t>
        </is>
      </c>
    </row>
    <row r="59">
      <c r="A59" t="inlineStr">
        <is>
          <t>li-4372010815</t>
        </is>
      </c>
      <c r="B59" t="inlineStr">
        <is>
          <t>Data Engineer</t>
        </is>
      </c>
      <c r="C59" t="inlineStr">
        <is>
          <t>Medasource</t>
        </is>
      </c>
      <c r="D59" t="inlineStr">
        <is>
          <t>linkedin</t>
        </is>
      </c>
      <c r="E59" t="inlineStr"/>
      <c r="F59" t="inlineStr"/>
      <c r="G59" t="inlineStr"/>
      <c r="H59" t="inlineStr"/>
      <c r="I59" t="inlineStr">
        <is>
          <t>**Title:** 
 Data Engineer
**Location:** 
 Minneapolis (100% Remote outside of rare team meetings on\-site)
**Type:** 
 6\-month contract \-\&gt; Full\-Time conversion
 We are seeking a highly skilled Data Engineer to design, build, and optimize modern data pipelines within a cloud\-first architecture. This role will focus heavily on Azure Databricks, CI/CD best practices using GitHub, and workflow orchestration through Apache Airflow.
 You will play a critical role in developing scalable, reliable data solutions that support analytics, reporting, and advanced data initiatives including AI/ML.
**Key Responsibilities** 
* Design, build, and maintain scalable data pipelines using Azure Databricks
* Develop and optimize ETL/ELT workflows using Apache Airflow
* Implement CI/CD pipelines and version control strategies using GitHub
* Collaborate with Data Architects, Analysts, and Data Scientists to deliver high\-quality datasets
* Develop and maintain data models and transformations (batch and streaming)
* Monitor data pipeline performance and troubleshoot production issues
* Ensure data governance, security, and compliance standards are met
* Optimize Spark workloads for performance and cost efficiency in Azure
**Required Qualifications** 
* 3\+ years of experience as a Data Engineer
* Strong experience with Azure Databricks (Spark, PySpark, SQL)
* Hands\-on experience building and maintaining workflows in Apache Airflow
* Proficiency with GitHub for version control and CI/CD
* Strong SQL skills and experience with relational and cloud\-based databases
* Experience working in Azure cloud environments
* Solid understanding of data modeling concepts (star schema, normalization, etc.)
* Experience building scalable, production\-grade data pipelines</t>
        </is>
      </c>
    </row>
    <row r="60">
      <c r="A60" t="inlineStr">
        <is>
          <t>li-4365496014</t>
        </is>
      </c>
      <c r="B60" t="inlineStr">
        <is>
          <t>Data Engineer 2</t>
        </is>
      </c>
      <c r="C60" t="inlineStr">
        <is>
          <t>Microsoft</t>
        </is>
      </c>
      <c r="D60" t="inlineStr">
        <is>
          <t>linkedin</t>
        </is>
      </c>
      <c r="E60" t="inlineStr"/>
      <c r="F60" t="inlineStr"/>
      <c r="G60" t="inlineStr">
        <is>
          <t>Redmond, WA</t>
        </is>
      </c>
      <c r="H60" t="inlineStr"/>
      <c r="I60"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Do you love the excitement and learning opportunity to study, analyze, and deal with the most complex threats to digital security in today's world? Do you have the “learner” mindset, are willing to un\-learn previous skills and learn new ones every day? Are you passionate about solving the challenges of security response teams? If yes, then this opportunity is for you.
 The Telemetry Enforcement Engineering team, within Cyber Defense Operations is looking for a Data Engineer to drive the centralization of access and curation of critical security data while applying operational rigor to ensure real\-time availability and accuracy of thousands of mission\-critical data sources. About CDO \- Cyber Defense Operations. An organization led by Microsoft’s Chief Information Security Officer enables Microsoft to deliver the most trusted software and services. The CDO vision is to ensure all information and services are protected, secured, and available for appropriate use through innovation and a robust risk \&amp; management framework.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Data\-Driven Analysis \- Analyzes key metrics and key performance indicators (KPIs) and other data sources (e.g., bugs, unhealthy data pipeline) and identifies trends in security issues and escalates appropriately. Recommends improvements and/or metrics to address gaps in measurement.
* Leverages multiple sources of data in conducting and interpreting analysis. Evaluates data sets for anomalies and other patterns.
* Technical Insight: Provides technical insight on incident analysis and management, threat mitigation and an ability to translate into platform requirements, partnering closely with software development teams.
* Operational Rigor: Demonstrates exceptional operational rigor with real\-world experience in cyber security operations, threat mitigation and incident response.
* Stakeholder Management: Manages critical stakeholder calls and meetings (including non\-business hours) while addressing critical security incidents.
* Security Knowledge: Possesses extensive hands\-on knowledge of security concepts including cyber\-attacks, techniques, threat vectors, risk management, and incident management.
* Data Engineering \&amp; Management: Understand and administer data source access, availability, while proactively defining controls \&amp; policies to improve access and availability.
* Participate in oncall rotations/duties
**Other**
* Embody our culture and values.
**Qualifications**
**Required Minimum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 1\+ years of experience in a Data Engineer or Software Engineer role with a focus on cloud\-based big data processing.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**Citizenship \&amp; Citizenship Verification** 
 :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**Additional Or Preferred Qualifications**
* 3\+ years of experience in data engineering
* 3\+ years of hands\-on experience with Microsoft Kusto clusters (KQL), Azure Cosmos DB, Azure Access Control methods
* 3\+ years assisting in tuning and optimizing data source and data pipeline availability rules and alerts.
* 3\+ years collaborating with IT, DevOps, and other teams to remediate vulnerabilities and improve security controls/policies.
* 3\+ year pipeline experience, Synapse/Python
* 3\+ years of experience of DRI/Live site Engagement/Oncall experience
* 8\+ years of security operations work experience, with 5 years of experience collaborating with IR/SOC.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1">
      <c r="A61" t="inlineStr">
        <is>
          <t>li-4371787745</t>
        </is>
      </c>
      <c r="B61" t="inlineStr">
        <is>
          <t>Senior Databricks Data Engineer &amp; Architect</t>
        </is>
      </c>
      <c r="C61" t="inlineStr">
        <is>
          <t>Integrātz</t>
        </is>
      </c>
      <c r="D61" t="inlineStr">
        <is>
          <t>linkedin</t>
        </is>
      </c>
      <c r="E61" t="inlineStr"/>
      <c r="F61" t="inlineStr"/>
      <c r="G61" t="inlineStr">
        <is>
          <t>Dallas, TX</t>
        </is>
      </c>
      <c r="H61" t="inlineStr"/>
      <c r="I61" t="inlineStr">
        <is>
          <t>**Company Description** 
 Integrātz is a leader in transforming workflows into efficient drivers of growth and value through innovation, advanced automation, and AI\-driven solutions. We specialize in intelligent integration of workflow systems, data management, and organization\-wide training on smarter ways of working. With a growing global presence, particularly in Latin America, our diverse team combines local insights with global expertise for impactful results. By focusing on enhancing productivity and uncovering hidden potential, we help optimize the supply chain and enable smarter decision\-making for our clients.
**Role Description** 
 This is a full\-time hybrid position based in Dallas, TX, with flexibility to work from home part\-time. As a Senior Databricks Data Engineer \&amp; Architect, you will be responsible for designing, developing, and optimizing data architecture that leverages Databricks for business intelligence and analytics. Daily responsibilities include implementing data engineering solutions, performing Extract, Transform, Load (ETL) processes, and collaborating with cross\-functional teams to define data strategies. You will ensure efficient data modeling, support data analytics initiatives, and deliver robust data solutions to address complex analytical challenges.
**Key Responsibilities** 
* Design, develop, optimize, and maintain scalable data pipelines (batch and streaming) using Databricks, Apache Spark, Delta Lake, and lakehouse patterns (e.g., Medallion Architecture).
* Implement and tune data ingestion, transformation, cleansing, and quality processes from diverse sources (databases, APIs, cloud storage).
* Optimize solutions for performance, cost efficiency, reliability, and scalability in production environments.
* Integrate Databricks with other systems and support data migration/consolidation into unified, trusted ecosystems.
* Collaborate with data science, analytics, business teams, and engineers to deliver end\-to\-end solutions aligned with needs.
* Contribute to data architecture and lakehouse design, including standards for Delta Lake, Unity Catalog (metadata, lineage, access), security, and compliance basics (e.g., GDPR/CCPA).
* Provide technical leadership and mentorship on engineering best practices, CI/CD for data, and production troubleshooting.
* Document pipelines, architectures, and decisions; support ongoing production systems and issue resolution.
* Enable downstream use cases like analytics/BI (e.g., Power BI integration) and promote responsible data practices.
**Qualifications** 
* 7\+ years of hands\-on data engineering experience, with proven delivery of scalable solutions.
* 3\+ years intensive work with Databricks (Spark, Delta Lake, Unity Catalog, lakehouse paradigm).
* Advanced proficiency in SQL, Python (or Scala), data modeling (star/snowflake, schema\-on\-read), ETL/ELT, and distributed systems.
* Strong experience in cloud environments (Azure preferred; AWS/GCP plus).
* Solid grasp of data governance basics, quality, security, and integration strategies.
* Comfortable working independently in distributed teams while guiding others.
* Advanced English proficiency (spoken and written).
* Bachelor’s or higher in Computer Science, Data Engineering, or related (preferred).
**Preferred Skills** 
* Strongly Preferred Certifications:
* Databricks Certified Data Engineer Professional (covers advanced engineering, optimization, governance, production\-grade solutions—ideal for this hybrid seniority).
* Databricks Certified Data Engineer Associate (as a minimum if Professional not yet held).
* Platform\-specific: Azure Databricks Platform Architect Accreditation (or AWS equivalent) for architecture/deployment best practices.
* Experience with Power BI (dashboarding, DAX, modeling), data catalog tools (Unity Catalog, Purview), or low\-code tools like Power Platform.
* Familiarity with CI/CD for data (pipelines), Medallion Architecture, and AI/ML workloads.
* Exposure to analytics/BI/data science collaboration and data storytelling.</t>
        </is>
      </c>
    </row>
    <row r="62">
      <c r="A62" t="inlineStr">
        <is>
          <t>li-4372744970</t>
        </is>
      </c>
      <c r="B62" t="inlineStr">
        <is>
          <t>Senior Data Engineer</t>
        </is>
      </c>
      <c r="C62" t="inlineStr">
        <is>
          <t>Microsoft</t>
        </is>
      </c>
      <c r="D62" t="inlineStr">
        <is>
          <t>linkedin</t>
        </is>
      </c>
      <c r="E62" t="inlineStr"/>
      <c r="F62" t="inlineStr"/>
      <c r="G62" t="inlineStr">
        <is>
          <t>Redmond, WA</t>
        </is>
      </c>
      <c r="H62" t="inlineStr"/>
      <c r="I62" t="inlineStr">
        <is>
          <t>**Overview**
 The M365 Copilot App Platform team delivers the foundational platform that powers the Microsoft 365 Copilot app. We provide the core platform APIs, deployment pipelines, telemetry instrumentation, and infrastructure that enable Copilot experiences across web, Windows, and Mac. Our responsibilities span: \- Application and Platform Ownership: From the app code to backend web servers and middle\-tier services. \- Partner Enablement: All AI\-enabled experiences from partner teams are built on our platform, making us critical to their success. \- Data and Insights: We manage the data pipeline that supports business insights and operational excellence. \- End\-to\-End Delivery: From platform APIs and infrastructure to deployment and monitoring, ensuring reliability and scalability. Our mission is to empower every Copilot experience by providing a robust, secure, and scalable platform that accelerates innovation across Microsoft 365\. As a Senior Data Engineer in the M365 Copilot App Platform team, you will design, build, and optimize scalable data pipelines and platforms that power advanced analytics and AI solutions. You will work closely with software engineers, data scientists, and product teams to ensure reliable, secure, and high\-performance data systems that enable innovation across Microsoft’s Copilot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Data Architecture \&amp; Pipeline Development
* Design and implement robust ETL/ELT workflows for structured and unstructured data using modern data engineering frameworks.
* Scalable Data Solutions: Build distributed data processing systems leveraging technologies such as Spark, Azure Data Lake, and Synapse.
* Data Quality \&amp; Governance: Establish standards for data integrity, lineage, and compliance with enterprise security and privacy policies.
* Performance Optimization: Monitor and tune data pipelines for efficiency, scalability, and cost optimization.
* Data Visualization \&amp; Low\-Code Solutions: Develop and maintain low/no\-code dashboards and data\-driven apps (e.g., Power BI, Vibe\-coded apps) to enable self\-service analytics for stakeholders.
* Experimentation Infrastructure Support: Help maintain and enhance experiment platforms, including Cosmos streams and VC(s), ensuring reliability and scalability for A/B testing and feature experimentation.
* Collaboration \&amp; Mentorship: Partner with cross\-functional teams to integrate data solutions into AI products and mentor team members/engineers on best practices.
* Innovation \&amp; Continuous Improvement: Evaluate emerging technologies and contribute to architectural decisions for next\-generation data platforms.
**Qualifications**
**Required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4\+ years experience in business analytics, data science, software development, data modeling, or data engineering
+ OR equivalent experience.
* 3\+ years experience in building distributed data processing systems leveraging technologies including, but not limited to, Spark, Azure Data Lake, or Synapse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experience in data engineering or software development with a focus on large\-scale data systems
* 2\+ years experience developing and maintaining low/no\-code dashboards and data\-driven apps (e.g., Power BI, Vibe\-coded apps) to enable self\-service analytics for stakeholders
* Proficiency in managing machine learning data pipelines and feature engineering processes
* Proficiency in data security, privacy compliance, and governance frameworks.
* Demonstrate effective communication and collaboration skills in a dynamic, fast\-paced environment
* Creativity, insightfulness, and sensitivity for a dynamic approach to problem\-solving, combined with being motivated and self\-driven, are essential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3">
      <c r="A63" t="inlineStr">
        <is>
          <t>li-4364434401</t>
        </is>
      </c>
      <c r="B63" t="inlineStr">
        <is>
          <t>Senior Data Engineer (Senior Consultant)</t>
        </is>
      </c>
      <c r="C63" t="inlineStr">
        <is>
          <t>PremiumIQ</t>
        </is>
      </c>
      <c r="D63" t="inlineStr">
        <is>
          <t>linkedin</t>
        </is>
      </c>
      <c r="E63" t="inlineStr"/>
      <c r="F63" t="inlineStr"/>
      <c r="G63" t="inlineStr"/>
      <c r="H63" t="inlineStr"/>
      <c r="I63" t="inlineStr">
        <is>
          <t>**About PremiumIQ**
**PremiumIQ** 
 specialize in data analytics for the insurance industry. We help our clients leverage data and advanced analytics to reduce loss ratios, increase revenue, improve claim processing efficiency, and enhance customer satisfaction. We provide technical leadership to help insurance companies develop future\-proof data solutions and elevate their technology teams. Our solutions are adaptable and continuously improving, enabling self\-service at scale on all types of data, whether it's big data, structured data, or unstructured data. Our singular focus on insurance data analytics enables us to bring unparalleled expertise and value to our clients.
**Who You’ll Work With**
 As part of our team, you will lead and develop industry\-leading data analytics solutions for our clients – while working closely with business users and data owners. 
**About You**
 You are passionate about data analytics. You have an entrepreneurial spirit that drives you to tackle new challenges proactively. Your flexibility enables you to adapt to different roles and wear many hats to get the job done. You bring a creative and innovative approach to solving problems, constantly thinking outside the box. As a team player, you enjoy collaborating with others in a close\-knit team environment. 
**What You’ll Do**
* Collaborate with data/solution architects, business analysts, and business teams to understand requirements and deliver data solutions.
* Design and implement scalable, secure, and high\-performance data pipelines.
* Support data quality, governance, and documentation initiatives.
* Automate deployments using CI/CD tools.
* Troubleshoot and resolve issues across development and production environments.
* Contribute to ongoing improvements in architecture, processes, and tooling.
* Work closely with internal and client teams to align on priorities and timelines.
**Required Qualifications**
* 8\+ years of professional work experience in data engineering with at least 2\+ years working on the Snowflake platform is required.
* 2\+ years of professional work experience in the P\&amp;C insurance industry is preferred.
* 2\+ years of experience working for a technical consulting organization.
* Advanced proficiency in SQL, Python, or Scala, and working with structured and semi\-structured data.
* Solid experience with cloud platforms (AWS) and storage services (S3\).
* Hands\-on experience with data orchestration, version control, and CI/CD pipelines is required.
* Strong analytical and problem\-solving skills.
* Excellent communication and collaboration abilities.
* Bachelor’s degree in computer science, engineering, or a related field.
* **Must be authorized to work for any U.S. company
 without requiring visa sponsorship or transfer now or in the future.**
**Benefits**
* Competitive compensation package including base salary, incentive compensation, and equity.
* Health Care Plan (Medical, Dental, \&amp; Vision)
* Retirement Plan (401k)
* Unlimited PTO
**Work Location**
* Preferred location is in the Chicago, IL metro area; however, will consider candidates who live outside of the Chicago area (midwest or east coast preferred).
* Work is usually remote; however, flexibility to travel up to 50% to the client location is required.</t>
        </is>
      </c>
    </row>
    <row r="64">
      <c r="A64" t="inlineStr">
        <is>
          <t>li-4372743246</t>
        </is>
      </c>
      <c r="B64" t="inlineStr">
        <is>
          <t>Data Engineer</t>
        </is>
      </c>
      <c r="C64" t="inlineStr">
        <is>
          <t>Wiraa</t>
        </is>
      </c>
      <c r="D64" t="inlineStr">
        <is>
          <t>linkedin</t>
        </is>
      </c>
      <c r="E64" t="inlineStr"/>
      <c r="F64" t="inlineStr"/>
      <c r="G64" t="inlineStr"/>
      <c r="H64" t="inlineStr"/>
      <c r="I64" t="inlineStr">
        <is>
          <t>**About The Company**
 Northwestern Medicine is a leading healthcare provider committed to delivering world\-class care through innovation, research, and a dedicated community of healthcare professionals. Powered by a collaboration with Northwestern University Feinberg School of Medicine, the organization emphasizes diversity, equity, and inclusion to foster a culture of excellence and service. Northwestern Medicine supports its staff with comprehensive training, mentorship, and development programs, enabling employees to grow their careers while contributing to groundbreaking medical advancements. With a focus on patient\-centered care, the organization leverages advanced technology and research to shape the future of medicine and improve health outcomes across communities.
**About The Role**
 The Data Engineer plays a pivotal role in supporting Northwestern Medicine’s mission to transform healthcare through innovative data solutions. This position involves designing, developing, and maintaining data warehouse and analytics systems to facilitate data\-driven decision\-making across the organization. The Data Engineer will work closely with cross\-functional teams to synthesize raw data into actionable insights, ensuring data integrity, quality, and security. This role requires a strong technical background in data modeling, ETL processes, and advanced SQL, along with the ability to collaborate effectively with business stakeholders and technical teams. The ideal candidate will be passionate about leveraging emerging technologies, such as AI and automation, to enhance healthcare delivery and operational efficiency.
**Qualifications**
* Bachelor’s degree in Computer Science, Information Technology, or related field, or equivalent experience (additional 4 years of experience may be considered)
* Minimum of five years’ experience in data querying, analysis, and data modeling/architecture
* Proficiency in data warehousing models and design fundamentals (e.g., Kimball methodology)
* Experience developing and maintaining ETL/data pipelines using tools such as Microsoft SSIS or Azure Data Factory
* Hands\-on experience with OLAP or Tabular cube software
* Strong SQL skills for data extraction, manipulation, and reporting, including complex queries and stored procedures
* Experience working in Agile development environments
* Knowledge of relational databases and data visualization tools such as Power BI, Tableau, Crystal Reports, or SSRS
* Advanced proficiency in Python (1\-2 years), with demonstrated work in developing data solutions
 Preferred qualifications include experience with application development supporting relational databases, statistical analysis tools like R or Python, Epic Clarity data, and healthcare data systems. Prior experience within a health system is advantageous.
**Responsibilities**
* Design, develop, and maintain data warehouse and analytical solutions to support organizational decision\-making
* Serve as a subject matter expert on data warehouse content and architecture, translating raw data into meaningful insights
* Collaborate with architecture teams to ensure solutions align with data standards and best practices
* Develop and optimize complex SQL queries, stored procedures, and ETL pipelines to ensure data accuracy and performance
* Assist in source\-target data mapping, data quality profiling, and change data capture processes
* Research emerging technologies and incorporate innovative solutions to enhance data infrastructure
* Engage with business users to gather requirements, analyze needs, and recommend analytical solutions
* Document system modifications, programming changes, and integration approaches for clarity and future reference
* Lead and manage analytics projects, ensuring timely delivery and exceeding stakeholder expectations
* Support multi\-departmental initiatives by providing technical expertise and analytical insights
* Mentor junior team members, sharing best practices in data tools and methodologies
* Provide training and ongoing support for analytics tools and systems used across the organization
**Benefits**
* Generous tuition reimbursement of up to $10,000 annually (including part\-time options)
* Student loan repayment assistance up to $10,000 per year
* Annual professional development stipend of $1,000
* Wellbeing fund of $250 per year to support health and wellness initiatives
* Matching 401(k) retirement plan
* Comprehensive medical, dental, and vision insurance plans
* Life insurance coverage
* Annual salary increases and performance\-based incentive bonuses
* Paid time off and holiday pay
* Remote work options available for Illinois, Wisconsin, Indiana, Missouri, Iowa, and Ohio residents
 Equal Opportunity
 Northwestern Medicine is an equal opportunity employer committed to fostering a diverse and inclusive workplace. We do not discriminate on the basis of age, sex, race, color, religion, national origin, gender identity, veteran status, disability, sexual orientation, or any other protected characteristic. We value the unique perspectives and experiences of all employees and are dedicated to providing an equitable environment for everyone.</t>
        </is>
      </c>
    </row>
    <row r="65">
      <c r="A65" t="inlineStr">
        <is>
          <t>li-4372744326</t>
        </is>
      </c>
      <c r="B65" t="inlineStr">
        <is>
          <t>Data Engineer</t>
        </is>
      </c>
      <c r="C65" t="inlineStr">
        <is>
          <t>Elity Global</t>
        </is>
      </c>
      <c r="D65" t="inlineStr">
        <is>
          <t>linkedin</t>
        </is>
      </c>
      <c r="E65" t="inlineStr"/>
      <c r="F65" t="inlineStr"/>
      <c r="G65" t="inlineStr"/>
      <c r="H65" t="inlineStr"/>
      <c r="I65" t="inlineStr">
        <is>
          <t>We are seeking an experienced
 **Data Engineer** 
 to join a global data engineering team in New York, supporting a high\-performing Credit Trading group and systematic ETF strategies.
 In this role, you will design and deliver robust data solutions that power both real\-time trading systems and long\-term quantitative research. You will work across the full data lifecycle \- from sourcing and modeling to validation and API delivery \- ensuring high\-quality, scalable datasets that directly impact trading performance.
 This is a hands\-on engineering position at the intersection of data, quantitative research, and financial markets.
**What You’ll Do** 
* Develop analytics and frameworks to evaluate trade\-offs across returns, flow, and risk drivers
* Partner with quantitative researchers and market data specialists to quantify market signals and support risk\-taking decisions
* Model, normalize, and structure complex financial datasets for both research and live trading environments
* Own the reliability, performance, and accessibility of critical datasets and associated data APIs
* Collaborate closely with alpha researchers, pricing teams, and engineers to deliver scalable, production\-grade data solutions
* Implement monitoring, validation, and quality controls to ensure data accuracy and consistency
* Contribute to scalable data platform architecture supporting large\-scale analytical workloads
**What We’re Looking For** 
* 3\+ years of experience as a Data Engineer, Data Scientist, or similar role in a performance\-driven environment (financial services experience strongly preferred)
* Strong Python skills, including experience with libraries such as
 **Pandas, Arrow, and Spark**
* Solid expertise in
 **data modeling, normalization, and API development** 
 for analytical or trading systems
* Experience working with
 **lakehouse architectures** 
 (e.g., Delta Lake, Databricks, AWS)
* Familiarity with fixed income data sources such as CDS, corporate/capital structure datasets, and bond NAVs
* Strong engineering fundamentals with a focus on scalability, reliability, and performance in distributed systems
* Working knowledge of statistical models and quantitative finance concepts
* High attention to detail and strong organizational skills
* Comfortable operating in a fast\-paced, collaborative environment
* Legal authorization to work in the U.S. is required
**What’s on Offer** 
* Highly competitive base salary compensation ranging from 180,000 USD\-250,000 USD
* Performance\-based bonus structure
* Participation in a global profit\-sharing pool
* 401(k) matching
* Comprehensive health, dental, vision, and life insurance coverage
* Generous paid time off plus market holidays
* Modern office environment with daily meals, snacks, and regular social and sporting activities
* Opportunity to work alongside internationally diverse, top\-tier professionals
 Feel free to check our website for more openings and let's get in touch for your next challenge in 2026!
**https://elityglobal.com/careers**</t>
        </is>
      </c>
    </row>
    <row r="66">
      <c r="A66" t="inlineStr">
        <is>
          <t>li-4372745167</t>
        </is>
      </c>
      <c r="B66" t="inlineStr">
        <is>
          <t>Data Engineer II</t>
        </is>
      </c>
      <c r="C66" t="inlineStr">
        <is>
          <t>Wiraa</t>
        </is>
      </c>
      <c r="D66" t="inlineStr">
        <is>
          <t>linkedin</t>
        </is>
      </c>
      <c r="E66" t="inlineStr"/>
      <c r="F66" t="inlineStr"/>
      <c r="G66" t="inlineStr"/>
      <c r="H66" t="inlineStr"/>
      <c r="I66" t="inlineStr">
        <is>
          <t>**About The Company**
 Bestow is a pioneering technology company dedicated to transforming the life insurance industry by providing innovative infrastructure solutions. Recognized as a leader in vertical insurtech, Bestow serves some of the largest and most forward\-thinking life insurers. Our platform unifies the traditionally fragmented and legacy\-driven value chain, enabling carriers to launch new products in a matter of weeks rather than years. By leveraging advanced AI and automation, we empower insurers to scale rapidly and operate efficiently, ultimately making life insurance more accessible to a broader audience. Backed by prominent investors such as Goldman Sachs, Hedosophia, NEA, Valar, and 8VC, Bestow is trusted by major carriers and industry leaders. Our mission is to build the infrastructure that accelerates industry growth, enhances reach, and fulfills the promise of life insurance. We offer flexible remote and hybrid work arrangements, meaningful benefits, equity options, and substantial growth opportunities for our team members. Committed to fostering an inclusive and innovative environment, Bestow participates in the E\-Verify Program and values diversity and individual authenticity.
**About The Role**
 We are seeking a highly skilled Data Engineer to join our dynamic Data Engineering team. In this role, you will be instrumental in designing, developing, and maintaining scalable data solutions that support our platform and external integrations. You will collaborate closely with internal teams such as analytics, data science, product, and engineering to improve data architecture, prototype rapidly, and serve data science predictions effectively. Your expertise will help enhance data reliability, efficiency, and quality across the organization. As part of our cloud\-first environment, you will work with cutting\-edge tools and technologies to bring data workloads into production, support MLOps initiatives, and enable Generative AI pipelines. This position offers an exciting opportunity to contribute to a fast\-growing SaaS company that is redefining the life insurance landscape through innovative data solutions and automation.
**Qualifications**
* 4\+ years of experience in a data engineering role supporting internal and external products
* 2\+ years of experience designing end\-to\-end data pipelines in cloud environments (GCP, AWS, Azure)
* 2\+ years of proficiency in Python or similar programming languages
* 2\+ years of experience building streaming data ingestion pipelines
* 1\+ year of experience supporting or implementing Machine Learning (ML) or MLOps
* Deep SQL expertise with columnar databases such as Google BigQuery, Snowflake, or Amazon Redshift
* Experience with AI coding assistants and AI tools integrated into development workflows
* Experience building CI/CD pipelines using tools like Docker, CircleCI, dbt, git
* Proficiency with Infrastructure as Code (IaC) tools such as Terraform or Pulumi
* Experience with data orchestration tools like Apache Airflow or similar
* Knowledge of IT security practices including IAM, data encryption, and key management
* Ability to learn new technologies rapidly and adapt to evolving project requirements
 Nice to have: Experience with Generative AI (GenAI) tools, data contracts, data lakes, and API development.
**Responsibilities**
* Design, develop, and maintain robust data transfer solutions for first\-party and third\-party applications to and from our data warehouse
* Collaborate with cross\-functional teams to create scalable, reliable, and automated data pipelines
* Develop and implement CI/CD data models and pipelines to support reporting, modeling, and machine learning initiatives
* Enhance data availability through various delivery methods including push, cloud, and event\-driven sharing (API, gRPC)
* Ensure data quality via automated monitoring, alerting, and periodic data validation processes
* Leverage Google Cloud Platform tools and services to deploy and manage data workloads in production environments
* Support MLOps frameworks to improve data science monitoring, governance, and deployment processes
* Enable and support Generative AI pipelines to facilitate rapid prototyping and product deployment
* Work closely with product, engineering, and stakeholder teams to deliver data\-driven solutions aligned with business needs
* Maintain and improve existing data infrastructure, ensuring high performance, security, and compliance
**Benefits**
* Competitive salary and equity compensation packages
* Flexible work arrangements including remote and hybrid options
* 100% paid premiums for medical, dental, and vision insurance
* Lifestyle stipend supporting physical, emotional, and financial wellbeing
* Generous paid time off policies and parental leave programs
* Opportunities for professional growth and career advancement
* Participation in employee\-led diversity, equity, and inclusion initiatives
* A collaborative and inclusive work environment recognized as a Great Place to Work and Fortunes Best Workplace
 Equal Opportunity
 Bestow is an equal opportunity employer committed to fostering an inclusive environment for all employees. We do not discriminate based on race, color, religion, sex, sexual orientation, gender identity or expression, national origin, pregnancy, veteran status, or any other protected category under applicable law. We encourage individual authenticity and diversity, believing that varied perspectives drive innovation and success. All qualified applicants will receive consideration for employment without regard to any protected characteristic.</t>
        </is>
      </c>
    </row>
    <row r="67">
      <c r="A67" t="inlineStr">
        <is>
          <t>li-4372755699</t>
        </is>
      </c>
      <c r="B67" t="inlineStr">
        <is>
          <t>Senior Data Engineer</t>
        </is>
      </c>
      <c r="C67" t="inlineStr">
        <is>
          <t>KDR Talent Solutions</t>
        </is>
      </c>
      <c r="D67" t="inlineStr">
        <is>
          <t>linkedin</t>
        </is>
      </c>
      <c r="E67" t="inlineStr"/>
      <c r="F67" t="inlineStr"/>
      <c r="G67" t="inlineStr"/>
      <c r="H67" t="inlineStr"/>
      <c r="I67" t="inlineStr">
        <is>
          <t>Senior Data Engineer – Insurance \| Databricks \| ADF (Remote)
 We’re hiring a
 **Senior Data Engineer** 
 to play a key role in building a next\-generation data platform for a specialist insurer investing heavily in AI.
 This is a high\-impact role in a small, agile team \- not BAU. You’ll lead on building out a new
 **Databricks platform** 
 , drive POCs, and work closely with senior stakeholders across the business.
 🔥 You MUST have:
* ✔️ Strong
 **Insurance experience** 
 (General Insurance / P\&amp;C / Reinsurance)
* ✔️ Hands\-on
 **Databricks**
* ✔️ Strong
 **Azure Data Factory (ADF)**
* ✔️ Solid data engineering fundamentals (Spark, Python, SQL)
 If you don’t have insurance domain experience, this role won’t be a fit.
 💡 Why this role?
* Lead role in building a new platform from the ground up
* Heavy investment in AI
* New CIO big on certifications \&amp; innovation
* Real autonomy and variety
* Fully remote
* Genuinely flexible culture (far more than most insurers)
 This is ideal for someone who wants exposure, ownership, and the chance to shape something meaningful — not just maintain pipelines.</t>
        </is>
      </c>
    </row>
    <row r="68">
      <c r="A68" t="inlineStr">
        <is>
          <t>li-4346915032</t>
        </is>
      </c>
      <c r="B68" t="inlineStr">
        <is>
          <t>Data Engineer</t>
        </is>
      </c>
      <c r="C68" t="inlineStr">
        <is>
          <t>West Monroe</t>
        </is>
      </c>
      <c r="D68" t="inlineStr">
        <is>
          <t>linkedin</t>
        </is>
      </c>
      <c r="E68" t="inlineStr"/>
      <c r="F68" t="inlineStr"/>
      <c r="G68" t="inlineStr"/>
      <c r="H68" t="inlineStr"/>
      <c r="I68" t="inlineStr">
        <is>
          <t>**Are you ready to make an impact?**
 West Monroe is seeking a talented Data Engineer to join our Data Engineering \&amp; Analytics team. In this role, you will collaborate with our clients to address their most complex needs, working alongside a team of highly skilled engineers and architects. You will also be involved in strategic enterprise data projects and large\-scale implementations.
**Responsibilities** 
* Support projects leveraging an agile delivery model through requirements gathering and documentation, data ingestion pipeline development, and technical testing.
* Contribute to project delivery in the following ways:
+ Add configurations for data enrichments such as lookups, type conversions, calculations, and concatenations
+ Add data quality rules
+ Connect to new data sources
+ Map multiple sources into a single output
+ Interpret error messages to troubleshoot data pipelines
+ Create outputs that facilitate reporting, dashboarding, and semantic modeling for tools such as Tableau and Power BI
+ Test data pipelines to ensure accuracy
* Work closely with our clients as part of the development team to gather technical requirements and develop solutions
* Coordinate activities with data source application owners to understand the underlying data, ensure integration and data integrity
* Build relationships with clients through written and verbal communication
**Qualifications**
* 1 \- 4 years of hands\-on professional development experience
* Experience writing complex SQL queries related to data manipulation strategies
* Experience with Spark, Databricks, Kafka, Kinesis, Hadoop, and/or Lambda
* Exposure using ETL tools (Azure Data Factory, AWS Glue, Informatica, Talend, IBM DataStage, etc.), and/or database platforms (Snowflake, Redshift, Azure Synapse, or Oracle)
* Exposure to data visualization tools (Tableau, Power BI, Looker)
* Experience in technical testing, issue identification and resolution
* Strong verbal and written communication skills
* Ability to travel 30 to 50% to client sites
* Hybrid role \- 2 days a week in office
 Based on pay transparency guidelines, the salary range for this role can vary based on your proximity to one of our West Monroe offices (see table below). Information on our competitive total rewards package, including our bonus structure and benefits is here. Individual salaries are determined by evaluating a variety of factors including geography, experience, skills, education, and internal equity.
 Employees (and their families) are covered by medical, dental, vision, and basic life insurance. Employees are able to enroll in our company’s 401k plan, purchase shares from our employee stock ownership program and be eligible to receive annual bonuses. Employees will also receive unlimited flexible time off and ten paid holidays throughout the calendar year. Eligibility for ten weeks of paid parental leave will also be available upon hire date.
 Seattle or Washington, D.C.
 $92,800—$109,200 USD
 Los Angeles
 $97,200—$114,400 USD
 New York City or San Francisco
 $101,700—$119,600 USD
 A location not listed above
 $88,400—$104,000 USD
 Other consultancies talk at you.
 At West Monroe, we work with you.
 We’re a global business and technology consulting firm passionate about creating measurable value for our clients, delivering real\-world solutions.
 The combination of business and technology is not new, but how we bring them together is unique. We’re fluent in both. We know that technology alone is not the answer, but how we apply it is. We rely on data to constantly adapt and solve new challenges. Actions that work today with outcomes that generate value for years to come.
 At West Monroe, we zero in on the heart of the opportunity, getting to results faster and preparing people for what’s next.
 You’ll feel the difference in how we work. We show up personally. We’re right there in the room with you, co\-creating through the challenges. With West Monroe, collaboration isn’t a lofty promise, but a daily action. We work together with you to turn vision into clear action with lasting impact.
**West Monroe** 
**is an Equal Employment Opportunity Employer**
 We believe in treating each employee and applicant for employment fairly and with dignity. We base our employment decisions on merit, experience, and potential, without regard to race, color, national origin, sex, sexual orientation, gender identity, marital status, age, religion, disability, veteran status, or any other characteristic prohibited by federal, state or local law. To learn more about diversity, equity and inclusion at West Monroe, visit www.westmonroe.com/inclusion. If you require a reasonable accommodation to participate in our recruiting process, please inquire by sending an email to recruiting@westmonroe.com.
 Please review our current policy regarding use of generative artificial intelligence during the application process.
 If you are based in California, we encourage you to read West Monroe’s Notice at Collection for California residents, provided pursuant to the California Consumer Privacy Act (CCPA) and linked here.</t>
        </is>
      </c>
    </row>
    <row r="69">
      <c r="A69" t="inlineStr">
        <is>
          <t>li-4341006817</t>
        </is>
      </c>
      <c r="B69" t="inlineStr">
        <is>
          <t>Data Engineer</t>
        </is>
      </c>
      <c r="C69" t="inlineStr">
        <is>
          <t>Certified Group</t>
        </is>
      </c>
      <c r="D69" t="inlineStr">
        <is>
          <t>linkedin</t>
        </is>
      </c>
      <c r="E69" t="inlineStr"/>
      <c r="F69" t="inlineStr"/>
      <c r="G69" t="inlineStr">
        <is>
          <t>New York, NY</t>
        </is>
      </c>
      <c r="H69" t="inlineStr"/>
      <c r="I69" t="inlineStr">
        <is>
          <t>**About the Role** 
 We are seeking an experienced Data Engineer / Database Administrator with a strong background in the healthcare or laboratory industry to design, build, and maintain secure, compliant, and high\-performance data systems. This role requires expertise in the Microsoft technology stack, including Azure, Synapse Analytics, and SQL Server, as well as a deep understanding of data governance and interoperability in healthcare environments.
 You will play a key role in developing and optimizing data infrastructure that supports clinical operations, reporting, analytics, and regulatory compliance.
**Key Responsibilities** 
 Data Engineering
 •    Design, build, and maintain robust data pipelines using Azure Data Factory, Synapse Pipelines, and related services to ingest and transform large healthcare datasets.
 •    Develop scalable data warehouse and data lake solutions on Azure Synapse to support analytics, machine learning, and business intelligence initiatives.
 •    Create and maintain data models optimized for performance, reliability, and scalability.
 •    Collaborate with laboratory information systems (LIS), electronic health records (EHR), and other healthcare data sources to ensure seamless integration and interoperability.
 •    Implement data quality, validation, and auditing processes to ensure integrity across all data assets.
 Database Administration
 •    Administer and optimize Microsoft SQL Server databases across on\-premise and cloud environments.
 •    Design and tune indexes, stored procedures, and queries for optimal performance.
 •    Manage database security, roles, and access controls to maintain compliance with HIPAA, HITECH, and organizational standards.
 •    Oversee backup, recovery, and disaster recovery strategies for mission\-critical healthcare systems.
 •    Monitor database performance and availability using tools like Azure Monitor, SQL Profiler, and Log Analytics.
 Collaboration \&amp; Strategy
 •    Partner with data scientists, analysts, clinicians, and application developers to support reporting and analytics use cases.
 •    Define and enforce data architecture standards and documentation within the organization.
 •    Stay up to date with Microsoft’s evolving data ecosystem, recommending tools and practices that enhance scalability, performance, and compliance.
**Qualifications** 
 •    Bachelor’s degree in Computer Science, Information Systems, or related field (Master’s preferred).
 •    5\+ years of experience as a Data Engineer, Database Administrator, or similar role, preferably in a healthcare or laboratory environment.
 •    Strong proficiency in T\-SQL, SSIS, and Azure Synapse Analytics.
 •    Proven experience with Azure Data Factory, Azure Data Lake Storage, Azure SQL Database, and Power BI.
 •    In\-depth understanding of data modeling, ETL development, and data warehouse design within Microsoft ecosystems.
 •    Solid grasp of data security, encryption, and compliance standards in healthcare (HIPAA, PHI, HL7, FHIR).
 •    Experience with CI/CD for data solutions using tools such as Azure DevOps or GitHub Actions.
 •    Excellent problem\-solving skills, attention to detail, and ability to communicate complex technical concepts to non\-technical stakeholders.
**Preferred Skills** 
 •    Experience integrating data from LIS, EHR, or LIMS platforms.
 •    Familiarity with Python or .NET for data automation and custom integrations.
 •    Knowledge of Power BI administration and data governance frameworks (Purview, Collibra, etc.).
 •    Exposure to machine learning pipelines in Azure ML or Databricks environments.</t>
        </is>
      </c>
    </row>
    <row r="70">
      <c r="A70" t="inlineStr">
        <is>
          <t>li-4332884985</t>
        </is>
      </c>
      <c r="B70" t="inlineStr">
        <is>
          <t>Sr. Data Engineer</t>
        </is>
      </c>
      <c r="C70" t="inlineStr">
        <is>
          <t>SS&amp;C Technologies</t>
        </is>
      </c>
      <c r="D70" t="inlineStr">
        <is>
          <t>linkedin</t>
        </is>
      </c>
      <c r="E70" t="inlineStr"/>
      <c r="F70" t="inlineStr"/>
      <c r="G70" t="inlineStr">
        <is>
          <t>Boston, MA</t>
        </is>
      </c>
      <c r="H70" t="inlineStr"/>
      <c r="I70"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Data Engineer**
**Locations** 
 : San Francisco, CA / Jacksonville, FL / Boston, MA / New York, NY (Hybrid)
**Get To Know The Team:**
 Our mission and team are expanding, and we are looking for motivated people who want to be part of an exciting growth opportunity in the Fintech industry.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Join a team that creates a leading cloud platform with the latest big data, cloud\-native and machine learning technologies
* Build and implement models in a production environment for a revenue\-driving product.
* Create and maintain overall optimal data infrastructure.
* Assemble large, complex data sets that meet functional / non\-functional business requirements.
* Manage data migrations/conversions and troubleshoot data processing issues.
* Create the pipeline for optimal extraction, transformation, and loading (ETL) of data from a wide variety of data sources.
* Build machine learning functions to help with data automation and data preparation.
* Work closely with our product team and data warehouse engineers to build analytics tools and dashboards that utilize the data pipeline to provide actionable insights into customer acquisition, operational efficiency, and other key business performance metrics.
* Work with other data experts to strive for greater functionality in our data systems.
* Discover more innovative machine\-learning solutions that can drive business values.
**What You Will Bring:**
* Passionate about big data and building a platform.
* Proficient coding skills and strong algorithm \&amp; data structure basis.
* Knowledge of one or multiple of the tools: Hadoop, Spark, Presto, Hive, Kafka, or Airflow.
* Skills in transforming data, developing data structures, building a metadata store, and setting up data pipelines or data workflows.
* Experience in getting data through API with Python or other programming languages such as JavaScript, Java, C\#, Scala, etc
* Strong problem\-solving skills with a can\-do attitude.
* Great software engineering best practices with git and version control systems.
* Solid communication skills to explain complex data pipelines to both technical and non\-technical people.
* Excellent writing and documenting skills.
* Self\-starter and self\-motivated.
* Bachelor’s Degree in Computer Science, Information Systems or other STEM field
* 5\+ years of experience in data engineering or a related field required
**Bonus if you have**
* Machine learning academic or working experiences.
* Kubernetes or docker knowledge.
* Experience with AWS Glue, Azure Data Factory, or Data Bricks.
 Thank you for your interest in SS\&amp;C! To further explore this opportunity, please apply through our careers page on the corporate website at www.ssctech.com/careers.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71">
      <c r="A71" t="inlineStr">
        <is>
          <t>li-4368441645</t>
        </is>
      </c>
      <c r="B71" t="inlineStr">
        <is>
          <t>Senior Data Engineer</t>
        </is>
      </c>
      <c r="C71" t="inlineStr">
        <is>
          <t>U.S. Bank</t>
        </is>
      </c>
      <c r="D71" t="inlineStr">
        <is>
          <t>linkedin</t>
        </is>
      </c>
      <c r="E71" t="inlineStr"/>
      <c r="F71" t="inlineStr"/>
      <c r="G71" t="inlineStr">
        <is>
          <t>Minneapolis, MN</t>
        </is>
      </c>
      <c r="H71" t="inlineStr"/>
      <c r="I71"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Key Responsibilities:
 Data Lake Architecture and Experience:
* Guide team to migrate from on Prem Cloudera to Azure cloud environment.
* Designed and implemented scalable data lake solutions using Snowflake and Databricks, Developed and optimized data pipelines for ingestion, transformation, and storage.
* Managed data governance, quality, and security across cloud environments and Implemented performance tuning, automation, and CI/CD for data workflows.
* Collaborated with cross\-functional teams to support cloud migration activities
 Cloudera Cluster Management:
* Install, configure, manage, and monitor Cloudera Hadoop clusters, ensuring high availability, performance, and security. This includes managing HDFS, YARN, and other ecosystem components.
 Performance Optimization:
* Tune Hadoop, Hive, and Spark jobs and configurations for optimal performance, efficiency, and resource utilization. This includes optimizing queries, managing partitions, and leveraging in\-memory capabilities.
 Troubleshooting and Support:
* Diagnose and resolve issues related to Linux servers, networks, cluster health, job failures, and performance bottlenecks. Provide on\-call support and collaborate with other teams to ensure smooth operations.
 Security, Governance, and Secrets Management:
* Implement and manage security measures within the Cloudera environment, including Kerberos, Apache Ranger, and Atlas, to ensure data governance and compliance.
* Setup and manage HashiCorp Vault for secure keys and secrets management.
* Utilize CyberArk for privileged access management and secure administrative tasks on the cluster.
 Data and Application Migration:
* Migrate Hadoop, Hive, and Spark data and applications to Azure cloud services such as Azure Synapse Analytics, Azure Databricks, or Snowflake. Ensure data integrity, performance tuning, and validation.
* Automation and Scripting: Develop scripts (e.g., shell, Ansible, Python) for automating administrative tasks, deployments, and monitoring. Work with users to develop, debug, optimize Hive/Spark/Python programs that connect to the Cloudera environment.
 Documentation:
* Create and maintain documentation for system configurations, operational procedures, and troubleshooting knowledge bases.
 Vendor Collaboration:
* Work closely with the Cloudera vendor to stay current with the latest releases, perform upgrades, and address vulnerabilities.
**Basic Qualifications**
* Advanced degree in Computer Science, Engineering, or related field.
* Deep expertise in Data Engineering and Management technologies, synthetic data, automation, advanced analytics.
* 7\+ years of hands\-on experience in Data engineering, Cloud platform management, and performance optimization.
* Hands\-on experience with Hadoop, Hive, Spark, and migration of Big Data into Azure cloud services.
* Working knowledge and hands\-on experience in Data Integration and Data Lake Architectures with Databricks and Snowflake platforms.
* Working knowledge of Microsoft Azure cloud and big data migration to cloud platforms.
* Proficiency in Linux, clustering, and distributed systems.
* Expertise in Hive and Spark for data processing and analytics.
* Expertise in Hadoop ecosystem components such as HDFS, YARN, Hive, Spark, and Sqoop.
* Proficiency in languages such as shell, Python, Pyspark for automating workflows, deployments, and monitoring.
* Expertise in Linux, Network, Python scripting, DNS, Kerberos, LDAP/AD, JupyterHub.
* Experience in creating and maintaining documentation for system configurations, operational procedures, and troubleshooting knowledge bases.
* Strong problem\-solving skills and the ability to diagnose and resolve system failures and performance bottlenecks.
* Excellent communication and collaboration skills to work effectively with cross\-functional teams
* Preferred Skills and Experience:
* Strong experience with Cloudera Hadoop distribution administration.
* Strong problem\-solving, analytical skills.
* Deep understanding of banking, operations, risk, and compliance—pairing technical fluency with business and regulatory acumen.
* Experience on change management process and addressing PCI and PII data requirements.
* Experience in cloud\-native architectures (Azure/AWS), Kubernetes, Docker, and containerized workflows.
* Experience in implementing secure systems with secure API design, IAM integration, Kerberos, Active Directory, and Azure SSO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72">
      <c r="A72" t="inlineStr">
        <is>
          <t>li-4372759655</t>
        </is>
      </c>
      <c r="B72" t="inlineStr">
        <is>
          <t>Data Engineer</t>
        </is>
      </c>
      <c r="C72" t="inlineStr">
        <is>
          <t>Huxley</t>
        </is>
      </c>
      <c r="D72" t="inlineStr">
        <is>
          <t>linkedin</t>
        </is>
      </c>
      <c r="E72" t="inlineStr"/>
      <c r="F72" t="inlineStr"/>
      <c r="G72" t="inlineStr"/>
      <c r="H72" t="inlineStr"/>
      <c r="I72" t="inlineStr">
        <is>
          <t>Data Engineer Position in New York City
 Join Our Client's Innovative Team
 Are you a problem\-solver with a passion for data? Our client, an organization positioned at the forefront of technology, is seeking a skilled and motivated Data Engineer to join their permanent team in New York City. This is a fantastic opportunity for a professional looking to contribute to transformative projects while advancing their career in a dynamic and supportive environment. As part of a forward\-thinking company, you will have the chance to work with cutting\-edge tools, collaborate with a talented team of experts, and shape meaningful solutions that drive business success.
 Key Skills and Responsibilities:
* **Data Engineering Expertise:** 
 Design, build, and maintain scalable data pipelines to support diverse business needs. You will play a critical role in ensuring that data is accessible, reliable, and optimized for performance, enabling stakeholders to make data\-driven decisions efficiently.
* **Problem\-Solving Abilities:** 
 Tackle complex data challenges with efficiency and innovation. Whether it's identifying inefficiencies in existing systems or architecting entirely new data solutions, your creativity and technical acumen will be essential to overcoming obstacles and delivering results.
* **Collaborative Mindset:** 
 Work seamlessly within our client's team to deliver impactful results. You will collaborate with cross\-functional teams, including data scientists, analysts, and business leaders, to ensure alignment and success across all projects.
* **Adaptability:** 
 Thrive in a fast\-paced, evolving environment while delivering high\-quality outcomes. The ability to adapt to new technologies, methodologies, and business priorities is crucial to staying ahead in this dynamic role.
 This position offers the opportunity to work on cutting\-edge projects in one of the most vibrant cities in the world. As a Data Engineer, you will gain exposure to high\-impact initiatives that drive innovation and create value for the organization. You will also have the chance to hone your technical skills, expand your professional network, and contribute to a culture that values creativity, collaboration, and continuous learning.
 If you are ready to make an impact and grow as a Data Engineer, we encourage you to apply today. Be a part of our client's talented team and take the next step in your professional journey. This is more than just a job\-it's a chance to grow, innovate, and excel in a supportive and dynamic environment where your contributions will be truly valued.
 Don't miss out, apply now to embark on this exciting new chapter in your career! Take the first step towards a rewarding future in data engineering and join a team that is shaping the future of technology.
**EOE Statement:**
 Specialist Staffing Group is an equal opportunity employer. All qualified applicants will receive consideration for employment without regard to race, color, religion, sex, sexual orientation, gender identity, national origin, disability, or veteran status.
 In addition to base pay, direct\-hire employees may be eligible for client offered benefits such as medical, dental, and vision coverage, and paid leave where required by applicable law. Eligibility may vary based on factors such as location and hire date and is subject to change.
***To find out more about Huxley, please visit
 www.huxley.com***</t>
        </is>
      </c>
    </row>
    <row r="73">
      <c r="A73" t="inlineStr">
        <is>
          <t>li-4372782735</t>
        </is>
      </c>
      <c r="B73" t="inlineStr">
        <is>
          <t>Senior Data Engineer</t>
        </is>
      </c>
      <c r="C73" t="inlineStr">
        <is>
          <t>General Dynamics Information Technology</t>
        </is>
      </c>
      <c r="D73" t="inlineStr">
        <is>
          <t>linkedin</t>
        </is>
      </c>
      <c r="E73" t="inlineStr"/>
      <c r="F73" t="inlineStr"/>
      <c r="G73" t="inlineStr"/>
      <c r="H73" t="inlineStr"/>
      <c r="I73" t="inlineStr">
        <is>
          <t>****Job Description:****
**Type of Requisition:**
 Regular
****Clearance Level Must Currently Possess:****
 None
****Clearance Level Must Be Able To Obtain:****
 None
****Public Trust/Other Required:****
 NACI (T1\)
****Job Family:****
 Data Science and Data Engineering
****Skills:****
**Job Qualifications:**
 Analytics, Data Mining, ETL Pipelines
****Certifications:****
 None
****Experience:****
 5 \+ years of related experience
****US Citizenship Required:****
 No
****Job Description:****
 GDIT is your place. You make it your own by bringing your ideas and unique perspective to our culture. By owning your opportunity at GDIT, you are helping us ensure today is safe and tomorrow is smarter. Our work depends on a
 **Senior** 
**Data Engineer** 
 joining our team to support our customer activities in Washington, DC.  This position can be worked Remote.
****Job Description****
 At GDIT, people are our differentiator. As a
 **Senior** 
**Data Engineer** 
 supporting our Customer, you will perform communication\-related duties.  In this role, a typical day will include:
 The Senior Data Engineer provides advanced analytical, machine learning, and data engineering support. This role combines deep expertise in predictive modeling, statistical analysis, and scalable data pipeline development to deliver production\-ready solutions that drive data\-informed decision\-making and operational efficiency.
**Duties Include:**
* Design, develop, and deploy machine learning models for classification, regression, time series forecasting, and natural language processing applications to solve complex business problems.
* Build and optimize automated, scalable ETL/ELT pipelines using Python, SQL, and cloud\-based tools to integrate, transform, and validate structured and unstructured data from diverse sources.
* Develop and maintain production ML systems including model deployment, monitoring, versioning, and performance tracking in collaboration with AI/ML infrastructure teams.
* Design, develop, and deploy interactive dashboards and data visualizations using Tableau, Power BI, or similar platforms to deliver actionable insights to technical and executive stakeholders.
* Perform end\-to\-end model development including exploratory data analysis, feature engineering, hyperparameter tuning, model validation, and documentation.
* Develop and maintain data pipelines and workflows using tools such as AWS services, Databricks, and GitLab CI/CD to support analytics and ML operations.
* Conduct data mining, cleaning, and manipulation using SQL, Python (Pandas, NumPy), or R to deliver statistical analyses, visualizations, and predictive insights.
* Translate complex business requirements into technical solutions, data models, and analytical frameworks that align with long\-term technology strategy.
* Provide technical mentorship to team members on advanced analytics techniques, Python scripting, ML best practices, and workflow automation.
* Create comprehensive documentation including data dictionaries, metadata, technical specifications, and presentations for diverse audiences.
* Respond to urgent and ad\-hoc data requests, compile reports for leadership, and coordinate collaborative research and analysis projects.
* Partner with cross\-functional teams including data engineers, software developers, and federal stakeholders to ensure production readiness and scalability of data solutions.
 This position is fully remote and requires a Public Trust (or the ability to obtain it). The candidate may be required to work outside of business hours including weekends based on need.
**Education:**
 Requires BS/BA degree in Data Science, Computer Science, Statistics, Mathematics, Engineering, or a related quantitative field. Master's degree preferred.
**Qualifications Required:**
* At least 5 years of experience in data science, machine learning, or advanced analytics; 3 years of experience with a master's degree.
* Experience with CI/CD pipelines (GitLab CI/CD) for data workflows.
* Strong proficiency in Python and SQL for data manipulation, analysis, and pipeline development.
* Experience with ETL/ELT pipeline development and data engineering best practices.
* Demonstrated knowledge of data visualization platforms (Tableau, Power BI) and ability to translate technical insights into executive\-level dashboards.
* Experience with cloud platforms and modern data infrastructure.
* Knowledge of statistical analysis and modeling techniques.
* Understanding of relational and non\-relational databases (Oracle SQL, PostgreSQL, etc.).
* Strong version control and collaboration skills using Git (GitHub, GitLab).
* Exceptional analytical skills with strong attention to detail.
* Strong written and verbal communication skills with ability to present complex findings to non\-technical stakeholders.
* Must be able to work both independently and as part of a collaborative team in a fast\-paced, agile environment.
**Preferred:**
* Familiarity with ML orchestration tools (e.g. Kubeflow, ML Flow, Air Flow, Sage Maker, or similiar)
* Experience with MLOps practices including model monitoring, versioning, and production deployment.
* Experience with data orchestration and workflow automation tools.
* Experience working with federal government data systems and compliance requirements.
* Background in Agile/Scrum methodologies and project management tools (Jira).
* Experience mentoring junior data professionals and establishing analytics best practices.
 The likely salary range for this position is $110,500 \- $149,500\. This is not, however, a guarantee of compensation or salary. Rather, salary will be set based on experience, geographic location and possibly contractual requirements and could fall outside of this range.
****Scheduled Weekly Hours:****
 40
****Travel Required:****
 None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74">
      <c r="A74" t="inlineStr">
        <is>
          <t>li-4361711240</t>
        </is>
      </c>
      <c r="B74" t="inlineStr">
        <is>
          <t>Azure Data Engineer - Leading Hedge Fund - Dallas</t>
        </is>
      </c>
      <c r="C74" t="inlineStr">
        <is>
          <t>Mondrian Alpha</t>
        </is>
      </c>
      <c r="D74" t="inlineStr">
        <is>
          <t>linkedin</t>
        </is>
      </c>
      <c r="E74" t="inlineStr"/>
      <c r="F74" t="inlineStr"/>
      <c r="G74" t="inlineStr">
        <is>
          <t>Dallas, TX</t>
        </is>
      </c>
      <c r="H74" t="inlineStr"/>
      <c r="I74" t="inlineStr">
        <is>
          <t>**My client, a leading hedge fund, is seeking an Azure Data Engineer to join their team in New York.** 
 This individual will be responsible for designing, developing, and optimizing modern Azure\-based data solutions, playing a key role in building scalable data pipelines and governance frameworks that support enterprise\-wide analytics and reporting.
 This is an opportunity to work across a broad range of Azure technologies, contribute to high\-impact data projects, and make an immediate impact within a dynamic and collaborative technology team.
 The ideal candidate should have strong experience across Azure Data Services, including Microsoft Fabric, Purview, Data Factory, Synapse, Data Lake, and Azure SQL. Proficiency with Databricks for big data processing and analytics, strong SQL skills, and expertise in programming (Python, PySpark) are essential. A solid understanding of data modeling and governance, including cataloging, lineage, and compliance frameworks, will also be key.
 Additional exposure to Power BI integration, Azure DevOps for Data (CI/CD, Git, deployment automation), and AI/ML tools such as OpenAI will be highly advantageous.
 To secure the most relevant hire, my client is committed to offering a highly competitive base salary alongside leading bonuses, and exceptional benefits.
**Apply now via the link below or send your resume directly to harvey.gilbert@mondrian\-alpha.com.**</t>
        </is>
      </c>
    </row>
    <row r="75">
      <c r="A75" t="inlineStr">
        <is>
          <t>li-4372756351</t>
        </is>
      </c>
      <c r="B75" t="inlineStr">
        <is>
          <t>Senior Data Engineer-Manager</t>
        </is>
      </c>
      <c r="C75" t="inlineStr">
        <is>
          <t>TalentDome Staffing</t>
        </is>
      </c>
      <c r="D75" t="inlineStr">
        <is>
          <t>linkedin</t>
        </is>
      </c>
      <c r="E75" t="inlineStr"/>
      <c r="F75" t="inlineStr"/>
      <c r="G75" t="inlineStr"/>
      <c r="H75" t="inlineStr"/>
      <c r="I75" t="inlineStr">
        <is>
          <t>We're seeking a
 **Data Engineering** 
**Manager** 
 for a software development company based in Texas with 1000 employees. This role is an opportunity to own the data engineering function and technically lead a small data team of 4 people.
**What You'll Do** 
* **Architect \&amp; Build:** 
 You will design, develop, and scale resilient ETL pipelines, transforming raw data from thousands of sources into clean, reliable, and actionable assets for our analytics and product teams.
* **Lead \&amp; Mentor:** 
 You will guide a team of engineers, fostering a culture of technical excellence and continuous improvement. You'll be the stable hand on the tiller for all data projects.
* **Own the Stack:** 
 You will take ownership of a modern data stack built on AWS, driving strategy and making key decisions about tools and technologies like Airflow, Spark, and Trino.
* **Strategize:** 
 You'll be a key voice in defining the long\-term vision and roadmap for the company's entire data platform.
**What You'll Bring** 
* **Hands\-On Pipeline Expertise:** 
 You have proven, extensive experience building complex data pipelines from the ground up using modern orchestration tools like
 **Apache Airflow** 
 .
* **An Engineering Foundation:** 
 Ideally, your career began in software engineering or a similar role, giving you a deep understanding of how to build and maintain scalable systems. You are an engineer who became a data expert, not the other way around.
* **Distributed Systems Mastery:** 
 You are proficient with distributed data processing frameworks and query engines, with hands\-on experience in
 **Apache Spark** 
 and/or
 **Trino (Presto)** 
 .
* **Cloud Fluency:** 
 You have strong practical experience with the AWS data ecosystem, particularly with services like
 **Redshift** 
 ,
 **Athena** 
 , and S3\.
* **Leadership Experience:** 
 You have experience in technical leadership, strong mentorship ability, and are ready to take the next step in your career.
**Benefits** 
* Competitive Salary: Up to $180K depending on your experience
* Bonus 10%
* Comprehensive benefit package
* Fully Remote
* Generous PTO
* Career Development
**Please note that only candidates who do not require sponsorship will be considered.**</t>
        </is>
      </c>
    </row>
    <row r="76">
      <c r="A76" t="inlineStr">
        <is>
          <t>li-4372032086</t>
        </is>
      </c>
      <c r="B76" t="inlineStr">
        <is>
          <t>Data Engineer, Support</t>
        </is>
      </c>
      <c r="C76" t="inlineStr">
        <is>
          <t>RemoteHunter</t>
        </is>
      </c>
      <c r="D76" t="inlineStr">
        <is>
          <t>linkedin</t>
        </is>
      </c>
      <c r="E76" t="inlineStr"/>
      <c r="F76" t="inlineStr"/>
      <c r="G76" t="inlineStr"/>
      <c r="H76" t="inlineStr"/>
      <c r="I76" t="inlineStr">
        <is>
          <t>About the Opportunity:
 The organization provides an end\-to\-end ecosystem designed to support Programs of All\-Inclusive Care for the Elderly (PACE) in delivering care, improving financial performance, and ensuring compliance. It replaces outdated technology with solutions for care coordination, risk adjustment, population health, and utilization management. The role focuses on supporting operations and improving outcomes for dual\-eligible seniors with complex healthcare needs.
 Responsibilities:
 • Own and maintain a legacy population health analytics product, focusing on backend data pipelines and the full\-stack application
 • Operate the production analytics product, managing data ingestion, transformation, orchestration, and the user interface
 • Build, maintain, and debug backend data pipelines using Airflow, Python (Pandas, Selenium), Snowflake, dbt, and Airbyte, emphasizing data quality and performance
 • Manage full\-stack analytics application, including backend services (Node.js) and frontend components (React)
 • Address bug fixes, operational issues, and production incidents, understanding system behavior and failure modes
 • Investigate and resolve data quality issues, pipeline failures, and application defects with durable fixes
 • Improve legacy codebases balancing speed, correctness, and maintainability
 • Communicate clearly about system health, root causes, and technical tradeoffs with teams and stakeholders
 Requirements:
 • Bachelor’s degree in Computer Science, Information Systems, or related field, or equivalent experience
 • 1 to 4 years of experience as a Software Engineer or Data Engineer
 • Proficiency in Python and experience with production data pipelines or ETL/ELT workflows
 • Working knowledge of SQL and relational or analytical databases
 • Exposure to backend or full\-stack development, including JavaScript and Node.js
 • Familiarity with frontend technologies like React or willingness to learn and maintain existing frontend code
 • Basic knowledge of modern data tools such as Airflow, dbt, Snowflake, and Airbyte
 • Ability to debug legacy systems and handle complex technical issues
 • Strong ownership and accountability for production systems
 • Clear written and verbal communication skills
 Preferred:
 • Experience maintaining legacy systems in production
 • Exposure to healthcare data, analytics platforms, or regulated environments
 • Experience working in small teams or fast\-paced environments
 Benefits \&amp; Perks:
 • Competitive salary and benefits package including uncapped PTO and health insurance
 • Professional development and growth opportunities
 • Flexible remote work environment
 Compensation:
 • Salary range for this role is $95,000 to $120,000 annually
 • Ideal candidate expected near midpoint of range; final pay based on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7">
      <c r="A77" t="inlineStr">
        <is>
          <t>li-4369408293</t>
        </is>
      </c>
      <c r="B77" t="inlineStr">
        <is>
          <t>Senior Data Engineer</t>
        </is>
      </c>
      <c r="C77" t="inlineStr">
        <is>
          <t>Everlaw</t>
        </is>
      </c>
      <c r="D77" t="inlineStr">
        <is>
          <t>linkedin</t>
        </is>
      </c>
      <c r="E77" t="inlineStr"/>
      <c r="F77" t="inlineStr"/>
      <c r="G77" t="inlineStr">
        <is>
          <t>Oakland, CA</t>
        </is>
      </c>
      <c r="H77" t="inlineStr"/>
      <c r="I77" t="inlineStr">
        <is>
          <t>Everlaw is seeking a talented and detail\-oriented
 **Senior** 
**Data Engineer** 
 with experience in financial and revenue reporting to join our Enterprise Technology team. The
 **Enterprise Technology team** 
 at Everlaw is an internal, cross\-functional team that owns our core business systems and data infrastructure. In this role, you will design, develop, and maintain scalable data solutions, enabling the finance team to make data\-driven decisions. You will leverage your experience with PostgreSQL, Fivetran, dbt (data build tool), Looker, and other modern data tools to build and optimize our data infrastructure and reporting processes.
 At Everlaw, our mission is to promote justice by illuminating truth. Our company culture is open and vibrant and we’re committed to the professional growth of our team members, offering an annual learning and development stipend and regular check\-ins with managers regarding career goals. If you’re looking for a place that values passion, integrity, thinking big, and a desire to learn, we’d love to hear from you! Think you’re missing some of the skills and are hesitant to apply? We do not believe in the ‘perfect’ candidate and encourage you to apply if you feel you can bring value to our team.  
 This is a full\-time position based in our Oakland, California office with a hybrid work schedule: in office M/W/Th with the option to work from home Tu/Fr.
 Getting started
 * **We want you to feel like part of the team early on!** 
 Our onboarding process will integrate you into the company with informative sessions on our product, policies, processes, and team structure and goals. And you’ll spend meaningful time getting to know your direct reports and discover what excites and challenges them.
* **We’re excited for you to learn, grow, and contribute right away!** 
 We trust that you’ll bring experience and knowledge that will uplift and uplevel the team, but we don’t expect you to know everything on Day
 In your role, you'll...
 * Design and implement robust data models to support financial and revenue reporting.
* Build and maintain ETL pipelines to ensure timely and accurate data delivery.
* Ensure data integrity and security in alignment with organizational and compliance standards.
* Develop and maintain dashboards and reports in Looker to track key financial and revenue metrics.
* Collaborate with finance teams to understand reporting requirements and provide actionable insights.
* Work closely with finance stakeholders, and other cross\-functional teams to ensure data consistency and accuracy.
* Implement data validation and testing processes to ensure accuracy and consistency.
* Monitor data workflows and troubleshoot issues proactively.
 About you
 * 8\+ years of experience as a BI Engineer, Data Engineer, or in a similar role.
* Proven expertise in PostgreSQL, including writing and optimizing complex SQL queries.
* Hands\-on experience with ETL tools like Fivetran.
* Proficiency with dbt for data transformation and modeling.
* Proficiency with Looker for building and maintaining dashboards and reports.
* Experience in financial and revenue reporting is a must.
* Strong analytical and problem\-solving abilities.
* Excellent communication and stakeholder management skills.
* Ability to work in a fast\-paced environment and manage multiple priorities.
**Pluses:** 
* Experience with cloud platforms (e.g., AWS, GCP, Azure).
* Knowledge of Python or other programming languages.
 Benefits
 * The expected salary range for this role is between $186,000 \- $235,000\. The final offered salary will be dependent upon many factors including the candidate’s experience and skills. The base pay range is subject to change in the future.
* Equity program
* 401(k) retirement plan with company matching
* Health, dental, and vision
* Flexible Spending Accounts for health and dependent care expenses
* Paid parental leave and approximately 10 days (80 hours) per year of sick leave
* Seventeen paid vacation days plus 11 federal holidays
* Membership to Modern Health to help employees prioritize mental health and wellness
* Annual allocation for Learning \&amp; Development opportunities and applicable professional membership dues
* Company\-sponsored life and disability insurance
* Find out more about our Benefits and Perks
 Perks
 * Work in Downtown Oakland, just steps from the BART line and dozens of restaurants
* You will get a powerful Linux laptop and be able to customize your desk setup
* Bond over team lunches and out\-of\-the\-box events
* Ranked “\#1 on G2 for Ediscovery Software and Momentum” and we offer free eDiscovery resources to benefit the greater societal good with Everlaw for Good
* Time off for company\-sponsored volunteer events and 4 paid hours per quarter to volunteer at a charitable organization of your choice
* Take advantage of learning and career development opportunities
* Ranked \#9 on Glassdoor's Best Places to Work 2023 for US small and medium companies
* One of Wealthfront’s 2021 Career Launching Companies, and ranked \#2 on the “2022 Bay Area Best Places to Work” list by the San Francisco Business Times and the Silicon Valley Business Journal
* One of Fast Company’s World's Most Innovative Companies for 2022 and proud contributor of free ediscovery resources to benefit the greater good through “Everlaw for Good”
- 
- 
**Pursue Truth While Finding Yours** 
**At Everlaw, we are deeply invested in pursuing the truth, for our clients and for our employees. We know that when you’re empowered to pursue your passions, it is reflected in the work.** 
  That’s why we’re committed to the professional growth of all our team members, offering an annual learning and development stipend and regular career check\-ins with managers. If you’re looking for a place that values passion, integrity, and a desire to learn, we’d love to hear from you!  ​​About EverlawWe help law firms, government agencies, and corporations sift through millions of documents of evidence in big lawsuits and investigations to find the proverbial smoking gun (or needle in the haystack \-\- pick your metaphor). It's a multi\-billion dollar space typically dominated by service\-oriented vendors, and we're coming at it with cutting\-edge technology and elegant design. It's working, and we've been growing very rapidly: we host hundreds of terabytes of data and work with all 50 state Attorneys General and hundreds of law firms on some of the most high\-profile cases litigated today.  Everlaw is an equal opportunity employer. We pride ourselves on having a diverse workforce and we do not discriminate against any employee or applicant because of race, creed, color, religion, gender, sexual orientation, gender identity/expression, national origin, disability, age, genetic information, veteran status, marital status, pregnancy or related condition, or any other basis protected by law. We respect the gender, gender identity and gender expression of our applicants and employees, and we honor requests for pronouns. It is our policy to comply with all applicable national, state and local laws pertaining to nondiscrimination and equal opportunity, including the California Equal Pay Act.  Pursuant to the San Francisco Fair Chance Ordinance, we will consider for employment qualified applicants with arrest and conviction records. We collect and process the personal information you provided along with your job application in accordance with our 
 Applicants Privacy Notice and Notice at Collection
 . When preparing to engage with Everlaw as a candidate, you may use AI tools for research, polishing application materials, and interview prep. However, any assessments (unless explicitly stated), remote interviews or live interviews must be completed independently without AI support. 
 **By submitting your application, you agree to adhere to these rules.** 
  Here's the link to our full policy, and please reach out with any questions!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the 9th of June, 2025\.
 **Pursue Truth While Finding Yours** 
**At Everlaw, we are deeply invested in pursuing the truth, for our clients and for our employees. We know that when you’re empowered to pursue your passions, it is reflected in the work.** 
  That’s why we’re committed to the professional growth of all our team members, offering an annual learning and development stipend and regular career check\-ins with managers. If you’re looking for a place that values passion, integrity, and a desire to learn, we’d love to hear from you!  ​​About EverlawWe help law firms, government agencies, and corporations sift through millions of documents of evidence in big lawsuits and investigations to find the proverbial smoking gun (or needle in the haystack \-\- pick your metaphor). It's a multi\-billion dollar space typically dominated by service\-oriented vendors, and we're coming at it with cutting\-edge technology and elegant design. It's working, and we've been growing very rapidly: we host hundreds of terabytes of data and work with all 50 state Attorneys General and hundreds of law firms on some of the most high\-profile cases litigated today.  Everlaw is an equal opportunity employer. We pride ourselves on having a diverse workforce and we do not discriminate against any employee or applicant because of race, creed, color, religion, gender, sexual orientation, gender identity/expression, national origin, disability, age, genetic information, veteran status, marital status, pregnancy or related condition, or any other basis protected by law. We respect the gender, gender identity and gender expression of our applicants and employees, and we honor requests for pronouns. It is our policy to comply with all applicable national, state and local laws pertaining to nondiscrimination and equal opportunity, including the California Equal Pay Act.  Pursuant to the San Francisco Fair Chance Ordinance, we will consider for employment qualified applicants with arrest and conviction records. We collect and process the personal information you provided along with your job application in accordance with our
 Applicants Privacy Notice and Notice at Collection
 . When preparing to engage with Everlaw as a candidate, you may use AI tools for research, polishing application materials, and interview prep. However, any assessments (unless explicitly stated), remote interviews or live interviews must be completed independently without AI support.
 **By submitting your application, you agree to adhere to these rules.** 
 Here's the link to our
 full policy
 , and please reach out with any questions!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the 9th of June, 2025\.</t>
        </is>
      </c>
    </row>
    <row r="78">
      <c r="A78" t="inlineStr">
        <is>
          <t>li-4372748250</t>
        </is>
      </c>
      <c r="B78" t="inlineStr">
        <is>
          <t>Data Engineer II</t>
        </is>
      </c>
      <c r="C78" t="inlineStr">
        <is>
          <t>OakTree Staffing</t>
        </is>
      </c>
      <c r="D78" t="inlineStr">
        <is>
          <t>linkedin</t>
        </is>
      </c>
      <c r="E78" t="inlineStr"/>
      <c r="F78" t="inlineStr"/>
      <c r="G78" t="inlineStr">
        <is>
          <t>Tulsa, OK</t>
        </is>
      </c>
      <c r="H78" t="inlineStr"/>
      <c r="I78" t="inlineStr">
        <is>
          <t>**Data Engineer II** 
**Location: Tulsa, OK** 
**Description** 
 This position is responsible for programming, testing, implementing, supporting, and maintaining data pipelines, data stores (e.g., Data Warehouse, Mart, Hub, etc.), and business intelligence models. This position relies on instructions and pre\-established guidelines to perform the functions of the job.
**The duties and responsibilities for this position:** 
**Development \- 50%** 
 Write, modify, extend and debug data pipelines based on the company's Software Development Lifecycle (SDLC) process.
**Specific duties will include:** 
* Data Extraction and Analysis: Connect to diverse data sources and perform data analysis to determine if data is suitable for needs.
* Development of automated data pipelines to extract, cleanse, and transform data for intended business use.
* Development of automated processes to consolidate diverse sources of similar data in to a single source of truth for the company (e.g. store, product, employee, etc.).
* Development of automated data quality monitoring and alert processes
* Model and publish data sets for users to access through reporting and business intelligence technologies.
* Possesses and applies working knowledge of multiple languages and tools utilized by the company during development process. Common tools and languages: ETL, T\-SQL, Data Profiling and MDM tools, BI Modeling Tools (e.g. SSAS, Power BI), and Programming Languages (e.g. C\#).
* Adhere to company standards and best practices.
* Have extensive knowledge of development tools and environments utilized by the company.
* May act as a Product Technical Owner of a software product on occasion:
* Accountable for the technological performance of the product:
* Software
* Hardware
* Virtual Ware
* Tech Teams – Development, Data, Infrastructure, Contractors, and Professional Services
* Responsible for adherence to strategic plan while remaining focused on the teams handling the product.
* Responsible for the technical requirements.
* Responsible for Technical User Story acceptance.
* Manages the technical debt of the product.
* Manages conflicts of interest within the development team.
* Coordinates coding efforts across one or more development teams.
* Holds Development, Technical, Professional Services, Data, and other IT teams accountable within the framework of the product.
* Accepts input and guidance from our Architecture, Infrastructure and Development teams and acts as the one voice back to Professional Services on technology related items when decisions need to be made.
* Leads trouble\-shooting efforts by getting the right expertise involved and calling “war rooms” together when necessary.
* Acts as Scrum Master when the development team and PTO agree this is appropriate.
**Technical Support \- 35%** 
* Resolve technical issues utilizing excellent customer service skills, problem solving skills, and technical thinking/reasoning skills following established support process and metrics guidelines.
* Measure and analyze incoming issues to determine root cause and develop technical and training solutions to minimize reoccurrences and severity; report results to management.
* Accurately document all customer issues, resolution steps, and gather feedback in support tracking software to enhance identifying and reporting trends leading to recurring technical problems.
* Develop and publish support documentation for internal users for troubleshooting, training and other areas as needed.
* Gather and forward customer feedback and suggestions for product improvement.
* Position requires 24x7 support.
**Training \- 10%** 
* Seek input from team members and supervisors on areas to improve skill set.
* Actively applies feedback received into day\-to\-day work and strives to improve performance
* Actively train with senior level developers to improve development skills and system knowledge.
* Actively utilize training outlets as necessary to improve development skills. This could take the form of multiple items, including but not limited to self\-study, in\-house classes, seminars or online training.
* Maintain professional and technical knowledge by attending ongoing training workshops, reviewing professional publications, reviewing industry best practices/procedures and reviewing new technologies to determine fit within the organization.
* Assist in development of junior data engineers on skills or system knowledge through mentoring, knowledge transfer, code review, and shadowing.
**Administration and Communication \- 5 %** 
* Listen to others and accept input from team members.
* Clearly articulate ideas and thoughts both in verbal and written formats.
* Accurately prepares written business correspondence that is coherent, grammatically correct, effective and professional.
* Timely communicate status updates with the project manager or lead, the project team, and/or key customers and supervisor regarding specific assignments and overall scheduling/coordination needs.
* Accurately record project and trouble call work assignment updates within timeframes determined by departmental standards or individual supervisors.
* Record time tracking.
* Identify individual task progress.
* Identify task completion.
**Position Specifications** 
 The required specifications (education, experience, and skills) are those that the employee must have to hold the position. Applicants applying for this position must possess the required specifications in order to be considered for the job. The desired specifications are those that are not required for the employee to hold the position, but the employee should try to obtain the desired education, experience, and/or skills to be effective and successful in the position.
**Required education:** 
* High school graduate or equivalent.
* College or technical school courses in one or more programming languages or data tools used at the company.
**Desired education:** 
* College degree in Computer Science, MIS, Mathematics, or related discipline.
**Required experience:** 
* 3\-5 years’ experience in programming data solutions.
* Familiar with all aspects of systems analysis, design, and installation procedures in a business environment.
**Desired experience:** 
* 5\+ years professional experience including developing data solutions in a business environment, installing and troubleshooting hardware and software problems.
**Required skills:** 
* Proficient in one or more of our data technologies or languages.
* Good problem\-solving skills.
* Familiar with a variety of IT concepts, practices and procedures.
* Good written and verbal communication skills and time management skills.
**Desired skills:** 
* Proficiency in all programming languages and data tools in use at the company.</t>
        </is>
      </c>
    </row>
    <row r="79">
      <c r="A79" t="inlineStr">
        <is>
          <t>li-4371794513</t>
        </is>
      </c>
      <c r="B79" t="inlineStr">
        <is>
          <t>Data Engineer</t>
        </is>
      </c>
      <c r="C79" t="inlineStr">
        <is>
          <t>Haystack</t>
        </is>
      </c>
      <c r="D79" t="inlineStr">
        <is>
          <t>linkedin</t>
        </is>
      </c>
      <c r="E79" t="inlineStr"/>
      <c r="F79" t="inlineStr"/>
      <c r="G79" t="inlineStr"/>
      <c r="H79" t="inlineStr"/>
      <c r="I79" t="inlineStr">
        <is>
          <t>**Senior Manager, REMS Data Programmer \| Palo Alto, California, United States \| Hybrid \| 136000\-204000 USD yearly** 
 We're working with Jazz Pharmaceuticals on this exciting opportunity. This role focuses on supporting FDA\-mandated Risk Evaluation and Mitigation Strategy (REMS) programs, leading programming activities, and collaborating across teams to deliver high\-quality REMS assessment data.
**The Role** 
 • Lead programming activities for REMS and Risk Management initiatives.
 • Develop and review statistical programs for REMS assessments.
 • Collaborate with cross\-functional teams to support REMS portal development and maintenance.
 • Develop and validate analysis datasets, tables, listings, and figures (TFLs) to CDISC standards.
 • Create interactive dashboards using Power BI to visualize REMS Assessment data and KPIs.
 • Provide technical guidance and oversight to ensure programming solutions meet business requirements.
**What You'll Need** 
 • 6\-8 years of experience in the pharmaceutical industry, with 3\-5 years in data programming focused on REMS or regulated environments.
 • Advanced technical expertise in data programming languages (e.g., SAS, R, Python).
 • Proficient in business analysis principles and practices.
 • Excellent communication and interpersonal skills, able to convey complex technical concepts to non\-technical stakeholders.
 • Ability to manage multiple priorities in a fast\-paced environment.
 • Bachelor’s Degree in Computer Science, Statistics, Mathematics, Life Sciences, or related scientific fields.
**What's On Offer** 
 • Opportunity to work on critical FDA\-mandated patient safety programs.
 • Be part of a global biopharma company dedicated to transforming patient lives.
 • Comprehensive compensation package including base pay, potential annual bonus, and equity grants.
 • Robust benefits package including medical, dental, vision, 401k, and flexible paid vacation.
 Apply via Haystack today!</t>
        </is>
      </c>
    </row>
    <row r="80">
      <c r="A80" t="inlineStr">
        <is>
          <t>li-4364406249</t>
        </is>
      </c>
      <c r="B80" t="inlineStr">
        <is>
          <t>Senior Data Engineer - Remote (EST)</t>
        </is>
      </c>
      <c r="C80" t="inlineStr">
        <is>
          <t>Centro Benefits Research</t>
        </is>
      </c>
      <c r="D80" t="inlineStr">
        <is>
          <t>linkedin</t>
        </is>
      </c>
      <c r="E80" t="inlineStr"/>
      <c r="F80" t="inlineStr"/>
      <c r="G80" t="inlineStr"/>
      <c r="H80" t="inlineStr"/>
      <c r="I80" t="inlineStr">
        <is>
          <t>Does your current company inspire you to build, grow, and innovate? Is your passion for making lasting and meaningful change being realized?
 The tremendous growth in our business and increasing demand for our services means we are expanding our team in exciting ways. We have the heart of a startup and the backing of an industry leader. This means a unique career opportunity for low\-ego professionals looking for a people\-first, culture rich work family with which to change the world.
**Summary**
 We are seeking a Senior Data Engineer to architect and build cloud\-native data platforms centered around Snowflake, dbt, and modern orchestration frameworks. The role involves 60–70% data engineering and architecture and 30–40% backend, infrastructure, and systems design, including some frontend engineering to support full\-stack delivery of data\-driven features where appropriate.
**Essential Duties And Responsibilities**
* Architect and develop scalable data pipelines and models using Snowflake and dbt.
* Design and operate orchestration using Airflow, Dagster, Prefect, or similar.
* Define modeling standards, storage patterns, and performance strategies.
* Collaborate on backend APIs, services, integration layers, and limited frontend interfaces supporting data\-driven features.
* Contribute to CI/CD, environment management, and automated pipeline delivery.
* Implement quality checks, lineage, SLAs, and observability.
* Mentor engineers and drive architectural best practices.
* Participate in system design and multi\-team architectural planning.
**Qualifications, Skills And Requirements**
* 5\+ years of experience in data engineering, data architecture, or platform engineering.
* Strong experience with dbt (modeling, testing, deployment, environment strategies).
* Hands\-on experience with orchestration frameworks (Airflow, Dagster, Prefect, or similar).
* Deep expertise with data warehousing platforms; e.g. Snowflake, Redshift, etc including performance tuning and RBAC.
* Strong software engineering fundamentals in Python or Golang; advanced SQL.
* Deep understanding of distributed systems, event\-driven design, microservices, and data platform architecture.
* Experience with metadata management, lineage tools, and observability technologies (Datadog, Prometheus, OpenTelemetry).
* Strong communication skills for leading architectural discussions across technical and non\-technical teams.
**Bonus Points**
* Salesforce integration experience.
* Experience in regulated industries.
* Experience managing infrastructure with Azure, esp. AKS
 The typical base pay range for this role nationwide is $150,000 to $170,000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Thank you for your interest in joining the team!</t>
        </is>
      </c>
    </row>
    <row r="81">
      <c r="A81" t="inlineStr">
        <is>
          <t>li-4372769421</t>
        </is>
      </c>
      <c r="B81" t="inlineStr">
        <is>
          <t>Data Engineer</t>
        </is>
      </c>
      <c r="C81" t="inlineStr">
        <is>
          <t>Actalent</t>
        </is>
      </c>
      <c r="D81" t="inlineStr">
        <is>
          <t>linkedin</t>
        </is>
      </c>
      <c r="E81" t="inlineStr"/>
      <c r="F81" t="inlineStr"/>
      <c r="G81" t="inlineStr">
        <is>
          <t>Austin, TX</t>
        </is>
      </c>
      <c r="H81" t="inlineStr"/>
      <c r="I81" t="inlineStr">
        <is>
          <t>**Job Title: Data Engineer**
**Job Description**
 Join an innovative team that leverages Palantir Foundry as their primary data platform to conduct data analysis, manage infrastructure, and streamline workflows. Our team is at the forefront of performance reliability engineering, focusing on print systems, monitoring analytics, and material operations. We are committed to reducing costs associated with concrete production and transportation through strategic data analytics.
**Responsibilities**
* Utilize Palantir Foundry for data analysis, infrastructure management, and workflow execution.
* Engage in performance reliability engineering, focusing on print systems and analytics.
* Analyze field service tickets and telemetry data to improve operational efficiency.
* Participate in material operations to optimize concrete production and logistics costs.
* Develop and interconnect use cases, enabling larger scale workflows.
* Execute responsibilities within the Foundry platform, ensuring seamless operation and data integration.
**Essential Skills**
* Proficient in data integration, transformation, and modeling.
* Strong data engineering skills, including pipelines, integration, and transformations.
* Experience with Palantir Foundry, Power BI, and Azure.
* Experience in software engineering is advantageous.
* Ability to communicate effectively with field operators and material workers.
**Additional Skills \&amp; Qualifications**
* Operations or industrial experience is a plus.
* Ownership\-oriented mindset, with the ability to operate independently in various settings.
* Adaptability and initiative in a dynamic, startup environment.
**Work Environment**
 This role offers a startup environment where the successful candidate will work both onsite in an office setting and travel to construction sites. You will collaborate with a variety of skillsets, requiring comfort in diverse and dynamic work conditions. Opportunities for growth into leadership roles are available as the team expands.
**Job Type \&amp; Location**
 This is a Permanent position based out of Austin, TX.
**Pay And Benefits**
 The pay range for this position is $60\.00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Austin,TX. Application Deadline This position is anticipated to close on Feb 27,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82">
      <c r="A82" t="inlineStr">
        <is>
          <t>li-4363802754</t>
        </is>
      </c>
      <c r="B82" t="inlineStr">
        <is>
          <t>Data Engineer - Adobe Experience Platform</t>
        </is>
      </c>
      <c r="C82" t="inlineStr">
        <is>
          <t>Onebridge</t>
        </is>
      </c>
      <c r="D82" t="inlineStr">
        <is>
          <t>linkedin</t>
        </is>
      </c>
      <c r="E82" t="inlineStr"/>
      <c r="F82" t="inlineStr"/>
      <c r="G82" t="inlineStr">
        <is>
          <t>Indianapolis, IN</t>
        </is>
      </c>
      <c r="H82" t="inlineStr"/>
      <c r="I82"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Data Engineer \- Adobe Experience Platform to join our innovative and dynamic team.
**Employment Type:** 
 Full Time
**Location:** 
 Indianapolis, IN
**Industry:** 
 IT \&amp; Services, Healthcare.
**Data Engineer \- Adobe Experience Platform \| About You** 
 As a Data Engineer – Adobe Experience Platform, you are responsible for delivering scalable experimentation, personalization, and data workflows across enterprise digital ecosystems. You have a strong understanding of AEP components, including XDM schemas, identity management, Real\-Time Customer Profile, and Alloy.js, and know how to apply them to real\-world use cases. You work effectively across technical and business teams, including onshore stakeholders and offshore development partners, to bring high‑quality solutions from concept to production. You excel at diagnosing and resolving issues across SDK implementations, tagging systems, APIs, and data pipelines to ensure accuracy and reliability. You thrive in fast\-paced, high‑visibility environments where personalization, experimentation, and data integrity drive meaningful customer impact.
**Data Engineer \- Adobe Experience Platform \| Day\-to\-Day** 
* Build and deploy A/B tests, multivariate tests, and personalization campaigns across digital channels using Adobe Target and modern rendering frameworks.
* Design and maintain AEP components including XDM schemas, identities, Real\-Time Customer Profile, and Adobe Web SDK (Alloy.js) configurations.
* Implement and manage Adobe Tags (Launch) and event tracking needed for data collection, targeting, and analytics workflows.
* Collaborate with onshore stakeholders and offshore development teams in India to deliver high\-quality experimentation and personalization solutions.
* Troubleshoot issues across audience qualification, test delivery, APIs, tags, and data flows, ensuring accurate and reliable execution.
* Participate in Agile processes, daily standups, sprint planning, and documentation, using Jira and Confluence while managing multiple priorities in a fast\-moving environment.
**Data Engineer \- Adobe Experience Platform \| Skills \&amp; Experience** 
* 5\+ years of development experience in digital marketing/data platforms and 1\-2 years of hands\-on experience with AEP (XDM schemas, identities, RTCP, Alloy.js, segmentation).
* Strong JavaScript development skills and experience with Adobe Target libraries and APIs (at.js, Alloy.js, Delivery APIs, Recommendations APIs).
* Experience implementing experimentation and personalization in SPA, SSR, and hybrid architectures.
* Comfortable working with REST APIs, JSON structures, authentication tokens, and Adobe I/O integrations.
* Enterprise\-level experience with strong collaboration skills, including working across onshore teams and offshore development partners.
* Experienced in Agile workflows with the ability to manage multiple tasks in a high\-visibility, fast\-paced environment.</t>
        </is>
      </c>
    </row>
    <row r="83">
      <c r="A83" t="inlineStr">
        <is>
          <t>li-4357492872</t>
        </is>
      </c>
      <c r="B83" t="inlineStr">
        <is>
          <t>Data Engineer / Data Scientist / Data Architect - Full time</t>
        </is>
      </c>
      <c r="C83" t="inlineStr">
        <is>
          <t>Ztek Consulting</t>
        </is>
      </c>
      <c r="D83" t="inlineStr">
        <is>
          <t>linkedin</t>
        </is>
      </c>
      <c r="E83" t="inlineStr"/>
      <c r="F83" t="inlineStr"/>
      <c r="G83" t="inlineStr">
        <is>
          <t>Vienna, VA</t>
        </is>
      </c>
      <c r="H83" t="inlineStr"/>
      <c r="I83"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84">
      <c r="A84" t="inlineStr">
        <is>
          <t>li-4372001999</t>
        </is>
      </c>
      <c r="B84" t="inlineStr">
        <is>
          <t>Data Engineer</t>
        </is>
      </c>
      <c r="C84" t="inlineStr">
        <is>
          <t>Jobs via Dice</t>
        </is>
      </c>
      <c r="D84" t="inlineStr">
        <is>
          <t>linkedin</t>
        </is>
      </c>
      <c r="E84" t="inlineStr"/>
      <c r="F84" t="inlineStr"/>
      <c r="G84" t="inlineStr">
        <is>
          <t>New York, NY</t>
        </is>
      </c>
      <c r="H84" t="inlineStr"/>
      <c r="I84" t="inlineStr">
        <is>
          <t>Dice is the leading career destination for tech experts at every stage of their careers. Our client, Netline Technologies, LLC, is seeking the following. Apply via Dice today!
**What You Ll Do**
* Design, build, and maintain data pipelines and ETL/ELT workflows
* Develop and schedule Airflow DAGs for automated processing
* Write scalable data transformations using Python, SQL, and Spark
* Work within Google Cloud Platform services to deploy and manage data workflows
* Build automation frameworks to support data validation and system reliability
* Partner with engineering teams to improve data quality and operational efficiency
* Contribute to POCs and internal tools, including AI/ML or data\-driven initiatives when applicable
* Support occasional cross\-team efforts when high\-priority delivery requires collaboration
**Required Skills**
* 3 \-5 years of hands\-on experience in Data Engineering or Data Platforms
* Strong Python (data processing, scripting, automation)
* Strong SQL
* Experience building ETL/ELT pipelines
* Experience with Apache Airflow (DAG creation, scheduling, orchestration)
* Familiarity with Google Cloud Platform (Google Cloud Platform) services
* Basic experience with Spark or distributed data processing
* Understanding of data modeling and pipeline best practices
 Requirements added by the job poster
 3\+ years of work experience with SQL
 3\+ years of work experience with Python (Programming Language)
 1\+ years of work experience with Google Cloud Platform (Google Cloud Platform)</t>
        </is>
      </c>
    </row>
    <row r="85">
      <c r="A85" t="inlineStr">
        <is>
          <t>li-4343380735</t>
        </is>
      </c>
      <c r="B85" t="inlineStr">
        <is>
          <t>Data Engineer, Senior</t>
        </is>
      </c>
      <c r="C85" t="inlineStr">
        <is>
          <t>Booz Allen Hamilton</t>
        </is>
      </c>
      <c r="D85" t="inlineStr">
        <is>
          <t>linkedin</t>
        </is>
      </c>
      <c r="E85" t="inlineStr"/>
      <c r="F85" t="inlineStr"/>
      <c r="G85" t="inlineStr">
        <is>
          <t>McLean, VA</t>
        </is>
      </c>
      <c r="H85" t="inlineStr"/>
      <c r="I85" t="inlineStr">
        <is>
          <t>**Job Number: R0230639**
 Data Engineer, Senior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4\+ years of experience in a data engineering, software engineering, software devops, or adjacent role
* 4\+ years of experience designing and developing databases and applications within classified IC environments
* Experience creating custom SQL solutions, including scripts, stored procedures, optimized queries, and user\-facing interfaces tailored for secure IC networks
* Experience building and maintaining integrations between data sources and analytic tools such as Tableau, Power BI, Kibana, and Grafana
* Experience in programming languages, such as Python, developing tools, scripts, or automations to support data ingestion, transformation, and operational workflows, and UNIX or Linux, including basic commands and Shell scripting
* Experience using large\-scale dataflow and transformation technologies, such as Hadoop, EMR, Snowflake, and Apache NiFi, to build production\-ready datasets for analytic use
* Knowledge of IC cloud platforms and services, such as AWS, Microsoft Azure, or Google Cloud
* Ability to document and communicate database designs, such as ER diagrams, schema definitions, and system architecture, to both technical teams and non\-technical stakeholders
* Active TS/SCI clearance; willingness to take a polygraph exam
* Bachelor’s degree in Computer Science, Computer Engineering, Electrical Engineering, or Business Information Systems
**Nice If You Have:**
* Experience in developing and presenting IC\-focused metrics, including assessments of how IC reporting maps to intelligence requirements, how effectively the IC responds to shifting priorities, and how various producing groups contribute to mission needs
* Experience in architecting, validating, and maintaining software tools that enable assessment workflows and metrics generation across large, integrated datasets
* Experience designing and implementing secure APIs that provide controlled, authenticated access to enterprise data repositories
* Experience leading technical teams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6">
      <c r="A86" t="inlineStr">
        <is>
          <t>li-4372001962</t>
        </is>
      </c>
      <c r="B86" t="inlineStr">
        <is>
          <t>Data Engineer</t>
        </is>
      </c>
      <c r="C86" t="inlineStr">
        <is>
          <t>Jobs via Dice</t>
        </is>
      </c>
      <c r="D86" t="inlineStr">
        <is>
          <t>linkedin</t>
        </is>
      </c>
      <c r="E86" t="inlineStr"/>
      <c r="F86" t="inlineStr"/>
      <c r="G86" t="inlineStr">
        <is>
          <t>Austin, TX</t>
        </is>
      </c>
      <c r="H86" t="inlineStr"/>
      <c r="I86" t="inlineStr">
        <is>
          <t>Dice is the leading career destination for tech experts at every stage of their careers. Our client, Raas Infotek LLC, is seeking the following. Apply via Dice today!
**Job Title:** 
 Data Engineer
**Location:** 
 Austin, Texas, USA
**Employment Type:** 
 W2 Contract
**Experience:** 
 12\+ Years
**Job Description**
 We are seeking an experienced
 **Data Engineer** 
 to design, develop, and maintain scalable data pipelines and data platforms. The ideal candidate will have strong experience in building robust data solutions that support analytics, reporting, and advanced data initiatives.
**Key Responsibilities**
* Design, build, and maintain ETL/ELT data pipelines.
* Develop and optimize data models and data warehouses.
* Work with large datasets from multiple structured and unstructured sources.
* Ensure data quality, integrity, and performance optimization.
* Collaborate with data analysts, data scientists, and business stakeholders.
* Implement monitoring, logging, and troubleshooting of data workflows.
* Support data migrations and cloud\-based data initiatives.
**Required Skills \&amp; Qualifications**
* Strong experience with SQL and relational databases.
* Experience with ETL tools (Informatica, DataStage, Airflow, SSIS, etc.).
* Proficiency in Python, Scala, or Java.
* Experience with data warehousing concepts (Snowflake, Redshift, BigQuery, Synapse).
* Hands\-on experience with cloud platforms (AWS, Azure, or Google Cloud Platform).
* Understanding of data governance and best practices.
**Preferred Qualifications**
* Experience with big data technologies (Spark, Hadoop).
* Familiarity with streaming tools (Kafka).
* Experience working in Agile/Scrum environments.
* Background in finance, healthcare, telecom, or government projects.
**Education**
* Bachelor’s or Master’s degree in Computer Science, Data Engineering, or related field.</t>
        </is>
      </c>
    </row>
    <row r="87">
      <c r="A87" t="inlineStr">
        <is>
          <t>li-4371196181</t>
        </is>
      </c>
      <c r="B87" t="inlineStr">
        <is>
          <t>Data Engineer</t>
        </is>
      </c>
      <c r="C87" t="inlineStr">
        <is>
          <t>Jobs via Dice</t>
        </is>
      </c>
      <c r="D87" t="inlineStr">
        <is>
          <t>linkedin</t>
        </is>
      </c>
      <c r="E87" t="inlineStr"/>
      <c r="F87" t="inlineStr"/>
      <c r="G87" t="inlineStr">
        <is>
          <t>Dallas, TX</t>
        </is>
      </c>
      <c r="H87" t="inlineStr"/>
      <c r="I87" t="inlineStr">
        <is>
          <t>RESPONSIBILITIES:
 Kforce has a client in Dallas, TX that is looking for a Data Engineer to join their team building a new application that supports mainframe application rationalization and modernization. This application will ingest, model, and persist data used to analyze legacy systems and inform future decisions around which applications should be migrated off the mainframe. This role is heavily focused on data modeling, data architecture, and data stewardship\-not just pipelines. The Data Engineer will help define how critical application data is structured, stored, and later leveraged for analysis and graph\-based relationships.
 What You'll Be Doing:
* Design and implement data models that support application analysis and modernization decision\-making
* Build and maintain data persistence layers using PostgreSQL as the primary relational store
* Support downstream use of data in graph databases (Amazon Neptune / Neo4j) to model application dependencies and relationships
* Develop data ingestion and transformation logic using Python
* Integrate and manage analytical data in Snowflake for reporting and future analysis
* Partner closely with application engineers, architects, and stakeholders to ensure data is usable, scalable, and aligned to long\-term modernization goals
* Help define data standards, schemas, and best practices for how information is stored, accessed, and evolved over time
* Operate within an AWS environment, leveraging cloud\-native services where appropriate
* Ensure data quality, consistency, and traceability across systems
 REQUIREMENTS:
* Strong experience as a Data Engineer or in a data\-focused engineering role
* Experience working with or supporting graph databases (Neptune and/or Neo4j), especially for relationship\-driven data models
* Familiarity with data rationalization, application dependency mapping, or portfolio analysis
* Proven ability to define and evolve data models, not just consume existing ones
* Strong communication skills and the ability to collaborate across technical and non\-technical teams
 Hands\-on experience with:
* PostgreSQL (schema design, relational modeling, performance considerations)
* Python for data processing and transformation
* Snowflake for analytics and structured data storage
* AWS (core services, data\-related tooling, cloud architecture)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88">
      <c r="A88" t="inlineStr">
        <is>
          <t>li-4372001984</t>
        </is>
      </c>
      <c r="B88" t="inlineStr">
        <is>
          <t>Data Engineer</t>
        </is>
      </c>
      <c r="C88" t="inlineStr">
        <is>
          <t>Jobs via Dice</t>
        </is>
      </c>
      <c r="D88" t="inlineStr">
        <is>
          <t>linkedin</t>
        </is>
      </c>
      <c r="E88" t="inlineStr"/>
      <c r="F88" t="inlineStr"/>
      <c r="G88" t="inlineStr">
        <is>
          <t>Santa Monica, CA</t>
        </is>
      </c>
      <c r="H88" t="inlineStr"/>
      <c r="I88" t="inlineStr">
        <is>
          <t>Dice is the leading career destination for tech experts at every stage of their careers. Our client, Apolis, is seeking the following. Apply via Dice today!
* Job Title: Data Engineer
* Location: Santa Monica, CA
* Tax Term (W2, C2C):
* Job Type (Permanent/Contract) :
* Duration:
* Pay Range:$70/hr
**Responsibilities:**
* Design and develop scalable ETL/ELT pipelines to ingest and transform data from various sources.
* Build and maintain data models and transformations using DBT in Snowflake.
* Work closely with analysts and business users to deliver Power BI dashboards and datasets .
* Integrate and automate data extraction from external APIs using Python , loading clean data into Snowflake.
* Collaborate with cross\-functional teams to understand business requirements and translate them into technical solutions.
* Optimize and monitor data workflows in ADF, AWS Glue , or similar tools.
* Work with relational databases and ensure data integrity, quality, and performance.
* Maintain documentation and follow best practices for data engineering workflows.
* Support data migration or integration efforts with SAP BW systems (a plus, not mandatory).
**Required Skills:**
* Strong experience with Snowflake (data modeling, performance tuning, warehousing concepts).
* Proficiency in DBT (Data Build Tool) for transformation pipelines.
* Hands\-on experience with Power BI (data modeling, DAX, visualization best practices) or other tools like SAC/Tableau.
* Solid knowledge of Python , especially for API integrations and data processing.
* Experience with cloud\-based data pipeline tools , such as Azure Data Factory (ADF) and/or AWS Glue .
* Good understanding of relational databases , SQL, and data modeling concepts.
* Strong problem\-solving skills and ability to work independently or in a team.
* Excellent communication and documentation skills.
**Nice to Have:**
* Exposure to SAP BW data sources or integration with Snowflake.
* Experience with DevOps tools for data (CI/CD, version control in data workflows).
* Familiarity with orchestration tools like Airflow or Azure Data Factory triggers.</t>
        </is>
      </c>
    </row>
    <row r="89">
      <c r="A89" t="inlineStr">
        <is>
          <t>li-4343872368</t>
        </is>
      </c>
      <c r="B89" t="inlineStr">
        <is>
          <t>Healthcare Senior Data Engineer, Analytics Hub</t>
        </is>
      </c>
      <c r="C89" t="inlineStr">
        <is>
          <t>ECG Management Consultants</t>
        </is>
      </c>
      <c r="D89" t="inlineStr">
        <is>
          <t>linkedin</t>
        </is>
      </c>
      <c r="E89" t="inlineStr"/>
      <c r="F89" t="inlineStr"/>
      <c r="G89" t="inlineStr">
        <is>
          <t>Chicago, IL</t>
        </is>
      </c>
      <c r="H89" t="inlineStr"/>
      <c r="I89" t="inlineStr">
        <is>
          <t>**Overview**
 ECG, the most experienced healthcare consulting firm working in the U.S., is ranked as a Best Midsized Firm to Work For 2025 by
 *Consulting Magazine* 
 . At ECG, our primary emphasis is on quality—in our people as well as our services—and we’re seeking others who appreciate our high standards of excellence.
**What’s in It for You: Work with Purpose**
 At ECG, your contribution will have meaningful impact. The work you do will ultimately help health systems optimize performance and meet the needs of the communities they serve—and that’s just the beginning. We’re looking for team players, culture builders, problem\-solvers, and self\-starters to collaborate, take on challenging projects, and find new ways to make a positive impact in the healthcare services sector. ECG is committed to ensuring a supportive, inclusive, and equitable work environment that embraces DEI, where we recognize performance, communicate openly and transparently, and value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 Position themselves for value\-based care delivery.
* Align hospitals and physician organizations.
* Strengthen financial performance.
* Enhance clinical programs.
* Develop strategic partnerships and/or mergers.
**Your Opportunity with ECG: Senior Data Engineer**
 As a senior data engineer, you will support the firm’s client delivery and business development efforts, working with consultants and senior leaders to design and maintain a growing analytical infrastructure, manage large data sets, aggregate internal and external data, develop the infrastructure for scalable models and other analyses, and support data visualization and presentation sets. In addition, you will work directly with our internal support teams (IT, business development, and L\&amp;D) and associated vendors for data management and IT solutions, and you will assist with a range of innovative analytic opportunities. Here, no two days or projects are alike, which means you’ll have a lot to learn and plenty of support to help you succeed.
**Your Responsibilities May Include:**
* Gathering and synthesizing data from various sources (e.g., national surveys, proprietary research, client interviews, industries, markets).
* Designing, developing, and maintaining new data capabilities and infrastructure for utilizing ECG, third\-party, and partner data to enhance ECG’s data products and solutions related to consulting services.
* Creating new data pipelines, data transfers, and infrastructure to facilitate seamless data utilization within cloud environments (primarily Microsoft Azure).
* Optimizing and fine\-tuning data pipelines for improved speed, reliability, and efficiency.
* Creating and supporting the ETL to facilitate the accommodation of data in the data lakes.
* Designing and developing systems for the maintenance of ECG’s EDW and data lakes, ETL processes, and business intelligence.
* Identifying existing data capability and infrastructure gaps or opportunities within and across initiatives and providing subject matter expertise in support of remediation.
* Collaborating with the Analytics Hub peers, IT team, and consulting teams to understand data requirements and translate them into technical solutions.
* Working with large data sets, ensuring data quality, accuracy, and performance.
* Implementing data transformation, integration, and validation processes to support analytics and reporting needs.
* Implementing best practices for data storage, retrieval, and archival to ensure data accessibility and security.
* Troubleshooting and resolving data\-related issues, collaborating with the team to identify root causes.
* Documenting data processes, data lineage, and technical specifications for future reference.
* Participating in code reviews, ensuring adherence to coding standards and best practices.
* Collaborating with the Analytics Hub and IT teams to automate deployment and monitoring of data pipelines.
* Integrating into analytical roles to quickly and effectively dissect business requirements for analysis and reporting needs; establishing documentation and maintaining technical specifications for all reports and processes.
* Building relational databases using a Microsoft SQL Server or Microsoft Fabric.
* Communicating market insights to pursuit teams and supporting business development efforts.
* Partnering with various consulting units (strategy, academic healthcare, provider financial services, performance transformation, etc.) to gather requirements related to data analytics.
* Developing, configuring, and maintaining interfaces to exchange data among Microsoft Power BI, SQL databases, and other cloud\-based applications.
* Developing new and innovative methodologies and approaches.
* Contributing to internal education and learning opportunities for consultants and operations members for the Analytics Hub and analytics in general, and supporting education about ECG’s use cases related to analytics in work.
* Assisting the director of data analytics in developing analytics and data strategy to support data analytics capabilities at the firm.
**Our Expectations of You**
* A bachelor’s degree in either computer science or computer engineering, or a related degree that relies heavily on critical thinking, logic, and math
* Five\-plus years of proven experience in data engineering, with a strong track record of designing and implementing data solutions; experience working in the healthcare sector preferred
* Strong knowledge of SQL and NoSQL databases, as well as data integration and transformation tools
* Proficiency in programming languages, such as Python, R, Java, or Scala, and experience with data processing frameworks (Apache Spark, Apache Hadoop, etc.)
* Experience using Fabric
* In\-depth understanding of data warehousing concepts, cloud platforms (AWS, Azure, GCP), and data modeling techniques
* A passion for and engagement with emerging trends in data, AI/ML, analytics, and digital experiences
* Extensive working knowledge of API\- or stream\-based data extraction processes like bulk API
* Experience in data product development, analytical models, and model governance
* Experience in anonymizing data and managing the use of data
* Experience in data hygiene procedures, identity resolution capabilities, or data management a plus
* Comfort in unit testing, regression testing, and other test\-driven development methodologies
* Knowledge of BI tools and visualization tools like Power BI or Tableau a plus
* Comfort with manipulating and synthesizing large data sets
* Strong written and verbal communication skills
* Excellent organizational skills
**Job Locations**
* Boston, Chicago, or Washington, D.C.
* Hybrid work schedule, with a minimum of two days per week in office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$130,000 \- $160,000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technology\-enabled consulting services encompassing health system performance improvement, ambulatory care planning, market consolidation, and physician enterprise optimization. ECG is an industry leader offering specialized expertise to clients across the full continuum of care, including hospitals, health systems, medical groups, academic medical centers, children’s hospitals, cancer centers, ambulatory surgery centers, investors, and payers/health plans.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is>
      </c>
    </row>
    <row r="90">
      <c r="A90" t="inlineStr">
        <is>
          <t>li-4371789857</t>
        </is>
      </c>
      <c r="B90" t="inlineStr">
        <is>
          <t>Senior Data Engineer</t>
        </is>
      </c>
      <c r="C90" t="inlineStr">
        <is>
          <t>BlastPoint</t>
        </is>
      </c>
      <c r="D90" t="inlineStr">
        <is>
          <t>linkedin</t>
        </is>
      </c>
      <c r="E90" t="inlineStr"/>
      <c r="F90" t="inlineStr"/>
      <c r="G90" t="inlineStr">
        <is>
          <t>Pittsburgh, PA</t>
        </is>
      </c>
      <c r="H90" t="inlineStr"/>
      <c r="I90" t="inlineStr">
        <is>
          <t>**Senior Data Engineer** 
**Salary Range: $140\-160K** 
**Location: Remote** 
***About Us***
 BlastPoint is a B2B data analytics startup located in the East Liberty neighborhood of Pittsburgh. We give companies the power to solve business problems through discovering the humans in their data and understanding how they think. Serving diverse industries including energy, retail, finance, and transportation, BlastPoint’s software platform helps companies plan solutions to customer\-facing challenges, from encouraging green behavior to managing customers’ financial stress. Founded in 2016 by Carnegie Mellon Alumni, we are a tight\-knit, forward\-thinking team.
***Why You Should Work for Us***
* **Solve Challenging Problems:** 
 BlastPoint’s platform incorporates cutting\-edge approaches to geospatial data, psychographic clustering, data enrichment and a dynamic visualization environment, all at scale. We’re working to break new ground by pulling insights from high\-dimensional data. And we’re pushing ourselves to try new and better ways to approach every step of our process.
* **Have An Impact** 
 : Small but mighty, BlastPoint’s growth is due to big companies increasingly trusting us with supporting key decisions using their most sensitive data. What we do positively impacts the lives of millions of Americans (and beyond).
* **Make Positive Change in the World** 
 : Our solutions reduce paper consumption, help struggling families pay their bills, and promote clean energy. We also offer our platform for free to nonprofits and civic\-oriented organizations.
* **Employee\-Focused Culture** 
 : We support the individual needs of our team, offering schedule and work\-from\-home flexibility, health insurance, 401K, and three weeks of PTO. We also tailor growth opportunities, from skills training to industry conferences.
***About the Role***
 We are seeking a talented Senior Data Engineer to own and evolve our data processing pipeline. You'll work across a production\-scale medallion architecture that ingests, transforms, and delivers customer data through a multi\-stage pipeline serving clients in the utility and financial services industries. This role sits at the center of our data infrastructure \- building the pipelines and tooling that power everything from daily data refreshes to ML feature engineering to platform delivery.
***Primary Responsibilities***
**Pipeline Development \&amp; Operations (Primary)** 
* Design, develop, and maintain our core Python ETL framework by writing reusable, well\-tested modules that power data transformations across client pipelines.
* Develop and optimize our automated refresh pipeline orchestrated through AWS Batch, Lambda, Step Functions, and EventBridge.
* Build Python integrations with external systems (SFTP, third\-party APIs, client platforms) that are robust, testable, and reusable.
* Identify and eliminate manual bottlenecks in data onboarding and analysis through well\-designed automation.
* Build and extend internal web applications (FastAPI, SQLAlchemy, PostgreSQL) that support pipeline orchestration, client configuration, and data platform operations.
* Ensure data integrity and security throughout project lifecycles.
**Client Data Support (Secondary)** 
* Write efficient server\-side Python code, leveraging the Pandas and PySpark DataFrame APIs for scalable data transformations and aggregations.
* Optimize Spark jobs for cost and performance at scale.
* Debug complex data quality issues across client pipelines.
* Mentor junior engineers on data transformation patterns, aggregation frameworks, and best practices.
**Internal Tooling (Tertiary)** 
* Contribute to our internal metadata management application (FastAPI backend, React/TypeScript frontend).
* Build API endpoints, write database migrations, and occasionally develop frontend features.
* Maintain the metadata layer that drives pipeline configuration and data governance.
***What We're Looking For***
**Required** 
* Bachelor's degree in a related field like Data Engineering, Computer Science, Data Science, Math, Statistics with 3\+ years of experience or 5\+ years of relevant experience.
* Experience designing and maintaining production ETL/ELT pipelines with proper error handling, idempotency, and monitoring.
* Advanced proficiency in Python, with deep experience in Pandas and PySpark (DataFrame API, SQL, performance tuning, distributed joins).
* Strong SQL skills with PostgreSQL, including query optimization, indexing strategies, and schema design.
* Hands\-on experience with AWS services including but not limited to: S3, Lambda, Batch, SageMaker, and StepFunctions.
* Experience with PyArrow and columnar data formats (Parquet) and data lake patterns.
* Strong problem\-solving skills with the ability to work autonomously, make architectural decisions, and manage multiple concurrent projects.
* Excellent communication skills with the ability to drive cross\-functional collaboration, proactively engaging stakeholders to align on requirements and solutions.
* Experience using Git for version control and repository management.
* Authorized to work in the United States.
**Preferred** 
* Experience with Infrastructure as Code (Terraform).
* Experience implementing observability solutions (monitoring, logging, alerting) for production data pipelines.
* Experience developing REST APIs with FastAPI, SQLAlchemy, and Alembic (or equivalent web frameworks and ORMs).
* Understanding of MLOps.
* Experience building and deploying LLM\-powered agents.
* Experience with Apache Iceberg or similar data lakehouse technologies.
* Experience with geospatial data processing (geocoding, spatial joins).
* Familiarity with React/TypeScript for contributing to internal tooling.
* Understanding of CI/CD (GitHub Actions).
* Experience mentoring junior engineers.
* A willingness to travel domestically periodically for company events (
 **roughly 2\-4 times per year** 
 ).
**Why Join Us** 
* Work on a platform that directly impacts how major utilities and financial institutions understand and serve their customers.
* Own critical infrastructure end\-to\-end, from data ingestion to platform delivery.
* Collaborate with data scientists on ML\-powered customer intelligence products.
* Influence architecture decisions on a growing, production\-scale data platform.
* Mentor and grow junior data engineers.</t>
        </is>
      </c>
    </row>
    <row r="91">
      <c r="A91" t="inlineStr">
        <is>
          <t>li-4372017927</t>
        </is>
      </c>
      <c r="B91" t="inlineStr">
        <is>
          <t>AWS Data engineer - Lead</t>
        </is>
      </c>
      <c r="C91" t="inlineStr">
        <is>
          <t>Cognizant</t>
        </is>
      </c>
      <c r="D91" t="inlineStr">
        <is>
          <t>linkedin</t>
        </is>
      </c>
      <c r="E91" t="inlineStr"/>
      <c r="F91" t="inlineStr"/>
      <c r="G91" t="inlineStr">
        <is>
          <t>Boston, MA</t>
        </is>
      </c>
      <c r="H91" t="inlineStr"/>
      <c r="I91" t="inlineStr">
        <is>
          <t>**Job Summary**
 As a Sr. Developer you will play a crucial role in optimizing our digital presence through advanced search engine strategies. Your expertise in Google Search Console Screaming Frog and SEO will drive our online visibility. You will collaborate with cross\-functional teams to enhance asset management solutions ensuring seamless integration and functionality.
**Responsibilities**
 Work with internal team as well as customer to support data requirements and POCs on cloud platform.
 Deliver cost effective automated data engineering solutions to include orchestration of data acquisition and processing pipelines between source systems and AWS lake and mart.
 Design build and support batch and streaming data pipeline for both batch and near real time data reporting request from data analytics and science team on AWS.
 Enable monitoring and alert mechanism around AWS ecosystem building robust and highly available data pipeline.
 Experienced building unit tests integration tests system tests and acceptance tests for quality delivery.
 Affluent with Agile delivery model.
 Ability to articulate well.
 Proactive and self\-driven.
 Hands on experience with Spark programming (Scala or Python) writing data ingestion/transformation pipeline handling structured semi\-structured and un\-structured data format.
 Experience of cloud techniques and tools (such as Kinesis Athena Glue S3 SQS SNS Lambda Step Functions DynamoDB Postgres Redshift).
 Advance SQL data modelling and data warehouse experience.
 Experience in Data DevOps using continuous integration and continuous development (we use Jenkins Nexus Git) and ensure AWS Cost optimization techniques.
 Hands on experience orchestrating jobs using tools like Airflow etc.
 Experience with ETL or ELT tool on cloud ecosystem is a plus.
 Strong problem solving and troubleshooting skills.
**Salary And Other Compensation**
 Applications will be accepted until Feb 16th 2026
 The annual salary for this position is between $90\-97Kdepending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92">
      <c r="A92" t="inlineStr">
        <is>
          <t>li-4364406417</t>
        </is>
      </c>
      <c r="B92" t="inlineStr">
        <is>
          <t>Senior Data Platform Engineer</t>
        </is>
      </c>
      <c r="C92" t="inlineStr">
        <is>
          <t>United Community</t>
        </is>
      </c>
      <c r="D92" t="inlineStr">
        <is>
          <t>linkedin</t>
        </is>
      </c>
      <c r="E92" t="inlineStr"/>
      <c r="F92" t="inlineStr"/>
      <c r="G92" t="inlineStr">
        <is>
          <t>Greenville, SC</t>
        </is>
      </c>
      <c r="H92" t="inlineStr"/>
      <c r="I92" t="inlineStr">
        <is>
          <t>**Overview**
 We are seeking an experienced
 **Senior** 
**Data Platform Engineer** 
 with deep expertise in Snowflake operations to ensure the reliability, scalability, and security of our enterprise data environment. This role is pivotal in driving operational excellence, automation, and integration across our data platforms. As a senior technical leader, you will serve as the go\-to expert for Snowflake administration, performance and optimization, while collaborating with cross\-functional teams to enable seamless data delivery. The ideal candidate combines advanced technical skills with strategic thinking and a passion for building efficient, compliant, and cost\-effective data solutions.
**What You’ll Do**
* Strategic Leadership:
+ Define and implement Snowflake operational standards and best practices.
+ Act as the primary Snowflake SME for architecture, security, and performance.
+ Mentor junior team members and provide technical guidance.
* Advanced Platform Administration:
+ Oversee account configuration, role hierarchy, and security policies.
+ Whether API integrations, storage integrations, External access integrations, or native apps, this role will be key in establishing and maintaining these.
+ Ensure high availability and disaster recovery readiness.
* Performance \&amp; Cost Optimization:
+ Conduct deep\-dive performance analysis and implement tuning strategies.
+ Monitor credit usage with budgets for usage trends and proactively manage warehouse scaling and credits.
+ Manage multi\-cluster warehouses and optimize compute resources for cost efficiency.
* Automation \&amp; DevOps Integration:
+ Design and implement automation for provisioning, monitoring, and maintenance tasks.
+ Integrate Snowflake with CI/CD pipelines and infrastructure\-as\-code frameworks.
* Governance \&amp; Compliance:
+ Participate in adhering to data governance, tagging, and retention policies.
+ Support audits and compliance reporting for regulatory requirements.
* Cross\-Functional Collaboration:
+ Partner with data engineering, analytics, and security teams to align Snowflake operations with business goals.
+ Provide guidance on query optimization and workload management.
**Requirements For Success**
* Education: Bachelor's degree in Computer Science or a related field or equivalent education experience can be substituted.
* Experience: 8\-yerars minimum number of years of experience candidate must have to be successful in the role.
* Required Skills:
+ 5\+ years of experience in Snowflake administration and operations.
+ Expert\-level SQL and deep understanding of Snowflake architecture.
+ Strong knowledge of RBAC, security, and compliance frameworks.
+ Experience with ETL/ELT tools and data integration strategies.
+ Able to work onsite at the bank’s headquarters in Greenville, South Carolina.
* Preferred Skills:
* Proficiency in Python or other scripting languages for automation.
* Familiarity with Azure and DevOps practices.
* Experience with monitoring tools and cost optimization strategies.
* Snowflake certifications including Snowflake SnowPro certification and badges.
**Conditions of Employment**
* Must be able to pass a criminal background \&amp; credit check
* This is a full\-time, non\-remote position
**FLSA Status:** 
 Exempt
**Ready to take your career to the next level? Apply now and become a vital part of our team!**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Reasonable accommodations may be made to enable individuals with disabilities to perform the essential functions.
**Pay Range**
 USD $68,287\.00 \- USD $113,209\.00 /Yr.</t>
        </is>
      </c>
    </row>
    <row r="93">
      <c r="A93" t="inlineStr">
        <is>
          <t>li-4365548180</t>
        </is>
      </c>
      <c r="B93" t="inlineStr">
        <is>
          <t>Senior Data Engineer (Intelligent Foundations and Experiences)</t>
        </is>
      </c>
      <c r="C93" t="inlineStr">
        <is>
          <t>Capital One</t>
        </is>
      </c>
      <c r="D93" t="inlineStr">
        <is>
          <t>linkedin</t>
        </is>
      </c>
      <c r="E93" t="inlineStr"/>
      <c r="F93" t="inlineStr"/>
      <c r="G93" t="inlineStr">
        <is>
          <t>McLean, VA</t>
        </is>
      </c>
      <c r="H93" t="inlineStr"/>
      <c r="I9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Data Engineer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4">
      <c r="A94" t="inlineStr">
        <is>
          <t>li-4365549952</t>
        </is>
      </c>
      <c r="B94" t="inlineStr">
        <is>
          <t>Lead Data Engineer - Mainframe/DB2/QREP</t>
        </is>
      </c>
      <c r="C94" t="inlineStr">
        <is>
          <t>JPMorganChase</t>
        </is>
      </c>
      <c r="D94" t="inlineStr">
        <is>
          <t>linkedin</t>
        </is>
      </c>
      <c r="E94" t="inlineStr"/>
      <c r="F94" t="inlineStr"/>
      <c r="G94" t="inlineStr">
        <is>
          <t>Wilmington, DE</t>
        </is>
      </c>
      <c r="H94" t="inlineStr"/>
      <c r="I94" t="inlineStr">
        <is>
          <t>**Job Description**
 Join us as we embark on a journey of collaboration and innovation, where your unique skills and talents will be valued and celebrated. Together we will create a brighter future and make a meaningful difference.
 As a Lead Data Engineer \- Mainframe/DB2/QREP at JPMorgan Chase within the Consumer \&amp; Community Banking \- Card Platform Services Team, you are an integral part of an agile team that works to enhance, build, and deliver database requirements to meet product business deliverables by ensuring the data is always available, accessible , reliable and recoverable. As a core technical contributor, you are responsible for maintaining the critical database and architectures across multiple technical areas within various business functions in support of the firm’s business objectives.
**Job Responsibilities**
* Administer, design, implement and support highly available and scalable Mainframe DB2 \&amp; IMS database solutions
* Implement data models, database designs, data access and table maintenance codes.
* Implement and maintaining the DB2/IMS Databases with High Availability features using Data Partitioning and Database replications.
* Resolve database performance issues, database capacity issues, replication and other data issues.
* Work with Information Architects and Database Designers to implement the physical data model.
* Develop the database performance monitoring process and analyze data for optimization opportunities.
* Provide up to Level 2 on call support for the 24/7 DB2/IMS database environment.
* Manage on\-site backup and recovery process.
* Plan for and execute required database upgrades or migrations.
* Work with database admin tools like CA Platinum/ BMC/ IBM Admin tools, Mainview, IBM Data Studio, BMC Recovery management etc.
**Required Qualifications, Capabilities, And Skills**
* Formal training or certification on software engineering concepts and 5\+ years applied experience
* Database design/development, integration, performance monitoring \&amp; tuning, systems re\-engineering and Operations support.
* Knowledge of DB2 for z/OS along with mainframe related tools such as BMC, CA Platinum for monitoring, SMPE, ISPF, SMS, SMF.
* Expertise with IMS Full Function/Fast Path database implementation, REXX programming and MQ
* Experience in IBM Replication CDC , QREP.
* Capable of creating the roadmap, processes, best practices, standards, and strategies for continuous improvement, resiliency, and scalability.
* Experience with Atlassian tools like Jira, Confluence.
* Proven background on database engineering, automation, monitoring, performance engineering design and implementations.
* Strong execution mind\-set to manage and track progress against transformation goals.
* Knowledge of industry\-wide technology trends and best practices.
**Preferred Qualifications, Capabilities, And Skills**
* Experience providing 24x7 rotational support.
* Understanding of Distributed and Static SQL workloads
* Familiar with IDAA (Data Analytics Accelerators)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5">
      <c r="A95" t="inlineStr">
        <is>
          <t>li-4372013692</t>
        </is>
      </c>
      <c r="B95" t="inlineStr">
        <is>
          <t>Data Engineer- W2 Role</t>
        </is>
      </c>
      <c r="C95" t="inlineStr">
        <is>
          <t>Jobs via Dice</t>
        </is>
      </c>
      <c r="D95" t="inlineStr">
        <is>
          <t>linkedin</t>
        </is>
      </c>
      <c r="E95" t="inlineStr"/>
      <c r="F95" t="inlineStr"/>
      <c r="G95" t="inlineStr"/>
      <c r="H95" t="inlineStr"/>
      <c r="I95" t="inlineStr">
        <is>
          <t>Dice is the leading career destination for tech experts at every stage of their careers. Our client, Tek Inspirations LLC, is seeking the following. Apply via Dice today!
**Position Title: Data Engineer\- W2 Role**
**Location: : Remote**
**Duration: 12 months**
**MOI: SKype**
**Job Description: \-**
* Data Engineer (Mid Level)
**Key Responsibilities**
* Design and develop ETL/ELT workflows and data pipelines for batch and real\-time processing.
* Build and maintain data pipelines for reporting and downstream applications using open\-source frameworks and cloud technologies.
* Implement operational and analytical data stores leveraging Delta Lake and modern database concepts.
* Optimize data structures for performance and scalability across large datasets.
* Collaborate with architects and engineering teams to ensure alignment with target\-state architecture.
* Apply best practices for data governance, lineage tracking, and metadata management, including integration with Google Dataplex for centralized governance and data quality enforcement.
* Develop, schedule, and orchestrate complex workflows using Apache Airflow, with strong proficiency in designing and managing Airflow DAGs.
* Troubleshoot and resolve issues in data pipelines and ensure high availability and reliability.
**Required Technical Skills**
* Strong Understanding of Data: Data structures, modeling, and lifecycle management.
* ETL/ELT Expertise: Hands\-on experience designing and managing data pipelines.
* PySpark: Advanced skills in distributed data processing and transformation.
* NetApp Iceberg: Experience implementing open table formats for analytics.
* Hadoop Ecosystem: Knowledge of HDFS, Hive, and related components.
* Cloud Platforms: Google Cloud Platform (BigQuery, Dataflow), Delta Lake, and Dataplex for governance and metadata management.
* Programming \&amp; Orchestration: Python, Spark, SQL.
* Workflow Orchestration: Strong experience with Apache Airflow, including authoring and maintaining DAGs for complex workflows.
* Database \&amp; Reporting Concepts: Strong understanding of relational and distributed systems.</t>
        </is>
      </c>
    </row>
    <row r="96">
      <c r="A96" t="inlineStr">
        <is>
          <t>li-4372020634</t>
        </is>
      </c>
      <c r="B96" t="inlineStr">
        <is>
          <t>Hiring!! FTE Lead Data Engineer - Developer  Snowflake &amp; DBT - Raritan, NJ (Hybrid)</t>
        </is>
      </c>
      <c r="C96" t="inlineStr">
        <is>
          <t>Jobs via Dice</t>
        </is>
      </c>
      <c r="D96" t="inlineStr">
        <is>
          <t>linkedin</t>
        </is>
      </c>
      <c r="E96" t="inlineStr"/>
      <c r="F96" t="inlineStr"/>
      <c r="G96" t="inlineStr">
        <is>
          <t>Raritan, NJ</t>
        </is>
      </c>
      <c r="H96" t="inlineStr"/>
      <c r="I96" t="inlineStr">
        <is>
          <t>Dice is the leading career destination for tech experts at every stage of their careers. Our client, PropelSys Technologies LLC., is seeking the following. Apply via Dice today!
 Here is the
 **updated short, solid JD** 
 with strict mandatory language added:
 Job Title
**Lead Developer Snowflake \&amp; DBT**
 Location
**Raritan, NJ (Hybrid / Onsite)** 
 Local or nearby candidates only
 Employment Type
**Full\-Time (FTE)**
 Salary
**$135K $140K base (No VPI/Bonus, No Relocation)**
 Domain
**Mandatory: Life Sciences (LSS)**
**Job Summary**
 Seeking a
 **Lead Data Engineer (10 15 years)** 
 with strong hands\-on expertise in
 **Snowflake** 
 ,
 **dbt** 
 ,
 **Apache Airflow** 
 , and
 **StreamSets** 
 to lead enterprise data modernization initiatives within regulated Life Sciences environments.
 Mandatory Skills No Exceptions
**All the below skills are mandatory and must be clearly reflected in the candidate's resume with hands\-on project experience.**
 Resumes
 **without explicit experience mentioned for each required skill will NOT be considered.** 
* 10\+ years in Data Engineering / Enterprise Data Platforms
* 4 6\+ years hands\-on Snowflake implementation
* Strong hands\-on experience with:
+ DBT (advanced transformations, incremental models, testing)
+ Apache Airflow (DAG orchestration, workflow management)
+ StreamSets (data ingestion pipelines)
* Large\-scale data migration experience (legacy DW to Snowflake)
* Multi\-source data ingestion framework implementation
* Advanced SQL expertise
* Life Sciences domain experience (Clinical, Regulatory, Safety, Commercial data platforms)
* Cloud experience: AWS / Microsoft Azure / Google Cloud Platform
 Important Screening Note
* Profiles must clearly demonstrate Life Sciences domain projects.
* Generic data engineering profiles without LSS experience will not be shortlisted.
* Keyword\-only resumes without demonstrated project details will not be considered.</t>
        </is>
      </c>
    </row>
    <row r="97">
      <c r="A97" t="inlineStr">
        <is>
          <t>li-4364408295</t>
        </is>
      </c>
      <c r="B97" t="inlineStr">
        <is>
          <t>Remote Junior Data Engineer</t>
        </is>
      </c>
      <c r="C97" t="inlineStr">
        <is>
          <t>Lensa</t>
        </is>
      </c>
      <c r="D97" t="inlineStr">
        <is>
          <t>linkedin</t>
        </is>
      </c>
      <c r="E97">
        <f>HYPERLINK("https://www.linkedin.com/jobs/view/4364408295", "https://www.linkedin.com/jobs/view/4364408295")</f>
        <v/>
      </c>
      <c r="F97">
        <f>HYPERLINK("https://lensa.com/cgw/190f885e800a400b9469ed1f0a4d8ed0tjo1?jpsi=directemployers_no_redirect&amp;publisher_preference=easier_apply&amp;utm_campaign=Computer%20Occupations&amp;utm_medium=slot&amp;utm_source=linkedin&amp;utm_term=jse&amp;urlHash=w56F", "https://lensa.com/cgw/190f885e800a400b9469ed1f0a4d8ed0tjo1?jpsi=directemployers_no_redirect&amp;publisher_preference=easier_apply&amp;utm_campaign=Computer%20Occupations&amp;utm_medium=slot&amp;utm_source=linkedin&amp;utm_term=jse&amp;urlHash=w56F")</f>
        <v/>
      </c>
      <c r="G97" t="inlineStr">
        <is>
          <t>Woonsocket, RI</t>
        </is>
      </c>
      <c r="H97" t="inlineStr"/>
      <c r="I9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hiring a Data Engineer to contribute to ongoing operational data workflows for a major healthcare partner. The position focuses on day\-to\-day processing and transformation of client data, with most tasks being consistent and routine. Occasional data issues may arise that require analytical troubleshooting. Candidates should bring 2\+ years of data engineering experience and strong SQL expertise (SSIS, SQL Server), along with exceptional attention to detail and the ability to follow structured processes.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2\+ years of data engineering experience
* Hands\-on experience with SQL technologies, including SSIS and SQL Server
* Strong understanding of SQL concepts and best practices
* Demonstrates strong diligence and attention to detail
* Follows instructions accurately and consistently \- Experience working with client data ingestion processes and handling healthcare PHI
 If you have questions about this posting, please contact support@lensa.com</t>
        </is>
      </c>
    </row>
    <row r="98">
      <c r="A98" t="inlineStr">
        <is>
          <t>li-4364513811</t>
        </is>
      </c>
      <c r="B98" t="inlineStr">
        <is>
          <t>Data Engineer</t>
        </is>
      </c>
      <c r="C98" t="inlineStr">
        <is>
          <t>The Public Interest Company</t>
        </is>
      </c>
      <c r="D98" t="inlineStr">
        <is>
          <t>linkedin</t>
        </is>
      </c>
      <c r="E98">
        <f>HYPERLINK("https://www.linkedin.com/jobs/view/4364513811", "https://www.linkedin.com/jobs/view/4364513811")</f>
        <v/>
      </c>
      <c r="F98">
        <f>HYPERLINK("https://jobs.ashbyhq.com/publicinterestco/6c645b44-32da-458b-8d39-7835b489a3e6/application?utm_source=y6RakWxmGJ&amp;urlHash=k_9A", "https://jobs.ashbyhq.com/publicinterestco/6c645b44-32da-458b-8d39-7835b489a3e6/application?utm_source=y6RakWxmGJ&amp;urlHash=k_9A")</f>
        <v/>
      </c>
      <c r="G98" t="inlineStr"/>
      <c r="H98" t="inlineStr"/>
      <c r="I98" t="inlineStr">
        <is>
          <t>**About The Company**
 The Public Interest Company is a comprehensive solution for identifying and recovering third party liability for health plans, risk\-bearing provider groups, and self\-funded employers. We combine AI and a legal tech platform to identify and recover claims that should have been paid by third party payers. We handle the entire recovery process, all while protecting members and streamlining operations. We empower healthcare organizations to maximize their financial performance, and recoup dollars towards care delivery, without adding administrative burden.
**Role Overview**
 In this role, you’ll support the ingestion and transformation of raw healthcare claims data into standardized, actionable datasets that help identify and recover third\-party liability opportunities. You’ll contribute to the design, development, and maintenance of ETL pipelines, while ensuring the accuracy and reliability of the resulting data.
 The ideal candidate has a foundational understanding of healthcare data (claims\-specific experience is a plus) and is familiar with common data engineering principles. You should be comfortable working in a fast\-paced, startup environment, collaborating with team members from across the business, and willing to contribute to a wide range of data\-related projects.
 All downstream business operations depend on high\-quality data. In this role, you will be a critical contributor to ensuring that data is accurate, timely, and actionable.
**Responsibilities**
* Data pipelines: Design, build, and maintain data pipelines using SQL, Python, dbt and Databricks.
* Data validation: Conduct regular data quality checks to ensure accuracy and integrity for downstream users.
* Data troubleshooting: Proactively identify data issues and develop custom solutions.
* Process Optimization: Monitor pipeline performance and tune processes to improve efficiency.
* Cross\-functional collaboration: Work with cross\-functional teams to understand data requirements and incorporate them into the data framework.
* Team engagement: Actively participate in discussions, offering input and feedback to drive continuous improvement.
**Qualifications**
* 1–3 years of experience in data engineering, analytics, or related technical roles.
* Solid understanding of ETL/ELT concepts and data pipeline design.
* Proficiency in SQL; Python experience is a plus.
* Foundational understanding of healthcare data; experience with claims data is a plus.
* Familiarity with modern cloud data platforms (e.g., Databricks, Snowflake).
* Strong analytical and problem\-solving skills with attention to detail.
* Ability to work independently while collaborating effectively within a team.
* Previous startup experience is a plus.</t>
        </is>
      </c>
    </row>
    <row r="99">
      <c r="A99" t="inlineStr">
        <is>
          <t>li-4364198293</t>
        </is>
      </c>
      <c r="B99" t="inlineStr">
        <is>
          <t>Data Engineer 1</t>
        </is>
      </c>
      <c r="C99" t="inlineStr">
        <is>
          <t>Lensa</t>
        </is>
      </c>
      <c r="D99" t="inlineStr">
        <is>
          <t>linkedin</t>
        </is>
      </c>
      <c r="E99">
        <f>HYPERLINK("https://www.linkedin.com/jobs/view/4364198293", "https://www.linkedin.com/jobs/view/4364198293")</f>
        <v/>
      </c>
      <c r="F99">
        <f>HYPERLINK("https://lensa.com/cgw/8202b9273cfc433280db56f9045dc623tjo1?jpsi=directemployers_no_redirect&amp;publisher_preference=easier_apply&amp;utm_campaign=Computer%20Occupations&amp;utm_medium=slot&amp;utm_source=linkedin&amp;utm_term=jse&amp;urlHash=AW6L", "https://lensa.com/cgw/8202b9273cfc433280db56f9045dc623tjo1?jpsi=directemployers_no_redirect&amp;publisher_preference=easier_apply&amp;utm_campaign=Computer%20Occupations&amp;utm_medium=slot&amp;utm_source=linkedin&amp;utm_term=jse&amp;urlHash=AW6L")</f>
        <v/>
      </c>
      <c r="G99" t="inlineStr">
        <is>
          <t>Portland, OR</t>
        </is>
      </c>
      <c r="H99" t="inlineStr"/>
      <c r="I9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Indeed. Clicking "Apply Now" or "Read more" on Lensa redirects you to the job board/employer site. Any information collected there is subject to their terms and privacy notice.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Data Engineer's role is to integrate data from a variety of sources into common data domain models. The purpose is to support data and analytics activities across Glassdoor and Indeed's global business functions. This is a technical role that involves defining changes to the data lake data model and building scalable and efficient processes to populate or modify data lake data. You will have practical data processing and data modeling experience in a "big data" environment. Also, experience in data modeling, test automation, and building reliable, trusted, and efficient data pipelines. This work contributes to our mission of helping people get jobs by providing insight into the global job market and supporting product innovation. That makes it easier for job seekers and employers to find each other.
**Responsibilities**
* Designing and implementing data pipelines (ETLs) to integrate data from a variety of sources into the Glassdoor (Indeed) Data Warehouse
* Designing and implementing data model changes, working cross\-functionally with various product and data teams
* Providing documentation, training, and consulting for data warehouse users
* Participating in on\-call rotation supporting critical business data pipelines
**Skills/Competencies**
* B.S. degree in Computer Science, Computer Engineering, Electrical Engineering, Mathematics, Statistics
* 1\+ years of experience with big data and streaming technologies (Snowflake, Redshift, Hive, Kafka, Spark, Flink or similar technologies)
* Exposure to workflow orchestration and pipeline tools such as Airflow
* 2\+ years coding experience (Python or Scala preferred)
* Passionate about data and learning new skills and technologies
**Salary Range Transparency**
 US Remote 95,000 \- 137,000 USD per year
 Austin Metro Area 95,000 \- 137,000 USD per year
 NYC Metro Area 111,000 \- 161,000 USD per year
 Seattle Metro Area 104,000 \- 152,000 USD per year
 Scottsdale Metro Area 83,200 \- 103,500 USD per year
 San Francisco Bay Area 111,000 \- 161,000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**46469**
**The deadline to apply to this position is \[2/18/2026].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46469
 If you have questions about this posting, please contact support@lensa.com</t>
        </is>
      </c>
    </row>
    <row r="100">
      <c r="A100" t="inlineStr">
        <is>
          <t>li-4371050624</t>
        </is>
      </c>
      <c r="B100" t="inlineStr">
        <is>
          <t>Analytics Engineer, Lifecycle Efficiency</t>
        </is>
      </c>
      <c r="C100" t="inlineStr">
        <is>
          <t>Instacart</t>
        </is>
      </c>
      <c r="D100" t="inlineStr">
        <is>
          <t>linkedin</t>
        </is>
      </c>
      <c r="E100">
        <f>HYPERLINK("https://www.linkedin.com/jobs/view/4371050624", "https://www.linkedin.com/jobs/view/4371050624")</f>
        <v/>
      </c>
      <c r="F100" t="inlineStr"/>
      <c r="G100" t="inlineStr"/>
      <c r="H100" t="inlineStr"/>
      <c r="I10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Lifecycle Efficiency team sits within Data Science \&amp; Analytics and partners closely with Incentives Marketing to power how we invest, measure, and optimize customer growth. We’re looking for an Analytics Engineer to build and own the data models, pipelines, and semantic layers that enable clear, trusted measurement of a marketing portfolio with approximately millions in annual spend.
 In this role, you will shape the data foundation for incentives, promotions, and lifecycle communications across our marketplace. You’ll collaborate daily with Data Engineering, Product, Marketing, and Engineering to define source\-of\-truth datasets, standardize KPI definitions, and enable self\-serve analytics at scale. Your work will unlock faster decision\-making, measurable ROI, and smarter experimentation.
 You’ll join a focused team of 5 that values collaboration, clear thinking, and rolling up our sleeves to solve complex problems. If you thrive in a fast\-paced environment, enjoy building reliable datasets from messy real\-world signals, and want to drive visible impact across a high\-ownership domain, we’d love to hear from you.
**About The Job**
* Design, build, and maintain robust, production\-grade data models (e.g., in dbt) that power incentives, promotions, and lifecycle analytics, including standardized fact/dimension tables and a consistent metrics layer.
* Partner with Data Engineering to model source data from multiple systems (e.g., marketing platforms, event streams, transactional data) and implement efficient, auditable ELT patterns in a modern cloud warehouse.
* Define and operationalize KPI and metric definitions for marketing efficiency and ROI; enable self\-serve analytics in BI tools by implementing clean, documented semantic models and LookML (or equivalent).
* Set and enforce data quality standards with automated testing, lineage, documentation, and monitoring to ensure stakeholders can trust dashboards and analyses used to manage millions in annual spend.
* Collaborate with Product, Marketing, and Engineering to scope requirements, prioritize a roadmap, and deliver high\-impact datasets for experimentation, attribution, cohorting, and lifecycle performance reporting.
* Continuously improve performance, reliability, and cost efficiency of pipelines and queries; drive best practices in version control, code review, and CI/CD for analytics engineering.
**About You**
 Minimum Qualifications
* 4\+ years of experience in analytics engineering, data engineering, or BI development building production data models in a modern cloud data stack.
* Advanced SQL proficiency (e.g., complex joins, window functions, query optimization) with a track record of performance tuning in Snowflake, BigQuery, or Redshift.
* 2\+ years implementing and maintaining dbt projects (models, tests, macros, documentation) in production with Git\-based workflows.
* Hands\-on experience orchestrating ELT/ETL pipelines with Airflow, Dagster, or similar, including scheduling, dependency management, and alerting.
* Experience building semantic layers and BI models (e.g., Looker/LookML, Semantic Layer, or equivalent) to enable reliable self\-serve analytics.
* Demonstrated use of automated data quality testing and data observability (e.g., dbt tests, Great Expectations, or similar) and ownership of documentation and lineage.
* Bachelor’s degree in Computer Science, Engineering, Mathematics, Statistics, or a related field, or equivalent practical experience.
* Proven success partnering cross\-functionally with Product, Marketing, and Engineering to translate ambiguous requirements into scalable datasets and clear deliverables.
**Preferred Qualifications**
* Experience supporting growth or marketing teams, including incentives, promotions, lifecycle/CRM, attribution, or incrementality measurement.
* Proficiency in Python for data transformation, orchestration tasks, or analytics utilities within the ELT workflow.
* Experience with experimentation data (e.g., assignment, guardrails, lift) and building datasets to support A/B tests and causal inference workflows.
* Familiarity with data governance and cataloging (e.g., DataHub, Amundsen) and warehouse cost/performance optimization best practices.
* Background in consumer technology, marketplaces, or e\-commerce operating at scale with complex event and transactional data.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$165,000—$174,000 USD
 WA
 $158,000—$166,500 USD
 OR, DE, ME, MA, MD, NH, RI, VT, DC, PA, VA, CO, TX, IL, HI
 $151,000—$159,500 USD
 All other states
 $138,000—$145,500 USD</t>
        </is>
      </c>
    </row>
    <row r="101">
      <c r="A101" t="inlineStr">
        <is>
          <t>li-4372906084</t>
        </is>
      </c>
      <c r="B101" t="inlineStr">
        <is>
          <t>Data Engineer</t>
        </is>
      </c>
      <c r="C101" t="inlineStr">
        <is>
          <t>Blue Zones Health</t>
        </is>
      </c>
      <c r="D101" t="inlineStr">
        <is>
          <t>linkedin</t>
        </is>
      </c>
      <c r="E101">
        <f>HYPERLINK("https://www.linkedin.com/jobs/view/4372906084", "https://www.linkedin.com/jobs/view/4372906084")</f>
        <v/>
      </c>
      <c r="F101" t="inlineStr"/>
      <c r="G101" t="inlineStr"/>
      <c r="H101" t="inlineStr"/>
      <c r="I101" t="inlineStr">
        <is>
          <t>We are building a scalable, delegation\-ready MSO and value\-based care platform and are hiring an engineer who thrives at the intersection of application engineering, healthcare data, and real\-world systems integration.  You will work closely with our Lead Engineer and broader engineering and operating team to implement and extend a standardized healthcare data schema, build production systems in TypeScript, and ensure reliable, audit\-ready data flows across our MSO environment. 
 This is a hands\-on engineering role within a collaborative team — not a solo architect position. 
 The compensation range for this role is $140,000 \- $170,000 annually.
**What You’ll Do** 
**Platform Engineering (TypeScript)** 
* Build and maintain production systems using TypeScript and modern web frameworks
* Implement application logic that interacts with multiple healthcare data sources
* Design and implement transformation pipelines within an existing standardized schema
* Shape messy healthcare inputs into clean, modeled entities
* Contribute to internal platform tooling and reusable patterns
* You will ship production code as part of a small, agile team.
**Data Engineering \&amp; Integration** 
* Build, conduct quality assurance checks and maintain ingestion pipelines for:
 \-Clinical/EHR data 
 \-Claims and remittance feeds (837/835\) 
 \-Eligibility and attribution 
 \-Vendor data sources 
 \-CMS source files (i.e., RAPS, MAO004, EDPS, MMR, MOR) 
 \-Data sets from HCC coding, retrospective/prospective reviews 
 \-Alternative Submission Methods (ASM) CMS file submissions for clinical data 
 \-Data assets that support HEDIS, Medicare Stars, CAHPS, and state quality programs Implement mappings and transformations aligned to the defined enterprise schema 
* Validate and reconcile data for accuracy and reporting reliability
* Troubleshoot integration failures across APIs, SFTP, file\-based feeds, and legacy systems
* Monitor latency, data quality, and system dependencies
* Programming in SQL, 
 SNOMED CT
**,** 
 SnowFlake, ETL/ELT and python environments to support program(s)
* Architecture decisions are collaborative — you will help implement and evolve them.
**Analytics Enablement** 
* Ensure data is well\-modeled and usable for:
 \-Population health analytics 
 \-Risk adjustment workflows 
 \-Financial and operational reporting 
* Build and maintain Power BI datasets and reporting layers on top of trusted entities
* Partner with product and analytics teams to translate business requirements into technical implementations
* Support predictive modeling on Risk Adjustment Factors (RAF)
* Support all data reconciliation steps for all data sources both inbound and outbound
* Build and support all chart chase inbound and outbound reconciliation for clinical programs
**Interoperability \&amp; Healthcare Context** 
* Operate as technical partner within MSO / delegated health plan environment by providing architectural oversight, risk identification, and long\-term stewardship
* Support secure data exchange between:
 \-MSO operations 
 \-Health plan partners 
 \-Provider groups 
 \-External vendors 
* Contribute to integration design aligned with standards such as HL7/FHIR (where applicable)
**Governance \&amp; Compliance Partnership** 
* Implement technical controls aligned with established governance frameworks
* Partner closely with the Chief Compliance Officer to:
 \-Ensure systems meet HIPAA and regulatory requirements 
 \-Support audit preparation 
 \-Maintain appropriate documentation and access controls 
* Contribute to vendor technical diligence in collaboration with compliance and leadership
* You are not solely responsible for compliance — you are a technical partner in enabling it. Your expertise in healthcare compliant systems means you will be a valuable thought partner.
**What We’re Looking For** 
**Required** 
* 7\+ years in data analytics
* Proven, recent experience writing production TypeScript
* Proven, recent experience in risk adjustment and HEDIS/STAR program requirements
* Proven, recent experience in clinical data processing needed for program success
* Proven experience building and maintaining modern backend systems
* Demonstrated ability to implement complex data transformations and mappings
* Solid understanding of data modeling and relational concepts
* Experience combining legacy data methods (SFTP, portal access) with modern data architecture
* Experience working across multiple database systems
* Experience in Microsoft Azure (compute, storage, identity, or data services)
* Comfort debugging real\-world infrastructure issues (credentials, networking, SFTP, legacy feeds)
* Ability to travel when needed
**Preferred** 
* Experience working in healthcare, particularly MSO or health plan environments
* Familiarity with:
 \-Healthcare operational data (providers, encounters, payors) 
 \-Claims lifecycle concepts 
 \-Risk adjustment and quality reporting workflows 
* Familiarity with HL7/FHIR
* Experience working with Power BI
* Exposure to regulated data environments
**Please provide a link to your GitHub on your resume upon applying.** 
 For more information about Blue Zones Health, check us out at www.bluezoneshealth.com.
 Blue Zones Health does not discriminate on the basis of race, color, religion, national origin, sex, sexual orientation, gender identity or expression, age, disability, veteran status, or any other protected status under applicable law.</t>
        </is>
      </c>
    </row>
    <row r="102">
      <c r="A102" t="inlineStr">
        <is>
          <t>li-4364408206</t>
        </is>
      </c>
      <c r="B102" t="inlineStr">
        <is>
          <t>Data Engineer</t>
        </is>
      </c>
      <c r="C102" t="inlineStr">
        <is>
          <t>Lensa</t>
        </is>
      </c>
      <c r="D102" t="inlineStr">
        <is>
          <t>linkedin</t>
        </is>
      </c>
      <c r="E102">
        <f>HYPERLINK("https://www.linkedin.com/jobs/view/4364408206", "https://www.linkedin.com/jobs/view/4364408206")</f>
        <v/>
      </c>
      <c r="F102" t="inlineStr"/>
      <c r="G102" t="inlineStr">
        <is>
          <t>Seattle, WA</t>
        </is>
      </c>
      <c r="H102" t="inlineStr"/>
      <c r="I10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03">
      <c r="A103" t="inlineStr">
        <is>
          <t>li-4366687571</t>
        </is>
      </c>
      <c r="B103" t="inlineStr">
        <is>
          <t>Data Engineer I</t>
        </is>
      </c>
      <c r="C103" t="inlineStr">
        <is>
          <t>Epicured</t>
        </is>
      </c>
      <c r="D103" t="inlineStr">
        <is>
          <t>linkedin</t>
        </is>
      </c>
      <c r="E103">
        <f>HYPERLINK("https://www.linkedin.com/jobs/view/4366687571", "https://www.linkedin.com/jobs/view/4366687571")</f>
        <v/>
      </c>
      <c r="F103" t="inlineStr"/>
      <c r="G103" t="inlineStr">
        <is>
          <t>Glen Cove, NY</t>
        </is>
      </c>
      <c r="H103" t="inlineStr"/>
      <c r="I103" t="inlineStr">
        <is>
          <t>Why Epicured?
 Epicured is on a mission to combat and prevent chronic disease, translating scientific research into high\-quality food products and healthcare services nationwide. Our evidence\-based approach brings together the best of the clinical, culinary, and technology worlds to help people eat better, feel better, and live better one meal at a time.
 By joining Epicured’s Technology team, you’ll help power the data infrastructure that supports Medicaid programs, clinical services, life sciences initiatives, and direct\-to\-consumer operations — enabling better decisions, better outcomes, and scalable growth.
**Role Overview**
 Epicured is seeking a Data Engineer I to support data ingestion, reporting, and analytics across multiple business lines. Reporting to the SVP of Software Engineering, this role will focus on building and maintaining reliable reporting pipelines, supporting business requests, and managing data from a growing ecosystem of healthcare, operational, and e\-commerce systems.
 This position is ideal for a self\-starter with strong SQL skills who is comfortable working with evolving requirements, healthcare\-adjacent data, and modern data platforms such as Microsoft Fabric and Power BI.
**Key Responsibilities**
* Build, maintain, and support reports across all Epicured business lines using Power BI, exports, and Microsoft Fabric.
* Ingest and integrate new data sources, including SQL Server, operational systems, and external data exchanges.
* Support reporting and analytics requests across Clinical \&amp; Life Sciences, Section 1115 Medicaid Waiver programs, Health Information Exchanges (e.g., Healthix), and Self\-Pay e\-commerce operations.
* Handle HIPAA\-sensitive data, ensuring proper governance, access control, and compliance standards are maintained.
* Manage Shopify and other e\-commerce data requests for Epicured’s Self\-Pay division.
* Keep reporting environments organized, documented, and operational while prioritizing incoming requests.
* Operate and help scale Epicured’s Microsoft Fabric environment, contributing to platform strategy and best practices.
* Partner with stakeholders to clarify ambiguous requirements and translate business questions into data solutions.
**Qualifications**
* 3\+ years of experience in data engineering, analytics, or business intelligence roles.
* Strong SQL skills with experience working in relational databases.
* Experience with Azure, Microsoft Fabric, Power BI, or similar modern data platforms.
* Strong proficiency in Excel / Google Sheets.
* Ability to work independently and manage multiple priorities in a fast\-growing environment.
* Experience working with healthcare or HIPAA\-adjacent data, including exposure to health information exchanges.
* Familiarity with ETL / ELT pipelines and data modeling best practices.
* Experience integrating operational, financial, logistics, and clinical datasets.
**Preferred Qualifications**
* Experience with C\#.
* Python experience is a plus.
* Healthcare or life sciences background.
* Experience supporting analytics for Medicaid, payer, or regulated environments.
**Compensation \&amp; Benefits**
* Salary Range: $115,000–$130,000 annually, commensurate with experience
* Benefits include:
+ 401(k)
+ Health, Dental, and Vision insurance
+ Unlimited Paid Time Off (PTO)
+ Opportunity to grow with Epicured’s expanding data and technology organization
**Equal Employment Opportunity**
 Epicured is proud to be an Equal Opportunity Employer. We celebrate diversity and are committed to creating an inclusive environment for all employees. We do not discriminate on the basis of age, race, creed, color, national origin, religion, gender, sexual orientation, gender identity or expression, disability, veteran status, or any other protected status under federal, state, or local law.</t>
        </is>
      </c>
    </row>
    <row r="104">
      <c r="A104" t="inlineStr">
        <is>
          <t>li-4369981258</t>
        </is>
      </c>
      <c r="B104" t="inlineStr">
        <is>
          <t>Sr. Data Engineer - Remote</t>
        </is>
      </c>
      <c r="C104" t="inlineStr">
        <is>
          <t>Sharecare</t>
        </is>
      </c>
      <c r="D104" t="inlineStr">
        <is>
          <t>linkedin</t>
        </is>
      </c>
      <c r="E104">
        <f>HYPERLINK("https://www.linkedin.com/jobs/view/4369981258", "https://www.linkedin.com/jobs/view/4369981258")</f>
        <v/>
      </c>
      <c r="F104" t="inlineStr"/>
      <c r="G104" t="inlineStr"/>
      <c r="H104" t="inlineStr"/>
      <c r="I104" t="inlineStr">
        <is>
          <t>**Job Description**
 Sharecare is a digital healthcare company that delivers software and tech\-enabled services to stakeholders across the healthcare ecosystem to help improve care quality, drive better outcomes, and lower costs. Through its data\-driven AI insights, evidence\-based resources, and comprehensive platform – including benefits navigation, care management, home care resources, health information management, and more – Sharecare helps people easily and efficiently manage their healthcare and improve their well\-being. Across its three business channels, Sharecare enables health plan sponsors, health systems and physician practices, and leading pharmaceutical brands to drive personalized and value\-based care at scale. To learn more, visit www.sharecare.com.
**Job Summary**
 Sharecare is seeking a Senior Data Engineer to help build and evolve our next\-generation data platform supporting high\-profile partners and customers. In this role, you will collaborate closely with Product, Account Management, QA, Analytics, and Architecture teams to deliver scalable, reliable, and secure data solutions.
 This is a hands\-on, high\-impact position within a fast\-paced, agile environment, offering the opportunity to develop breakthrough solutions in the health information and digital health space. The ideal candidate is self\-driven, analytical, and detail\-oriented, with deep expertise in Python\-based data engineering, modern orchestration frameworks, and cloud\-native architectures.
**Essential Job Functions**
* Design, build, and maintain scalable data pipelines using Python, Apache Airflow, and Apache Spark
* Analyze business and technical requirements and translate them into reliable, future\-proof data solutions
* Develop, validate, deploy, and support complex ETL/ELT pipelines at scale
* Build clean, secure, and maintainable REST APIs following company standards
* Implement real\-time and batch processing solutions for diverse data sources
* Develop reusable data engineering and AI frameworks for enterprise\-wide adoption
* Define and manage domain\-based “source of truth” data models, ensuring scalability and end\-to\-end data lineage
* Implement data governance practices, automate data quality checks, and enable pipeline testing
* Optimize data infrastructure for performance, cost efficiency, and reliability
* Manage source control, CI/CD pipelines, and production deployments
* Partner with data scientists and analysts to support AI/ML initiatives
**Specific Skills/ Attributes**
* Strong problem\-solving and analytical thinking
* Excellent communication and collaboration skills across technical and non\-technical teams
* Ability to work independently as well as within cross\-functional, agile teams
* Strong organizational and time\-management skills
* Ability to balance big\-picture thinking with attention to technical detail
* Flexibility and adaptability in a rapidly evolving environment
**Qualifications**
* Bachelor’s degree (or higher) in Computer Science, Data Engineering, or a related field
* 10\+ years of experience in data engineering or related roles
* Strong proficiency in Python and related libraries (Pandas, SQLAlchemy, Boto3, Paramiko, Flask, FastAPI)
* Advanced SQL skills with experience analyzing healthcare datasets (e.g., claims, provider directories)
* Hands\-on experience with orchestration tools such as Apache Airflow and Databricks Workflows
* Strong experience with Apache Spark; exposure to Apache Flink is a plus
* Experience integrating with .NET applications and working with SQL Server
* Cloud platform experience (AWS, Azure, or GCP required)
* Experience with data warehousing solutions such as Amazon Redshift or Vertica
* Solid understanding of distributed systems and functional programming concepts
* Proficiency with Git and modern CI/CD practices
* Exposure to streaming technologies, containerization, and ML pipelines preferred
* Familiarity with AI tools and large language models is a plus
 Sharecare and its subsidiaries are Equal Opportunity Employers and E\-Verify users. Qualified applicants will receive consideration for employment without regard to race, color, sex, national origin, sexual orientation, gender identity, religion, age, equal pay, disability, genetic information, protected veteran status, or other status protected under applicable law.</t>
        </is>
      </c>
    </row>
    <row r="105">
      <c r="A105" t="inlineStr">
        <is>
          <t>li-4372912262</t>
        </is>
      </c>
      <c r="B105" t="inlineStr">
        <is>
          <t>Senior Data Analytics Engineer, Data Team</t>
        </is>
      </c>
      <c r="C105" t="inlineStr">
        <is>
          <t>CoreTrust</t>
        </is>
      </c>
      <c r="D105" t="inlineStr">
        <is>
          <t>linkedin</t>
        </is>
      </c>
      <c r="E105">
        <f>HYPERLINK("https://www.linkedin.com/jobs/view/4372912262", "https://www.linkedin.com/jobs/view/4372912262")</f>
        <v/>
      </c>
      <c r="F105" t="inlineStr"/>
      <c r="G105" t="inlineStr">
        <is>
          <t>Nashville, TN</t>
        </is>
      </c>
      <c r="H105" t="inlineStr"/>
      <c r="I105" t="inlineStr">
        <is>
          <t>Every company needs supplies and services to operate. From laptops and rental cars to pens and pallets, all companies have procurement needs. That's where CoreTrust comes in. CoreTrust provides a B2B marketplace that has transformed how companies buy billions of dollars' worth of supplies and services annually. We're on a mission to be the one place where buyers and suppliers connect, secure purchasing agreements, transact, and partner to realize savings.
 To support our growth, we're seeking an experienced
 **Senior Data Analytics Engineer** 
 to join our Data Solutions team.
 The Senior Data Analytics Engineer will build our data platform, including developing data models, maintaining a data lake and analytics environment, prepping data integration and analysis. In addition, this role will oversee the Analytics Center of Excellence to enable CoreTrust business users to get the most value from our data.
 The ideal candidate has a great understanding of various data / tech solutions (e.g., data modeling tools, data pipeline, data catalogs, cloud databases) and a record of using them to bring tangible dollar impact. The candidate should be excited to seek out and capitalize on a wide variety of opportunities to use data to create value across the organization.
**Responsibilities**
* Leads data analytics projects to build innovative and highly available solutions while ensuring adherence to budget, schedule, and scope of project
* Mentor other members in the Analytics Center of Excellence (ACE)
* Develop and assist with oversight on the data catalog and data visualization software
* Drive data \&amp; analytics solutions from conception to deployment / delivery with clear ROI impact
* Develop and maintain relationships with all relevant business and tech stakeholders and business functions
* Provides input to proposals for assigned projects including project objectives, technologies, systems, information specifications, timelines, and staffing
* Providing timely status updates to affected internal or external customers and stakeholders
* Collects, analyzes, and summarizes information and trends as needed to prepare project status reports
* Assist in developing a culture of data\-driven decision\-making, including adoption of business intelligence, analysis, and advanced analytics globally
* Performs other related duties as assigned
**Qualifications**
* Organized with attention to detail
* Ability to lead analytics projects to completion
* Excellent analytical, logical thinking, and problem\-solving skills
* Excellent verbal and written communication skills to gather requirements and deliver results
* Thorough understanding of project management principles and planning
* Thorough understanding of information technology procedures and practices
* Proficient with Microsoft Office Suite or related software
* Ability to motivate groups of people to complete a project in a timely manner
* Strong command of databases and SQL
* Proficiency with Python or R, especially for data manipulation and analysis, and ability to build, maintain and deploy sequences of automated processes with these tools
* Bachelor's degree in computer or information science preferred or relevant experience
* 5\+ years of relevant experience in a data\-driven professional setting
* Ability to assist with the vision of the team (e.g., mission, priorities, engagement model, tooling)
* A record of accomplishment of successfully managing complex cross\-functional projects under tight deadlines
* Strong data analytics background – SQL, Snowflake Database and Azure cloud
* Data Visualization Software, Statistics / machine learning, DBT, Alteryx or similar
* Exceptional communication and presentation skills, particularly in the context of engaging senior management teams
* A successful history of manipulating, processing, and creating value by performing analysis on a variety of datasets
* Build processes supporting data visualizations, data security, data dictionary, data structures, metadata, dependency, and workload management
**Benefits**
* Competitive compensation package
* Free individual employee medical coverage
* Company subsidized dental and vision coverage
* Dollar for dollar 401(k) match up to 6% of your salary with immediate vesting
* Company\-paid Short\-Term and Long\-Term Disability coverage
* Employee Assistance Program to support your wellbeing and mental health
* $1500 annual stipend for undergraduate/graduate college courses; $500 annual stipend for continuing education courses/certifications
* Free snacks and beverages on\-site
* Brand new, state\-of\-the\-art, tech\-enabled work environment in downtown Nashville
* Flexible/hybrid work culture</t>
        </is>
      </c>
    </row>
    <row r="106">
      <c r="A106" t="inlineStr">
        <is>
          <t>li-4372943596</t>
        </is>
      </c>
      <c r="B106" t="inlineStr">
        <is>
          <t>Data Engineer</t>
        </is>
      </c>
      <c r="C106" t="inlineStr">
        <is>
          <t>Definitive Healthcare</t>
        </is>
      </c>
      <c r="D106" t="inlineStr">
        <is>
          <t>linkedin</t>
        </is>
      </c>
      <c r="E106">
        <f>HYPERLINK("https://www.linkedin.com/jobs/view/4372943596", "https://www.linkedin.com/jobs/view/4372943596")</f>
        <v/>
      </c>
      <c r="F106" t="inlineStr"/>
      <c r="G106" t="inlineStr">
        <is>
          <t>Framingham, MA</t>
        </is>
      </c>
      <c r="H106" t="inlineStr"/>
      <c r="I106" t="inlineStr">
        <is>
          <t>**About Definitive Healthcare:**
 At Definitive Healthcare (NASDAQ: DH), we’re passionate about turning data, analytics, and expertise into meaningful intelligence that helps our customers achieve success and shape the future of healthcare. We empower them to uncover the right markets, opportunities, and people—paving the way for smarter decisions and greater impact.
 Headquartered just outside of Boston, Massachusetts, Definitive Healthcare operates across North America, Europe, and India, supporting a growing global client base of more than 2,400 customers since our founding in 2011\.
 We’re also a great place to work. In 2024 and 2025, we earned multiple workplace honors, including Built In’s 100 Best Places to Work in Boston (both years), a Stevie Bronze Award for Great Employers, and recognition as a Great Place to Work in India.
 We foster a collaborative, inclusive culture where diverse perspectives drive innovation. Through programs like DefinitiveCares and our employee\-led affinity groups we strive to promote connection, education, and inclusion.
 We are looking for a
 **Data Engineer** 
 who is passionate about building scalable data pipelines, working with complex healthcare datasets, and contributing to a modern, cloud‑native data architecture.
 If you thrive in a fast‑paced, data‑driven environment and have strong experience with Python, Spark, Databricks, AWS, SQL, and related technologies, we’d love to hear from you.
**What You'll Do:**
**Design and Develop Data Pipelines:**
* Develop and maintain robust data pipelines using Python, Spark, Databricks, SQL, and SSIS
* Implement and orchestrate ETL/ELT workflows using Apache Airflow and SSIS
* Build reliable, repeatable processes that support the ingestion and transformation of large healthcare datasets
**Data Integration and Management:**
* Integrate data from diverse sources (AWS, on‑prem, third‑party vendors) into our enterprise data platform
* Work with a wide range of file formats including CSV, XML, Parquet, Delta, and more
* Apply strong data quality, cleansing, and curation practices to ensure accuracy and consistency
* Optimize storage and compute resources for performance, cost, and scalability
* Automate observability and monitoring across data pipelines and workloads
**Metadata Management and Governance:**
* Implement and manage Unity Catalog for metadata, lineage, and access control
* Ensure adherence to data governance, security, and privacy standards
* Maintain clear documentation, data dictionaries, and lineage tracking
* Contribute to automation of data observability and governance workflows
**Performance Tuning and Troubleshooting:**
* Tune and optimize Spark jobs for speed, reliability, and cost efficiency
* Diagnose and resolve performance bottlenecks across distributed systems
* Apply JVM tuning and Spark optimization techniques to improve throughput
**Data Maturity Lifecycle:**
* Support and enhance our Medallion architecture (bronze/silver/gold) to improve data quality and usability
* Ensure data is processed, enriched, and validated at each stage of the lifecycle
**Collaboration and Continuous Improvement:**
* Partner with data scientists, analysts, product teams, and business stakeholders to understand data needs
* Implement CI/CD pipelines to streamline deployment and testing of data assets
* Stay current with emerging technologies and bring forward recommendations to evolve our data platform
**What You Bring:**
**Technical Skills:**
* Strong programming experience in SQL and Python or Scala
* Hands‑on experience with Apache Spark and Databricks
* Experience with Apache Airflow or similar orchestration tools
* Knowledge of data cleansing, curation, and quality frameworks
* Familiarity with Unity Catalog or other metadata management tools
* Understanding of data governance, security, and compliance best practices
* Experience working with AWS cloud services
* Proficiency with CI/CD tools (Jenkins, GitLab CI, etc.)
* Experience tuning Spark jobs and JVM‑based applications
* Experience implementing or working within a Medallion architecture
 Soft Skills:
* Strong analytical and problem‑solving abilities
* Excellent communication and cross‑functional collaboration skills
* Ability to work independently and within a team environment
* High attention to detail and commitment to quality
 Preferred Qualifications:
* AWS certifications (e.g., AWS Certified Data Analytics)
* Experience with SQL and NoSQL databases
* Background in a fast‑paced, data‑centric SaaS or healthcare environment
**Compensation And Benefits**
 The salary range for this position is $69,000 – $129,000 per year, which represents the base pay the company reasonably and in good faith expects to pay for this role. Actual pay within this range will be determined based on factors such as relevant experience, skills, and qualifications.
 Depending on the position, employees may also be eligible to participate in a company bonus or commission plan. All employees are eligible for a comprehensive benefits package, including medical, dental, and vision coverage, unlimited paid time off, and participation in the company’s 401(k) plan with employer contribution.
**Why we love Definitive, and why you will too!**
* Industry leading products
* Work hard, and have fun doing it
* Incredibly fast growth means limitless opportunity
* Flexible and dynamic culture
* Work alongside some of the most talented and dedicated teammates
* Definitive Cares, our community service group, gives all of us a chance to give back
* Competitive benefits package including great healthcare benefits and a 401(k) match
**What our Employees are saying about us on Glassdoor:**
 “Great Work atmosphere, great work life balance, excellent company to work for, amazing top notch product, incredible customer service, lots of tools to help you succeed.”
* Business Development Manager
 “Great team. Amazing growth. Employees are treated very well.”
* Research Analyst
 “I have waited 36 years to work at a dream job for a dream company and I am so happy to have finally got there.”
* Profile Analyst
***If you don’t fit all of these qualifications, but believe you’re still a great fit, feel free to apply and tell us why in your cover letter.***
***If you are a California, Colorado, New York City or Washington resident and this role is a remote role, you can receive additional information about the compensation and benefits for this role, which we will provide upon request.***
***Definitive Hiring Philosophy***
*Definitive Healthcare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
***Privacy**
 Your privacy is important to us. Please review our
 **Candidate Privacy Notice** 
 which tells you how we use and process your personal information.*
***Please note** 
 : All communications regarding the hiring process at Definitive Healthcare will come directly from one of our corporate recruiters or coordinators with an @definitivehc.com email address. We will never request any money transfer or purchase of equipment with a promise of reimbursement. If you receive any suspicious communications, please reach out to careers@definfitivehc.com to confirm your status in the application process.*</t>
        </is>
      </c>
    </row>
    <row r="107">
      <c r="A107" t="inlineStr">
        <is>
          <t>li-4364484676</t>
        </is>
      </c>
      <c r="B107" t="inlineStr">
        <is>
          <t>Data Engineer I or II</t>
        </is>
      </c>
      <c r="C107" t="inlineStr">
        <is>
          <t>Lensa</t>
        </is>
      </c>
      <c r="D107" t="inlineStr">
        <is>
          <t>linkedin</t>
        </is>
      </c>
      <c r="E107">
        <f>HYPERLINK("https://www.linkedin.com/jobs/view/4364484676", "https://www.linkedin.com/jobs/view/4364484676")</f>
        <v/>
      </c>
      <c r="F107">
        <f>HYPERLINK("https://lensa.com/cgw/dd4e69492e83442e998b40f00885bf2ctjo1?jpsi=directemployers_no_redirect&amp;publisher_preference=easier_apply&amp;utm_campaign=Computer%20Occupations&amp;utm_medium=slot&amp;utm_source=linkedin&amp;utm_term=jse&amp;urlHash=TpYt", "https://lensa.com/cgw/dd4e69492e83442e998b40f00885bf2ctjo1?jpsi=directemployers_no_redirect&amp;publisher_preference=easier_apply&amp;utm_campaign=Computer%20Occupations&amp;utm_medium=slot&amp;utm_source=linkedin&amp;utm_term=jse&amp;urlHash=TpYt")</f>
        <v/>
      </c>
      <c r="G107" t="inlineStr">
        <is>
          <t>Atlanta, GA</t>
        </is>
      </c>
      <c r="H107" t="inlineStr"/>
      <c r="I10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Southern Company. Clicking "Apply Now" or "Read more" on Lensa redirects you to the job board/employer site. Any information collected there is subject to their terms and privacy notice.
**Job Summary**
 The
 **Data Engineer I or II (TO)** 
 is responsible for translating data into readily consumable forms to deliver integrated data to consumers by building, operationalizing, and maintaining data pipelines for Data, Analytics \&amp; Artificial Intelligence use cases across heterogeneous environments. The
 **Data Engineer I or II (TO)** 
 also plays a role in working with various data integration tools which support a combination of data delivery styles such as virtualization, data replication, messaging and streaming in hybrid and multi\-cloud integration scenarios.
**Education/Experience**
**JOB REQUIREMENTS:**
* Bachelor's degree in computer science (CS), MIS, CIS, Mathematics, Statistics (Theoretical/Computational), Machine Learning or a related field.
* Proven knowledge of data engineering, data integration and data science principles are required
* 6\+ years of related work experience in a fast\-paced, competitive organization driven by data and enabled by technology
**Knowledge/Skills**
* Working experience with batch and real\-time data processing frameworks.
* Working experience with data modelling, data access, schemas, and data storage techniques.
* Working experience with data quality tools.
* Experience in?creating?functional and technical designs for data engineering and analytics solutions.?
* Experience implementing data models of different schemas and working with diverse data source types.?
* Hands\-on experience developing?solutions with?big data technologies such as Hadoop, HIVE and Spark.?
* Hands\-on experience developing and supporting Python based AI/ML solutions.?
* 6\+ years hands on experience designing,?developing, testing, deploying, and supporting?data engineering and analytics solutions using?on\-premises?tools such as,?Microsoft's BI?Stack (SSIS/SSAS/SSRS),?Informatica, Oracle Golden Gate,?SQL, Oracle, and SQL Server.?
* 4\+ years hands on experience designing, developing, testing, deploying, and supporting data engineering and analytics solutions using Microsoft?cloud\-based?tools such as?Azure Data Lake, Azure Data Factory, Azure Databricks, Python, Azure Synapse, Azure Key Vault, and Power BI.?
* Experience with Containerization methodologies \- Docker, OpenShift etc.,?
* Experience with Agile as well as DevOps, CI/CD methodologies.
* Hands\-on experience designing and developing solutions involving data sourcing, enrichment and delivery using APIs \&amp; Web Services.?
* Experience working with Jira or similar tools.
* Experience working with Kafka or similar tools.
**Job Responsibilities**
* Designing and Developing methods to process structured, semi\-structured, and unstructured data using batch and real\-time data processing techniques.
* Delivering fast, reliable, and scalable data by incrementally and efficiently processing as it arrives from files or streaming sources like Kafka, DBMS and NoSQL.
* Developing Release pipelines to automate recurring manual tasks like creating a build package, checking that build package into a version control repository and deploying it to a DV/UA environment.
* Building and Maintaining templates such as code libraries, pipeline patterns and semantic models to promote reuse and agility.
* Establishing gatekeeping processes that monitor and controls the promotion of successful data processes into production by understanding the business criticality.
* Collaborating with cross\-functional teams with a combination of data, business, and technical personas, as well as a product owner/manager as necessary.
* Advocating data reusability by breaking down monolithic data delivery processes into modular data product delivery.
* Ensuring data reliability by defining data quality and integrity controls within the pipeline with defined data expectations and addressing data quality errors with predefined policies.
* Actively working with less experienced data engineers providing technical guidance and oversight.
* Understanding the usage of performance optimization clusters that parallelize jobs and minimize the data movement in Batch and stream data processing.
* Recommending improvements to the processes, technology, and interfaces that reduce the development time and effort and enhance the effectiveness of the team.
* Promptly participating in the Enterprise Social Networking sites, staying up to date on new data technologies and best practices and sharing insights with others in the organization.
**Core Behavioral Attributes**
 The successful candidate will demonstrate understanding and application of the Southern behaviors:
 **Unquestionable Trust, Superior Performance, and Total Commitment** 
 .
**Additional Required Behavioral Attributes**
* Results\-oriented
* Innovative
* Strategic thinker with an enterprise view for sustainable solutions
* Committed to continuous learning and improvement
* Committed to the development of others
* Committed to building and maintaining constructive partnerships with business partners
* Works well both independently and with others
* Acts with speed and decisiveness
* Committed to ethical conduct
* Lives and works safely
 Tasks are extremely complex and highly technical. The successful person in this position will need to toggle between projects in an emerging and fast\-paced area of technology.
 This position follows a hybrid work schedule, requiring onsite presence four (4\) days per week at the designated company location, with one (1\) remote workday.
**About Southern Company**
 Southern Company (NYSE: SO ) is a leading energy provider serving 9 million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solutions provider with national capabilities, a fiber optics network and telecommunications services. Through an industry\-leading commitment to innovation, resilience and sustainability, we are taking action to meet customers' and communities' needs while advancing our goal of net\-zero greenhouse gas emissions by 2050\. Our uncompromising values ensure we put the needs of those we serve at the center of everything we do and are the key to our sustained success. We are transforming energy into economic, environmental and social progress for tomorrow. Our corporate culture has been recognized by a variety of organizations, earning the company awards and recognitions that reflect Our Values and dedication to service. To learn more, visit www.southerncompany.com .
 Southern Company invests in the well\-being of its employees and their families through a comprehensive total rewards strategy that includes competitive base salary, annual incentive awards for eligible employees and health, welfare and retirement benefits designed to support physical, financial, and emotional/social well\-being. This position may also be eligible for additional compensation, such as an incentive program, with the amount of any bonus/awards subject to the terms and conditions of the applicable incentive plan(s). A summary of the benefits offered for this position can be found here https://seo.nlx.org/southernco/pdf/SOCO\-Benefits.pdf . Additional and specific details about total compensation and bene?ts will also be provided during the hiring process.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16827
 Job Category: Information Technology
 Job Schedule: Full time
 Company: Southern Company Services
 If you have questions about this posting, please contact support@lensa.com</t>
        </is>
      </c>
    </row>
    <row r="108">
      <c r="A108" t="inlineStr">
        <is>
          <t>li-4372902428</t>
        </is>
      </c>
      <c r="B108" t="inlineStr">
        <is>
          <t>Data Engineer</t>
        </is>
      </c>
      <c r="C108" t="inlineStr">
        <is>
          <t>Comfort Systems USA</t>
        </is>
      </c>
      <c r="D108" t="inlineStr">
        <is>
          <t>linkedin</t>
        </is>
      </c>
      <c r="E108">
        <f>HYPERLINK("https://www.linkedin.com/jobs/view/4372902428", "https://www.linkedin.com/jobs/view/4372902428")</f>
        <v/>
      </c>
      <c r="F108" t="inlineStr"/>
      <c r="G108" t="inlineStr"/>
      <c r="H108" t="inlineStr"/>
      <c r="I108" t="inlineStr">
        <is>
          <t>**Position Overview**
 The Data Engineer is responsible for designing, building, and maintaining the organization’s enterprise data pipelines, curated datasets, and analytics platform foundation. This role enables timely, accurate, and trusted decision\-making by ensuring reliable, scalable, and governed data flows across the Enterprise Resource Planning (ERP) system, Product Lifecycle Management (PLM) system, and other integrated business applications.
 The Data Engineer will engineer ingestion and curation from vendor\-hosted enterprise data repositories and integration services, including Infor OS Data Lake and supported extraction methods (e.g., Data Fabric Objects API, Compass SQL API / Compass JDBC Driver, ION Data Lake Flows, and ETL Client for Data Lake). The role will enable enterprise analytics and reporting through Microsoft Fabric and Power BI, and will use Spark/PySpark, SQL, and Python to deliver performant, scalable transformations.
 This role also supports the organization’s increasing use of AI\-enabled analytics by preparing high\-quality, well\-governed datasets and following company requirements for responsible and compliant AI usage.
**Key Job Responsibilities**
**Data Engineering \&amp; Architecture (Microsoft Fabric / Lakehouse)**
* Design and maintain a modern enterprise analytics foundation using Microsoft Fabric (Lakehouse/Warehouse patterns) to support governed reporting and self\-service analytics.
* Build and manage curated data layers aligned to medallion\-style processing (raw → standardized → curated) using Spark/PySpark, SQL, and Python.
* Develop and maintain enterprise data models optimized for analytics performance, consistent KPI definitions, and reuse across business domains.
**Data Integration \&amp; Ingestion (Infor OS Data Lake \+ APIs \+ Flows)**
* Develop and support automated ingestion from Infor OS Data Lake using supported extraction/integration methods such as:
+ Data Fabric Objects API (object/file extraction)
+ Compass SQL API / Compass JDBC Driver (query\-based extraction)
+ ION Data Lake Flows (scheduled push to connection points)
+ ETL Client for Data Lake (scheduled transfer patterns)
+ Stream Pipelines where applicable for continuous/near real\-time delivery
* Implement incremental loading patterns, orchestration, monitoring, alerting, and failure recovery to ensure reliable delivery of daily/near real\-time datasets.
* Partner with application and integration teams to align ingestion with upstream interfaces, data contracts, and security requirements.
**Reporting \&amp; Analytics Enablement (Power BI \+ Dataset Modeling)**
* Provide trusted, well\-documented datasets that enable enterprise dashboards and self\-service analytics in Power BI.
* Build and maintain business\-friendly semantic/dimensional models that support high\-performance dashboards and consistent KPI definitions.
* Support modernization and migration of reporting assets into Microsoft Fabric, ensuring datasets and models align to reporting needs and enterprise metric definitions.
**Data Quality, Governance \&amp; Master Data Support**
* Implement validation, reconciliation, and anomaly detection to ensure accuracy and completeness of curated datasets.
* Establish automated checks for common data issues (duplicates, missing attributes, invalid statuses, inconsistent units of measure).
* Partner with master data stakeholders and business data stewards to define standards, drive adoption, and remediate root\-cause issues impacting data quality.
**AI\-Enabled Analytics Support (Practical AI Competency)**
* Prepare AI\-ready datasets by ensuring data completeness, consistency, lineage, and documentation (e.g., feature\-ready curated tables, standardized definitions, and auditability).
* Support AI\-assisted development workflows (e.g., using copilots/assistants to accelerate transformation code generation, documentation, and standardization) while adhering to company AI requirements for accuracy, confidentiality, compliance, and labeling of AI\-generated content where required.
**Operational Excellence (Reliability, Supportability, Documentation)**
* Develop and maintain runbooks, operational documentation, lineage notes, and standardized naming conventions for pipelines, datasets, and reporting layers.
* Track pipeline health metrics (freshness, completeness, latency, failure rates) and continuously improve reliability and performance.
* Provide knowledge transfer and training to analysts and IT Business Applications team members to improve overall data fluency.
* All other duties as assigned by TAS.
**Job Skills**
* Strong understanding of modern data architectures (data lake/lakehouse/warehouse), data modeling, and ETL/ELT engineering patterns.
* Proficiency in SQL and Python for data transformation and pipeline development.
* Hands\-on experience with Spark/PySpark for scalable transformations and performance tuning.
* Experience integrating and extracting data from Infor OS Data Lake using Data Fabric Objects API, Compass SQL API/JDBC, ION Data Lake Flows, ETL Client for Data Lake, and/or Stream Pipelines.
* Experience developing enterprise analytics assets using Microsoft Fabric and enabling dashboards and self\-service reporting using Power BI.
* Ability to implement data quality controls, reconciliation, documentation, and lineage practices that support trust and auditability.
* Practical AI competency: ability to prepare AI\-ready datasets and responsibly use AI assistants to improve productivity while maintaining accuracy, confidentiality, and compliance.
* Strong communication skills to translate business needs into technical solutions and collaborate with both technical and non\-technical stakeholders.
**EDUCATION \&amp; TRAINING**
* Bachelor’s degree in Information Systems, Computer Science, Data Engineering, or a related field; equivalent experience may be considered in lieu of a degree.
* Preferred training/certifications in one or more areas: cloud data platforms, data engineering, analytics engineering, data governance, or AI fundamentals for data/analytics professionals.
**Minimum Requirements**
* 3\+ years of experience in data engineering, analytics engineering, or a related technical role.
* Demonstrated experience building and maintaining curated datasets used for enterprise reporting and analytics.
* Demonstrated experience with at least two of the following toolsets:
+ Microsoft Fabric (Lakehouse/Warehouse, pipelines/notebooks)
+ Power BI (dataset modeling and dashboard enablement)
+ Infor OS Data Lake extraction/integration methods (Objects API, Compass SQL API/JDBC, ION Data Lake Flows, ETL Client, Stream Pipelines)
+ Spark/PySpark
* Experience implementing monitoring/alerting or operational runbooks for production data pipelines.
* Familiarity with manufacturing/operations reporting domains (production, inventory, procurement, costing, project execution) preferred.
**Physical Requirements/Work Environment**
 Position is at least 80% to 95% at a desk working with computer. Ability to exert up to 10 pounds of force occasionally and/or a negligible amount of force frequently or constantly to lift, carry, push, pull or otherwise move objects, including the human body. Performs other physical activities including use of fingers, sitting, stooping, bending, crouching, talking, hearing, and performing repetitive motions. Visual acuity requirements include color, depth perception and field of vision necessary to prepare and analyze data and figures, operate a computer terminal, and conduct extensive reading. The incumbent will be subject to inside environmental conditions.
**Company Overview**
 Join a team driven to excel in all that we do! When you join TAS, you join a Houston\-headquartered company that is part of a large Houston\-headquartered publicly traded company, Comfort Systems USA, with a solid reputation built on outstanding value, integrity, and customer focus. We offer our customers and employees the best of both worlds: a small company feel with the resources, talent, process, and international reach of a large company.
 TAS delivers innovative packaged modular systems that are engineered and manufactured in one of our Houston, TX facilities and utilized in data centers, power, and commercial/industrial utility system applications. TAS has successfully delivered and commissioned over 520 packages to over 33 countries. The company is headquartered in Houston, TX and has five ISO 9001 certified manufacturing facilities in Houston, encompassing 1\.2m sq. feet with proximity to major shipping ports and interstate highways. TAS manages all logistics and transportation facilitating accelerated construction at customer’s facilities.
 TAS’ fastest growing business is the data center market. By applying deep expertise in cooling, thermodynamics, and power, TAS has developed an entire product line that revolutionizes data center delivery.
 With our tremendous market potential, advanced technological systems, entrepreneurial culture as well as a talented and productive workforce, we continue to set and exceed aggressive market penetration and financial goals. More information is available on the company website at: www.tas.com.
*IMPORTANT NOTICE:* 
*TAS has a tobacco\-free workplace policy, under which individuals are not allowed to smoke or use tobacco or nicotine products on the TAS premises, while conducting TAS business off premises or take "smoking" breaks during working hours. “smoking” and “tobacco or nicotine products” includes, but is not limited to, product such as cigarettes, e\-cigarettes, cigars, pipes, vaping, all forms of smokeless tobacco (chewing tobacco, snuff, dip) and clove cigarettes*
*The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
*Applications and resumes will be kept on file for a limited time and the Company is under no duty or obligation to contact applicants if they are not selected for the job applied for or if other jobs become available in the future. Applicants that desire to apply for a job that becomes available at the Company in the future, should submit a new employment application or resume.*
*TAS Energy Inc. guarantees equal employment opportunities to all qualified applicants. All qualified applicants will receive consideration for employment, without regard to age, race, color, religion, sex, sexual orientation, gender identity, or national origin.*</t>
        </is>
      </c>
    </row>
    <row r="109">
      <c r="A109" t="inlineStr">
        <is>
          <t>li-4364494745</t>
        </is>
      </c>
      <c r="B109" t="inlineStr">
        <is>
          <t>Senior Data Engineer - Infrastructure</t>
        </is>
      </c>
      <c r="C109" t="inlineStr">
        <is>
          <t>Revelio Labs</t>
        </is>
      </c>
      <c r="D109" t="inlineStr">
        <is>
          <t>linkedin</t>
        </is>
      </c>
      <c r="E109">
        <f>HYPERLINK("https://www.linkedin.com/jobs/view/4364494745", "https://www.linkedin.com/jobs/view/4364494745")</f>
        <v/>
      </c>
      <c r="F109">
        <f>HYPERLINK("https://www.reveliolabs.com/job/03c31b7e-ca67-47d8-bc77-1a59e2afbfda/&amp;urlHash=q7eT", "https://www.reveliolabs.com/job/03c31b7e-ca67-47d8-bc77-1a59e2afbfda/&amp;urlHash=q7eT")</f>
        <v/>
      </c>
      <c r="G109" t="inlineStr">
        <is>
          <t>New York, NY</t>
        </is>
      </c>
      <c r="H109" t="inlineStr"/>
      <c r="I109" t="inlineStr">
        <is>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and governments.
**What We’re Looking For**
 Revelio Labs is looking for a cloud infrastructure engineer who’s also excited to contribute to the code base. The ideal candidate will have a combination of infrastructure and systems engineering experience, and will be excited about putting a variety of skills to use.
 We’re looking for someone with an inherent knack for automation, who can transform services with no automation into services that require no manual intervention. You will upgrade our cloud infrastructure to make our core services more scalable, resilient, and distributed, optimize cloud costs and improve security to reduce risk as we scale, modify backend services and APIs to migrate to new infrastructure, and reduce the operational work needed to support services as their usage increases.
**Experience And Skills**
* Cloud computing (AWS)
* Docker/kubernetes (EKS preferred)
* Python
* Bash
* Orchestration tools (e.g. Airflow)
* GO
**Location:**
 Our offices are based in New York City, but the position can be done remotely.
**Salary**
 The pay range for this position in New York City is $120,000 \- $180,000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PhD data scientists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
 Apply
 Please find our CPRA Job Applicant Privacy Notice here.</t>
        </is>
      </c>
    </row>
    <row r="110">
      <c r="A110" t="inlineStr">
        <is>
          <t>li-4364513970</t>
        </is>
      </c>
      <c r="B110" t="inlineStr">
        <is>
          <t>Analytics Engineer</t>
        </is>
      </c>
      <c r="C110" t="inlineStr">
        <is>
          <t>Atrium Health</t>
        </is>
      </c>
      <c r="D110" t="inlineStr">
        <is>
          <t>linkedin</t>
        </is>
      </c>
      <c r="E110">
        <f>HYPERLINK("https://www.linkedin.com/jobs/view/4364513970", "https://www.linkedin.com/jobs/view/4364513970")</f>
        <v/>
      </c>
      <c r="F110">
        <f>HYPERLINK("https://jobs.talemetry.com/atriumhelath/jobs/apply?job_list_id=6633&amp;returnUrl=https%3A%2F%2Faah.wd5.myworkdayjobs.com%2FExternal%2Fjob%2FWinston-Salem-NC\u002d\u002d-475-Vine-St%2FAnalytics-Engineer_R200711-1%2Fapply&amp;tm_job=R200711&amp;tm_event=view&amp;tm_company=13027&amp;bid=56&amp;urlHash=cGqC", "https://jobs.talemetry.com/atriumhelath/jobs/apply?job_list_id=6633&amp;returnUrl=https%3A%2F%2Faah.wd5.myworkdayjobs.com%2FExternal%2Fjob%2FWinston-Salem-NC\u002d\u002d-475-Vine-St%2FAnalytics-Engineer_R200711-1%2Fapply&amp;tm_job=R200711&amp;tm_event=view&amp;tm_company=13027&amp;bid=56&amp;urlHash=cGqC")</f>
        <v/>
      </c>
      <c r="G110" t="inlineStr">
        <is>
          <t>Winston-Salem, NC</t>
        </is>
      </c>
      <c r="H110" t="inlineStr"/>
      <c r="I110" t="inlineStr">
        <is>
          <t>**Department**
 85000 Wake Forest University Health Sciences \- Academic Deans Office
**Status**
 Full time
**Benefits Eligible**
 Yes
**Hours Per Week**
 40
**Schedule Details/Additional Information**
 To achieve excellence and guide strategy,
 **Wake Forest University School of Medicine** 
**(WFUSM)** 
 seeks to have measurable, transparent, and scalable indicators of our growth and performance in core missions of education, research, and academically integrated clinical care. The
 **CAPTURE (Centralized Analytic Platform for Performance, Transparency, Utilization, and Real\-Time Excellence)** 
 initiative will develop a series of integrated data dashboards across our core missions, enabling faculty, staff, and leadership to continuously monitor and improve their performance and effectiveness at the School and across the clinical enterprise.
 The
 **DIVE team** 
 (
 **Data, Integration, Visualization, Evaluation** 
 ) is seeking an
 **analytics engineer** 
 to drive growth and maintenance of education and research data warehouses, academic applications, and the informatics components of strategic projects. This role will specifically support the CAPTURE initiative under the leadership of the inaugural
 **Office of Institutional Learning and Transformation** 
 at WFUSM.
 The
 **analytics engineer** 
 will be responsible for transforming raw data into robust, high\-level models that support reporting and dashboard creation. This role emphasizes model design and implementation, data quality, standardization, and documentation. The analytics engineer will collaborate closely with data engineers and BI/reporting teams, apply strong SQL and dimensional modeling skills, and may develop subject matter expertise in specific data domains while maintaining broad familiarity to ensure cross\-team support and avoid silos.
**Proficiency In Python Required, Snowflake And Dbt Core Preferred.**
**Pay Range**
 $30\.70 \- $46\.05
 EDUCATION/EXPERIENCE: Bachelor's degree with computer courses. Two years' experience in computer programming or operations research; or, an equivalent combination of education and experience in computer programming. LICENSURE, CERTIFICATION, and/or REGISTRATION: N/A ESSENTIAL FUNCTIONS: 1\. Oversees all phases of database design, development, management and reporting for medium\-sized projects. 2\. Consults with users on project design needs. Maintains a professional relationship with project personnel. 3\. Maintains software and troubleshoot simple software products. 4\. Performs a range of ad hoc queries to databases and the implementation of automated reporting schemes. Analyzes quality control needs of moderate sized projects. 5\. Performs a wide variety of data transfers and conversions. 6\. Creates and maintains user manuals and documentation of software products. 7\. Design and implements a comprehensive software testing plan for software products. 8\. Performs other related duties incidental to work described herein. SKILLS/QUALIFICATIONS: Strong initiative and proven ability to work independently Ability to communicate on a professional level with customers and staff Superior problem solving skills WORK ENVIRONMENT: Comfortable, well\-lit office setting Occasionally subject to long and/or irregular hours Subject to interruptions PHYSICAL REQUIREMENTS: 0% 35% 65% to to to 35% 65% 100% N/A Activity X Standing X Walking X Sitting X Bending X Reaching with arms X Finger and hand dexterity X Talking X Hearing X Seeing Lifting, carrying, pushing and or pulling: X 20 lbs. maximum X 50 lbs. maximum X 100 lbs. maximum
**Our Commitment To You**
 Advocate Health offers a comprehensive suite of Total Rewards: benefits and well\-being programs, competitive compensation, generous retirement offerings, programs that invest in your career development and so much more – so you can live fully at and away from work, including:
**Compensation**
* Base compensation listed within the listed pay range based on factors such as qualifications, skills, relevant experience, and/or training
* Premium pay such as shift, on call, and more based on a teammate's job
* Incentive pay for select positions
* Opportunity for annual increases based on performance
**Benefits And More**
* Paid Time Off programs
* Health and welfare benefits such as medical, dental, vision, life, and Short\- and Long\-Term Disability
* Flexible Spending Accounts for eligible health care and dependent care expenses
* Family benefits such as adoption assistance and paid parental leave
* Defined contribution retirement plans with employer match and other financial wellness programs
* Educational Assistance Program
**About Advocate Health**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155,000 teammates across 69 hospitals and over 1,000 care locations, and offers one of the nation’s largest graduate medical education programs with over 2,000 residents and fellows across more than 200 programs. Committed to providing equitable care for all, Advocate Health provides more than $6 billion in annual community benefits.
 Under general supervision, designs and implements medium\-sized research information systems. Exhibits ability to learn to use a variety of research computer software tools and operating system environments.</t>
        </is>
      </c>
    </row>
    <row r="111">
      <c r="A111" t="inlineStr">
        <is>
          <t>li-4364514313</t>
        </is>
      </c>
      <c r="B111" t="inlineStr">
        <is>
          <t>Data Engineer</t>
        </is>
      </c>
      <c r="C111" t="inlineStr">
        <is>
          <t>Oracle</t>
        </is>
      </c>
      <c r="D111" t="inlineStr">
        <is>
          <t>linkedin</t>
        </is>
      </c>
      <c r="E111">
        <f>HYPERLINK("https://www.linkedin.com/jobs/view/4364514313", "https://www.linkedin.com/jobs/view/4364514313")</f>
        <v/>
      </c>
      <c r="F111" t="inlineStr"/>
      <c r="G111" t="inlineStr"/>
      <c r="H111" t="inlineStr"/>
      <c r="I111" t="inlineStr">
        <is>
          <t>**Job Description**
 NetSuite Customer Success is seeking a highly skilled Data Engineer specializing in ERP data migration, with proven experience designing and executing secure, accurate, and efficient migrations from legacy systems such as QuickBooks and Sage to NetSuite. Adept in SQL, ETL development, and data quality management, this professional ensures seamless transitions through strong technical execution and adherence to data governance and compliance standards. This role requires deep expertise in data extraction, transformation, and loading processes, with a strong focus on data strategy development and data hygiene optimization. Known for collaboration and client\-focused delivery, they work closely with stakeholders to resolve migration challenges, optimize data integrity, and support post\-migration success. Combining technical precision and customer engagement, they help organizations modernize and maximize the value of their ERP platforms.
**The Ideal Candidate has experience in:**
**ERP Data Migration Expertise:** 
 Lead end\-to\-end data migration efforts, including
 **hands\-on** 
 data extraction, transformation, mapping, and validation between legacy and NetSuite systems.
**Technical Proficiency:** 
 Apply deep technical knowledge of data structures, ETL processes, and data quality principles to maintain accuracy and integrity throughout migration.
 **Strong capability in building and executing complex data transformations and data manipulation workflows.**
**Data Strategy \&amp; Hygiene Expertise: Provide strategic guidance on data quality, data governance, and migration planning. Conduct data assessments, identify data cleansing requirements, and develop comprehensive data migration strategies.**
**Cross\-Functional Collaboration:** 
 Partner with consultants, analysts, and business stakeholders to clarify requirements, resolve migration challenges, and deliver seamless integrations.
**Client\-Focused Delivery:** 
 Support customers throughout the entire migration lifecycle—communicating complex processes clearly, providing user training, and ensuring a positive post\-migration experience.
**Data Integrity \&amp; Security:** 
 Ensure all migration activities adhere to enterprise data governance, security, and compliance standards.
 This position is ideal for a data\-driven professional who thrives at the intersection of technical precision and customer success, helping organizations modernize and optimize their business operations through successful ERP data migrations.
**Responsibilities**
**Data Migration Expertise**
* Analyze and Design: Analyze source systems (QuickBooks, Sage, and other legacy ERP platforms) and target NetSuite data models to design comprehensive, end\-to\-end data migration strategies, ensuring accurate field mapping and seamless integration.
* Data Extraction \&amp; Transformation: Execute complex data extraction from source systems and perform sophisticated data transformations to align with NetSuite data models. Develop custom scripts and processes to handle diverse data formats and structures.
* Develop and Maintain ETL Processes: Build, test, and maintain robust ETL (Extract, Transform, Load) pipelines to support large\-scale data sets, ensuring performance, scalability, and reliability.
* Data Cleansing, Transformation \&amp; Validation: Assess, Measure, and execute data cleansing, transformation, and validation activities to ensure data quality and integrity. Identify and remediate data quality issues including duplicates, inconsistencies, and structural problems. Data Mapping \&amp; Transformation: Collaborate with clients and business analysts to develop detailed data mappings from legacy systems, providing expert guidance on data structure and optimization. Design and implement transformation logic to meet business requirements.
* Monitor \&amp; Troubleshoot Migration Issues: Perform data reconciliation, proactively identify migration issues, and resolve discrepancies through root\-cause analysis and effective collaboration with technical teams.
* Documentation \&amp; Compliance: Document all migration processes, mappings, and scripts while ensuring strict adherence to data security and privacy standards.
* Cutover \&amp; Post\-Migration Activities: Support cutover planning, data validation, and user acceptance testing (UAT) to ensure a successful transition and accurate migrated data.
**Data Strategy \&amp; Advisory Services**
* Data Hygiene Assessment: Conduct comprehensive data quality assessments of client source systems, identifying data cleansing requirements, duplicate records, incomplete data, and structural issues that could impact migration success.
* Migration Strategy Development: Develop tailored data migration strategies and roadmaps, including phased migration approaches, risk mitigation plans, and data archival recommendations.
* Data Governance Consulting: Advise clients on data governance best practices, master data management strategies, and ongoing data maintenance protocols to ensure long\-term ERP success.
* Data Profiling \&amp; Analysis: Perform detailed data profiling on source systems to understand data patterns, volumes, relationships, and quality metrics. Use findings to inform migration approach and transformation requirements.
* Pre\-Migration Planning: Work with clients during the discovery phase to scope migration complexity, assess data readiness, and establish clear success criteria and acceptance standards.
**Customer Success and Relationship Management**
* Client Onboarding \&amp; Support: Guide clients through the data migration journey, setting expectations, explaining processes, and addressing questions or concerns.
* Project Management: Coordinate with stakeholders to ensure projects stay within scope, budget, and timelines, delivering high\-quality outcomes.
* User Training \&amp; Enablement: Train clients on NetSuite data management best practices to build confidence and autonomy post\-migration.
* Post\-Migration Support: Provide ongoing post\-migration assistance, troubleshoot issues, and help clients fully leverage their NetSuite environment.
**Team Collaboration \&amp; Communication**
* Cross\-Functional Collaboration: Partner with business analysts, functional consultants, technical teams, and application owners to align on requirements and ensure smooth migration execution.
* Effective Communication: Act as a liaison between technical and non\-technical stakeholders, translating complex data migration concepts into clear, actionable information.
* Customer Education: Develop and deliver documentation, FAQs, and presentations to help customers understand NetSuite data models and migration best practices.
* Collaborative Problem Solving: Engage with internal teams to create innovative solutions for complex migration and data integrity challenges.
**Continuous Improvement \&amp; Process Optimization**
* Process Improvement: Identify areas for efficiency gains within migration methodologies and contribute to continuous process optimization.
* Knowledge Sharing: Maintain detailed documentation of migration frameworks, tools, and lessons learned to enhance future projects and team knowledge.
* Customer Feedback Loop: Gather feedback from clients post\-migration to refine processes and improve service delivery.
**Required Skills \&amp; Qualifications:**
**Technical Skills**
* ERP Data Migration Expertise: Proven hands\-on experience (5\+ years) executing complex data migrations for ERP systems (e.g., NetSuite, Oracle, SAP, Sage, QuickBooks), including data extraction, transformation, and loading (ETL). Must demonstrate strong technical execution capabilities in building and running data migration processes.
* Strong NetSuite \&amp; ERP Knowledge: Deep understanding of NetSuite data structures, SuiteAnalytics, SuiteCloud, and third\-party migration tools, as well as experience migrating data to/from other ERP platforms.
* SQL \&amp; Data Transformation Proficiency: Advanced SQL, analytics, and data transformation skills, including experience with PL/SQL and scripting languages such as Python for data manipulation and automation. Ability to write complex transformation logic, data cleansing scripts, and validation queries.
* ETL Tools \&amp; Processes: Practical experience with industry\-standard ETL tools (e.g., Oracle Data Integrator, Informatica, Talend, Celigo, Dell Boomi) and strong understanding of data pipelines and workflow design. Hands\-on experience building end\-to\-end ETL workflows.
* Data Governance \&amp; Quality Management: Solid knowledge of data governance principles, data quality assurance, master data management, and best practices in enterprise data management. Ability to assess data quality and develop remediation strategies.
* Security \&amp; Compliance: Familiarity with key data security and compliance standards (e.g., GDPR, SOX, CCPA) and proven ability to apply them during migration and integration activities.
* Data Mapping \&amp; Validation: Skilled in interpreting, mapping, and reconciling data between source and target systems to ensure accuracy and consistency. Strong ability to design complex field\-level mappings and transformation specifications.
* Data Profiling \&amp; Analysis: Expert in data profiling techniques, data pattern recognition, and statistical analysis of data quality. Ability to extract insights from source data to inform migration strategy.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$87,000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2">
      <c r="A112" t="inlineStr">
        <is>
          <t>li-4364418709</t>
        </is>
      </c>
      <c r="B112" t="inlineStr">
        <is>
          <t>Senior Data Engineer</t>
        </is>
      </c>
      <c r="C112" t="inlineStr">
        <is>
          <t>Mastercard</t>
        </is>
      </c>
      <c r="D112" t="inlineStr">
        <is>
          <t>linkedin</t>
        </is>
      </c>
      <c r="E112">
        <f>HYPERLINK("https://www.linkedin.com/jobs/view/4364418709", "https://www.linkedin.com/jobs/view/4364418709")</f>
        <v/>
      </c>
      <c r="F112">
        <f>HYPERLINK("https://careers.mastercard.com/us/en/job/MASRUSR270418EXTERNALENUS/Senior-Data-Engineer?utm_source=linkedin&amp;utm_medium=phenom-feeds&amp;source=LINKEDIN&amp;urlHash=zQdZ", "https://careers.mastercard.com/us/en/job/MASRUSR270418EXTERNALENUS/Senior-Data-Engineer?utm_source=linkedin&amp;utm_medium=phenom-feeds&amp;source=LINKEDIN&amp;urlHash=zQdZ")</f>
        <v/>
      </c>
      <c r="G112" t="inlineStr">
        <is>
          <t>Arlington, VA</t>
        </is>
      </c>
      <c r="H112" t="inlineStr"/>
      <c r="I11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**Overview**
 Mastercard Services Technology is seeking a Senior Data Engineer to contribute to the data management aspects of client engagements for Test \&amp; Learn and other Services products. In this role, you will develop robust data pipelines, implement scalable data solutions, and collaborate with cross\-functional teams. Engineers work in small, flexible teams. Every team member contributes to designing, building, and testing features.
 The Test \&amp; Learn team aims to build industry\-leading business experimentation software that brings sophisticated analytic techniques to business users around the world. We are rapidly expanding our product offerings and innovating on how we deliver Test \&amp; Learn solutions to our clients.
 This is a hybrid role based in Arlington, VA, with an expectation of three days per week onsite.
**Role**
* Independently lead projects through design, implementation, automation, and maintenance of large\-scale enterprise ETL processes for a global client base.
* Act as an expert technical resource within the team and region
* Deliver on\-time, accurate, high\-value, and robust data solutions across multiple clients, solutions, and industry sectors.
* Apply strong analytical skills to understand business questions, translate them into data requirements, and design datasets that support reporting, experimentation, and advanced analytics use cases.
* Implement best practices and collaborate in the design of effective streamlined processes for a complex global solutions group.
* Leverage industry best practices including proper use of source control, participation in code reviews, data validation, and testing.
* Collaborate with and support junior Data Engineers, ensuring efficient execution of their tasks while providing mentorship and guidance.
* Partner with analytics and business stakeholders to validate data, interpret results, and ensure data solutions are fit for decision\-making.
* Build trust\-based working relationships with peers and clients across local and global teams.
* Comply and uphold all Mastercard internal policies and external regulations.
**All About You**
* Experience as a Data Engineer or in a similar role, with a strong understanding of data engineering concepts and methodologies, including data modeling and database design to support scalable data solutions.
* Proven self\-motivated professional with experience working with collaborative teams.
* Expertise writing and optimizing SQL queries to retrieve, manipulate, and analyze data efficiently.
* Experience with Relational Databases (RDBMS), with strong hands\-on expertise in Microsoft SQL Server and related technologies.
* Familiarity with ETL frameworks and the ability to design, implement, and maintain data pipelines.
* Experience with Databricks and Spark is a plus, but not required.
* Demonstrates curiosity about emerging developer productivity tools (e.g., GitHub Copilot); prior experience is not required, but a willingness to learn and experiment is highly valued.
* Demonstrated skills in the ability to innovate, think critically and disaggregate problems. Able to provide oversight, validation, and quality control to own work product.
* Able to easily move between business, data management, and technical teams. Able to quickly intuit the business use case and identify technical solutions.
* Able to manage multiple projects and differing project priorities.
* Excellent verbal and written communication skills, with the ability to articulate complex ideas clearly and concisely to both technical and non\-technical stakeholders.
* Bachelor's degree in a quantitative discipline such as Engineering, Mathematics, Finance, Business, or a related field. Equivalent practical experience may also be considered.
 This role is not eligible for Mastercard’s work authorization sponsorship. As such, candidates must be eligible to work in the United States, now as well as in the future, without employer sponsorship.
 \#AI3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Arlington, Virginia: $132,000 \- $212,000 USD</t>
        </is>
      </c>
    </row>
    <row r="113">
      <c r="A113" t="inlineStr">
        <is>
          <t>li-4372953237</t>
        </is>
      </c>
      <c r="B113" t="inlineStr">
        <is>
          <t>Data Engineer II</t>
        </is>
      </c>
      <c r="C113" t="inlineStr">
        <is>
          <t>Chewy</t>
        </is>
      </c>
      <c r="D113" t="inlineStr">
        <is>
          <t>linkedin</t>
        </is>
      </c>
      <c r="E113">
        <f>HYPERLINK("https://www.linkedin.com/jobs/view/4372953237", "https://www.linkedin.com/jobs/view/4372953237")</f>
        <v/>
      </c>
      <c r="F113">
        <f>HYPERLINK("https://careers.chewy.com/us/en/job/CHINUSR28588EXTERNALENUS/Data-Engineer-II?utm_source=linkedin&amp;utm_medium=phenom-feeds?gh_src=o8ua3y1&amp;urlHash=wkme", "https://careers.chewy.com/us/en/job/CHINUSR28588EXTERNALENUS/Data-Engineer-II?utm_source=linkedin&amp;utm_medium=phenom-feeds?gh_src=o8ua3y1&amp;urlHash=wkme")</f>
        <v/>
      </c>
      <c r="G113" t="inlineStr">
        <is>
          <t>Plantation, FL</t>
        </is>
      </c>
      <c r="H113" t="inlineStr"/>
      <c r="I113" t="inlineStr">
        <is>
          <t>**Job Description**
**Our Opportunity:**
 Chewy’s AI \&amp; Data organization is seeking a
 **Data Engineer II** 
 to design and build reliable, high\-performance data pipelines that power analytics, machine learning, and decision\-making across the company. EDS provides the unified, well\-governed data platform that enables every Chewy team—from Customer Care to Finance to Marketing—to operate with speed and confidence.
 As a Data Engineer II, you’ll operate as an
 **independent owner** 
 —designing, implementing, and maintaining production\-grade data workflows. You’ll collaborate across AI, data science, and engineering teams to ensure our data is accurate, timely, and ready for use in analytics and AI. You’ll balance problem solving, optimization, and innovation as you scale our Snowflake and dbt Cloud environments, while exploring how emerging AI tools can accelerate data engineering.
**What You'll Do**
* Design, build, and maintain batch and streaming pipelines across Snowflake, AWS, and Kafka.
* Develop dbt Cloud models to standardize business metrics, enforce testing, and improve lineage visibility.
* Integrate data from multiple sources—including Kafka, APIs, S3, and internal systems—into unified datasets.
* Implement monitoring and alerting for data freshness, quality, and reliability.
* Collaborate with analysts, data scientists, and product partners to translate business requirements into scalable data solutions.
* Optimize pipelines for performance, scalability, and cost efficiency.
* Write clean, test\-covered code and unit tests; apply secure coding principles.
* Ensure correct application of data validation and cleansing processes to all sources.
* Participate in design reviews, code reviews, and documentation to drive best practices.
* Contribute to AI\-driven modernization initiatives, such as LLM\-assisted data quality checks and automation frameworks.
**What You'll Need**
* 3–5 years of experience in data engineering or a related role.
* Strong proficiency in Python and SQL.
* Hands\-on experience with Snowflake and dbt Cloud for modeling and orchestration.
* Familiarity with Kafka or other streaming systems.
* Hands\-on Terraform proficiency to build and modify AWS/Snowflake data infrastructure—author simple modules, manage remote state/workspaces, and ship changes via CI/CD with rollback.
* Understanding of ETL/ELT patterns, data modeling, and workflow orchestration.
* Awareness of data governance, observability, and testing best practices.
* Curiosity about AI\-assisted engineering and a mindset of continuous experimentation.
* Clear, proactive communication and strong cross\-functional collaboration skills.
* Understanding of Agile methodology, GitHub and CI/CD pipelines
**Why You’ll Love This Role**
* Own the design and delivery of data systems that directly enable AI and analytics at Chewy scale.
* Collaborate with engineers and scientists on data products that improve operational excellence and customer experience.
* Work with modern tools and cutting\-edge AI capabilities in a fast\-moving environment.
* Grow into technical leadership by taking ownership of impactful, cross\-functional pipelines.
 The base salary range for this role is $100,000 \- $176,000\.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row>
    <row r="114">
      <c r="A114" t="inlineStr">
        <is>
          <t>li-4372958063</t>
        </is>
      </c>
      <c r="B114" t="inlineStr">
        <is>
          <t>Senior Data Engineer</t>
        </is>
      </c>
      <c r="C114" t="inlineStr">
        <is>
          <t>CorSource</t>
        </is>
      </c>
      <c r="D114" t="inlineStr">
        <is>
          <t>linkedin</t>
        </is>
      </c>
      <c r="E114">
        <f>HYPERLINK("https://www.linkedin.com/jobs/view/4372958063", "https://www.linkedin.com/jobs/view/4372958063")</f>
        <v/>
      </c>
      <c r="F114" t="inlineStr"/>
      <c r="G114" t="inlineStr">
        <is>
          <t>Portland, Oregon Metropolitan Area</t>
        </is>
      </c>
      <c r="H114" t="inlineStr"/>
      <c r="I114" t="inlineStr">
        <is>
          <t>We are partnering with a rapidly growing healthcare services organization that is investing in modernizing and scaling its data ecosystem.
 This is a high\-impact, high\-visibility role for a senior\-level data engineer who wants to architect, build, and own the data foundation of a growing national organization.
**What You’ll Do** 
* Design and implement a centralized data warehouse
* Build and optimize ETL/ELT pipelines integrating multiple APIs
* Transition batch processes toward near real\-time data
* Establish data governance and quality standards
* Lead BI tooling evaluation and reporting infrastructure
* Serve as the technical data authority across finance, marketing, and operations
**Current Technical Environment** 
* AWS (Aurora PostgreSQL, Lambda, S3\)
* Python for API ingestion
* Early\-stage Snowflake
* Legacy batch file ingestion
**What We’re Looking For** 
* 5\+ years in data engineering
* Proven experience building or re\-architecting a data warehouse
* Strong AWS experience
* Advanced SQL \+ Python
* Data modeling expertise
* Experience supporting BI/reporting layers
* Comfortable operating independently in a growing organization
**Why This Role** 
* Greenfield influence
* Executive visibility
* Strategic ownership
* Remote flexibility</t>
        </is>
      </c>
    </row>
    <row r="115">
      <c r="A115" t="inlineStr">
        <is>
          <t>li-4364187437</t>
        </is>
      </c>
      <c r="B115" t="inlineStr">
        <is>
          <t>Senior Data Engineer</t>
        </is>
      </c>
      <c r="C115" t="inlineStr">
        <is>
          <t>Lytx, Inc.</t>
        </is>
      </c>
      <c r="D115" t="inlineStr">
        <is>
          <t>linkedin</t>
        </is>
      </c>
      <c r="E115">
        <f>HYPERLINK("https://www.linkedin.com/jobs/view/4364187437", "https://www.linkedin.com/jobs/view/4364187437")</f>
        <v/>
      </c>
      <c r="F115" t="inlineStr"/>
      <c r="G115" t="inlineStr">
        <is>
          <t>San Diego, CA</t>
        </is>
      </c>
      <c r="H115" t="inlineStr"/>
      <c r="I115" t="inlineStr">
        <is>
          <t>At Lytx, we make
 **roadways safer** 
 by transforming real‑time video and telematics into actionable safety intelligence. The
 **Data Platform** 
 is the backbone of that mission \- ingesting and processing massive event streams, shaping trusted datasets, and serving low‑latency insights that power products and analytics across the company. As a Senior Data Engineer, you’ll design, build, and operate
 **high‑scale streaming and batch pipelines** 
 , optimize our
 **Redshift** 
 data lake, and raise the bar on data quality, reliability, and cost efficiency.
**What You’ll Do**
* Build and operate streaming pipelines with Kafka and streaming technologies (i.e. Flink) for real‑time telemetry and event processing.
* Design robust ETL with Airflow into Redshift and S3, supporting analytics, product use cases, and downstream services.
* Model data (event/telemetry and serving schemas); own data contracts, schema evolution, and table partitioning/compaction strategies.
* Optimize performance \&amp; cost across Redshift, Iceberg/Athena, and streaming jobs
* Harden quality, reliability, and observability: SLAs/SLOs, lineage, testing, validation, alerting, and incident response for data pipelines and datasets.
* Serve data to applications via APIs/GraphQL and scalable query services (Athena/Redshift), ensuring predictable latency and well‑documented contracts.
* Collaborate cross‑functionally with application teams to translate business needs into durable, scalable data assets.
* Mentor engineers and contribute to standards, patterns, and best practices; be a continuous learner who uplifts team capabilities.
**What You’ll Bring**
* 6\+ years of data engineering experience designing and operating production‑grade streaming \+ batch data systems at scale.
* Deep hands‑on experience with Kafka and stream processing technology
* Strong SQL and performance tuning in Redshift; practical experience with Postgres.
* Production experience with Airflow (DAG design, SLAs, retries, idempotency) and Flink (job optimization).
* Experience with open table formats \- Apache Iceberg (preferred) including partition evolution, schema evolution; comfort with Athena query performance.
* Solid data modeling for telemetry/events and analytics; understanding of data contracts, schema registry, and CDC patterns.
* Proficiency in object\-oriented programming languages such as C\# / Java / Python; strong software engineering fundamentals (testing, CI/CD, code review).
* AWS experience (S3, Redshift, Athena, IAM; EKS is a plus).
* Clear communicator who owns outcomes, balances speed with rigor, and thrives in a collaborative, high‑impact environment.
**Nice to Have**
* Experience with IoT/telematics data.
* Knowledge of dbt / Great Expectations (or other data testing frameworks).
* Terraform/IaC, Kubernetes, and cost‑aware architecture.
**What Success Looks Like**
* Reliable, observable pipelines with clear SLAs; lower latency, fewer incidents, and better data quality.
* Faster queries and lower cost in Redshift and Athena.
* High‑adoption, well‑documented datasets and data APIs that product/analytics teams trust.
* Measurable improvements to insights through timely, accurate, and accessible data.
**\_\_\_\_\_\_\_\_\_\_\_**
**Lytx is powered by cutting\-edge technology and Happy People.** 
 You want to use your powers for good, and that’s exactly what we do at Lytx. Our team is made up of people who are making a difference every day with technology that helps save lives each year.
**Benefits**
* Medical, dental and vision insurance
* Health Savings Account
* Flexible Spending Accounts
* Telehealth
* 401(k) and 401(k) match
* Life and AD\&amp;D insurance
* Short\-Term and Long\-Term Disability
* FTO or PTO
* Employee Well\-Being program
* 11 paid holidays plus 1 inclusive holiday per year
* Volunteer Time Off
* Employee Referral program
* Education Reimbursement Program
* Employee Recognition and Appreciation program
* Additional perk and voluntary benefit programs
 Salary is based on a number of factors including market location and may vary depending on job\-related knowledge, skills, and experience. This position is also eligible for an incentive compensation plan. The expected hiring salary for this position is:
 $136,000\.00 \- $172,000\.00
**Innovation Lives Here**
**You go all in no matter what you do, and so do we. At Lytx, we’re powered by cutting\-edge technology and Happy People. You want your work to make a positive impact in the world, and that’s what we do. Join our diverse team of hungry, humble and capable people united to make a difference.**
**Together, we help save lives on our roadways!**
**Lytx, Inc. is proud to be an equal opportunity employer. We’re committed to building a diverse and inclusive workforce and do not discriminate based on race, color, religion, sex, sexual orientation, gender identity or expression, gender, genetic information, uniformed service, national origin, age, veteran status, disability, pregnancy, or any other status protected by federal or state law. We are committed to providing reasonable accommodation for candidates with disabilities who need assistance during the hiring process. To request a reasonable accommodation, please email** 
**TA@lytx.com** 
**.  Lytx conducts background checks on applicants who receive a conditional offer of employment in accordance with applicable local, state, federal and regional laws. Qualified applicants with arrest or conviction records will be considered. Background check results may potentially result in the withdrawal of a conditional offer of employment and will be made in accordance with all applicable local, state, federal and regional laws.**</t>
        </is>
      </c>
    </row>
    <row r="116">
      <c r="A116" t="inlineStr">
        <is>
          <t>li-4372922988</t>
        </is>
      </c>
      <c r="B116" t="inlineStr">
        <is>
          <t>Data Engineer</t>
        </is>
      </c>
      <c r="C116" t="inlineStr">
        <is>
          <t>NEP Group, Inc.</t>
        </is>
      </c>
      <c r="D116" t="inlineStr">
        <is>
          <t>linkedin</t>
        </is>
      </c>
      <c r="E116">
        <f>HYPERLINK("https://www.linkedin.com/jobs/view/4372922988", "https://www.linkedin.com/jobs/view/4372922988")</f>
        <v/>
      </c>
      <c r="F116" t="inlineStr"/>
      <c r="G116" t="inlineStr">
        <is>
          <t>Pittsburgh, PA</t>
        </is>
      </c>
      <c r="H116" t="inlineStr"/>
      <c r="I116" t="inlineStr">
        <is>
          <t>We’re looking for an experienced Data Engineer to help design, build, and optimize modern data pipelines that power analytics, BI, and machine learning across NEP Group. In this role, you’ll develop scalable ETL/ELT workflows feeding Snowflake and Databricks, collaborate closely with BI and ML teams, and continuously improve our data platform to support a growing global organization.
 If you enjoy working with large datasets, modern cloud tools, and solving complex data challenges, this is a chance to make a real impact.
 Preference is for this to be a hybrid role in Pittsburgh, but we are open to fully remote candidates in Eastern or Central time zones.
**What You’ll Do**
* Design, develop, and automate ETL/ELT pipelines feeding Snowflake and Databricks
* Build and maintain scalable ingestion pipelines using dbt, Databricks, and Fivetran
* Optimize queries, data partitioning strategies, and schema design for performance and cost
* Partner with BI and ML teams to support analytics and advanced data use cases
* Identify opportunities to improve data infrastructure and implement best\-practice solutions
* Troubleshoot data issues and provide technical guidance and support
* Contribute to ongoing improvements in reliability, scalability, and data quality
**What You’ll Need**
* 5\+ years of experience in data engineering with strong Python, SQL, and Spark skills
* Hands\-on experience building and automating ETL/ELT pipelines and working with data warehouses
* Solid understanding of data modeling, schema design, and performance optimization
* Experience with cloud\-based data platforms such as Databricks and modern storage solutions (e.g., Delta Lake)
* Familiarity with CI/CD, data versioning, and best practices for scalable data infrastructure
* Knowledge of data governance, data quality, and lineage concepts
* Understanding of cloud cost optimization, security, and access control best practices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 https://www.nepgroup.com/career/careers</t>
        </is>
      </c>
    </row>
    <row r="117">
      <c r="A117" t="inlineStr">
        <is>
          <t>li-4372946521</t>
        </is>
      </c>
      <c r="B117" t="inlineStr">
        <is>
          <t>Senior Data Engineer</t>
        </is>
      </c>
      <c r="C117" t="inlineStr">
        <is>
          <t>Natera</t>
        </is>
      </c>
      <c r="D117" t="inlineStr">
        <is>
          <t>linkedin</t>
        </is>
      </c>
      <c r="E117">
        <f>HYPERLINK("https://www.linkedin.com/jobs/view/4372946521", "https://www.linkedin.com/jobs/view/4372946521")</f>
        <v/>
      </c>
      <c r="F117" t="inlineStr"/>
      <c r="G117" t="inlineStr">
        <is>
          <t>Austin, TX</t>
        </is>
      </c>
      <c r="H117" t="inlineStr"/>
      <c r="I117" t="inlineStr">
        <is>
          <t>**Position Summary**
 Design, develop, and maintain robust, scalable, and secure data pipelines for ingesting, transforming, and validating clinical real\-world data (RWD) from various sources. Implement software solutions using programming languages (e.g., Python, SQL) and cloud technologies (e.g., AWS) to support clinical data management and analysis workflows. Work closely with the clinical data management specialist and other engineers to ensure software and data are of high\-quality, scalable, and compliant with industry standards.
**Primary Responsibilities** 
* Communication and Team Collaboration:
+ Collaborate with software/quality engineers/analysts and product managers (technical and non\-technical) to make key design and technical implementation decisions. Partner with stakeholders and users to define requirements and deliver reliable, extensible, operations\-friendly applications, services, solutions, data pipelines, or reports.
+ Communicate testing progress, risks, and quality metrics effectively to project stakeholders and senior management.
* Data Engineering Expertise: Design, build, and optimize production\-grade ETL/ELT data pipelines and software components based on product requirements, and where applicable innovative ideas based on domain expertise.
* Data Analysis and Debugging: Analyze and fix defects identified within applications, services, solutions, data pipelines, or reports.Along with creating unit tests and coordinate testing within the Clinical Data and Software engineering team, and all relevant cross\-functional teams.
* Data Management: Write SQL, Python, ELT code to query raw and structured clinical, and genomic data for various clinical data management activities and to provide data as a service.
* Data\-as\-a\-Service: Create data marts, including performing data transformation and de\-identification for internal and external data projects, research initiatives, quality monitoring programs, and meeting regulator submission requirements.
* Cloud Computing: Develop and maintain scalable data pipelines, storage solutions, and processing workflows using AWS services (e.g., S3, Redshift).
* Workflow Orchestration: Experience with Apache Airflow for scheduling and managing complex data workflows. Review design alternatives and architectural proposals and provide relevant and timely recommendations and suggestions to leadership.
* Work Scoping and Estimation: Accurately scope and estimate work using sound engineering best practices.
* Software Development Lifecycle (SDLC): Apply version control (Git), CI/CD pipelines, and agile development methodologies.
* Process Improvement: Perform code reviews and provide relevant and timely recommendations and suggestions for solutioning to the leadership team, and when appropriate, independently implement solutions.
* New Hire Onboarding/Training: Support staff recruitment and onboarding.
* Mentorship: Provide strong leadership and support to new hires and cross\-functional team members, fostering an environment of professional development and growth.
* Conferences and Certifications: Maintenance of all relevant clinical or technical licensures. Attend conferences relevant to role and clinical field.
* Other duties and responsibilities to be performed as assigned
**Qualifications** 
* Educational Background: BS degree in computer science or comparable program.
* Technical Skills and Background:
+ 4\-5\+ years of overall software development experience, preferably building complex data or process management applications
+ SQL databases (Postgres, Snowflake, Redshift, Athena), SQL, and ETL
+ Excel/Macros, Quicksight and Tableau or similar applications
+ AWS services like Redshift and S3
+ Software engineering best practices including agile methodologies, code reviews, source management, build processes, testing, and operations
* Data Standards: Proficient with data standards (e.g., CDISC, FHIR) and regulatory requirements (e.g., HIPAA, GDPR) for data management and DEID.
* Database Systems: In\-depth knowledge of relational databases (e.g., PostgreSQL, MySQL).
* Software Development Lifecycle (SDLC): Expert knowledge of version control (Git), CI/CD pipelines, and agile development methodologies.
* Communication: Excellent written and verbal communication skills, capable of collaborating with clinical and non\-clinical teams.
* Autonomy: Proven ability to work independently, manage time effectively, prioritize and organize tasks, and meet strict productivity and quality deadlines
* General Expertise:
+ Possess a high level of initiative and self\-motivation.
+ Team player; can navigate supporting highly visible projects and tasks.
+ In\-depth attention to detail and a fast learner.
+ Responding to shifting priorities and changes.
 The pay range is listed and actual compensation packages are based on a wide array of factors unique to each candidate, including but not limited to skill set, years \&amp; depth of experience, certifications and specific office location. This may differ in other locations due to cost of labor considerations.
 Austin, TX
 $114,300—$142,900 USD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118">
      <c r="A118" t="inlineStr">
        <is>
          <t>li-4364197071</t>
        </is>
      </c>
      <c r="B118" t="inlineStr">
        <is>
          <t>Senior Data Engineer - Modern Data &amp; AI Platforms</t>
        </is>
      </c>
      <c r="C118" t="inlineStr">
        <is>
          <t>Spring Venture Group</t>
        </is>
      </c>
      <c r="D118" t="inlineStr">
        <is>
          <t>linkedin</t>
        </is>
      </c>
      <c r="E118">
        <f>HYPERLINK("https://www.linkedin.com/jobs/view/4364197071", "https://www.linkedin.com/jobs/view/4364197071")</f>
        <v/>
      </c>
      <c r="F118" t="inlineStr"/>
      <c r="G118" t="inlineStr">
        <is>
          <t>Kansas City, MO</t>
        </is>
      </c>
      <c r="H118" t="inlineStr"/>
      <c r="I118" t="inlineStr">
        <is>
          <t>**Company Description**
**Who We Are:**
 Spring Venture Group is a leading digital direct\-to\-consumer sales and marketing company with product offerings focused on the senior market. We specialize in distributing Medicare Supplement, Medicare Advantage, and related products via our family of brands and dedicated team of licensed insurance agents. Powered by our unique technologies that combine sophisticated marketing, comparison shopping, sales execution, and customer engagement – we help thousands of seniors across the country navigate the complex world of Medicare every day.
**Job Description**
**This person has the opportunity to work primarily remote in the Kansas City or surrounding areas, making occasional visits to the office. We are open to candidates in the Midwest willing to work CST.**
**We are unable to sponsor for this role, this includes international students.**
**Overview**
 The Senior Data Engineer role at Spring Venture Group is an opportunity to work at the intersection of data pipelines, data modeling, analytics, AI/ML enablement, and modern cloud\-native platforms, with Snowflake as your foundation.
 We are looking for someone who is excited to move away from building every pipeline from scratch and toward designing data products and AI\-powered applications. As automation and platform capabilities advance, you will evolve from a traditional builder into a strategic architect of data\-driven solutions.
**Essential Duties**
*The essential duties for this role include, but are not limited to:*
**Modern Data Platform \&amp; AI Enablement**
* Build advanced data pipelines utilizing the Medallion Architecture to create high\-quality data sources in Snowflake.
* Leverage AI\-assisted development tools to reduce manual pipeline work and explore emerging Snowflake capabilities like Cortex to support AI/ML\-enabled workflows.
* Build Data Applications that contribute to interactive experiences, including Streamlit\-based apps, transforming Snowflake from a warehouse into a full\-service data platform.
* Create robust data pipelines using AWS technologies to serve specific business needs.
**Data Modeling \&amp; Business Impact**
* Design and evolve analytical data models that support BI, advanced analytics, and AI workloads.
* Partner directly with Analytics and Data Science teams to translate complex business questions into well\-structured, modular data assets.
* Write complex Python/SQL, scripts, and stored procedures to ensure 99\.95% uptime and optimize query performance for downstream consumption.
**Leadership \&amp; Engineering Excellence**
* Serve as a primary advisor to the Data Management team to identify opportunities for technical improvements and automation.
* Act as a leader for junior and mid\-level engineers, providing direction on programming best practices, query optimization, and business tact.
* Architect replacements for legacy systems with a focus on data governance and maintainable documentation, including flowcharts and clear code comments.
* Support after hours and weekend releases from our internal Software Development teams.
* Actively participate in code review and weekly technicals with another more senior engineer or manager.
* Assist departments with time\-critical SQL execution and debug database performance problems.
**ROLE COMPETENCIES**
 The competencies for this role include, but are not limited to:
* Emotional Intelligence
* Drive for Results
* Continuous Improvement
* Communication
* Strategic Thinking
* Teamwork and Collaboration
**Qualifications**
**POSITION REQUIREMENTS**
**The Requirements To Fulfill This Position Are As Follows**
* Bachelor's degree in Computer Science, or a related technical field.
* 4\-7 years of practical production work in Data Engineering.
* Expertise of the Python programming language.
* Expertise of Snowflake
* Expertise of SQL, databases, \&amp; query optimization.
* Must have experience in a large cloud provider such as AWS, Azure, GCP.
* Advanced at reading code independently and understanding its intent.
* Advanced at writing readable, modifiable code that solves business problems.
* Ability to construct reliable and robust data pipelines to support both scheduled and event based workflows.
* Working directly with stakeholders to create solutions.
* Mentoring junior and mid\-level engineers on best practices in programming, query optimization, and business tact.
**Preferred Experience**
* Experience building or supporting Streamlit applications or similar data\-driven apps.
* Familiarity with Snowflake Openflow for data ingestion and orchestration.
* Exposure to Snowflake Cortex or AI/ML\-enabled analytics workflows.
* Background in analytics engineering (dbt\-style modeling, semantic layers, metrics design).
**Benefits**
**Additional Information**
*The Company offers the following benefits for this position, subject to applicable eligibility requirements:*
* Competitive Compensation
* Medical, Dental and vision benefits after a short waiting period
* 401(k) matching program
* Life Insurance, and Short\-term and Long\-term Disability Insurance
* Optional enrollment includes HSA/FSA, AD\&amp;D, Spousal/Dependent Life Insurance, Travel Assist and Legal Plan
* Generous paid time off (PTO) program starting off at 15 days your first year
* 15 paid Holidays (includes holiday break between Christmas and New Years)
* 15 days of Paid Parental Leave
* Annual Volunteer Time Off (VTO) and a donation matching program
* Employee Assistance Program (EAP) \- health and well\-being on and off the job
* Rewards and Recognition
* Diverse, inclusive and welcoming culture
* Training program and ongoing support throughout your Venture Spring Venture Group career
**Security Responsibilities**
* Operating in alignment with policies and standards
* Reporting Security Incidents Completing assigned training
* Protecting assigned organizational assets
 Spring Venture Group is an Equal Opportunity Employer</t>
        </is>
      </c>
    </row>
    <row r="119">
      <c r="A119" t="inlineStr">
        <is>
          <t>li-4317497338</t>
        </is>
      </c>
      <c r="B119" t="inlineStr">
        <is>
          <t>Business Intelligence and Analytics Engineer</t>
        </is>
      </c>
      <c r="C119" t="inlineStr">
        <is>
          <t>BetterHelp</t>
        </is>
      </c>
      <c r="D119" t="inlineStr">
        <is>
          <t>linkedin</t>
        </is>
      </c>
      <c r="E119">
        <f>HYPERLINK("https://www.linkedin.com/jobs/view/4317497338", "https://www.linkedin.com/jobs/view/4317497338")</f>
        <v/>
      </c>
      <c r="F119" t="inlineStr"/>
      <c r="G119" t="inlineStr">
        <is>
          <t>San Jose, CA</t>
        </is>
      </c>
      <c r="H119" t="inlineStr"/>
      <c r="I119"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BI and Analytics Engineer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We are looking for a Business Intelligence and Analytics Engineer to help us in developing best in class data tools to deliver high quality tools and services and maintain our accelerated growth. These tools must be developed and maintained using best practices to ensure scalability and stakeholder trust as we grow in both size and scope.
 You will work cross functionally closely with both technical and business stakeholders across the company, as well as optimize our data stack for delivering trustworthy, discoverable, impactful data to fit their needs.
**What will you do?**
* Act as a subject matter expert (SME) and deliver training to the cross functional teams to enable business users to make data\-driven decisions.
* Deliver direct analytical insights like dashboards and ad\-hoc analyses to business stakeholders
* Collaborate with the teams across the company to understand their use cases and deliver high value data tools
* Live and breathe SQL
* Ensure data quality and freshness at every step of the pipeline for data trust and consistency
* Create reverse ETL flows to make modeled data directly to stakeholders in the tools they use to foster fast and informed decision making
* Define and build robust DataOps pipelines and data expectations to ensure the effective delivery of data to all internal data services
* Explore, propose, and integrate new data sources and software solutions into the reporting environment
* Contribute to data\-driven culture at BetterHelp by directly training stakeholders as well as creating resources such as documentation for empowering others to perform their own analyses
* Enjoy great teamwork, have lots of fun, and take pride in building a world\-class product that makes a difference in people's lives.
* Partner with data and machine learning engineers and work with a modern data stack: Airflow, FiveTran, Snowflake, dbt, and Looker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BSc/MA in a quantitative discipline such as Computer Science, Statistics, Math, or Engineering
* At least 2 years of experience in an analytics engineering, data engineering, data analytics, or a related field
* Advanced experience working with data pipeline tools, particularly in\-warehouse transformation tools (preferably dbt)
* Advanced experience with SQL
* Experience querying and designing performant tables within OLAP data warehouses (e.g. Snowflake, BigQuery)
* At least 1 year experience working \&amp; developing with BI Tools (preferably Looker)
* Familiarity with frameworks and tradeoffs in building complex data models, preferably working work dimensional modeling frameworks (e.g. Kimball, Data Vault)
* Excellent communication (oral and written), attention to detail, time management and organizational skills
* Experience and comfort using the command line
* Experience using git for version control
**Bonus (Great To Have, But Not Required)**
* Familiarity with patterns for handling large\-scale data transformations (e.g. dbt incremental models, horizontal/vertical scaling big data patterns)
* Experience working with Python\-based workflow orchestration tools (e.g. Airflow)
* Experience working with Docker and container orchestration (e.g. Kubernetes, ECS)
* Experience with web\-based B2C, marketplace products
* Familiarity with web event tracking tools like Snowplow
* Experience defining and building DataOps practices and deployment strategies
* Experience defining data governance procedures \&amp; working with data catalogs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$100,000 \- $140,000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120">
      <c r="A120" t="inlineStr">
        <is>
          <t>li-4370825145</t>
        </is>
      </c>
      <c r="B120" t="inlineStr">
        <is>
          <t>Microsoft Fabric Data Engineer</t>
        </is>
      </c>
      <c r="C120" t="inlineStr">
        <is>
          <t>Caterpillar Inc.</t>
        </is>
      </c>
      <c r="D120" t="inlineStr">
        <is>
          <t>linkedin</t>
        </is>
      </c>
      <c r="E120">
        <f>HYPERLINK("https://www.linkedin.com/jobs/view/4370825145", "https://www.linkedin.com/jobs/view/4370825145")</f>
        <v/>
      </c>
      <c r="F120" t="inlineStr"/>
      <c r="G120" t="inlineStr">
        <is>
          <t>East Peoria, IL</t>
        </is>
      </c>
      <c r="H120" t="inlineStr"/>
      <c r="I120"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As a Senior Data \&amp; Analytics Engineer within Caterpillar’s Intelligent Automation and Business Intelligence Center of Excellence (COE), you will play a critical role in enabling enterprise adoption of Microsoft Fabric and modern business intelligence practices. Instead of building isolated analytics solutions, you will support and guide business units across the organization as they modernize their data environments, migrate to Fabric, and mature their BI capabilities. You will provide hands‑on technical expertise, build reusable patterns and accelerators, and partner closely with platform, architecture, and data engineering teams to ensure a scalable, governed, and high\-performing analytics ecosystem. This role blends Fabric data engineering, BI semantic modeling, platform stewardship, and enterprise enablement.
**What You Will Do**
* Enable enterprise adoption of Microsoft Fabric by providing technical guidance, coaching, and best practices across analytics teams.
* Develop and maintain reusable assets, including templates, reference architectures, semantic model patterns, data pipelines, and governance documentation that support enterprise\-wide modernization.
* Support teams in designing and optimizing Fabric Lakehouse environments, Data Factory pipelines, Dataflows Gen2, notebooks, and medallion‑style data architectures.
* Provide subject matter expertise for Microsoft Fabric, Power BI modeling, dataset optimization, DAX best practices, workspace design, and governance policies.
* Assist business units with complex or strategic analytics use cases, including performance tuning, troubleshooting, and proof‑of‑concept development.
* Partner with central infrastructure, platform engineering, and cybersecurity teams to ensure Fabric, Power BI, and related analytics services remain secure, scalable, reliable, and well\-governed.
* Create monitoring approaches, standards, and operational best practices that uplift data quality, platform health, and BI performance across the enterprise.
* Collaborate with BI, data engineering, and data architecture teams to align enterprise analytics strategy with Caterpillar’s overall digital and data transformation roadmap.
* Support incident/problem management processes and communicate findings to business and technical stakeholders.
**What You Have**
* Bachelor’s degree in Data Science, Information Technology, Engineering, or a related field.
* 7\+ years of combined experience in Business Intelligence, data engineering, or analytics platform support.
* Hands\-on experience with Microsoft Fabric components, including Lakehouse, Data Factory (pipelines, dataflows Gen2\), Notebooks, Delta tables, and semantic model development.
* Strong proficiency with Power BI, including data modeling, DAX, dataset optimization, performance tuning, and workspace management.
* Solid understanding of data engineering concepts, including ingestion patterns, transformation logic, medallion architecture, and SQL.
* Experience developing or supporting reusable data/BI assets such as templates, pipelines, semantic models, or governance artifacts.
* Strong troubleshooting and analytical skills across distributed systems, BI tools, and data pipelines.
* Experience scripting or automating tasks using tools such as Python, PowerShell, or SQL.
* Excellent communication and collaboration skills, with proven success supporting both technical and non‑technical stakeholders.
**Top Candidates Will Also Have**
* Experience enabling or governing analytics platforms in a Center of Excellence or enterprise technology function.
* Knowledge of enterprise\-scale BI platforms such as Tableau, Cognos, ThoughtSpot, or Business Objects.
* Familiarity with deployment best practices, Git integration, CI/CD pipelines, and DevOps approaches for Microsoft Fabric and Power BI.
* Experience with Azure data services (Azure Data Lake, Azure SQL, Functions, Synapse).
* Understanding of data warehousing concepts, dimensional modeling, and ETL/ELT practices.
* Experience with platform monitoring, capacity planning, gateway management, or BI environment tuning in a large enterprise.
* Ability to influence and coach cross\-functional teams and contribute to enterprise analytics strategy.
**Additional Info**
* The ideal location for this role is East Peoria – IL, Nashville – TN, Dallas \- TX
* This position may require 10% travel.
**About Caterpillar \-**
 For more than a century, Caterpillar has helped build a better, more sustainable world. With 2025 sales and revenues of $67\.6 billion, Caterpillar Inc. is shaping the future as the world’s leading manufacturer of construction and mining equipment, off\-highway diesel and natural gas engines, industrial gas turbines and diesel\-electric locomotives. Backed by one of the largest independent global dealer networks and financing services through Cat Financial, the company’s primary business segments: Power \&amp; Energy, Construction Industries and Resource Industries are solving customers’ toughest challenges through commercial excellence and advanced technology, driven by a highly skilled, dedicated global team. Learn more at www.caterpillar.com.
**Summary Pay Range**
 $112,710\.00 \- $169,060\.00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9, 2026 \- February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21">
      <c r="A121" t="inlineStr">
        <is>
          <t>li-4372959022</t>
        </is>
      </c>
      <c r="B121" t="inlineStr">
        <is>
          <t>Data Engineer (for Monet Bank)</t>
        </is>
      </c>
      <c r="C121" t="inlineStr">
        <is>
          <t>Beal Bank USA</t>
        </is>
      </c>
      <c r="D121" t="inlineStr">
        <is>
          <t>linkedin</t>
        </is>
      </c>
      <c r="E121">
        <f>HYPERLINK("https://www.linkedin.com/jobs/view/4372959022", "https://www.linkedin.com/jobs/view/4372959022")</f>
        <v/>
      </c>
      <c r="F121" t="inlineStr"/>
      <c r="G121" t="inlineStr">
        <is>
          <t>Plano, TX</t>
        </is>
      </c>
      <c r="H121" t="inlineStr"/>
      <c r="I121" t="inlineStr">
        <is>
          <t>**About Monet Bank**
 Monet Bank is pioneering the future of banking and money movement — faster, more efficient, and built for the modern financial ecosystem.
 At our core, we believe Monet Bank is an essential bridge to the next generation of banking and payments infrastructure. As a profitable, well\-capitalized Texas state\-chartered bank and FDIC\-Insured — backed by the full faith and credit of the U.S. Government
 **—** 
 Monet combines the strength and stability of traditional banking with forward\-thinking financial technology innovation.
 We recognize the fundamental inefficiencies in legacy payment networks and are building a strong team to thoughtfully challenge assumptions and pursue smarter, more scalable solutions. Our focus is on modern banking services that empower merchants to reclaim margins, enable fintechs to operate cross\-border at scale, and support technology platforms in embedding seamless financial services.
 If you are motivated by building secure, intentional, and future\-ready banking infrastructure, we invite you to explore opportunities with Monet Bank.
**Job Description**
 Data Engineer to design, build, and maintain scalable data pipelines and infrastructure that support analytics, reporting, and data\-driven decision making. This role will work closely with data analysts, data scientists, and software engineering teams to ensure reliable and high\-quality data solutions.
 Essential Duties and Responsibilities:
**Key Responsibilities**
**Architecture \&amp; Design**
* Design and own our end\-to\-end data platform architecture on Databricks and Apache Spark
* Define standards for data modeling, pipeline design, and data quality across the organization
* Evaluate and introduce new tools and frameworks as the team and company scales
* Drive decisions on medallion architecture, Delta Lake structure, and cluster optimization
**Engineering \&amp; Delivery**
* Build and maintain robust, scalable ELT/ETL pipelines using Spark and Databricks workflows
* Develop reusable frameworks, libraries, and templates that accelerate team productivity
* Own reliability and observability of our data pipelines — monitoring, alerting, and incident response
* Write clean, well\-documented, testable code and hold the bar for engineering quality
**Analytics \&amp; Enablement**
* Partner with analytics and business stakeholders to translate complex needs into sound data models
* Build self\-serve data assets that reduce bottlenecks and empower non\-engineering users
* Support ad\-hoc data investigations and exploratory analysis as needed
**Team Leadership \&amp; Mentorship**
* Act as a technical mentor and go\-to resource for junior and mid\-level engineers on the team
* Lead design reviews, code reviews, and architectural discussions
* Help define hiring standards and contribute to interviewing and onboarding as the team grows
* Serve as a thought partner to leadership on data strategy and platform roadmap
**Required Qualifications**
* 7\+ years of data engineering experience, with 2\+ years operating at a senior or staff level
* Deep expertise with Apache Spark — performance tuning, optimization, and production troubleshooting
* Hands\-on experience with Databricks including Unity Catalog, Delta Live Tables, and Databricks Workflows
* Strong SQL skills and experience with dimensional modeling, data vault, or medallion architecture
* Experience designing and maintaining production\-grade data pipelines with high reliability standards
* Comfortable operating as a generalist — you can move between infrastructure, pipelines, and analytics layers
* Strong communication skills; able to explain technical concepts to non\-technical stakeholders
**Preferred Qualifications**
* Experience with Python\-based orchestration tools (Airflow, Prefect, or similar)
* Familiarity with dbt for transformation layers
* Cloud platform experience (AWS), cloud\-native storage and compute
* Experience building with small teams at a growth\-stage company
* Background in analytics engineering or data architecture in addition to core engineering
* Knowledge of data governance and security best practices
* Experience in financial services or highly regulated environments
**Benefits options include:**
* Medical, dental and vision coverage
* 401K with company match
* 11 paid holidays
* Accrue up to 17 vacation/sick days per year in your first year on a pro rata basis
* Applicant may be eligible for annual discretionary bonus
 No relocation assistance provided.
 If you are looking to be a part of a winning team and meet the above requirements, we look forward to hearing from you.
 Monet Bank and their affiliates are Equal Opportunity Employers. Monet Bank and their affiliates do not discriminate against any candidate or employee on the basis of race, national origin, color, genetics, sex, marital status, sexual orientation, gender identity, age, disability, pregnancy, religion or religious affiliation, veteran or service member status, or any other characteristic protected by federal, state or local laws.
 All applicants have rights under federal employment laws. To view your rights and government notices on the Family Medical Leave Act (FMLA), the Equal Employment Opportunity (EEO) and the Employee Polygraph Projection Act (EPPA), please see the following Department of Labor links: FMLA EEO EPPA
 Notice to California Residents: Monet Bank and their affiliates may collect personal information about you as part of the job application or employment process. Please see the California Privacy Rights Act Policies at CPRA Policy , CPRA Policy \| CLMG Corp , CPRA \| CSG Investments CPRA Policy \| for details.</t>
        </is>
      </c>
    </row>
    <row r="122">
      <c r="A122" t="inlineStr">
        <is>
          <t>li-4364187055</t>
        </is>
      </c>
      <c r="B122" t="inlineStr">
        <is>
          <t>Data Engineer, Optum Technology - Remote</t>
        </is>
      </c>
      <c r="C122" t="inlineStr">
        <is>
          <t>Optum</t>
        </is>
      </c>
      <c r="D122" t="inlineStr">
        <is>
          <t>linkedin</t>
        </is>
      </c>
      <c r="E122">
        <f>HYPERLINK("https://www.linkedin.com/jobs/view/4364187055", "https://www.linkedin.com/jobs/view/4364187055")</f>
        <v/>
      </c>
      <c r="F122" t="inlineStr"/>
      <c r="G122" t="inlineStr">
        <is>
          <t>Minnetonka, MN</t>
        </is>
      </c>
      <c r="H122" t="inlineStr"/>
      <c r="I12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If you are located in XXX, you will have the flexibility to work remotely\* as you take on some tough challenges.
 If you are located in XXX, you will have the flexibility to work remotely\*, as well as work in the office as you take on some tough challenges.
**Primary Responsibilities**
* Data Architecture \&amp; Engineering:
+ Design and optimize database architecture, data models, and schemas
+ Implement and maintain data pipelines (ETL/ELT) for large\-scale data processing
* Platform \&amp; Cloud Solutions:
+ Develop and manage data solutions on PaaS and cloud ecosystems
+ Ensure scalability, security, and performance of data platforms
* Data Quality \&amp; Compliance:
+ Perform needs assessments and enforce strict data quality standards
+ Support compliance with organizational and regulatory requirements
* Development \&amp; Deployment:
+ Build and deploy optimized solutions using Big Data technologies
+ Collaborate with Data Scientists and Analysts to deliver AI/ML\-driven solutions
* Collaboration \&amp; Leadership:
+ Lead projects independently, manage technical deliveries, and mentor junior engineers
+ Drive knowledge\-sharing sessions and capability development within the team
* Vendor \&amp; Stakeholder Management:
+ Manage relationships with software/hardware vendors for architectural impact
+ Work closely with enterprise teams for requirement gathering and solution design
 You'll be rewarded and recognized for your performance in an environment that will challenge you and give you clear direction on what it takes to succeed in your role as well as provide development for other roles you may be interested in.
**Required Qualifications**
* Bachelor's or Master's degree in Computer Science, Data Engineering, or related field
* 5\+ years of experience in data engineering, ETL development, and big data platforms
* Experience with SQL/Postgres/MySQL
* Experience with Azure cloud platform
* Familiarity with CI/CD, DevOps, and ML Ops workflows
* Knowledge of data modeling, schema design, and metadata management
* Expertise in Big Data technologies (PySpark/Scala Spark, Hive/Hadoop/NoSQL) and data warehousing
* Solid proficiency in Python, Scala
* Demonstrated ability to implement data security, governance, and compliance standards
* Proven skilled in building and automating data pipelines for batch and real\-time processing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$xx,xxx to $xx,xxx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3">
      <c r="A123" t="inlineStr">
        <is>
          <t>li-4372938792</t>
        </is>
      </c>
      <c r="B123" t="inlineStr">
        <is>
          <t>Senior Data Engineer - REMOTE</t>
        </is>
      </c>
      <c r="C123" t="inlineStr">
        <is>
          <t>Jobgether</t>
        </is>
      </c>
      <c r="D123" t="inlineStr">
        <is>
          <t>linkedin</t>
        </is>
      </c>
      <c r="E123">
        <f>HYPERLINK("https://www.linkedin.com/jobs/view/4372938792", "https://www.linkedin.com/jobs/view/4372938792")</f>
        <v/>
      </c>
      <c r="F123" t="inlineStr"/>
      <c r="G123" t="inlineStr">
        <is>
          <t>Iowa, United States</t>
        </is>
      </c>
      <c r="H123" t="inlineStr"/>
      <c r="I123" t="inlineStr">
        <is>
          <t>This position is posted by Jobgether on behalf of a partner company. We are currently looking for a Database Engineer \- REMOTE. In this role, you will oversee the performance, availability, and security of our enterprise database systems, which play a crucial role in supporting mission operations. You will be designing and maintaining secure relational database environments that operate across both cloud and hybrid infrastructures, ensuring they meet the highest standards. Your expertise will significantly enhance the efficiency of database operations, allowing teams to access and leverage data effectively. By implementing robust database designs and strategies, you will contribute to the organization's data\-driven decision\-making processes.
**Accountabilities**
* Design, configure, and maintain SQL Server and cloud\-hosted databases.
* Optimize queries, indexing strategies, and database performance.
* Implement high\-availability and disaster recovery architectures.
* Manage backup, restoration, replication, and failover processes.
* Enforce encryption, access control, and auditing mechanisms.
* Support ETL processes and reporting integration.
**Requirements**
* Bachelor’s degree in Information Systems or related discipline.
* 5\+ years of SQL Server administration experience.
* Experience with AWS RDS or Azure SQL.
* Proficiency in T\-SQL, indexing, replication, and HA/DR configurations.
* Knowledge of database security and compliance standards.
**Benefits**
* Comprehensive medical, dental, \&amp; vision insurance that starts the first of the month after you join the team.
* 401(k) Plan with immediately vested employer contributions.
* Generous Paid Time Off (PTO) policy and observance of all federal holidays.
* Pet Insurance for your furry family members.
* Tuition reimbursement and internal training programs.
* Dynamic and collaborative work environment.
* Team building activities, community volunteering, and annual awards banquet.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4">
      <c r="A124" t="inlineStr">
        <is>
          <t>li-4372051179</t>
        </is>
      </c>
      <c r="B124" t="inlineStr">
        <is>
          <t>Data Engineer</t>
        </is>
      </c>
      <c r="C124" t="inlineStr">
        <is>
          <t>Tata Consultancy Services</t>
        </is>
      </c>
      <c r="D124" t="inlineStr">
        <is>
          <t>linkedin</t>
        </is>
      </c>
      <c r="E124">
        <f>HYPERLINK("https://www.linkedin.com/jobs/view/4372051179", "https://www.linkedin.com/jobs/view/4372051179")</f>
        <v/>
      </c>
      <c r="F124" t="inlineStr"/>
      <c r="G124" t="inlineStr">
        <is>
          <t>Raleigh, NC</t>
        </is>
      </c>
      <c r="H124" t="inlineStr"/>
      <c r="I124" t="inlineStr">
        <is>
          <t>**Job Description**
 Data Engineer
* Data Pipelines \- Design, develop, and maintain data pipelines for efficient data processing and integration for real\-time and batch\-processing. Implement and optimize ETL processes to extract, load, transform and integrate data from various sources. Enhance data flows and storage solutions for improved performance
* Data Warehousing \- Design and implement data warehouse structures. Ensure data quality and consistency within the data warehouse. Apply data modeling techniques for efficient data storage and retrieval
* Data Governance, Quality \&amp; Compliance \- Implement data governance policies and procedures. Implement data quality frameworks, standards and documentation. Ensure compliance with relevant data regulations and standards
* Security \&amp; Access Management \- Implement data security measures and access controls. Maintain data protection protocols
* Performance Optimization and Troubleshooting \- Analyze and optimize system performance for large\-scale data operations. Troubleshoot data issues and implement robust solutions
* Testing \&amp; Automation – Write unit test cases, validate the data integrity \&amp; consistency requirements, adopt automated data pipelines using GitLab, Github, CICD tools.
* Code Deployment \&amp; Release Management \- Adopt release management processes to promote code deployment to various environments including production, disaster recovery, and support activities.
* Cross\-Functional Collaboration \- Collaborate with data scientists, analysts, and other teams to understand and meet data requirements. Participate in cross\-functional projects to support data\-driven initiatives
**Technical/Business Skills**
* Hands\-on experience in building robust metadata\-driven, automated data pipeline solutions leveraging modern cloud\-based data technologies, tools for large data platforms.
* Hands\-on experience leveraging data security, governance methodologies meeting data compliance requirements.
* Experience building automated ELT data pipelines, snowpipe frameworks leveraging Qlik Replicate, DBT Cloud, snowflake with CICD.
* Hands\-on experience building data integrity solutions across multiple data sources and targets like SQL Server, Oracle, Mainframe\-DB2, files, Snowflake.
* Experience working with various structured \&amp; semi\-structured data files \- CSV, fixed width, JSON, XML, Excel, and mainframe VSAM.
* Experience using S3, Lambda, SQS, SNS, Glue, RDS AWS services.
*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 tokenization, snowflake data masking policies, dynamic \&amp; conditional masking, and role 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Must have one or more certifications in the relevant technology fields.
* Nice to have Financial banking experience.
 Salary Range\- $100,000\-$110,000 a year
**Qualifications:** 
 BACHELOR OF COMPUTER SCIENCE</t>
        </is>
      </c>
    </row>
    <row r="125">
      <c r="A125" t="inlineStr">
        <is>
          <t>li-4372068015</t>
        </is>
      </c>
      <c r="B125" t="inlineStr">
        <is>
          <t>Data Engineer</t>
        </is>
      </c>
      <c r="C125" t="inlineStr">
        <is>
          <t>Tata Consultancy Services</t>
        </is>
      </c>
      <c r="D125" t="inlineStr">
        <is>
          <t>linkedin</t>
        </is>
      </c>
      <c r="E125">
        <f>HYPERLINK("https://www.linkedin.com/jobs/view/4372068015", "https://www.linkedin.com/jobs/view/4372068015")</f>
        <v/>
      </c>
      <c r="F125" t="inlineStr"/>
      <c r="G125" t="inlineStr">
        <is>
          <t>Charlotte, NC</t>
        </is>
      </c>
      <c r="H125" t="inlineStr"/>
      <c r="I125" t="inlineStr">
        <is>
          <t>**Job Description**
 Must Have Technical/Functional Skills
* Bachelor’s degree in information technology or related experience.
* 5\+ years of experience in field of data engineering involving analytics\-focused data warehouse environments
* such as Snowflake.
* 3\+ years of experience working in AWS utilizing services such as Amazon S3, AWS Glue, AWS Lambda, etc.
* Advanced knowledge of SQL and Python programming languages.
* Extensive experience in database development, data pipelines development, and ETL development.
* Experience using modern data processing/movement technologies such as Qlik, AWS Glue, Lambda, Python.
* Experience working in an Agile delivery environment.
* Hands on experience building and using DevSecOps pipelines and automation.
* Ability to work independently and drive solutions end to end leveraging various technologies to solve data
* problems and develop solutions.
* Promote and enforce design and development standards and best practices.
* Passionate about continuous learning, experimenting, applying, and contributing towards cutting edge open
* source technologies and software paradigms.
* Have a proven track record of customer satisfaction and delivery success and ability to establish and maintain
* appropriate relationships with business and IT stakeholders.
* Ability to supervise junior developers and make personnel decisions.
* Ability to manage multiple sophisticated software development projects
* Ability to debug complex applications during Production Incident triage.
 Roles \&amp; Responsibilities
* Design and develop data pipelines utilizing Data Vault 2\.0 on our cloud data warehouse in Snowflake.
* Design and develop ETL processes in our data lake in AWS using batch and streaming solutions.
* Develop test strategies, software testing frameworks, and test automation.
* Champion a modern engineering culture and best practices\-based software development.
* Leverage DevSecOps and documentation techniques and have working experience with modern tools such as
* Git, Jira, and Confluence.
* Engage in application design and data modeling discussions; participate in developing and enforcing data
* security policies.
* Drive delivery efficiency with automation and reusable components/solutions.
 Salary Range: $100,000 to $110,000 per year
**Qualifications:** 
 BACHELOR OF COMPUTER SCIENCE</t>
        </is>
      </c>
    </row>
    <row r="126">
      <c r="A126" t="inlineStr">
        <is>
          <t>li-4364475602</t>
        </is>
      </c>
      <c r="B126" t="inlineStr">
        <is>
          <t>Data Engineer with Spark</t>
        </is>
      </c>
      <c r="C126" t="inlineStr">
        <is>
          <t>Jobs via Dice</t>
        </is>
      </c>
      <c r="D126" t="inlineStr">
        <is>
          <t>linkedin</t>
        </is>
      </c>
      <c r="E126">
        <f>HYPERLINK("https://www.linkedin.com/jobs/view/4364475602", "https://www.linkedin.com/jobs/view/4364475602")</f>
        <v/>
      </c>
      <c r="F126">
        <f>HYPERLINK("https://click.appcast.io/t/HdmglTw9_bXtMeQifyT22vwM2lajN5cPaqFFCgUDpf0=&amp;urlHash=J2cS", "https://click.appcast.io/t/HdmglTw9_bXtMeQifyT22vwM2lajN5cPaqFFCgUDpf0=&amp;urlHash=J2cS")</f>
        <v/>
      </c>
      <c r="G126" t="inlineStr">
        <is>
          <t>Bentonville, AR</t>
        </is>
      </c>
      <c r="H126" t="inlineStr"/>
      <c r="I126" t="inlineStr">
        <is>
          <t>Dice is the leading career destination for tech experts at every stage of their careers. Our client, Torque Technologies LLC, is seeking the following. Apply via Dice today!
**Data Engineer with Spark**
 Bentonville, AR (Day 1 On\-Site)
 Long Term
 We are seeking a Data Engineer with Spark \&amp; Streaming skills to build real\-time, scalable data pipelines using tools like Spark, Kafka, and cloud services (Google Cloud Platform) to ingest, transform, and deliver data for analytics and ML.
**Must Have Skills**
 Skill 1 8\+ years of experience in Python, SQL, and potentially Scala/Java
 Skill 2 Big Data: Expertise in Apache Spark (Spark SQL, DataFrames, Streaming).
 Skill 3\- 4\+ Years in Google Cloud Platform
**Required Skills \&amp; Qualifications:**
 Programming: Strong proficiency in Python, SQL, and potentially Scala/Java.
 Big Data: Expertise in Apache Spark (Spark SQL, DataFrames, Streaming).
 Streaming: Experience with messaging queues like Apache Kafka, or Pub/Sub.
 Cloud: Familiarity with Google Cloud Platform, Azure data services.
 Databases: Knowledge of data warehousing (Snowflake, Redshift) and NoSQL databases.
 Tools: Experience with Airflow, Databricks, Docker, Kubernetes is a plus.
**Responsibilities:**
 Design, develop, and maintain ETL/ELT data pipelines for batch and real\-time data ingestion, transformation, and loading using Spark (PySpark/Scala) and streaming technologies (Kafka, Flink).
 Build and optimize scalable data architectures, including data lakes, data warehouses (BigQuery), and streaming platforms.
 Performance Tuning: Optimize Spark jobs, SQL queries, and data processing workflows for speed, efficiency, and cost\-effectiveness
 Data Quality: Implement data quality checks, monitoring, and alerting systems to ensure data accuracy and consistency.</t>
        </is>
      </c>
    </row>
    <row r="127">
      <c r="A127" t="inlineStr">
        <is>
          <t>li-4364455285</t>
        </is>
      </c>
      <c r="B127" t="inlineStr">
        <is>
          <t>Lead Data Engineer</t>
        </is>
      </c>
      <c r="C127" t="inlineStr">
        <is>
          <t>Arcadia</t>
        </is>
      </c>
      <c r="D127" t="inlineStr">
        <is>
          <t>linkedin</t>
        </is>
      </c>
      <c r="E127">
        <f>HYPERLINK("https://www.linkedin.com/jobs/view/4364455285", "https://www.linkedin.com/jobs/view/4364455285")</f>
        <v/>
      </c>
      <c r="F127">
        <f>HYPERLINK("https://jobs.lever.co/arcadia/811000d1-b400-491b-a712-f2484ba03e66/apply?source=LinkedIn&amp;urlHash=2Iso", "https://jobs.lever.co/arcadia/811000d1-b400-491b-a712-f2484ba03e66/apply?source=LinkedIn&amp;urlHash=2Iso")</f>
        <v/>
      </c>
      <c r="G127" t="inlineStr"/>
      <c r="H127" t="inlineStr"/>
      <c r="I127" t="inlineStr">
        <is>
          <t>*Arcadia is dedicated to happier, healthier days for all. We believe that there is a better healthcare world – one powered by data. Our platform transforms complex, diverse data into a unified foundation for health, helping organizations deliver better care, boost revenue, and lower costs.*
*We’re a team of fiercely driven individuals committed to making healthcare more sustainable—and we’re looking for passionate people to help us get there.*
*For more information, visit* 
*arcadia.io* 
 .
**Why This Role Is Important to Arcadia**
 The Arcadia Data Engineering team onboards and supports the data feed integrations between Client Claim and Clinical data management platforms and our Healthcare Solution Platform. Our customers are top Healthcare providers and payers, and we help them integrate their internal systems with our analytic platform. The Data Engineering team is responsible for the data architecture that drives the partnership with customers and other internal organizations to drive success through adoption of cutting edge analytic solutions that leverage new age technologies and best practices. Our Data Engineers require both SQL Database knowledge and design , along with multiple programing languages.
 As a Lead Data Engineer, you will drive the successful development of solution architecture and the completion of data pipeline connectors that automate the flow of data between client Claim and Clinical data platforms and our analytic health solution platform. Your efforts will be critical to driving the long\-term partnership between Arcadia and our customers.
**What Success Looks Like**
**In 3 months**
* Learn the different areas of the data connector life cycle, and develop a working knowledge of the technical stacks, storage platforms, data models, and Arcadia's development cycle
* Familiarize yourself with the existing data pipeline and associated product capabilities
* Set to work on new ingestion pipelines with full bandwidth available (as formal training will end)
**In 6 months**
* Meaningfully contribute to team efficiency by building or rolling out new functionality to enhance team speed
* Build a backlog of development projects that you can start executing on in the next 6 months
* Build strong relationships with engineering organization that supports the data engineering stack so that you can help drive stack improvements
* Set your own personal vision of development and career aspirations and set a working path forward with leadership to work on how we can help you attain those goals
* Contribute to scrum ceremonies and ceremonies within the dev cycles while successfully updating status and progress in Jira
**In 12 months**
* Demonstrate impact to larger team’s ability to get the work done faster
* Continue to work with Product, Engineering or Implementation to build out tools for better data integration capabilities
* Work on standardizing data connector development with better abstraction patterns
* Become a SME (subject matter expert) on Arcadia’s data stack
**What You'll Be Doing**
* As a Lead Data Engineer, you will drive the successful development of solution architecture and the completion of data pipeline connectors that automate the flow of data between client data platforms and our analytic health solution platform. Your outcomes are critical to driving the long\-term partnership between Arcadia and our customers.
**You Will Primarily Do The Following**
* Improving the process of how we design and document data pipelines
* Identifying high leverage improvement projects and driving them to completion
* Support of our processes in partaking in peer code reviews, sprint planning, product grooming, maintaining Jira tasks and peer test reviews
* You will be expected to contribute to multiple implementations simultaneously, which will include both new customer setup as well as support and enhancements for existing customers
*The expectations of the day to day of an engineer are as follows:*
**Delivery**
* Responsible for delivery of work on expected timelines
* Able to identify risk to project success and communicate to leadership
* Works mostly independently on delivery w/decreasing involvement from engineering and more senior team members
* Able to apply critical thinking and problem solving skills to propose solutions for complex problems within day to day work
**Technical Domain Knowledge**
* Develop a deep understanding of our systems so you can work on projects to improve them
* Developing ability to understand technical issues and communicate potential solutions to team members or engineering team
**Business Domain Knowledge**
* Developing working knowledge of the business of healthcare data and how it interacts within the Arcadia products
* Understanding of shared value contracts that our customers are in and how data is impacted by them
* Developing knowledge of industry data expected values such as PMPM by LOBs, MM trends, etc.
**Communication Skills**
* Developing internal and external professional communication skills including presentation of issues using appropriate industry vocabulary
**Team Projects**
* Responsible for contributing to the advancement of team processes and internal
**What You'll Bring**
* Senior Experience Level of 5\-8 years post\-grad with relevant industry experience or graduate level degree.
**TECH**
* As a Lead Data Engineer you will be expected to problem solve coding issues and enhancements with frameworks that are built in Spark, while also leveraging technical skills to partake in idea sessions on process improvement and POC design of how to carry out a solution
* SQL: 5\+ years (Preferred)
* Python: 3\+ years (Preferred)
* Spark: 4\+ years (Preferred)
* Database Architecture: 2\-3 years (Preferred)
* Cloud Architecture: 1\-2 years (Preferred)
**DATA**
* As a Lead Data Engineer you will be expected to problem solve some basic data analysis issues and work the data to create analytic enhancements
* Healthcare Data: 2\-4 years (Preferred)
* Healthcare Analytics: 1\-3 years (Preferred)
**Would Love For You To Have**
* AWS (S3 and EC2\): 2\-3 years
* Nifi: 3\- 5 years
* Kafka: 3\-5 years
* Java : 3\-5 years
* Healthcare Analytics: 3\-5 years
**What You'll Get**
* Chance to be surrounded by a team of extremely talented and dedicated individuals driven to succeed
* Be a part of a mission driven company that is transforming the healthcare industry by changing the way patients receive care
* A flexible, remote friendly company with personality and heart
* Employee driven programs and initiatives for personal and professional development
* Be a member of the Arcadian and Barkadian Community
 $150,000 \- $175,000 a year
**About Arcadia**
 Arcadia.io helps innovative providers and payers across the country transform healthcare to reduce cost while improving patient health. We do this by aggregating large amounts of disparate data, applying algorithms to identify opportunities to provide better patient care, and making those opportunities actionable by physicians at the point of care in near\-real time. We are passionate about helping our customers drive meaningful outcomes. We are growing fast and have emerged as a market leader in the highly competitive population health management software market and have been recognized by industry analysts KLAS, IDC, Forrester, and Chilmark for our leadership. For a better sense of our brand and products, please explore our website .
**Protect Yourself**
 If you have concerns about the authenticity of a job offer or recruitment\-related communication claiming to be from Arcadia, we encourage you to verify by contacting us directly at (781\) 202\-3600 and select option 3\. For more information, visit our website .
*This position is responsible for following all Security policies and procedures in order to protect all PHI under Arcadia's custodianship as well as Arcadia Intellectual Properties. For any security\-specific roles, the responsibilities would be further defined by the hiring manager.*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8">
      <c r="A128" t="inlineStr">
        <is>
          <t>li-4372967548</t>
        </is>
      </c>
      <c r="B128" t="inlineStr">
        <is>
          <t>Data Engineer III</t>
        </is>
      </c>
      <c r="C128" t="inlineStr">
        <is>
          <t>Apex Systems</t>
        </is>
      </c>
      <c r="D128" t="inlineStr">
        <is>
          <t>linkedin</t>
        </is>
      </c>
      <c r="E128">
        <f>HYPERLINK("https://www.linkedin.com/jobs/view/4372967548", "https://www.linkedin.com/jobs/view/4372967548")</f>
        <v/>
      </c>
      <c r="F128">
        <f>HYPERLINK("https://www.apexsystems.com/job/3021390_usa/data-engineer-iii&amp;urlHash=m2EK", "https://www.apexsystems.com/job/3021390_usa/data-engineer-iii&amp;urlHash=m2EK")</f>
        <v/>
      </c>
      <c r="G128" t="inlineStr">
        <is>
          <t>Newport Beach, CA</t>
        </is>
      </c>
      <c r="H128" t="inlineStr"/>
      <c r="I128" t="inlineStr">
        <is>
          <t>**Job\#: 3021390**
**Job Description:**
 Data Engineer
 Location: Newport Beach, CA
 Onsite: 4 days per week
 Rate: $75\-80/ hour
 At this time, Apex is not able to consider candidates for this role who require visa sponsorship now or in the future.
 Qualified candidates will have the following skillsets:
 2\+ years of experience with DevOps and CI/CD
 4\+ years of experience with SQL, ETL, ELT, leading cloud data warehouse technologies and data management tools
 4\+ years of relevant experience in analysis, design, development, and delivery of data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29">
      <c r="A129" t="inlineStr">
        <is>
          <t>li-4372938760</t>
        </is>
      </c>
      <c r="B129" t="inlineStr">
        <is>
          <t>Network Data Engineer (1119032)</t>
        </is>
      </c>
      <c r="C129" t="inlineStr">
        <is>
          <t>The Judge Group</t>
        </is>
      </c>
      <c r="D129" t="inlineStr">
        <is>
          <t>linkedin</t>
        </is>
      </c>
      <c r="E129">
        <f>HYPERLINK("https://www.linkedin.com/jobs/view/4372938760", "https://www.linkedin.com/jobs/view/4372938760")</f>
        <v/>
      </c>
      <c r="F129" t="inlineStr"/>
      <c r="G129" t="inlineStr">
        <is>
          <t>Raleigh, NC</t>
        </is>
      </c>
      <c r="H129" t="inlineStr"/>
      <c r="I129" t="inlineStr">
        <is>
          <t>**Location:** 
 Raleigh, NC
**Salary:** 
 $120,000\.00 USD Annually \- $130,000\.00 USD Annually
**Description**
* Good knowledge on DNS(Infoblox), Cisco ISE,
* Forescout – NAC,
* Infoblox\- DNS DHCP IPAM
* Cisco ACI, IBM NS1, NTP \- Microchip (time),
* Gluware – Network Automation tool
* Ixia \- platform
* Ansible automation platform, F5 LTM, GTM, BIGIQ
* Clear understanding of Cisco ISE Architecture (Pan, PSN, MNT, etc.).
* Cisco ISE configuration and troubleshooting hands on experience.
* Cisco ISE policy configuration used for Wireless, Wired, VPN, and Network
* Configures, and manages Forescout's network configuration and troubleshooting hands on experience
* manages, maintains, and optimizes an organization's core network services (DNS, DHCP, IPAM), troubleshooting hands on experience
* Design and deploy Cisco ACI fabrics (Leaf–Spine architecture). Configuration troubleshooting hands on experience
* Configure Tenants, VRFs, Bridge Domains, EPGs, Contracts, and Filters
* Implement Multi Pod, Multi Site, and Remote Leaf architectures
**About**
* Knowledge/experience about high availability and disaster recovery setups
* Hands\-on experience with the IBM NS1 Connect platform or comparable DNS automation and network performance solutions is often required.
* Familiarity with Microchip NTP equipment
* Microchip NTP monitoring and troubleshooting tools.
* Strong analytical and problem\-solving skills.
* Ability to work both independently and collaboratively in a team environment
* Hands on experience configuration and troubleshooting on F5 architecture on LTM, GTM, BIGiQ
* Gluware configuration and troubleshooting
* Gluware configuration using automation
* Understanding Ixia platform for network testing and topology testing
* Using Ixia platform network troubleshooting for L2/L3 design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tmangal@judge.com
*This job and many more are available through The Judge Group. Find us on the web at www.judge.com*</t>
        </is>
      </c>
    </row>
    <row r="130">
      <c r="A130" t="inlineStr">
        <is>
          <t>li-4364159133</t>
        </is>
      </c>
      <c r="B130" t="inlineStr">
        <is>
          <t>Data Engineer</t>
        </is>
      </c>
      <c r="C130" t="inlineStr">
        <is>
          <t>Jobs via Dice</t>
        </is>
      </c>
      <c r="D130" t="inlineStr">
        <is>
          <t>linkedin</t>
        </is>
      </c>
      <c r="E130">
        <f>HYPERLINK("https://www.linkedin.com/jobs/view/4364159133", "https://www.linkedin.com/jobs/view/4364159133")</f>
        <v/>
      </c>
      <c r="F130" t="inlineStr"/>
      <c r="G130" t="inlineStr">
        <is>
          <t>Hanover, NH</t>
        </is>
      </c>
      <c r="H130" t="inlineStr"/>
      <c r="I130" t="inlineStr">
        <is>
          <t>Dice is the leading career destination for tech experts at every stage of their careers. Our client, Lorven Technologies, Inc., is seeking the following. Apply via Dice today!
 Hi,
 Our client is looking for a
 **Data Engineer** 
 with a Long\-Term Contract project in
 **Hanover, NH** 
 below is the detailed requirement.
**Position:
 **Data Engineer****
**Location: Hanover, NH**
**Contract**
**Job description:**
**Data Engineering \&amp; Pipelines**
* Design, develop, and maintain scalable ETL/ELT pipelines for batch and real\-time data processing.
* Build and optimize data ingestion workflows from multiple structured and unstructured data sources.
* Ensure data is cleansed, validated, and transformed according to business rules.
**Data Architecture \&amp; Modeling**
* Build robust data models, data warehouse layers (staging, integration, semantic), and data marts.
* Work with architects to define data standards, metadata, lineage, and governance frameworks.
* Optimize data storage and compute performance across cloud and on\-prem platforms.
**Cloud \&amp; Big Data Technologies**
* Develop solutions using cloud platforms such as AWS / Azure / Google Cloud Platform.
* Work with big data technologies including Spark, Databricks, Snowflake, Hadoop, Kafka, Flink, etc.
* Manage cloud data services such as S3, Redshift, Glue, BigQuery, Synapse, or similar technologies.
**Collaboration \&amp; Delivery**
* Partner closely with data analysts, data scientists, product managers, and engineering teams.
* Translate business requirements into technical specification documents.
* Support deployment, monitoring, and troubleshooting of data pipelines.
**Quality, Security \&amp; Compliance**
* Implement data quality checks, audits, and monitoring frameworks.
* Ensure compliance with data privacy, security, and regulatory standards.
* Maintain proper documentation, version control, and configuration management</t>
        </is>
      </c>
    </row>
    <row r="131">
      <c r="A131" t="inlineStr">
        <is>
          <t>li-4372943653</t>
        </is>
      </c>
      <c r="B131" t="inlineStr">
        <is>
          <t>Senior System Software Engineer - Data Engineering</t>
        </is>
      </c>
      <c r="C131" t="inlineStr">
        <is>
          <t>NVIDIA</t>
        </is>
      </c>
      <c r="D131" t="inlineStr">
        <is>
          <t>linkedin</t>
        </is>
      </c>
      <c r="E131">
        <f>HYPERLINK("https://www.linkedin.com/jobs/view/4372943653", "https://www.linkedin.com/jobs/view/4372943653")</f>
        <v/>
      </c>
      <c r="F131" t="inlineStr"/>
      <c r="G131" t="inlineStr">
        <is>
          <t>Austin, TX</t>
        </is>
      </c>
      <c r="H131" t="inlineStr"/>
      <c r="I131" t="inlineStr">
        <is>
          <t>NVIDIA’s Hardware Infrastructure organization is looking for a Senior Data Engineer to become part of the Data \&amp; Observability Platform. We serve and collaborate directly with NVIDIA’s rapidly growing AI, HW, and SW engineering and research teams to provide the data backbone that powers our massive\-scale operations. We are seeking an Infrastructure\-Focused Data Engineer to develop the foundational infrastructure of our data platform. In this role, you will build high\-throughput pipelines that move petabytes of telemetry data and manage our central Data Lakehouse. Uniquely, you will also work in an embedded capacity with engineering teams, optimizing their data schemas and efficiency to solve real\-world scale challenges.
**What You’ll Be Doing**
* Build Scalable Data Pipelines: Develop and deploy high\-throughput, reliable pipelines to move substantial volumes of telemetry information from global edge locations to our central Data Lakehouse.
* Architect the Data Lakehouse: Lead the implementation of our tiered storage strategy. You will design efficient schemas that optimize for both write\-heavy real\-time ingestion and fast, cost\-effective interactive queries.
* Orchestration \&amp; Automation: Modernize workflow scheduling by implementing robust, code\-based data pipelines. You will build workflows that handle complex dependencies, automated backfills, and intelligent retries.
* Drive Embedded Data Optimization: Partner directly with internal engineering teams to audit their data usage. You will identify heavy\-hitter datasets and primary storage consumers, refactor inefficient schemas, and enforce lifecycle policies to significantly reduce storage costs.
* Manage Data Infrastructure: Own the operation of the underlying platform. You will manage stateful deployments on Kubernetes, optimize Spark performance, and ensure the reliability of our streaming architecture.
* Enforce Quality \&amp; Governance: Implement automated schema validation and data quality checks to prevent bad data from entering the lake. You will collaborate with security teams to apply automated masking and access controls.
**What We Need To See**
* BS or MS in Computer Science, Electrical Engineering, or related field (or equivalent experience).
* 8\+ years of experience in Data Engineering with a strong focus on Infrastructure, Streaming, or Platform building.
* Strong Coding Fluency: Expert proficiency in Python for automation, tooling, and orchestration. Proficiency in Java or Scala for high\-performance data processing (Spark/Flink).
* Deep Streaming Expertise: Extensive experience with Kafka. You have a deep understanding of consumer groups, partition strategies, offset management, and handling backpressure in high\-volume environments.
* Data Lake Experience: Hands\-on experience with modern table formats (Apache Iceberg, Delta Lake, or Hudi) and distributed query engines (Trino/Presto/Spark).
* Containerization \&amp; Ops: Deploy, configure, and debug applications on Kubernetes using Helm.
**Ways To Stand Out From The Crowd**
* Familiarity with EDA workflows, semiconductor design lifecycles, or experience managing simulation/emulation logs for hardware engineering teams.
* Ability to navigate complex organizational structures, partnering with hardware architects and engineering leads to translate broad requirements into concrete data infrastructure solutions.
* Experience migrating from legacy search stores (Elasticsearch/OpenSearch) to Cold Storage (S3/Iceberg).
* Experience with high\-performance log routing frameworks like Vector.
* Background in identifying cost drivers in petabyte\-scale environments and implementing storage cost optimization initiatives.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17,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JR2013258</t>
        </is>
      </c>
    </row>
    <row r="132">
      <c r="A132" t="inlineStr">
        <is>
          <t>li-4372966897</t>
        </is>
      </c>
      <c r="B132" t="inlineStr">
        <is>
          <t>GCP Data Engineer Lead</t>
        </is>
      </c>
      <c r="C132" t="inlineStr">
        <is>
          <t>Capgemini</t>
        </is>
      </c>
      <c r="D132" t="inlineStr">
        <is>
          <t>linkedin</t>
        </is>
      </c>
      <c r="E132">
        <f>HYPERLINK("https://www.linkedin.com/jobs/view/4372966897", "https://www.linkedin.com/jobs/view/4372966897")</f>
        <v/>
      </c>
      <c r="F132" t="inlineStr"/>
      <c r="G132" t="inlineStr">
        <is>
          <t>New York, NY</t>
        </is>
      </c>
      <c r="H132" t="inlineStr"/>
      <c r="I13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A GCP Data Engineer Lead is responsible for designing, developing, and implementing scalable, secure, and cost\-optimized cloud solutions on Google Cloud Platform (GCP). They work closely with business stakeholders to translate requirements into technical architectures, lead cloud migrations, and ensure alignment with best practices in security, performance, and governance.
 The architect evaluates existing systems, recommends cloud\-based improvements, and provides technical leadership across teams, ensuring cloud solutions support organizational goals and operate reliably in production environments. They function as a strategic and technical expert, guiding cloud adoption, overseeing architecture decisions, and ensuring that deployments follow industry standards and enterprise policies.
 Key Responsibilities
 Design scalable, secure, and high\-performance architectures using core GCP services such as Compute Engine, GKE, Cloud Storage, BigQuery, and App Engine.
 Lead cloud migration initiatives, including planning, workload assessment, and data/application migration strategies with minimal disruption.
 Implement cloud security and compliance controls, including IAM, encryption, logging, and adherence to regulatory frameworks. Optimize cloud workloads for cost, performance, and availability through monitoring, tuning, and architectural refinements.
 Collaborate with engineering, DevOps, security, and business teams to ensure architectural alignment and successful project delivery.
 Evaluate existing on\-prem and cloud systems and recommend improvements or modernizations aligned with GCP best practices.
 Provide technical leadership and mentoring, supporting engineering teams on architectural decisions and cloud adoption patterns.
 Create documentation covering architectures, patterns, deployment processes, and operational guidelines.
**Required Key Skills**
 Deep expertise with core GCP services, including Compute Engine, GKE, Cloud Storage, BigQuery, and networking/security services.
 Strong cloud architecture skills, including designing highly available, fault\-tolerant, and secure systems.
 Experience with cloud migration methodologies, hybrid cloud patterns, and workload modernization.
 Proficiency in DevOps practices, CI/CD, automation, and infrastructure\-as\-code tools such as Terraform or Deployment Manager.
 Knowledge of containers and orchestration, including Kubernetes, Anthos, and Docker. \[youtube.com]
 Strong security and compliance understanding, including IAM design, encryption strategies, and regulatory frameworks (e.g., GDPR, HIPAA).
 Excellent communication and stakeholder management skills, with the ability to translate business needs into architectural solutions.
**Commensurate Experience Requirements**
 7\+ years of experience implementing technology solutions, including cloud architecture design and evaluation.
 3\+ years hands\-on experience in application architecture, focusing on scalable and reliable cloud\-native systems.
 2\+ years working directly with Google Cloud Platform in production environments.
 Experience managing clients or projects in cloud modernization or cloud\-first initiatives.
**Preferred Certifications**
 Google Professional Cloud Architect
 Google Professional Data Engineer'
 The base compensation range for this role in the posted location is:$150,000\- $170,000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33">
      <c r="A133" t="inlineStr">
        <is>
          <t>li-4364455893</t>
        </is>
      </c>
      <c r="B133" t="inlineStr">
        <is>
          <t>Sr. Data Engineer</t>
        </is>
      </c>
      <c r="C133" t="inlineStr">
        <is>
          <t>Jobs via Dice</t>
        </is>
      </c>
      <c r="D133" t="inlineStr">
        <is>
          <t>linkedin</t>
        </is>
      </c>
      <c r="E133">
        <f>HYPERLINK("https://www.linkedin.com/jobs/view/4364455893", "https://www.linkedin.com/jobs/view/4364455893")</f>
        <v/>
      </c>
      <c r="F133" t="inlineStr"/>
      <c r="G133" t="inlineStr"/>
      <c r="H133" t="inlineStr"/>
      <c r="I133" t="inlineStr">
        <is>
          <t>Dice is the leading career destination for tech experts at every stage of their careers. Our client, Miracle Software Systems, Inc., is seeking the following. Apply via Dice today!
 Miracle Software Systems is currently in search of a skilled "
 **Sr. Data Engineer** 
 " possessing extensive expertise in
 **Azure Data Factory, Azure Databricks, Azure Datalake storage, and Azure Native Services** 
 . This exciting career opportunity is a REMOTE position.
**Requirement Details :**
**Title:** 
 Sr. Data Engineer
**Duration:** 
 Long Term
**Location:** 
 Arizona,U SA (Remote)
**Skills Required:** 
 Azure Data Factory, Azure Databricks, Azure Datalake storage, Azure Native Services
**Description:**
* Good to know the Spanish language.
* Knowledge required on Data Storage, Data structures, Data Processing, Data Security.
* Strong in programming languages like Python, Java, or Scala, Hadoop (Mandatory).
* Knowledge required and hands\-on implementation \|\| Lakehouse architecture.
* Must have knowledge and hands\-on implementation \|\| Lakehouse on Microsoft fabric.
* Design, develop, and implement end\-to\-end data pipelines using Azure Data Factory for efficient data extraction, transformation, and loading (ETL).
* Knowledge required and must have work on experience with SAP ecosystem, ECC, BW.
* Develop and maintain Azure data pipelines with SAP as a data source and the data lake as target location for the pipeline.
* Ensure data pipelines are scalable, reliable, and meet business requirements.
* Leverage Azure Databricks for big data processing and analytics, optimizing performance and efficiency.
* Collaborate with data scientists and analysts to implement and enhance data processing workflows on the Azure Databricks platform.
* Strong understanding of parallel processing and data architecture patterns, proficient in using the following to create data processing solutions:
 Azure Data Factory
 Azure Synapse Analytics
 Azure Data Lake Storage
 Azure Databricks
 Microsoft Fabric?
* Develop and maintain databases on Azure SQL Database, ensuring optimal performance and data integrity.
* ?Write complex SQL queries and optimize database performance for various data retrieval needs.
* ?Implement data integration solutions to consolidate data from diverse sources into a unified format.
* Transform and cleanse data as needed to meet quality and consistency standards.
* Monitor data pipelines, Azure Databricks clusters, and SQL databases for performance issues and optimize as necessary.
* ?Collaborate with the infrastructure team to ensure the overall health and scalability of the data platform.
* Experience in distributed systems, data pipelines, Apache Hadoop, and Apache Spark.
* Strong background in Amazon Web Services/Redshift (for data warehousing), Azure, HDFS and Amazon S3, Database systems (SQL and NoSQL), Data warehousing solutions, ETL Tools, Machine learning.
* Ability to tackle complex problems, learn quickly and independently, and proactively recommend solutions to improve efficiency or effectiveness.
* Adhere to Agile principles and philosophies (Scrum or Kanban, as applicable) in fulfillment of the role.
* Collaborate within the direct team in accordance with Team Agreement, Definition of Ready, and Definition of Done.
* Work as a cross\-functional team member in an Agile setting to help complete and deliver the team commitments.
* Good to have Azure data engineer certification \|\| DP\-203
* Good to have Microsoft Fabric Certification \|\| DP \- 600
 How to Apply: Interested candidates are invited to submit their resumes. Please include a cover letter highlighting relevant experience and skills. Please mention "Sr Data Engineer" Position \- \[Your Name]" in the subject line.</t>
        </is>
      </c>
    </row>
    <row r="134">
      <c r="A134" t="inlineStr">
        <is>
          <t>li-4364532479</t>
        </is>
      </c>
      <c r="B134" t="inlineStr">
        <is>
          <t>Mid-Level or Senior Product Security Log Analytics Engineer</t>
        </is>
      </c>
      <c r="C134" t="inlineStr">
        <is>
          <t>Jobs via Dice</t>
        </is>
      </c>
      <c r="D134" t="inlineStr">
        <is>
          <t>linkedin</t>
        </is>
      </c>
      <c r="E134">
        <f>HYPERLINK("https://www.linkedin.com/jobs/view/4364532479", "https://www.linkedin.com/jobs/view/4364532479")</f>
        <v/>
      </c>
      <c r="F134" t="inlineStr"/>
      <c r="G134" t="inlineStr">
        <is>
          <t>Seattle, WA</t>
        </is>
      </c>
      <c r="H134" t="inlineStr"/>
      <c r="I134" t="inlineStr">
        <is>
          <t>**Company:**
 The Boeing Company
 Boeing Commercial Airplanes (BCA) is seeking a
 **Mid\-Level (Level 3\)** 
 or
 **Senior (Level 4\) Product Security Log Analytics** 
**Engineer** 
 to join our Cybersecurity Innovation team onsite in
 **Seattle, WA** 
 or
 **Everett, WA.** 
 This position is the primary focal leading the team responsible for ensuring security, safety, and resiliency of all digitally\-connected, in\-service BCA airplanes with the development and support of detection capabilities, methods, and tools. As such, this position offers a great career opportunity for someone with log analytics experience wanting to grow their leadership skills and enter the exciting and growing area of cybersecurity log analytics.
**Primary responsibilities:**
* Assesses risks, threats, and vulnerabilities of the product assets and production systems in accordance with accepted industry, professional, and government standards to ensure security design integrity, availability, confidentiality, and regulatory compliance
* Develops and coordinates system security requirements in alignment with continued airworthiness strategies
* Provides technical data and develops documentation in accordance with requirements and system security engineering processes and procedures for internal reference and external delivery
* Coordinates with security testers to validate coverage and impacts to analysis
* Coordinates with external customers and internal stakeholders on detection capabilities in alignment with continued airworthiness strategies
* Leads and participates in the development of effective and/or innovative technical solutions with an awareness of consequences of judgements individually and through teams
* Supports the development, implementation, and communication of the sustainment program to ensure continued product security, safety, and resiliency of digitally\-connected, in\-service airplane models
* Ensures configuration management and security of facilities, equipment, tools, data, networks, and resources used to ensure continued product security and resiliency of in\-service models
**Basic Qualifications (Required Skills and Experience):**
* Level 3: 6\+ years of related work experience or an equivalent combination of education and experience.
* Level 4: 10\+ years of related work experience or an equivalent combination of education and experience.
* Bachelor of Science degree in Engineering, Engineering Technology (including Manufacturing Technology), Computer Science, Data Science, Mathematics, Physics, Chemistry or non\-US equivalent qualifications directly related to the work statement
* 5\+ years of experience in systems engineering, systems integration, software engineering, electrical engineering, certification, network security and/or cybersecurity
**Preferred Qualifications (Desired Skills and Experience):**
* Working knowledge in systems, engineering, systems integration, airplane systems, and/or airplane certification
* Experience in cybersecurity, security network architecture, embedded systems security, security testing and evaluation, network design, cyber physical systems or PKI infrastructure.
* Experience planning and executing penetration tests in one of more of the following domains:
+ Windows and Linux Operating Systems and IP\-based networks
+ Web applications
+ Avionics, embedded systems, non\-standard ethernet protocols (ARINC, etc.)
+ Hardware
* Proficiency in detection engineering and data correlation techniques
* Experience coordinating and presenting technical content to a diverse audience
* Experience in scripting languages (ex. Python) and/or query languages (ex. SQL)
* Familiarity with system administration techniques to manage log collection agents and infrastructure
* Possess one or more security certifications, including but not limited to: CISSP; Security\+; CEH; CCNA; UNIX/LINUX System Administration; GIAC GPEN, GWAPT, or GXPN; Offensive Security Certified Engineer (OSCE); Offensive Security Certified Professional (OSCP)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
* Experienced (Level 3\): $131,750 \- $178,250
* Senior (Level 4\): $164,050 \- $221,950
**Language Requirements:**
 Not Applicable
**Education:**
 Bachelor's Degree or Equivalent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does not require a Security Clearance.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2026-02-14T05:16:46Z</dcterms:created>
  <dcterms:modified xsi:type="dcterms:W3CDTF">2026-02-14T05:16:46Z</dcterms:modified>
</cp:coreProperties>
</file>