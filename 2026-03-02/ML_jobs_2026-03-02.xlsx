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in-1d989c83ea8bed7b</t>
        </is>
      </c>
      <c r="B2" t="inlineStr">
        <is>
          <t>Sr. Applied Scientist, Amazon Ads</t>
        </is>
      </c>
      <c r="C2" t="inlineStr">
        <is>
          <t>Amazon.com</t>
        </is>
      </c>
      <c r="D2" t="inlineStr">
        <is>
          <t>indeed</t>
        </is>
      </c>
      <c r="E2" t="inlineStr"/>
      <c r="F2" t="inlineStr"/>
      <c r="G2" t="inlineStr">
        <is>
          <t>New York,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in-d3ddf8ca70a15f7b</t>
        </is>
      </c>
      <c r="B3" t="inlineStr">
        <is>
          <t>Sr. Applied Scientist, Amazon Ads</t>
        </is>
      </c>
      <c r="C3" t="inlineStr">
        <is>
          <t>Amazon.com</t>
        </is>
      </c>
      <c r="D3" t="inlineStr">
        <is>
          <t>indeed</t>
        </is>
      </c>
      <c r="E3" t="inlineStr"/>
      <c r="F3" t="inlineStr"/>
      <c r="G3" t="inlineStr">
        <is>
          <t>Seattle, WA,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in-45c0d020352a78f4</t>
        </is>
      </c>
      <c r="B4" t="inlineStr">
        <is>
          <t>Sr. Applied Scientist, Amazon Ads</t>
        </is>
      </c>
      <c r="C4" t="inlineStr">
        <is>
          <t>Amazon.com</t>
        </is>
      </c>
      <c r="D4" t="inlineStr">
        <is>
          <t>indeed</t>
        </is>
      </c>
      <c r="E4" t="inlineStr"/>
      <c r="F4" t="inlineStr"/>
      <c r="G4" t="inlineStr">
        <is>
          <t>Santa Monica, CA,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in-691b2da9910f81a6</t>
        </is>
      </c>
      <c r="B5" t="inlineStr">
        <is>
          <t>Sr. Applied Scientist, Amazon Ads</t>
        </is>
      </c>
      <c r="C5" t="inlineStr">
        <is>
          <t>Amazon.com</t>
        </is>
      </c>
      <c r="D5" t="inlineStr">
        <is>
          <t>indeed</t>
        </is>
      </c>
      <c r="E5" t="inlineStr"/>
      <c r="F5" t="inlineStr"/>
      <c r="G5" t="inlineStr">
        <is>
          <t>Brooklyn, NY,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in-f1cdf0ce0116ef0b</t>
        </is>
      </c>
      <c r="B6" t="inlineStr">
        <is>
          <t>Sr. Applied Scientist, Amazon Ads</t>
        </is>
      </c>
      <c r="C6" t="inlineStr">
        <is>
          <t>Amazon.com</t>
        </is>
      </c>
      <c r="D6" t="inlineStr">
        <is>
          <t>indeed</t>
        </is>
      </c>
      <c r="E6" t="inlineStr"/>
      <c r="F6" t="inlineStr"/>
      <c r="G6" t="inlineStr">
        <is>
          <t>Palo Alto, CA,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in-4ea4f1f73606c225</t>
        </is>
      </c>
      <c r="B7" t="inlineStr">
        <is>
          <t>Sr. Applied Scientist, Amazon Ads</t>
        </is>
      </c>
      <c r="C7" t="inlineStr">
        <is>
          <t>Amazon.com</t>
        </is>
      </c>
      <c r="D7" t="inlineStr">
        <is>
          <t>indeed</t>
        </is>
      </c>
      <c r="E7" t="inlineStr"/>
      <c r="F7" t="inlineStr"/>
      <c r="G7" t="inlineStr">
        <is>
          <t>Boston, MA,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in-b6739fc8a93cf919</t>
        </is>
      </c>
      <c r="B8" t="inlineStr">
        <is>
          <t>Sr. Applied Scientist, Amazon Ads</t>
        </is>
      </c>
      <c r="C8" t="inlineStr">
        <is>
          <t>Amazon.com</t>
        </is>
      </c>
      <c r="D8" t="inlineStr">
        <is>
          <t>indeed</t>
        </is>
      </c>
      <c r="E8" t="inlineStr"/>
      <c r="F8" t="inlineStr"/>
      <c r="G8" t="inlineStr">
        <is>
          <t>Boulder, CO,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in-2b8e63069540952c</t>
        </is>
      </c>
      <c r="B9" t="inlineStr">
        <is>
          <t>Sr. Applied Scientist, Amazon Ads</t>
        </is>
      </c>
      <c r="C9" t="inlineStr">
        <is>
          <t>Amazon.com</t>
        </is>
      </c>
      <c r="D9" t="inlineStr">
        <is>
          <t>indeed</t>
        </is>
      </c>
      <c r="E9" t="inlineStr"/>
      <c r="F9" t="inlineStr"/>
      <c r="G9" t="inlineStr">
        <is>
          <t>Corvallis, OR,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in-07d76b28a5999c3d</t>
        </is>
      </c>
      <c r="B10" t="inlineStr">
        <is>
          <t>Sr. Applied Scientist, Amazon Ads</t>
        </is>
      </c>
      <c r="C10" t="inlineStr">
        <is>
          <t>Amazon.com</t>
        </is>
      </c>
      <c r="D10" t="inlineStr">
        <is>
          <t>indeed</t>
        </is>
      </c>
      <c r="E10" t="inlineStr"/>
      <c r="F10" t="inlineStr"/>
      <c r="G10" t="inlineStr">
        <is>
          <t>Sunnyvale,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in-1f95de8e7994f72a</t>
        </is>
      </c>
      <c r="B11" t="inlineStr">
        <is>
          <t>Sr. Applied Scientist, Amazon Ads</t>
        </is>
      </c>
      <c r="C11" t="inlineStr">
        <is>
          <t>Amazon.com</t>
        </is>
      </c>
      <c r="D11" t="inlineStr">
        <is>
          <t>indeed</t>
        </is>
      </c>
      <c r="E11" t="inlineStr"/>
      <c r="F11" t="inlineStr"/>
      <c r="G11" t="inlineStr">
        <is>
          <t>Tukwila, WA,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in-31c8d362958311ea</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1"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in-7ba7ae5f289ee761</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in-9623a5e9f201ef7d</t>
        </is>
      </c>
      <c r="B14" t="inlineStr">
        <is>
          <t>Applied Scientist II, Prime Video - Personalization and Discovery Science, Personalization and Discovery Science</t>
        </is>
      </c>
      <c r="C14" t="inlineStr">
        <is>
          <t>Amazon.com</t>
        </is>
      </c>
      <c r="D14" t="inlineStr">
        <is>
          <t>indeed</t>
        </is>
      </c>
      <c r="E14" t="inlineStr"/>
      <c r="F14" t="inlineStr"/>
      <c r="G14" t="inlineStr">
        <is>
          <t>Sunnyvale, CA,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in-43d4dbf9d4cdc471</t>
        </is>
      </c>
      <c r="B15" t="inlineStr">
        <is>
          <t>Sr. Applied Scientist, Prime Video - Personalization and Discovery Science</t>
        </is>
      </c>
      <c r="C15" t="inlineStr">
        <is>
          <t>Amazon.com</t>
        </is>
      </c>
      <c r="D15" t="inlineStr">
        <is>
          <t>indeed</t>
        </is>
      </c>
      <c r="E15" t="inlineStr"/>
      <c r="F15" t="inlineStr"/>
      <c r="G15" t="inlineStr">
        <is>
          <t>New York, NY, US</t>
        </is>
      </c>
      <c r="H15" s="1"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in-5ed91f5b24dbfde8</t>
        </is>
      </c>
      <c r="B16" t="inlineStr">
        <is>
          <t>Sr. Applied Scientist, Prime Video - Personalization and Discovery Science</t>
        </is>
      </c>
      <c r="C16" t="inlineStr">
        <is>
          <t>Amazon.com</t>
        </is>
      </c>
      <c r="D16" t="inlineStr">
        <is>
          <t>indeed</t>
        </is>
      </c>
      <c r="E16" t="inlineStr"/>
      <c r="F16" t="inlineStr"/>
      <c r="G16" t="inlineStr">
        <is>
          <t>Seattle, WA,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in-6f64b40ca4e7cee9</t>
        </is>
      </c>
      <c r="B17" t="inlineStr">
        <is>
          <t>Applied Scientist II, Prime Video - Personalization and Discovery Science</t>
        </is>
      </c>
      <c r="C17" t="inlineStr">
        <is>
          <t>Amazon.com</t>
        </is>
      </c>
      <c r="D17" t="inlineStr">
        <is>
          <t>indeed</t>
        </is>
      </c>
      <c r="E17" t="inlineStr"/>
      <c r="F17" t="inlineStr"/>
      <c r="G17" t="inlineStr">
        <is>
          <t>Seattle, WA,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in-818c2bd3b064b0ea</t>
        </is>
      </c>
      <c r="B18" t="inlineStr">
        <is>
          <t>Applied Scientist II, Prime Video - Personalization and Discovery Science</t>
        </is>
      </c>
      <c r="C18" t="inlineStr">
        <is>
          <t>Amazon.com</t>
        </is>
      </c>
      <c r="D18" t="inlineStr">
        <is>
          <t>indeed</t>
        </is>
      </c>
      <c r="E18" t="inlineStr"/>
      <c r="F18" t="inlineStr"/>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in-db2e36b3ff71c09c</t>
        </is>
      </c>
      <c r="B19" t="inlineStr">
        <is>
          <t>Applied Scientist II, Prime Video - Personalization and Discovery Science</t>
        </is>
      </c>
      <c r="C19" t="inlineStr">
        <is>
          <t>Amazon.com</t>
        </is>
      </c>
      <c r="D19" t="inlineStr">
        <is>
          <t>indeed</t>
        </is>
      </c>
      <c r="E19" t="inlineStr"/>
      <c r="F19" t="inlineStr"/>
      <c r="G19" t="inlineStr">
        <is>
          <t>Sunnyvale, CA,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in-e31616afc6795c5e</t>
        </is>
      </c>
      <c r="B20" t="inlineStr">
        <is>
          <t>Sr. Applied Scientist,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in-2ba354e5636bf07d</t>
        </is>
      </c>
      <c r="B21" t="inlineStr">
        <is>
          <t>LLM Machine Learning Engineer</t>
        </is>
      </c>
      <c r="C21" t="inlineStr">
        <is>
          <t>Apple</t>
        </is>
      </c>
      <c r="D21" t="inlineStr">
        <is>
          <t>indeed</t>
        </is>
      </c>
      <c r="E21" t="inlineStr"/>
      <c r="F21" t="inlineStr"/>
      <c r="G21" t="inlineStr">
        <is>
          <t>Cupertino, CA, US</t>
        </is>
      </c>
      <c r="H21" s="1" t="n">
        <v>46082</v>
      </c>
      <c r="I21" t="inlineStr">
        <is>
          <t>Imagine what you could do here. At Apple, we believe new insights have a way of becoming excellent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It takes deeply dedicated, intelligent individuals to maintain and exceed the high expectations at Apple. The Product Operations team is looking for an extraordinary engineer to join our team. You will help design and implement our machine learning strategy to the substantial supply chain and help build the future of our manufacturing systems and smarter factories. We will be collaborating and working with multi\-functional teams and applying algorithms to large\-scale data.  
**Description**  
Product Operations partners with a variety of different engineering and operations teams, our team leads development of machine learning solutions. We deliver projects from end\-to\-end: problem statement and conceptualization, proof\-of\-concept, and participation in final deployment!  
You will also perform ad\-hoc statistical analyses. You will also work closely with data engineers to generate detailed business intelligence solutions. You will be expected to conduct presentations of analyses to a wide range of audiences including executives.  
**Preferred Qualifications**  
Proven experience in LLM and LMM development, fine\-tuning, and application building. Experience with agents and agentic workflows is a major plus.  
Experience with modern LLM serving and inference frameworks, including vLLM for efficient model inference and serving.  
Hands\-on experience with LangChain and LlamaIndex, enabling RAG applications and LLM orchestration.  
Strong software development skills with proficiency in Python. Experienced user of ML and data science libraries such as PyTorch, TensorFlow, Hugging Face Transformers, and scikit\-learn.  
Familiarity with distributed computing, cloud infrastructure, and orchestration tools, such as Kubernetes, Apache Airflow (DAG), Docker, Conductor, Ray for LLM training and inference at scale is a plus.  
Deep understanding of transformer\-based architectures (e.g., BERT, GPT, LLaMA) and their optimization for low\-latency inference.  
Ability to meaningfully present results of analyses in a clear and impactful manner, breaking down complex ML/LLM concepts for non\-technical audiences.  
Experience applying ML techniques in manufacturing, testing, or hardware optimization is a major plus.  
Proven experience in leading and mentoring teams is a plus.  
**Minimum Qualifications**  
3\+ years of experience in machine learning algorithms, statistics, and data mining models, with an emphasis on large language models (LLM) or large multimodal models (LMM).  
Master’s degree in Machine Learning, Artificial Intelligence, Computer Science, Statistics, Operations Research, Physics, Mechanical Engineering, Electrical Engineering,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2">
      <c r="A22" t="inlineStr">
        <is>
          <t>in-26ed5cc26d16989d</t>
        </is>
      </c>
      <c r="B22" t="inlineStr">
        <is>
          <t>Principal Applied Scientist, AWS Marketplace &amp; Partner Services</t>
        </is>
      </c>
      <c r="C22" t="inlineStr">
        <is>
          <t>Amazon Web Services</t>
        </is>
      </c>
      <c r="D22" t="inlineStr">
        <is>
          <t>indeed</t>
        </is>
      </c>
      <c r="E22" t="inlineStr"/>
      <c r="F22" t="inlineStr"/>
      <c r="G22" t="inlineStr">
        <is>
          <t>New York, NY, US</t>
        </is>
      </c>
      <c r="H22" s="1" t="n">
        <v>46056</v>
      </c>
      <c r="I2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3">
      <c r="A23" t="inlineStr">
        <is>
          <t>in-8c5c95acd20cddf2</t>
        </is>
      </c>
      <c r="B23" t="inlineStr">
        <is>
          <t>Principal Applied Scientist, AWS Marketplace &amp; Partner Services</t>
        </is>
      </c>
      <c r="C23" t="inlineStr">
        <is>
          <t>Amazon Web Services</t>
        </is>
      </c>
      <c r="D23" t="inlineStr">
        <is>
          <t>indeed</t>
        </is>
      </c>
      <c r="E23" t="inlineStr"/>
      <c r="F23" t="inlineStr"/>
      <c r="G23" t="inlineStr">
        <is>
          <t>San Diego, CA, US</t>
        </is>
      </c>
      <c r="H23" s="1" t="n">
        <v>46056</v>
      </c>
      <c r="I2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4">
      <c r="A24" t="inlineStr">
        <is>
          <t>in-c37bb3a3c52b8624</t>
        </is>
      </c>
      <c r="B24" t="inlineStr">
        <is>
          <t>Principal Applied Scientist, AWS Marketplace &amp; Partner Services</t>
        </is>
      </c>
      <c r="C24" t="inlineStr">
        <is>
          <t>Amazon Web Services</t>
        </is>
      </c>
      <c r="D24" t="inlineStr">
        <is>
          <t>indeed</t>
        </is>
      </c>
      <c r="E24" t="inlineStr"/>
      <c r="F24" t="inlineStr"/>
      <c r="G24" t="inlineStr">
        <is>
          <t>Seattle, WA, US</t>
        </is>
      </c>
      <c r="H24" s="1" t="n">
        <v>46056</v>
      </c>
      <c r="I2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5">
      <c r="A25" t="inlineStr">
        <is>
          <t>in-a6d1fb7ce2f406bc</t>
        </is>
      </c>
      <c r="B25" t="inlineStr">
        <is>
          <t>Principal Applied Scientist, AWS Marketplace &amp; Partner Services</t>
        </is>
      </c>
      <c r="C25" t="inlineStr">
        <is>
          <t>Amazon Web Services</t>
        </is>
      </c>
      <c r="D25" t="inlineStr">
        <is>
          <t>indeed</t>
        </is>
      </c>
      <c r="E25" t="inlineStr"/>
      <c r="F25" t="inlineStr"/>
      <c r="G25" t="inlineStr">
        <is>
          <t>Austin, TX, US</t>
        </is>
      </c>
      <c r="H25" s="1" t="n">
        <v>46056</v>
      </c>
      <c r="I2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26">
      <c r="A26" t="inlineStr">
        <is>
          <t>in-6ff80acacd311fec</t>
        </is>
      </c>
      <c r="B26" t="inlineStr">
        <is>
          <t>Sr. Applied Scientist, AWS Healthcare-AI</t>
        </is>
      </c>
      <c r="C26" t="inlineStr">
        <is>
          <t>Amazon.com</t>
        </is>
      </c>
      <c r="D26" t="inlineStr">
        <is>
          <t>indeed</t>
        </is>
      </c>
      <c r="E26" t="inlineStr"/>
      <c r="F26" t="inlineStr"/>
      <c r="G26" t="inlineStr">
        <is>
          <t>Seattle, WA, US</t>
        </is>
      </c>
      <c r="H26" s="1" t="n">
        <v>46055</v>
      </c>
      <c r="I26"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27">
      <c r="A27" t="inlineStr">
        <is>
          <t>in-3fadd62e4c8a4311</t>
        </is>
      </c>
      <c r="B27" t="inlineStr">
        <is>
          <t>Sr. Applied Scientist, AWS Healthcare-AI</t>
        </is>
      </c>
      <c r="C27" t="inlineStr">
        <is>
          <t>Amazon.com</t>
        </is>
      </c>
      <c r="D27" t="inlineStr">
        <is>
          <t>indeed</t>
        </is>
      </c>
      <c r="E27" t="inlineStr"/>
      <c r="F27" t="inlineStr"/>
      <c r="G27" t="inlineStr">
        <is>
          <t>Mountain View, CA, US</t>
        </is>
      </c>
      <c r="H27" s="1" t="n">
        <v>46055</v>
      </c>
      <c r="I27"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28">
      <c r="A28" t="inlineStr">
        <is>
          <t>in-b007ba9d8924248d</t>
        </is>
      </c>
      <c r="B28" t="inlineStr">
        <is>
          <t>Applied Scientist (Contract), Artificial General Intelligence</t>
        </is>
      </c>
      <c r="C28" t="inlineStr">
        <is>
          <t>Amazon.com</t>
        </is>
      </c>
      <c r="D28" t="inlineStr">
        <is>
          <t>indeed</t>
        </is>
      </c>
      <c r="E28" t="inlineStr"/>
      <c r="F28" t="inlineStr"/>
      <c r="G28" t="inlineStr">
        <is>
          <t>Bellevue, WA, US</t>
        </is>
      </c>
      <c r="H28" s="1" t="n">
        <v>46055</v>
      </c>
      <c r="I2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29">
      <c r="A29" t="inlineStr">
        <is>
          <t>in-fc51d5129d39197a</t>
        </is>
      </c>
      <c r="B29" t="inlineStr">
        <is>
          <t>Applied Scientist (Contract), Artificial General Intelligence</t>
        </is>
      </c>
      <c r="C29" t="inlineStr">
        <is>
          <t>Amazon.com</t>
        </is>
      </c>
      <c r="D29" t="inlineStr">
        <is>
          <t>indeed</t>
        </is>
      </c>
      <c r="E29" t="inlineStr"/>
      <c r="F29" t="inlineStr"/>
      <c r="G29" t="inlineStr">
        <is>
          <t>Boston, MA, US</t>
        </is>
      </c>
      <c r="H29" s="1" t="n">
        <v>46055</v>
      </c>
      <c r="I2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0">
      <c r="A30" t="inlineStr">
        <is>
          <t>in-669c95af656b620b</t>
        </is>
      </c>
      <c r="B30" t="inlineStr">
        <is>
          <t>Applied Scientist (Contract), Artificial General Intelligence</t>
        </is>
      </c>
      <c r="C30" t="inlineStr">
        <is>
          <t>Amazon.com</t>
        </is>
      </c>
      <c r="D30" t="inlineStr">
        <is>
          <t>indeed</t>
        </is>
      </c>
      <c r="E30" t="inlineStr"/>
      <c r="F30" t="inlineStr"/>
      <c r="G30" t="inlineStr">
        <is>
          <t>Bellevue, WA, US</t>
        </is>
      </c>
      <c r="H30" s="1" t="n">
        <v>46055</v>
      </c>
      <c r="I3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1">
      <c r="A31" t="inlineStr">
        <is>
          <t>in-b3027dc0dea11285</t>
        </is>
      </c>
      <c r="B31" t="inlineStr">
        <is>
          <t>Applied Scientist (Contract), Artificial General Intelligence</t>
        </is>
      </c>
      <c r="C31" t="inlineStr">
        <is>
          <t>Amazon.com</t>
        </is>
      </c>
      <c r="D31" t="inlineStr">
        <is>
          <t>indeed</t>
        </is>
      </c>
      <c r="E31" t="inlineStr"/>
      <c r="F31" t="inlineStr"/>
      <c r="G31" t="inlineStr">
        <is>
          <t>Boston, MA, US</t>
        </is>
      </c>
      <c r="H31" s="1" t="n">
        <v>46055</v>
      </c>
      <c r="I3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2">
      <c r="A32" t="inlineStr">
        <is>
          <t>in-de3773624c00b426</t>
        </is>
      </c>
      <c r="B32" t="inlineStr">
        <is>
          <t>Applied Scientist (Contract), Artificial General Intelligence</t>
        </is>
      </c>
      <c r="C32" t="inlineStr">
        <is>
          <t>Amazon.com</t>
        </is>
      </c>
      <c r="D32" t="inlineStr">
        <is>
          <t>indeed</t>
        </is>
      </c>
      <c r="E32" t="inlineStr"/>
      <c r="F32" t="inlineStr"/>
      <c r="G32" t="inlineStr">
        <is>
          <t>Bellevue, WA, US</t>
        </is>
      </c>
      <c r="H32" s="1" t="n">
        <v>46055</v>
      </c>
      <c r="I3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3">
      <c r="A33" t="inlineStr">
        <is>
          <t>in-32e589cdb86b9486</t>
        </is>
      </c>
      <c r="B33" t="inlineStr">
        <is>
          <t>Applied Scientist (Contract), Artificial General Intelligence</t>
        </is>
      </c>
      <c r="C33" t="inlineStr">
        <is>
          <t>Amazon.com</t>
        </is>
      </c>
      <c r="D33" t="inlineStr">
        <is>
          <t>indeed</t>
        </is>
      </c>
      <c r="E33" t="inlineStr"/>
      <c r="F33" t="inlineStr"/>
      <c r="G33" t="inlineStr">
        <is>
          <t>Boston, MA, US</t>
        </is>
      </c>
      <c r="H33" s="1" t="n">
        <v>46055</v>
      </c>
      <c r="I3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4">
      <c r="A34" t="inlineStr">
        <is>
          <t>in-511804f23cb04778</t>
        </is>
      </c>
      <c r="B34" t="inlineStr">
        <is>
          <t>Applied Scientist (Contract), Artificial General Intelligence</t>
        </is>
      </c>
      <c r="C34" t="inlineStr">
        <is>
          <t>Amazon.com</t>
        </is>
      </c>
      <c r="D34" t="inlineStr">
        <is>
          <t>indeed</t>
        </is>
      </c>
      <c r="E34" t="inlineStr"/>
      <c r="F34" t="inlineStr"/>
      <c r="G34" t="inlineStr">
        <is>
          <t>Bellevue, WA, US</t>
        </is>
      </c>
      <c r="H34" s="1" t="n">
        <v>46051</v>
      </c>
      <c r="I3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5">
      <c r="A35" t="inlineStr">
        <is>
          <t>in-0232655db24c3d4d</t>
        </is>
      </c>
      <c r="B35" t="inlineStr">
        <is>
          <t>Applied Scientist (Contract), Artificial General Intelligence</t>
        </is>
      </c>
      <c r="C35" t="inlineStr">
        <is>
          <t>Amazon.com</t>
        </is>
      </c>
      <c r="D35" t="inlineStr">
        <is>
          <t>indeed</t>
        </is>
      </c>
      <c r="E35" t="inlineStr"/>
      <c r="F35" t="inlineStr"/>
      <c r="G35" t="inlineStr">
        <is>
          <t>Boston, MA, US</t>
        </is>
      </c>
      <c r="H35" s="1" t="n">
        <v>46051</v>
      </c>
      <c r="I3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36">
      <c r="A36" t="inlineStr">
        <is>
          <t>in-3526360bd6085c19</t>
        </is>
      </c>
      <c r="B36" t="inlineStr">
        <is>
          <t>Sr. Applied Scientist - SLAM, Amazon Industrial Robotics</t>
        </is>
      </c>
      <c r="C36" t="inlineStr">
        <is>
          <t>Amazon.com</t>
        </is>
      </c>
      <c r="D36" t="inlineStr">
        <is>
          <t>indeed</t>
        </is>
      </c>
      <c r="E36" t="inlineStr"/>
      <c r="F36" t="inlineStr"/>
      <c r="G36" t="inlineStr">
        <is>
          <t>Reading, MA, US</t>
        </is>
      </c>
      <c r="H36" s="1" t="n">
        <v>46050</v>
      </c>
      <c r="I3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7">
      <c r="A37" t="inlineStr">
        <is>
          <t>in-eecd841cab804a8d</t>
        </is>
      </c>
      <c r="B37" t="inlineStr">
        <is>
          <t>Sr. Applied Scientist - SLAM, Amazon Industrial Robotics</t>
        </is>
      </c>
      <c r="C37" t="inlineStr">
        <is>
          <t>Amazon.com</t>
        </is>
      </c>
      <c r="D37" t="inlineStr">
        <is>
          <t>indeed</t>
        </is>
      </c>
      <c r="E37" t="inlineStr"/>
      <c r="F37" t="inlineStr"/>
      <c r="G37" t="inlineStr">
        <is>
          <t>Reading, MA, US</t>
        </is>
      </c>
      <c r="H37" s="1" t="n">
        <v>46050</v>
      </c>
      <c r="I3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38">
      <c r="A38" t="inlineStr">
        <is>
          <t>in-252f29315c5d8f0a</t>
        </is>
      </c>
      <c r="B38" t="inlineStr">
        <is>
          <t>Principal Applied Scientist, Sensing, Industrial Robotics Group</t>
        </is>
      </c>
      <c r="C38" t="inlineStr">
        <is>
          <t>Amazon.com</t>
        </is>
      </c>
      <c r="D38" t="inlineStr">
        <is>
          <t>indeed</t>
        </is>
      </c>
      <c r="E38" t="inlineStr"/>
      <c r="F38" t="inlineStr"/>
      <c r="G38" t="inlineStr">
        <is>
          <t>Reading, MA, US</t>
        </is>
      </c>
      <c r="H38" s="1" t="n">
        <v>46050</v>
      </c>
      <c r="I3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39">
      <c r="A39" t="inlineStr">
        <is>
          <t>in-79995a34a66aa4e9</t>
        </is>
      </c>
      <c r="B39" t="inlineStr">
        <is>
          <t>Principal Applied Scientist, Sensing, Industrial Robotics Group</t>
        </is>
      </c>
      <c r="C39" t="inlineStr">
        <is>
          <t>Amazon.com</t>
        </is>
      </c>
      <c r="D39" t="inlineStr">
        <is>
          <t>indeed</t>
        </is>
      </c>
      <c r="E39" t="inlineStr"/>
      <c r="F39" t="inlineStr"/>
      <c r="G39" t="inlineStr">
        <is>
          <t>Reading, MA, US</t>
        </is>
      </c>
      <c r="H39" s="1" t="n">
        <v>46050</v>
      </c>
      <c r="I39"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40">
      <c r="A40" t="inlineStr">
        <is>
          <t>in-0ebd791dd06858d0</t>
        </is>
      </c>
      <c r="B40" t="inlineStr">
        <is>
          <t>Senior Applied Scientist, Amazon Industrial Robotics</t>
        </is>
      </c>
      <c r="C40" t="inlineStr">
        <is>
          <t>Amazon.com</t>
        </is>
      </c>
      <c r="D40" t="inlineStr">
        <is>
          <t>indeed</t>
        </is>
      </c>
      <c r="E40" t="inlineStr"/>
      <c r="F40" t="inlineStr"/>
      <c r="G40" t="inlineStr">
        <is>
          <t>Reading, MA, US</t>
        </is>
      </c>
      <c r="H40" s="1" t="n">
        <v>46048</v>
      </c>
      <c r="I4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1">
      <c r="A41" t="inlineStr">
        <is>
          <t>in-8d70cdd419713376</t>
        </is>
      </c>
      <c r="B41" t="inlineStr">
        <is>
          <t>Senior Applied Scientist, Amazon Industrial Robotics</t>
        </is>
      </c>
      <c r="C41" t="inlineStr">
        <is>
          <t>Amazon.com</t>
        </is>
      </c>
      <c r="D41" t="inlineStr">
        <is>
          <t>indeed</t>
        </is>
      </c>
      <c r="E41" t="inlineStr"/>
      <c r="F41" t="inlineStr"/>
      <c r="G41" t="inlineStr">
        <is>
          <t>Reading, MA, US</t>
        </is>
      </c>
      <c r="H41" s="1" t="n">
        <v>46048</v>
      </c>
      <c r="I4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2">
      <c r="A42" t="inlineStr">
        <is>
          <t>in-ec3dc54970e4b6e0</t>
        </is>
      </c>
      <c r="B42" t="inlineStr">
        <is>
          <t>Applied Scientist, Amazon Connect</t>
        </is>
      </c>
      <c r="C42" t="inlineStr">
        <is>
          <t>Amazon Web Services</t>
        </is>
      </c>
      <c r="D42" t="inlineStr">
        <is>
          <t>indeed</t>
        </is>
      </c>
      <c r="E42" t="inlineStr"/>
      <c r="F42" t="inlineStr"/>
      <c r="G42" t="inlineStr">
        <is>
          <t>New York, NY, US</t>
        </is>
      </c>
      <c r="H42" s="1" t="n">
        <v>46047</v>
      </c>
      <c r="I4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3">
      <c r="A43" t="inlineStr">
        <is>
          <t>in-f343c4792283410f</t>
        </is>
      </c>
      <c r="B43" t="inlineStr">
        <is>
          <t>Applied Scientist, Amazon Connect</t>
        </is>
      </c>
      <c r="C43" t="inlineStr">
        <is>
          <t>Amazon Web Services</t>
        </is>
      </c>
      <c r="D43" t="inlineStr">
        <is>
          <t>indeed</t>
        </is>
      </c>
      <c r="E43" t="inlineStr"/>
      <c r="F43" t="inlineStr"/>
      <c r="G43" t="inlineStr">
        <is>
          <t>Seattle, WA, US</t>
        </is>
      </c>
      <c r="H43" s="1" t="n">
        <v>46047</v>
      </c>
      <c r="I4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4">
      <c r="A44" t="inlineStr">
        <is>
          <t>in-6a7ac3186de46f00</t>
        </is>
      </c>
      <c r="B44" t="inlineStr">
        <is>
          <t>Applied Scientist II, Prime Video Personalization and Discovery Science</t>
        </is>
      </c>
      <c r="C44" t="inlineStr">
        <is>
          <t>Amazon.com</t>
        </is>
      </c>
      <c r="D44" t="inlineStr">
        <is>
          <t>indeed</t>
        </is>
      </c>
      <c r="E44" t="inlineStr"/>
      <c r="F44" t="inlineStr"/>
      <c r="G44" t="inlineStr">
        <is>
          <t>Sunnyvale, CA, US</t>
        </is>
      </c>
      <c r="H44" s="1" t="n">
        <v>46047</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5">
      <c r="A45" t="inlineStr">
        <is>
          <t>in-d699bee5484f7e42</t>
        </is>
      </c>
      <c r="B45" t="inlineStr">
        <is>
          <t>Applied Scientist II, Prime Video Personalization and Discovery Science</t>
        </is>
      </c>
      <c r="C45" t="inlineStr">
        <is>
          <t>Amazon.com</t>
        </is>
      </c>
      <c r="D45" t="inlineStr">
        <is>
          <t>indeed</t>
        </is>
      </c>
      <c r="E45" t="inlineStr"/>
      <c r="F45" t="inlineStr"/>
      <c r="G45" t="inlineStr">
        <is>
          <t>Seattle, WA, US</t>
        </is>
      </c>
      <c r="H45" s="1" t="n">
        <v>46047</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6">
      <c r="A46" t="inlineStr">
        <is>
          <t>in-91b709770b8a9ed2</t>
        </is>
      </c>
      <c r="B46" t="inlineStr">
        <is>
          <t>Applied Scientist II, Prime Video Personalization and Discovery Science</t>
        </is>
      </c>
      <c r="C46" t="inlineStr">
        <is>
          <t>Amazon.com</t>
        </is>
      </c>
      <c r="D46" t="inlineStr">
        <is>
          <t>indeed</t>
        </is>
      </c>
      <c r="E46" t="inlineStr"/>
      <c r="F46" t="inlineStr"/>
      <c r="G46" t="inlineStr">
        <is>
          <t>New York, NY, US</t>
        </is>
      </c>
      <c r="H46" s="1" t="n">
        <v>46047</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47">
      <c r="A47" t="inlineStr">
        <is>
          <t>in-6924ecb8904a4ae6</t>
        </is>
      </c>
      <c r="B47" t="inlineStr">
        <is>
          <t>Applied Scientist, Safety ML</t>
        </is>
      </c>
      <c r="C47" t="inlineStr">
        <is>
          <t>Amazon.com</t>
        </is>
      </c>
      <c r="D47" t="inlineStr">
        <is>
          <t>indeed</t>
        </is>
      </c>
      <c r="E47" t="inlineStr"/>
      <c r="F47" t="inlineStr"/>
      <c r="G47" t="inlineStr">
        <is>
          <t>San Francisco, CA, US</t>
        </is>
      </c>
      <c r="H47" s="1" t="n">
        <v>46037</v>
      </c>
      <c r="I4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8">
      <c r="A48" t="inlineStr">
        <is>
          <t>in-f4b2b71b37a84c0c</t>
        </is>
      </c>
      <c r="B48" t="inlineStr">
        <is>
          <t>Applied Scientist, Safety ML</t>
        </is>
      </c>
      <c r="C48" t="inlineStr">
        <is>
          <t>Amazon.com</t>
        </is>
      </c>
      <c r="D48" t="inlineStr">
        <is>
          <t>indeed</t>
        </is>
      </c>
      <c r="E48" t="inlineStr"/>
      <c r="F48" t="inlineStr"/>
      <c r="G48" t="inlineStr">
        <is>
          <t>Seattle, WA, US</t>
        </is>
      </c>
      <c r="H48" s="1" t="n">
        <v>46037</v>
      </c>
      <c r="I4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49">
      <c r="A49" t="inlineStr">
        <is>
          <t>in-38bce061137045dd</t>
        </is>
      </c>
      <c r="B49" t="inlineStr">
        <is>
          <t>Principal Applied Scientist, Measurement, AdTech and Data Science, Ads Performance Measurement</t>
        </is>
      </c>
      <c r="C49" t="inlineStr">
        <is>
          <t>Amazon.com</t>
        </is>
      </c>
      <c r="D49" t="inlineStr">
        <is>
          <t>indeed</t>
        </is>
      </c>
      <c r="E49" t="inlineStr"/>
      <c r="F49" t="inlineStr"/>
      <c r="G49" t="inlineStr">
        <is>
          <t>Palo Alto, CA, US</t>
        </is>
      </c>
      <c r="H49" s="1" t="n">
        <v>46037</v>
      </c>
      <c r="I49"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0">
      <c r="A50" t="inlineStr">
        <is>
          <t>in-d4f36272cae852aa</t>
        </is>
      </c>
      <c r="B50" t="inlineStr">
        <is>
          <t>Principal Applied Scientist, Measurement, AdTech and Data Science, Ads Performance Measurement</t>
        </is>
      </c>
      <c r="C50" t="inlineStr">
        <is>
          <t>Amazon.com</t>
        </is>
      </c>
      <c r="D50" t="inlineStr">
        <is>
          <t>indeed</t>
        </is>
      </c>
      <c r="E50" t="inlineStr"/>
      <c r="F50" t="inlineStr"/>
      <c r="G50" t="inlineStr">
        <is>
          <t>Seattle, WA, US</t>
        </is>
      </c>
      <c r="H50" s="1" t="n">
        <v>46037</v>
      </c>
      <c r="I50"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1">
      <c r="A51" t="inlineStr">
        <is>
          <t>in-7d894f7881494582</t>
        </is>
      </c>
      <c r="B51" t="inlineStr">
        <is>
          <t>Principal Applied Scientist, Measurement, AdTech and Data Science, Ads Performance Measurement</t>
        </is>
      </c>
      <c r="C51" t="inlineStr">
        <is>
          <t>Amazon.com</t>
        </is>
      </c>
      <c r="D51" t="inlineStr">
        <is>
          <t>indeed</t>
        </is>
      </c>
      <c r="E51" t="inlineStr"/>
      <c r="F51" t="inlineStr"/>
      <c r="G51" t="inlineStr">
        <is>
          <t>New York, NY, US</t>
        </is>
      </c>
      <c r="H51" s="1" t="n">
        <v>46037</v>
      </c>
      <c r="I51"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52">
      <c r="A52" t="inlineStr">
        <is>
          <t>in-3ec4b0e18dcbb3d7</t>
        </is>
      </c>
      <c r="B52" t="inlineStr">
        <is>
          <t>Applied Scientist, LLM Code Agents, Kiro Science</t>
        </is>
      </c>
      <c r="C52" t="inlineStr">
        <is>
          <t>Amazon.com</t>
        </is>
      </c>
      <c r="D52" t="inlineStr">
        <is>
          <t>indeed</t>
        </is>
      </c>
      <c r="E52" t="inlineStr"/>
      <c r="F52" t="inlineStr"/>
      <c r="G52" t="inlineStr">
        <is>
          <t>Seattle, WA, US</t>
        </is>
      </c>
      <c r="H52" s="1" t="n">
        <v>46035</v>
      </c>
      <c r="I5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3">
      <c r="A53" t="inlineStr">
        <is>
          <t>in-5070a1afe7cb224d</t>
        </is>
      </c>
      <c r="B53" t="inlineStr">
        <is>
          <t>Applied Scientist, LLM Code Agents, Kiro Science</t>
        </is>
      </c>
      <c r="C53" t="inlineStr">
        <is>
          <t>Amazon.com</t>
        </is>
      </c>
      <c r="D53" t="inlineStr">
        <is>
          <t>indeed</t>
        </is>
      </c>
      <c r="E53" t="inlineStr"/>
      <c r="F53" t="inlineStr"/>
      <c r="G53" t="inlineStr">
        <is>
          <t>Santa Clara, CA, US</t>
        </is>
      </c>
      <c r="H53" s="1" t="n">
        <v>46035</v>
      </c>
      <c r="I5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54">
      <c r="A54" t="inlineStr">
        <is>
          <t>in-17ac7acce0b06289</t>
        </is>
      </c>
      <c r="B54" t="inlineStr">
        <is>
          <t>Applied Scientist II, Prime Video Personalization and Discovery Science</t>
        </is>
      </c>
      <c r="C54" t="inlineStr">
        <is>
          <t>Amazon.com</t>
        </is>
      </c>
      <c r="D54" t="inlineStr">
        <is>
          <t>indeed</t>
        </is>
      </c>
      <c r="E54" t="inlineStr"/>
      <c r="F54" t="inlineStr"/>
      <c r="G54" t="inlineStr">
        <is>
          <t>Seattle, WA, US</t>
        </is>
      </c>
      <c r="H54" s="1" t="n">
        <v>46034</v>
      </c>
      <c r="I5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5">
      <c r="A55" t="inlineStr">
        <is>
          <t>in-bf1146b0783a9756</t>
        </is>
      </c>
      <c r="B55" t="inlineStr">
        <is>
          <t>Applied Scientist II, Prime Video Personalization and Discovery Science</t>
        </is>
      </c>
      <c r="C55" t="inlineStr">
        <is>
          <t>Amazon.com</t>
        </is>
      </c>
      <c r="D55" t="inlineStr">
        <is>
          <t>indeed</t>
        </is>
      </c>
      <c r="E55" t="inlineStr"/>
      <c r="F55" t="inlineStr"/>
      <c r="G55" t="inlineStr">
        <is>
          <t>Sunnyvale, CA, US</t>
        </is>
      </c>
      <c r="H55" s="1" t="n">
        <v>46034</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6">
      <c r="A56" t="inlineStr">
        <is>
          <t>in-e4bf518a96cd7773</t>
        </is>
      </c>
      <c r="B56" t="inlineStr">
        <is>
          <t>Applied Scientist, Alexa Smart Home</t>
        </is>
      </c>
      <c r="C56" t="inlineStr">
        <is>
          <t>Amazon.com</t>
        </is>
      </c>
      <c r="D56" t="inlineStr">
        <is>
          <t>indeed</t>
        </is>
      </c>
      <c r="E56" t="inlineStr"/>
      <c r="F56" t="inlineStr"/>
      <c r="G56" t="inlineStr">
        <is>
          <t>Seattle, WA, US</t>
        </is>
      </c>
      <c r="H56" s="1" t="n">
        <v>46033</v>
      </c>
      <c r="I5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7">
      <c r="A57" t="inlineStr">
        <is>
          <t>in-9238ab478527772b</t>
        </is>
      </c>
      <c r="B57" t="inlineStr">
        <is>
          <t>Applied Scientist, Alexa Smart Home</t>
        </is>
      </c>
      <c r="C57" t="inlineStr">
        <is>
          <t>Amazon.com</t>
        </is>
      </c>
      <c r="D57" t="inlineStr">
        <is>
          <t>indeed</t>
        </is>
      </c>
      <c r="E57" t="inlineStr"/>
      <c r="F57" t="inlineStr"/>
      <c r="G57" t="inlineStr">
        <is>
          <t>Sunnyvale, CA, US</t>
        </is>
      </c>
      <c r="H57" s="1" t="n">
        <v>46033</v>
      </c>
      <c r="I5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58">
      <c r="A58" t="inlineStr">
        <is>
          <t>in-f364739b754bb349</t>
        </is>
      </c>
      <c r="B58" t="inlineStr">
        <is>
          <t>Applied Scientist, AWS Applied AI Solutions</t>
        </is>
      </c>
      <c r="C58" t="inlineStr">
        <is>
          <t>Amazon Web Services</t>
        </is>
      </c>
      <c r="D58" t="inlineStr">
        <is>
          <t>indeed</t>
        </is>
      </c>
      <c r="E58" t="inlineStr"/>
      <c r="F58" t="inlineStr"/>
      <c r="G58" t="inlineStr">
        <is>
          <t>New York, NY, US</t>
        </is>
      </c>
      <c r="H58" s="1" t="n">
        <v>46030</v>
      </c>
      <c r="I5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9">
      <c r="A59" t="inlineStr">
        <is>
          <t>in-e46f93cf2ea70659</t>
        </is>
      </c>
      <c r="B59" t="inlineStr">
        <is>
          <t>Applied Scientist, AWS Applied AI Solutions</t>
        </is>
      </c>
      <c r="C59" t="inlineStr">
        <is>
          <t>Amazon Web Services</t>
        </is>
      </c>
      <c r="D59" t="inlineStr">
        <is>
          <t>indeed</t>
        </is>
      </c>
      <c r="E59" t="inlineStr"/>
      <c r="F59" t="inlineStr"/>
      <c r="G59" t="inlineStr">
        <is>
          <t>Seattle, WA, US</t>
        </is>
      </c>
      <c r="H59" s="1" t="n">
        <v>46030</v>
      </c>
      <c r="I5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60">
      <c r="A60" t="inlineStr">
        <is>
          <t>in-149f06b3dc99e4f3</t>
        </is>
      </c>
      <c r="B60" t="inlineStr">
        <is>
          <t>Applied Scientist II, Prime Video Personalization and Discovery Science</t>
        </is>
      </c>
      <c r="C60" t="inlineStr">
        <is>
          <t>Amazon.com</t>
        </is>
      </c>
      <c r="D60" t="inlineStr">
        <is>
          <t>indeed</t>
        </is>
      </c>
      <c r="E60" t="inlineStr"/>
      <c r="F60" t="inlineStr"/>
      <c r="G60" t="inlineStr">
        <is>
          <t>Seattle, WA, US</t>
        </is>
      </c>
      <c r="H60" s="1" t="n">
        <v>46028</v>
      </c>
      <c r="I6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1">
      <c r="A61" t="inlineStr">
        <is>
          <t>in-c7b62150f4de5d6f</t>
        </is>
      </c>
      <c r="B61" t="inlineStr">
        <is>
          <t>Applied Scientist II, Prime Video Personalization and Discovery Science</t>
        </is>
      </c>
      <c r="C61" t="inlineStr">
        <is>
          <t>Amazon.com</t>
        </is>
      </c>
      <c r="D61" t="inlineStr">
        <is>
          <t>indeed</t>
        </is>
      </c>
      <c r="E61" t="inlineStr"/>
      <c r="F61" t="inlineStr"/>
      <c r="G61" t="inlineStr">
        <is>
          <t>New York, NY, US</t>
        </is>
      </c>
      <c r="H61" s="1" t="n">
        <v>46028</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2">
      <c r="A62" t="inlineStr">
        <is>
          <t>in-b0ae70c89b1ac6d7</t>
        </is>
      </c>
      <c r="B62" t="inlineStr">
        <is>
          <t>Applied Scientist II, Prime Video Personalization and Discovery Science</t>
        </is>
      </c>
      <c r="C62" t="inlineStr">
        <is>
          <t>Amazon.com</t>
        </is>
      </c>
      <c r="D62" t="inlineStr">
        <is>
          <t>indeed</t>
        </is>
      </c>
      <c r="E62" t="inlineStr"/>
      <c r="F62" t="inlineStr"/>
      <c r="G62" t="inlineStr">
        <is>
          <t>Sunnyvale, CA, US</t>
        </is>
      </c>
      <c r="H62" s="1" t="n">
        <v>46028</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63">
      <c r="A63" t="inlineStr">
        <is>
          <t>in-d867af0004ab5273</t>
        </is>
      </c>
      <c r="B63" t="inlineStr">
        <is>
          <t>Senior Applied Scientist, Distributed SQL</t>
        </is>
      </c>
      <c r="C63" t="inlineStr">
        <is>
          <t>Amazon Web Services</t>
        </is>
      </c>
      <c r="D63" t="inlineStr">
        <is>
          <t>indeed</t>
        </is>
      </c>
      <c r="E63" t="inlineStr"/>
      <c r="F63" t="inlineStr"/>
      <c r="G63" t="inlineStr">
        <is>
          <t>Seattle, WA, US</t>
        </is>
      </c>
      <c r="H63" s="1" t="n">
        <v>46012</v>
      </c>
      <c r="I63"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64">
      <c r="A64" t="inlineStr">
        <is>
          <t>in-66b3d114f709ad3a</t>
        </is>
      </c>
      <c r="B64" t="inlineStr">
        <is>
          <t>Senior Applied Scientist, Distributed SQL</t>
        </is>
      </c>
      <c r="C64" t="inlineStr">
        <is>
          <t>Amazon Web Services</t>
        </is>
      </c>
      <c r="D64" t="inlineStr">
        <is>
          <t>indeed</t>
        </is>
      </c>
      <c r="E64" t="inlineStr"/>
      <c r="F64" t="inlineStr"/>
      <c r="G64" t="inlineStr">
        <is>
          <t>East Palo Alto, CA, US</t>
        </is>
      </c>
      <c r="H64" s="1" t="n">
        <v>46012</v>
      </c>
      <c r="I6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65">
      <c r="A65" t="inlineStr">
        <is>
          <t>in-5b096a2ee395e0a3</t>
        </is>
      </c>
      <c r="B65" t="inlineStr">
        <is>
          <t>Applied Scientist, Delivery Foundation Model</t>
        </is>
      </c>
      <c r="C65" t="inlineStr">
        <is>
          <t>Amazon.com</t>
        </is>
      </c>
      <c r="D65" t="inlineStr">
        <is>
          <t>indeed</t>
        </is>
      </c>
      <c r="E65" t="inlineStr"/>
      <c r="F65" t="inlineStr"/>
      <c r="G65" t="inlineStr">
        <is>
          <t>Santa Clara, CA, US</t>
        </is>
      </c>
      <c r="H65" s="1" t="n">
        <v>46009</v>
      </c>
      <c r="I6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6">
      <c r="A66" t="inlineStr">
        <is>
          <t>in-81cf09c2f8447f01</t>
        </is>
      </c>
      <c r="B66" t="inlineStr">
        <is>
          <t>Applied Scientist, Delivery Foundation Model</t>
        </is>
      </c>
      <c r="C66" t="inlineStr">
        <is>
          <t>Amazon.com</t>
        </is>
      </c>
      <c r="D66" t="inlineStr">
        <is>
          <t>indeed</t>
        </is>
      </c>
      <c r="E66" t="inlineStr"/>
      <c r="F66" t="inlineStr"/>
      <c r="G66" t="inlineStr">
        <is>
          <t>Bellevue, WA, US</t>
        </is>
      </c>
      <c r="H66" s="1" t="n">
        <v>46009</v>
      </c>
      <c r="I6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67">
      <c r="A67" t="inlineStr">
        <is>
          <t>in-333674c44915b314</t>
        </is>
      </c>
      <c r="B67" t="inlineStr">
        <is>
          <t>Principal Applied Scientist, Kiro Science</t>
        </is>
      </c>
      <c r="C67" t="inlineStr">
        <is>
          <t>Amazon Web Services</t>
        </is>
      </c>
      <c r="D67" t="inlineStr">
        <is>
          <t>indeed</t>
        </is>
      </c>
      <c r="E67" t="inlineStr"/>
      <c r="F67" t="inlineStr"/>
      <c r="G67" t="inlineStr">
        <is>
          <t>New York, NY, US</t>
        </is>
      </c>
      <c r="H67" s="1" t="n">
        <v>45999</v>
      </c>
      <c r="I67"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8">
      <c r="A68" t="inlineStr">
        <is>
          <t>in-465995d61cbbf5cd</t>
        </is>
      </c>
      <c r="B68" t="inlineStr">
        <is>
          <t>Principal Applied Scientist, Kiro Science</t>
        </is>
      </c>
      <c r="C68" t="inlineStr">
        <is>
          <t>Amazon Web Services</t>
        </is>
      </c>
      <c r="D68" t="inlineStr">
        <is>
          <t>indeed</t>
        </is>
      </c>
      <c r="E68" t="inlineStr"/>
      <c r="F68" t="inlineStr"/>
      <c r="G68" t="inlineStr">
        <is>
          <t>Santa Clara, CA, US</t>
        </is>
      </c>
      <c r="H68" s="1" t="n">
        <v>45999</v>
      </c>
      <c r="I68"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69">
      <c r="A69" t="inlineStr">
        <is>
          <t>in-d10dd37b539f0b36</t>
        </is>
      </c>
      <c r="B69" t="inlineStr">
        <is>
          <t>Principal Applied Scientist, Sponsored Products and Brands</t>
        </is>
      </c>
      <c r="C69" t="inlineStr">
        <is>
          <t>Amazon.com</t>
        </is>
      </c>
      <c r="D69" t="inlineStr">
        <is>
          <t>indeed</t>
        </is>
      </c>
      <c r="E69" t="inlineStr"/>
      <c r="F69" t="inlineStr"/>
      <c r="G69" t="inlineStr">
        <is>
          <t>New York, NY, US</t>
        </is>
      </c>
      <c r="H69" s="1" t="n">
        <v>45979</v>
      </c>
      <c r="I6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in-6f506d4401d740b8</t>
        </is>
      </c>
      <c r="B70" t="inlineStr">
        <is>
          <t>Principal Applied Scientist, Sponsored Products and Brands</t>
        </is>
      </c>
      <c r="C70" t="inlineStr">
        <is>
          <t>Amazon.com</t>
        </is>
      </c>
      <c r="D70" t="inlineStr">
        <is>
          <t>indeed</t>
        </is>
      </c>
      <c r="E70" t="inlineStr"/>
      <c r="F70" t="inlineStr"/>
      <c r="G70" t="inlineStr">
        <is>
          <t>Seattle, WA, US</t>
        </is>
      </c>
      <c r="H70" s="1" t="n">
        <v>45979</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in-6ef3bef468ea8790</t>
        </is>
      </c>
      <c r="B71" t="inlineStr">
        <is>
          <t>Senior Applied Scientist, Sponsored Products and Brands</t>
        </is>
      </c>
      <c r="C71" t="inlineStr">
        <is>
          <t>Amazon.com</t>
        </is>
      </c>
      <c r="D71" t="inlineStr">
        <is>
          <t>indeed</t>
        </is>
      </c>
      <c r="E71" t="inlineStr"/>
      <c r="F71" t="inlineStr"/>
      <c r="G71" t="inlineStr">
        <is>
          <t>Seattle, WA, US</t>
        </is>
      </c>
      <c r="H71" s="1" t="n">
        <v>45979</v>
      </c>
      <c r="I7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2">
      <c r="A72" t="inlineStr">
        <is>
          <t>in-c810db7c9c1921e4</t>
        </is>
      </c>
      <c r="B72" t="inlineStr">
        <is>
          <t>Senior Applied Scientist, Sponsored Products and Brands</t>
        </is>
      </c>
      <c r="C72" t="inlineStr">
        <is>
          <t>Amazon.com</t>
        </is>
      </c>
      <c r="D72" t="inlineStr">
        <is>
          <t>indeed</t>
        </is>
      </c>
      <c r="E72" t="inlineStr"/>
      <c r="F72" t="inlineStr"/>
      <c r="G72" t="inlineStr">
        <is>
          <t>New York, NY, US</t>
        </is>
      </c>
      <c r="H72" s="1" t="n">
        <v>45979</v>
      </c>
      <c r="I7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73">
      <c r="A73" t="inlineStr">
        <is>
          <t>in-15873d340e2bd97f</t>
        </is>
      </c>
      <c r="B73" t="inlineStr">
        <is>
          <t>Sr. Applied Scientist, Sponsored Products</t>
        </is>
      </c>
      <c r="C73" t="inlineStr">
        <is>
          <t>Amazon.com</t>
        </is>
      </c>
      <c r="D73" t="inlineStr">
        <is>
          <t>indeed</t>
        </is>
      </c>
      <c r="E73" t="inlineStr"/>
      <c r="F73" t="inlineStr"/>
      <c r="G73" t="inlineStr">
        <is>
          <t>New York, NY, US</t>
        </is>
      </c>
      <c r="H73" s="1" t="n">
        <v>45976</v>
      </c>
      <c r="I73"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4">
      <c r="A74" t="inlineStr">
        <is>
          <t>in-da362cc70a708d66</t>
        </is>
      </c>
      <c r="B74" t="inlineStr">
        <is>
          <t>Sr. Applied Scientist, Sponsored Products</t>
        </is>
      </c>
      <c r="C74" t="inlineStr">
        <is>
          <t>Amazon.com</t>
        </is>
      </c>
      <c r="D74" t="inlineStr">
        <is>
          <t>indeed</t>
        </is>
      </c>
      <c r="E74" t="inlineStr"/>
      <c r="F74" t="inlineStr"/>
      <c r="G74" t="inlineStr">
        <is>
          <t>Seattle, WA, US</t>
        </is>
      </c>
      <c r="H74" s="1" t="n">
        <v>45976</v>
      </c>
      <c r="I74"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5">
      <c r="A75" t="inlineStr">
        <is>
          <t>in-79452a79e841f8bc</t>
        </is>
      </c>
      <c r="B75" t="inlineStr">
        <is>
          <t>Sr. Applied Scientist, Sponsored Products</t>
        </is>
      </c>
      <c r="C75" t="inlineStr">
        <is>
          <t>Amazon.com</t>
        </is>
      </c>
      <c r="D75" t="inlineStr">
        <is>
          <t>indeed</t>
        </is>
      </c>
      <c r="E75" t="inlineStr"/>
      <c r="F75" t="inlineStr"/>
      <c r="G75" t="inlineStr">
        <is>
          <t>Arlington, VA, US</t>
        </is>
      </c>
      <c r="H75" s="1" t="n">
        <v>45976</v>
      </c>
      <c r="I7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76">
      <c r="A76" t="inlineStr">
        <is>
          <t>in-69e5e9461218608a</t>
        </is>
      </c>
      <c r="B76" t="inlineStr">
        <is>
          <t>Applied Scientist, AWS Agentic AI</t>
        </is>
      </c>
      <c r="C76" t="inlineStr">
        <is>
          <t>Amazon Web Services</t>
        </is>
      </c>
      <c r="D76" t="inlineStr">
        <is>
          <t>indeed</t>
        </is>
      </c>
      <c r="E76" t="inlineStr"/>
      <c r="F76" t="inlineStr"/>
      <c r="G76" t="inlineStr">
        <is>
          <t>Seattle, WA, US</t>
        </is>
      </c>
      <c r="H76" s="1" t="n">
        <v>45962</v>
      </c>
      <c r="I76"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in-64a560f1acebfb3d</t>
        </is>
      </c>
      <c r="B77" t="inlineStr">
        <is>
          <t>Applied Scientist, AWS Agentic AI</t>
        </is>
      </c>
      <c r="C77" t="inlineStr">
        <is>
          <t>Amazon Web Services</t>
        </is>
      </c>
      <c r="D77" t="inlineStr">
        <is>
          <t>indeed</t>
        </is>
      </c>
      <c r="E77" t="inlineStr"/>
      <c r="F77" t="inlineStr"/>
      <c r="G77" t="inlineStr">
        <is>
          <t>New York, NY, US</t>
        </is>
      </c>
      <c r="H77" s="1" t="n">
        <v>45962</v>
      </c>
      <c r="I77"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in-166702d5c457327b</t>
        </is>
      </c>
      <c r="B78" t="inlineStr">
        <is>
          <t>Applied Scientist, AWS Agentic AI</t>
        </is>
      </c>
      <c r="C78" t="inlineStr">
        <is>
          <t>Amazon Web Services</t>
        </is>
      </c>
      <c r="D78" t="inlineStr">
        <is>
          <t>indeed</t>
        </is>
      </c>
      <c r="E78" t="inlineStr"/>
      <c r="F78" t="inlineStr"/>
      <c r="G78" t="inlineStr">
        <is>
          <t>Santa Clara, CA, US</t>
        </is>
      </c>
      <c r="H78" s="1" t="n">
        <v>45962</v>
      </c>
      <c r="I7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in-59b8572e22c01e86</t>
        </is>
      </c>
      <c r="B79" t="inlineStr">
        <is>
          <t>Applied Scientist, Prime Video - Content Understanding, Localization &amp; Enrichment Team</t>
        </is>
      </c>
      <c r="C79" t="inlineStr">
        <is>
          <t>Amazon.com</t>
        </is>
      </c>
      <c r="D79" t="inlineStr">
        <is>
          <t>indeed</t>
        </is>
      </c>
      <c r="E79" t="inlineStr"/>
      <c r="F79" t="inlineStr"/>
      <c r="G79" t="inlineStr">
        <is>
          <t>San Francisco, CA, US</t>
        </is>
      </c>
      <c r="H79" s="1" t="n">
        <v>45943</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0">
      <c r="A80" t="inlineStr">
        <is>
          <t>in-0c7962154a75f161</t>
        </is>
      </c>
      <c r="B80" t="inlineStr">
        <is>
          <t>Applied Scientist, Prime Video - Content Understanding, Localization &amp; Enrichment Team</t>
        </is>
      </c>
      <c r="C80" t="inlineStr">
        <is>
          <t>Amazon.com</t>
        </is>
      </c>
      <c r="D80" t="inlineStr">
        <is>
          <t>indeed</t>
        </is>
      </c>
      <c r="E80" t="inlineStr"/>
      <c r="F80" t="inlineStr"/>
      <c r="G80" t="inlineStr">
        <is>
          <t>Seattle, WA, US</t>
        </is>
      </c>
      <c r="H80" s="1" t="n">
        <v>45943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1">
      <c r="A81" t="inlineStr">
        <is>
          <t>in-97cca4eaaf31caa8</t>
        </is>
      </c>
      <c r="B81" t="inlineStr">
        <is>
          <t>Principal Applied Scientist, Advertiser Growth, Amazon Sponsored Products &amp; Brands</t>
        </is>
      </c>
      <c r="C81" t="inlineStr">
        <is>
          <t>Amazon.com</t>
        </is>
      </c>
      <c r="D81" t="inlineStr">
        <is>
          <t>indeed</t>
        </is>
      </c>
      <c r="E81" t="inlineStr"/>
      <c r="F81" t="inlineStr"/>
      <c r="G81" t="inlineStr">
        <is>
          <t>New York, NY, US</t>
        </is>
      </c>
      <c r="H81" s="1" t="n">
        <v>45942</v>
      </c>
      <c r="I81"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in-ccda40f654aaff55</t>
        </is>
      </c>
      <c r="B82" t="inlineStr">
        <is>
          <t>Principal Applied Scientist, Advertiser Growth, Amazon Sponsored Products &amp; Brands</t>
        </is>
      </c>
      <c r="C82" t="inlineStr">
        <is>
          <t>Amazon.com</t>
        </is>
      </c>
      <c r="D82" t="inlineStr">
        <is>
          <t>indeed</t>
        </is>
      </c>
      <c r="E82" t="inlineStr"/>
      <c r="F82" t="inlineStr"/>
      <c r="G82" t="inlineStr">
        <is>
          <t>Palo Alto, CA, US</t>
        </is>
      </c>
      <c r="H82" s="1" t="n">
        <v>45942</v>
      </c>
      <c r="I8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in-6cdecc2e4ae0ba3e</t>
        </is>
      </c>
      <c r="B83" t="inlineStr">
        <is>
          <t>Principal Applied Scientist, Advertiser Growth, Amazon Sponsored Products &amp; Brands</t>
        </is>
      </c>
      <c r="C83" t="inlineStr">
        <is>
          <t>Amazon.com</t>
        </is>
      </c>
      <c r="D83" t="inlineStr">
        <is>
          <t>indeed</t>
        </is>
      </c>
      <c r="E83" t="inlineStr"/>
      <c r="F83" t="inlineStr"/>
      <c r="G83" t="inlineStr">
        <is>
          <t>Seattle, WA, US</t>
        </is>
      </c>
      <c r="H83" s="1" t="n">
        <v>45942</v>
      </c>
      <c r="I8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in-a0f9481430b6d053</t>
        </is>
      </c>
      <c r="B84" t="inlineStr">
        <is>
          <t>Applied Scientist, Workplace Health &amp; Safety</t>
        </is>
      </c>
      <c r="C84" t="inlineStr">
        <is>
          <t>Amazon.com</t>
        </is>
      </c>
      <c r="D84" t="inlineStr">
        <is>
          <t>indeed</t>
        </is>
      </c>
      <c r="E84" t="inlineStr"/>
      <c r="F84" t="inlineStr"/>
      <c r="G84" t="inlineStr">
        <is>
          <t>Nashville, TN, US</t>
        </is>
      </c>
      <c r="H84" s="1" t="n">
        <v>45917</v>
      </c>
      <c r="I8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in-c0ee6820468d848b</t>
        </is>
      </c>
      <c r="B85" t="inlineStr">
        <is>
          <t>Applied Scientist, Workplace Health &amp; Safety</t>
        </is>
      </c>
      <c r="C85" t="inlineStr">
        <is>
          <t>Amazon.com</t>
        </is>
      </c>
      <c r="D85" t="inlineStr">
        <is>
          <t>indeed</t>
        </is>
      </c>
      <c r="E85" t="inlineStr"/>
      <c r="F85" t="inlineStr"/>
      <c r="G85" t="inlineStr">
        <is>
          <t>Bellevue, WA, US</t>
        </is>
      </c>
      <c r="H85" s="1" t="n">
        <v>45917</v>
      </c>
      <c r="I85"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in-bcafd26d72c6f278</t>
        </is>
      </c>
      <c r="B86" t="inlineStr">
        <is>
          <t>Sr. Applied Scientist, Prime Video - Personalization and Discovery Science</t>
        </is>
      </c>
      <c r="C86" t="inlineStr">
        <is>
          <t>Amazon.com</t>
        </is>
      </c>
      <c r="D86" t="inlineStr">
        <is>
          <t>indeed</t>
        </is>
      </c>
      <c r="E86" t="inlineStr"/>
      <c r="F86" t="inlineStr"/>
      <c r="G86" t="inlineStr">
        <is>
          <t>Sunnyvale, CA, US</t>
        </is>
      </c>
      <c r="H86" s="1" t="n">
        <v>45896</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7">
      <c r="A87" t="inlineStr">
        <is>
          <t>in-d37ca9c721158a7f</t>
        </is>
      </c>
      <c r="B87" t="inlineStr">
        <is>
          <t>Sr. Applied Scientist, Prime Video - Personalization and Discovery Science</t>
        </is>
      </c>
      <c r="C87" t="inlineStr">
        <is>
          <t>Amazon.com</t>
        </is>
      </c>
      <c r="D87" t="inlineStr">
        <is>
          <t>indeed</t>
        </is>
      </c>
      <c r="E87" t="inlineStr"/>
      <c r="F87" t="inlineStr"/>
      <c r="G87" t="inlineStr">
        <is>
          <t>Seattle, WA, US</t>
        </is>
      </c>
      <c r="H87" s="1" t="n">
        <v>45896</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8">
      <c r="A88" t="inlineStr">
        <is>
          <t>in-3585fa6ec0670ff7</t>
        </is>
      </c>
      <c r="B88" t="inlineStr">
        <is>
          <t>Sr. Applied Scientist, Prime Video - Personalization and Discovery Science</t>
        </is>
      </c>
      <c r="C88" t="inlineStr">
        <is>
          <t>Amazon.com</t>
        </is>
      </c>
      <c r="D88" t="inlineStr">
        <is>
          <t>indeed</t>
        </is>
      </c>
      <c r="E88" t="inlineStr"/>
      <c r="F88" t="inlineStr"/>
      <c r="G88" t="inlineStr">
        <is>
          <t>New York, NY, US</t>
        </is>
      </c>
      <c r="H88" s="1" t="n">
        <v>45896</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89">
      <c r="A89" t="inlineStr">
        <is>
          <t>in-18ab7b40fb5e558c</t>
        </is>
      </c>
      <c r="B89" t="inlineStr">
        <is>
          <t>Sr. Applied Scientist, Amazon Advertising</t>
        </is>
      </c>
      <c r="C89" t="inlineStr">
        <is>
          <t>Amazon.com</t>
        </is>
      </c>
      <c r="D89" t="inlineStr">
        <is>
          <t>indeed</t>
        </is>
      </c>
      <c r="E89" t="inlineStr"/>
      <c r="F89" t="inlineStr"/>
      <c r="G89" t="inlineStr">
        <is>
          <t>Los Angeles, CA, US</t>
        </is>
      </c>
      <c r="H89" s="1"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in-a606f8028c656a84</t>
        </is>
      </c>
      <c r="B90" t="inlineStr">
        <is>
          <t>Sr. Applied Scientist, Amazon Advertising</t>
        </is>
      </c>
      <c r="C90" t="inlineStr">
        <is>
          <t>Amazon.com</t>
        </is>
      </c>
      <c r="D90" t="inlineStr">
        <is>
          <t>indeed</t>
        </is>
      </c>
      <c r="E90" t="inlineStr"/>
      <c r="F90" t="inlineStr"/>
      <c r="G90" t="inlineStr">
        <is>
          <t>Simi Valley, CA, US</t>
        </is>
      </c>
      <c r="H90" s="1"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in-fdcae11ab9facd90</t>
        </is>
      </c>
      <c r="B91" t="inlineStr">
        <is>
          <t>Sr. Applied Scientist, Amazon Advertising</t>
        </is>
      </c>
      <c r="C91" t="inlineStr">
        <is>
          <t>Amazon.com</t>
        </is>
      </c>
      <c r="D91" t="inlineStr">
        <is>
          <t>indeed</t>
        </is>
      </c>
      <c r="E91" t="inlineStr"/>
      <c r="F91" t="inlineStr"/>
      <c r="G91" t="inlineStr">
        <is>
          <t>Palo Alto, CA, US</t>
        </is>
      </c>
      <c r="H91" s="1"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in-4dc4b0e5b5c795af</t>
        </is>
      </c>
      <c r="B92" t="inlineStr">
        <is>
          <t>Sr. Applied Scientist, Amazon Advertising</t>
        </is>
      </c>
      <c r="C92" t="inlineStr">
        <is>
          <t>Amazon.com</t>
        </is>
      </c>
      <c r="D92" t="inlineStr">
        <is>
          <t>indeed</t>
        </is>
      </c>
      <c r="E92" t="inlineStr"/>
      <c r="F92" t="inlineStr"/>
      <c r="G92" t="inlineStr">
        <is>
          <t>Arlington, VA, US</t>
        </is>
      </c>
      <c r="H92" s="1"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in-c398c8a65b573832</t>
        </is>
      </c>
      <c r="B93" t="inlineStr">
        <is>
          <t>Sr. Applied Scientist, Amazon Advertising</t>
        </is>
      </c>
      <c r="C93" t="inlineStr">
        <is>
          <t>Amazon.com</t>
        </is>
      </c>
      <c r="D93" t="inlineStr">
        <is>
          <t>indeed</t>
        </is>
      </c>
      <c r="E93" t="inlineStr"/>
      <c r="F93" t="inlineStr"/>
      <c r="G93" t="inlineStr">
        <is>
          <t>Austin, TX, US</t>
        </is>
      </c>
      <c r="H93" s="1" t="n">
        <v>45851</v>
      </c>
      <c r="I9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in-28742812406b8d40</t>
        </is>
      </c>
      <c r="B94" t="inlineStr">
        <is>
          <t>Sr. Applied Scientist, Amazon Advertising</t>
        </is>
      </c>
      <c r="C94" t="inlineStr">
        <is>
          <t>Amazon.com</t>
        </is>
      </c>
      <c r="D94" t="inlineStr">
        <is>
          <t>indeed</t>
        </is>
      </c>
      <c r="E94" t="inlineStr"/>
      <c r="F94" t="inlineStr"/>
      <c r="G94" t="inlineStr">
        <is>
          <t>Seattle, WA, US</t>
        </is>
      </c>
      <c r="H94" s="1" t="n">
        <v>45851</v>
      </c>
      <c r="I9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in-f9755d26326b62bd</t>
        </is>
      </c>
      <c r="B95" t="inlineStr">
        <is>
          <t>Sr. Applied Scientist, Amazon Advertising</t>
        </is>
      </c>
      <c r="C95" t="inlineStr">
        <is>
          <t>Amazon.com</t>
        </is>
      </c>
      <c r="D95" t="inlineStr">
        <is>
          <t>indeed</t>
        </is>
      </c>
      <c r="E95" t="inlineStr"/>
      <c r="F95" t="inlineStr"/>
      <c r="G95" t="inlineStr">
        <is>
          <t>New York, NY, US</t>
        </is>
      </c>
      <c r="H95" s="1"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in-b5ea756f53e3e8ae</t>
        </is>
      </c>
      <c r="B96" t="inlineStr">
        <is>
          <t>Sr. Applied Scientist, Amazon Advertising</t>
        </is>
      </c>
      <c r="C96" t="inlineStr">
        <is>
          <t>Amazon.com</t>
        </is>
      </c>
      <c r="D96" t="inlineStr">
        <is>
          <t>indeed</t>
        </is>
      </c>
      <c r="E96" t="inlineStr"/>
      <c r="F96" t="inlineStr"/>
      <c r="G96" t="inlineStr">
        <is>
          <t>West Hollywood, CA, US</t>
        </is>
      </c>
      <c r="H96" s="1"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in-8abf5afe62b79168</t>
        </is>
      </c>
      <c r="B97" t="inlineStr">
        <is>
          <t>Applied Scientist, Prime Video - Personalization and Discovery Science</t>
        </is>
      </c>
      <c r="C97" t="inlineStr">
        <is>
          <t>Amazon.com</t>
        </is>
      </c>
      <c r="D97" t="inlineStr">
        <is>
          <t>indeed</t>
        </is>
      </c>
      <c r="E97" t="inlineStr"/>
      <c r="F97" t="inlineStr"/>
      <c r="G97" t="inlineStr">
        <is>
          <t>Sunnyvale, CA, US</t>
        </is>
      </c>
      <c r="H97" s="1" t="n">
        <v>45845</v>
      </c>
      <c r="I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8">
      <c r="A98" t="inlineStr">
        <is>
          <t>in-de809d97c3f091c1</t>
        </is>
      </c>
      <c r="B98" t="inlineStr">
        <is>
          <t>Applied Scientist, Prime Video - Personalization and Discovery Science</t>
        </is>
      </c>
      <c r="C98" t="inlineStr">
        <is>
          <t>Amazon.com</t>
        </is>
      </c>
      <c r="D98" t="inlineStr">
        <is>
          <t>indeed</t>
        </is>
      </c>
      <c r="E98" t="inlineStr"/>
      <c r="F98" t="inlineStr"/>
      <c r="G98" t="inlineStr">
        <is>
          <t>New York, NY, US</t>
        </is>
      </c>
      <c r="H98" s="1" t="n">
        <v>45845</v>
      </c>
      <c r="I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99">
      <c r="A99" t="inlineStr">
        <is>
          <t>in-569afb636643eb6a</t>
        </is>
      </c>
      <c r="B99" t="inlineStr">
        <is>
          <t>Applied Scientist, Prime Video - Personalization and Discovery Science</t>
        </is>
      </c>
      <c r="C99" t="inlineStr">
        <is>
          <t>Amazon.com</t>
        </is>
      </c>
      <c r="D99" t="inlineStr">
        <is>
          <t>indeed</t>
        </is>
      </c>
      <c r="E99" t="inlineStr"/>
      <c r="F99" t="inlineStr"/>
      <c r="G99" t="inlineStr">
        <is>
          <t>Seattle, WA, US</t>
        </is>
      </c>
      <c r="H99" s="1" t="n">
        <v>45845</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00">
      <c r="A100" t="inlineStr">
        <is>
          <t>in-c2a456a6f0ccea7e</t>
        </is>
      </c>
      <c r="B100" t="inlineStr">
        <is>
          <t>Sr. Applied Scientist, AGI Info</t>
        </is>
      </c>
      <c r="C100" t="inlineStr">
        <is>
          <t>Amazon.com</t>
        </is>
      </c>
      <c r="D100" t="inlineStr">
        <is>
          <t>indeed</t>
        </is>
      </c>
      <c r="E100" t="inlineStr"/>
      <c r="F100" t="inlineStr"/>
      <c r="G100" t="inlineStr">
        <is>
          <t>Sunnyvale, CA, US</t>
        </is>
      </c>
      <c r="H100" s="1" t="n">
        <v>45811</v>
      </c>
      <c r="I100"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101">
      <c r="A101" t="inlineStr">
        <is>
          <t>in-c113fe7611c0be79</t>
        </is>
      </c>
      <c r="B101" t="inlineStr">
        <is>
          <t>Sr. Applied Scientist, AGI Info</t>
        </is>
      </c>
      <c r="C101" t="inlineStr">
        <is>
          <t>Amazon.com</t>
        </is>
      </c>
      <c r="D101" t="inlineStr">
        <is>
          <t>indeed</t>
        </is>
      </c>
      <c r="E101" t="inlineStr"/>
      <c r="F101" t="inlineStr"/>
      <c r="G101" t="inlineStr">
        <is>
          <t>Bellevue, WA, US</t>
        </is>
      </c>
      <c r="H101" s="1" t="n">
        <v>45811</v>
      </c>
      <c r="I101"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102">
      <c r="A102" t="inlineStr">
        <is>
          <t>in-eedce1c0f12df0fd</t>
        </is>
      </c>
      <c r="B102" t="inlineStr">
        <is>
          <t>Principal Applied Scientist, Delivery Foundation Model</t>
        </is>
      </c>
      <c r="C102" t="inlineStr">
        <is>
          <t>Amazon.com</t>
        </is>
      </c>
      <c r="D102" t="inlineStr">
        <is>
          <t>indeed</t>
        </is>
      </c>
      <c r="E102" t="inlineStr"/>
      <c r="F102" t="inlineStr"/>
      <c r="G102" t="inlineStr">
        <is>
          <t>Santa Clara, CA, US</t>
        </is>
      </c>
      <c r="H102" s="1" t="n">
        <v>45810</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3">
      <c r="A103" t="inlineStr">
        <is>
          <t>in-323e13a1ab7d762d</t>
        </is>
      </c>
      <c r="B103" t="inlineStr">
        <is>
          <t>Principal Applied Scientist, Delivery Foundation Model</t>
        </is>
      </c>
      <c r="C103" t="inlineStr">
        <is>
          <t>Amazon.com</t>
        </is>
      </c>
      <c r="D103" t="inlineStr">
        <is>
          <t>indeed</t>
        </is>
      </c>
      <c r="E103" t="inlineStr"/>
      <c r="F103" t="inlineStr"/>
      <c r="G103" t="inlineStr">
        <is>
          <t>Austin, TX, US</t>
        </is>
      </c>
      <c r="H103" s="1" t="n">
        <v>45810</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4">
      <c r="A104" t="inlineStr">
        <is>
          <t>in-a578a3d4db571614</t>
        </is>
      </c>
      <c r="B104" t="inlineStr">
        <is>
          <t>Principal Applied Scientist, Delivery Foundation Model</t>
        </is>
      </c>
      <c r="C104" t="inlineStr">
        <is>
          <t>Amazon.com</t>
        </is>
      </c>
      <c r="D104" t="inlineStr">
        <is>
          <t>indeed</t>
        </is>
      </c>
      <c r="E104" t="inlineStr"/>
      <c r="F104" t="inlineStr"/>
      <c r="G104" t="inlineStr">
        <is>
          <t>Bellevue, WA, US</t>
        </is>
      </c>
      <c r="H104" s="1"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5">
      <c r="A105" t="inlineStr">
        <is>
          <t>in-0da3cc315b830a9b</t>
        </is>
      </c>
      <c r="B105" t="inlineStr">
        <is>
          <t>Principal Applied Scientist, Delivery Foundation Model</t>
        </is>
      </c>
      <c r="C105" t="inlineStr">
        <is>
          <t>Amazon.com</t>
        </is>
      </c>
      <c r="D105" t="inlineStr">
        <is>
          <t>indeed</t>
        </is>
      </c>
      <c r="E105" t="inlineStr"/>
      <c r="F105" t="inlineStr"/>
      <c r="G105" t="inlineStr">
        <is>
          <t>New York, NY, US</t>
        </is>
      </c>
      <c r="H105" s="1" t="n">
        <v>45810</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06">
      <c r="A106" t="inlineStr">
        <is>
          <t>in-ece27f6b33ce4065</t>
        </is>
      </c>
      <c r="B106" t="inlineStr">
        <is>
          <t>Senior Applied Scientist, Delivery Foundation Model</t>
        </is>
      </c>
      <c r="C106" t="inlineStr">
        <is>
          <t>Amazon.com</t>
        </is>
      </c>
      <c r="D106" t="inlineStr">
        <is>
          <t>indeed</t>
        </is>
      </c>
      <c r="E106" t="inlineStr"/>
      <c r="F106" t="inlineStr"/>
      <c r="G106" t="inlineStr">
        <is>
          <t>New York, NY, US</t>
        </is>
      </c>
      <c r="H106" s="1" t="n">
        <v>45806</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in-c1b116d922f1da42</t>
        </is>
      </c>
      <c r="B107" t="inlineStr">
        <is>
          <t>Senior Applied Scientist, Delivery Foundation Model</t>
        </is>
      </c>
      <c r="C107" t="inlineStr">
        <is>
          <t>Amazon.com</t>
        </is>
      </c>
      <c r="D107" t="inlineStr">
        <is>
          <t>indeed</t>
        </is>
      </c>
      <c r="E107" t="inlineStr"/>
      <c r="F107" t="inlineStr"/>
      <c r="G107" t="inlineStr">
        <is>
          <t>Bellevue, WA, US</t>
        </is>
      </c>
      <c r="H107" s="1" t="n">
        <v>45806</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in-f245d2d0107ebfc6</t>
        </is>
      </c>
      <c r="B108" t="inlineStr">
        <is>
          <t>Senior Applied Scientist, Delivery Foundation Model</t>
        </is>
      </c>
      <c r="C108" t="inlineStr">
        <is>
          <t>Amazon.com</t>
        </is>
      </c>
      <c r="D108" t="inlineStr">
        <is>
          <t>indeed</t>
        </is>
      </c>
      <c r="E108" t="inlineStr"/>
      <c r="F108" t="inlineStr"/>
      <c r="G108" t="inlineStr">
        <is>
          <t>Santa Clara, CA, US</t>
        </is>
      </c>
      <c r="H108" s="1"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in-a57a0e1ebce66ce4</t>
        </is>
      </c>
      <c r="B109" t="inlineStr">
        <is>
          <t>Sr. Applied Scientist - Privacy, Privacy Engineering</t>
        </is>
      </c>
      <c r="C109" t="inlineStr">
        <is>
          <t>Amazon.com</t>
        </is>
      </c>
      <c r="D109" t="inlineStr">
        <is>
          <t>indeed</t>
        </is>
      </c>
      <c r="E109" t="inlineStr"/>
      <c r="F109" t="inlineStr"/>
      <c r="G109" t="inlineStr">
        <is>
          <t>Seattle, WA, US</t>
        </is>
      </c>
      <c r="H109" s="1" t="n">
        <v>45787</v>
      </c>
      <c r="I109"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in-53bfeb5f74cefa52</t>
        </is>
      </c>
      <c r="B110" t="inlineStr">
        <is>
          <t>Sr. Applied Scientist - Privacy, Privacy Engineering</t>
        </is>
      </c>
      <c r="C110" t="inlineStr">
        <is>
          <t>Amazon.com</t>
        </is>
      </c>
      <c r="D110" t="inlineStr">
        <is>
          <t>indeed</t>
        </is>
      </c>
      <c r="E110" t="inlineStr"/>
      <c r="F110" t="inlineStr"/>
      <c r="G110" t="inlineStr">
        <is>
          <t>Santa Clara, CA, US</t>
        </is>
      </c>
      <c r="H110" s="1" t="n">
        <v>45787</v>
      </c>
      <c r="I110"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in-31bb2b3a5ef8657f</t>
        </is>
      </c>
      <c r="B111" t="inlineStr">
        <is>
          <t>Sr. Applied Scientist - Privacy, Privacy Engineering</t>
        </is>
      </c>
      <c r="C111" t="inlineStr">
        <is>
          <t>Amazon.com</t>
        </is>
      </c>
      <c r="D111" t="inlineStr">
        <is>
          <t>indeed</t>
        </is>
      </c>
      <c r="E111" t="inlineStr"/>
      <c r="F111" t="inlineStr"/>
      <c r="G111" t="inlineStr">
        <is>
          <t>San Francisco, CA, US</t>
        </is>
      </c>
      <c r="H111" s="1" t="n">
        <v>45787</v>
      </c>
      <c r="I11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in-c3593b7085d903ae</t>
        </is>
      </c>
      <c r="B112" t="inlineStr">
        <is>
          <t>Sr. Applied Scientist - Privacy, Privacy Engineering</t>
        </is>
      </c>
      <c r="C112" t="inlineStr">
        <is>
          <t>Amazon.com</t>
        </is>
      </c>
      <c r="D112" t="inlineStr">
        <is>
          <t>indeed</t>
        </is>
      </c>
      <c r="E112" t="inlineStr"/>
      <c r="F112" t="inlineStr"/>
      <c r="G112" t="inlineStr">
        <is>
          <t>Sunnyvale, CA, US</t>
        </is>
      </c>
      <c r="H112" s="1" t="n">
        <v>45787</v>
      </c>
      <c r="I11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in-a155bbaf2c511596</t>
        </is>
      </c>
      <c r="B113" t="inlineStr">
        <is>
          <t>Principal Applied Scientist, Delivery Foundation Model</t>
        </is>
      </c>
      <c r="C113" t="inlineStr">
        <is>
          <t>Amazon.com</t>
        </is>
      </c>
      <c r="D113" t="inlineStr">
        <is>
          <t>indeed</t>
        </is>
      </c>
      <c r="E113" t="inlineStr"/>
      <c r="F113" t="inlineStr"/>
      <c r="G113" t="inlineStr">
        <is>
          <t>Bellevue, WA, US</t>
        </is>
      </c>
      <c r="H113" s="1" t="n">
        <v>45757</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4">
      <c r="A114" t="inlineStr">
        <is>
          <t>in-97894ef1ca2fcb81</t>
        </is>
      </c>
      <c r="B114" t="inlineStr">
        <is>
          <t>Principal Applied Scientist, Delivery Foundation Model</t>
        </is>
      </c>
      <c r="C114" t="inlineStr">
        <is>
          <t>Amazon.com</t>
        </is>
      </c>
      <c r="D114" t="inlineStr">
        <is>
          <t>indeed</t>
        </is>
      </c>
      <c r="E114" t="inlineStr"/>
      <c r="F114" t="inlineStr"/>
      <c r="G114" t="inlineStr">
        <is>
          <t>New York, NY, US</t>
        </is>
      </c>
      <c r="H114" s="1" t="n">
        <v>45757</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5">
      <c r="A115" t="inlineStr">
        <is>
          <t>in-7e2f05699cd630dc</t>
        </is>
      </c>
      <c r="B115" t="inlineStr">
        <is>
          <t>Principal Applied Scientist, Delivery Foundation Model</t>
        </is>
      </c>
      <c r="C115" t="inlineStr">
        <is>
          <t>Amazon.com</t>
        </is>
      </c>
      <c r="D115" t="inlineStr">
        <is>
          <t>indeed</t>
        </is>
      </c>
      <c r="E115" t="inlineStr"/>
      <c r="F115" t="inlineStr"/>
      <c r="G115" t="inlineStr">
        <is>
          <t>Santa Clara, CA, US</t>
        </is>
      </c>
      <c r="H115" s="1" t="n">
        <v>45757</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16">
      <c r="A116" t="inlineStr">
        <is>
          <t>in-23b2396d3808220b</t>
        </is>
      </c>
      <c r="B116" t="inlineStr">
        <is>
          <t>AI/ML Engineer</t>
        </is>
      </c>
      <c r="C116" t="inlineStr">
        <is>
          <t>Decentral Holding Corporation</t>
        </is>
      </c>
      <c r="D116" t="inlineStr">
        <is>
          <t>indeed</t>
        </is>
      </c>
      <c r="E116" t="inlineStr"/>
      <c r="F116" t="inlineStr"/>
      <c r="G116" t="inlineStr">
        <is>
          <t>US</t>
        </is>
      </c>
      <c r="H116" s="1" t="n">
        <v>46083</v>
      </c>
      <c r="I116" t="inlineStr">
        <is>
          <t>**About Lucia Protocol:** Lucia Protocol is at the forefront of AI\-driven data infrastructure, building the future of decentralized ad attribution. We are redefining how brands, publishers, and communities leverage Web3 to track, attribute, and reward digital actions accurately. Our team is innovating where AI, blockchain, and decentralized ecosystems intersect to power transparent and efficient ad measurement solutions.
**Job Description:** We are seeking a talented and motivated Machine Learning Engineer to join our dynamic team. In this role, you will leverage your machine learning and data science expertise to develop and enhance algorithms that drive our platform's performance, security, and user experience. Your work will be integral to optimizing our data infrastructure and ad attribution, predicting market trends, and ensuring the robustness of our blockchain solutions.
**Key Responsibilities:**
* Design, develop, and deploy machine learning models to enhance various aspects of our DeFi platform.
* Collaborate with cross\-functional teams to understand business requirements and translate them into technical solutions.
* Implement algorithms to analyze and predict market trends, user behaviours, and platform security threats.
* Optimize and fine\-tune machine learning models for real\-time performance and scalability.
* Work closely with blockchain developers to integrate machine learning solutions with our decentralized applications.
* Conduct data analysis to extract meaningful insights and inform strategic decisions.
* Stay up\-to\-date with the latest advancements in machine learning, blockchain, and DeFi technologies.
**Requirements:**
* Bachelor's or Master's degree in Computer Science, Data Science, Machine Learning, or a related field.
* Minimum of 5 years of experience as a Machine Learning Engineer or Data Scientist, preferably in the blockchain or financial technology sectors.
* Strong programming skills in Python, R, or similar languages.
* Strong programming skills with JavaScript. For this role, we're looking for a strong generalist developer who can quickly contribute to product development.
* Experience with machine learning frameworks such as TensorFlow, PyTorch, or scikit\-learn.
* Solid understanding of blockchain technology, smart contracts, and decentralized applications (dApps).
* Familiarity with Web3 technologies and protocols.
* Strong problem\-solving skills and ability to work independently and in a team environment.
* Proficient in English, both written and verbal.
* Excellent communication skills, with the ability to explain complex technical concepts to non\-technical stakeholders.
If you are passionate about machine learning, blockchain technology, and the future of decentralized finance, we would love to hear from you!
**BEFORE APPLYING:**
**We are currently in an exciting fundraising phase and expect to secure funding within the next month or two. During this period, compensation will be deferred. We understand the financial circumstances and will ensure that the time commitment remains reasonable. Our expectation is to have team members who can provide valuable contributions while supporting themselves until the fundraising is complete. Are you open to joining our dynamic team and being part of this thrilling journey as we grow and secure our future together? If so, by applying to this position, you understand and are willing to proceed with this arrangement if selected**.
*Note: Lucia Protocol is an equal opportunity employer. All applicants will be considered for employment without attention to race, colour, religion, sex, sexual orientation, gender identity, national origin, or disability status.*
Job Types: Full\-time, Contract
Pay: $140,000\.00 \- $160,000\.00 per year
Application Question(s):
* Will you now, or in the future, require sponsorship for employment visa status (e.g. H\-1B visa status)?
* Please review the terms outlined in the "Before Applying" section of the job posting.
* How many years of working experience do you have in Web3 or Crypto?
* Have you worked in a web3/crypto exchange, foundation or L1/L2 before?
Experience:
* Machine learning: 5 years (Required)
Work Location: Remote</t>
        </is>
      </c>
    </row>
    <row r="117">
      <c r="A117" t="inlineStr">
        <is>
          <t>in-7d2286c194c49eb0</t>
        </is>
      </c>
      <c r="B117" t="inlineStr">
        <is>
          <t>Senior AI/ML Engineer Remote Nationwide or Hybrid in MN/DC</t>
        </is>
      </c>
      <c r="C117" t="inlineStr">
        <is>
          <t>Optum</t>
        </is>
      </c>
      <c r="D117" t="inlineStr">
        <is>
          <t>indeed</t>
        </is>
      </c>
      <c r="E117" t="inlineStr"/>
      <c r="F117" t="inlineStr"/>
      <c r="G117" t="inlineStr">
        <is>
          <t>Eden Prairie, MN, US</t>
        </is>
      </c>
      <c r="H117" s="1" t="n">
        <v>46082</v>
      </c>
      <c r="I117"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highly skilled AI/ML Engineer with expertise in delivering Natural Language Processing (NLP), Optical Character Recognition (OCR), Machine Learning (ML), and cloud\-based AI solutions to join our dynamic team. The ideal candidate will play a pivotal role in transforming our workflows through AI\-driven automation and efficiency, particularly in the modernization of fax processes and telephony systems. This role requires a strong technical foundation, critical thinking, ethical judgment, and collaborative skills to drive impactful solutions aligned with organizational goals and societal values.
You'll enjoy the flexibility to work remotely \* from anywhere within the U.S. as you take on some tough challenges. For all hires in the Minneapolis or Washington, D.C. area, you will be required to work in the office a minimum of four days per week.
 **Primary Responsibilities:**
* Architect, deliver hands\-on, mentor \&amp; review other team members and deliver on timelines with all dependencies and innovative needs thought out, coordinated with cross\-team stakeholders
* Work with product management, design, support and other dev teams members to create high\-quality solutions
* Solve difficult and sometimes ambiguous problems
* Be a team player, show due diligence, your own creativity, take team input, own \&amp; design deliverables with deep security expertise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3\+ years of experience working with Natural Language processing
* 3\+ years of experience with Deploying and manage ML models on cloud platforms such as Microsoft Azure, AWS, Google Cloud Platform (GCP)
* 3\+ years of experience leveraging cloud\-native tools like Azure Machine Learning, AWS SageMaker, GCP AI Platform for model training, deployment, and monitoring
* 2\+ years of experience working with Retrieval\-Augmented Generation
 **Preferred Qualifications:**
* 8\+ years of AI/ML Engineering experience
* Experience with Optical Character Recognition (OCR) for document digitization and data extraction
* Experience with Intelligent document processing
* Experience working in accordance with Dev/Sec/Ops principles, and familiarity with industry deployment best practices using CI/CD tools, MLOps, LLMOps and infrastructure as code (Jenkins, Docker, Kubernetes, Git etc.)
* Deep experience with additional server\-side frameworks and technologies such as FastAPI, Node.js, Flask, Django etc.
* Expert knowledge of Python/SQL and AI/ML libraries (tensorflow/PyTorch/SciKit/Seaborn etc.)  
Familiarity with telephony systems, including voice processing, speech recognition, and platform integration
* Proven track record of shipping and maintaining production, enterprise scale AI applications and data science products
* Proven solid computer science fundaments in data structures, algorithms, automated testing, object\-oriented programming, performance complexity, and implications of computer architecture on software performance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18">
      <c r="A118" t="inlineStr">
        <is>
          <t>in-9fc61d15e4f8f33a</t>
        </is>
      </c>
      <c r="B118" t="inlineStr">
        <is>
          <t>Sr. Machine Learning Engineer, Tools and Framework AI</t>
        </is>
      </c>
      <c r="C118" t="inlineStr">
        <is>
          <t>Apple</t>
        </is>
      </c>
      <c r="D118" t="inlineStr">
        <is>
          <t>indeed</t>
        </is>
      </c>
      <c r="E118" t="inlineStr"/>
      <c r="F118" t="inlineStr"/>
      <c r="G118" t="inlineStr">
        <is>
          <t>Cupertino, CA, US</t>
        </is>
      </c>
      <c r="H118" s="1" t="n">
        <v>46082</v>
      </c>
      <c r="I118"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On the Tools and Frameworks AI team, you'll work on projects that push the boundaries of what's possible with AI. We're solving problems at the frontier of the field, building tools and capabilities, and figuring out what the next generation of software development looks like. We take these innovations from concept to production, ensuring our work delivers real impact at scale. You'll see your contributions move from early explorations to production systems that users depend on daily.  
**Description**  
We're looking for a Senior ML Engineer who can drive AI\-powered software development from initial design through production deployment. You'll architect and build machine learning systems that push the boundaries of what's possible in software development, writing production\-quality code that scales to meet real\-world demands. This role requires both deep technical expertise and strong collaboration skills\-you'll work closely with product managers, software engineers, and researchers across the organization to translate ambitious ideas into robust, shipping solutions. You'll be responsible for making critical design decisions, mentoring other engineers, and ensuring our exploratory work successfully transitions into production systems that deliver measurable impact.","responsibilities":"Lead, design and implement AI\-first developer productivity projects from prototype to production establishing best software engineering practices.  
Own the end\-to\-end user experience with a strong focus on product quality.  
Work cross\-functionally with multiple stakeholders at Apple, drive requirements and deliver the end solution.  
Be a force\-multiplier, by enabling team\-members to be more productive. Mentor junior engineers.  
**Preferred Qualifications**  
Hands\-on experience working on developer productivity AI tools  
Full\-stack software developer experience with experience building ML infra at scale  
Experience leading AI/ML projects  
**Minimum Qualifications**  
At least 8 years of hands\-on experience in software engineering, with focus on machine learning  
Demonstrated expert knowledge of machine learning modeling and applied machine learning research  
Strong programming skills in: Python, Java, C\+\+ or Swift  
Track record of delivering high quality products and solving complex problems in innovative ways  
Thrive in a collaborative environment and communicate clearly and confidently with partner teams  
Masters OR PhD in Computer Science, Machine Learning Engineering or equivalent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19">
      <c r="A119" t="inlineStr">
        <is>
          <t>in-f799084c1168a9d4</t>
        </is>
      </c>
      <c r="B119" t="inlineStr">
        <is>
          <t>GPU Machine Learning Engineer, Platform Architecture</t>
        </is>
      </c>
      <c r="C119" t="inlineStr">
        <is>
          <t>Apple</t>
        </is>
      </c>
      <c r="D119" t="inlineStr">
        <is>
          <t>indeed</t>
        </is>
      </c>
      <c r="E119" t="inlineStr"/>
      <c r="F119" t="inlineStr"/>
      <c r="G119" t="inlineStr">
        <is>
          <t>Austin, TX, US</t>
        </is>
      </c>
      <c r="H119" s="1" t="n">
        <v>46082</v>
      </c>
      <c r="I119" t="inlineStr">
        <is>
          <t>Imagine what you could do here! At Apple, new ideas have a way of becoming extraordinary products, services, and customer experiences very quickly. Bring passion and dedication to your job and there's no telling what you could accomplish! Dynamic, inquisitive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**Description**  
The Platform Architecture GPU group is looking for a talented GPU Machine Learning Engineer to join the Neural Accelerator effort with strong skills in performance analysis and development at the level of ML frameworks and lower\-level kernel implementations.","responsibilities":"Analyze the performance of linear algebra and machine learning algorithms on Apple GPU platforms, pursuing investigations wherever they take you in Apple software.  
With our partner teams in Software Engineering and Hardware Technologies, formulate system\-level strategies to address performance problems and unlock the next level of AI performance for our users.  
Work closely with MLX, MPS and CoreML teams on real ML use\-cases in an end\-to\-end co\-design effort, from early design exploration up to product launch.  
**Preferred Qualifications**  
MS or PhD in Computer Science, Electrical Engineering, or equivalent  
3\+ years of relevant industry experience  
Experience working specifically in CUDA C\+\+ on ML and/or linear algebra algorithms  
Experience optimizing LLM inference for low latency at the implementation level  
Experience optimizing LLM inference at scale in the cloud or datacenter  
Ability to communicate across both hardware and software organizations  
**Minimum Qualifications**  
BS degree  
Experience with software and hardware performance analysis and optimization  
Experience in GPU programming models such as Metal, CUDA, or similar  
Experience with ML frameworks, for example MLX, Pytorch, or similar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0">
      <c r="A120" t="inlineStr">
        <is>
          <t>in-143ac44394288b73</t>
        </is>
      </c>
      <c r="B120" t="inlineStr">
        <is>
          <t>GPU Machine Learning Engineer, Platform Architecture</t>
        </is>
      </c>
      <c r="C120" t="inlineStr">
        <is>
          <t>Apple</t>
        </is>
      </c>
      <c r="D120" t="inlineStr">
        <is>
          <t>indeed</t>
        </is>
      </c>
      <c r="E120" t="inlineStr"/>
      <c r="F120" t="inlineStr"/>
      <c r="G120" t="inlineStr">
        <is>
          <t>Austin, TX, US</t>
        </is>
      </c>
      <c r="H120" s="1" t="n">
        <v>46082</v>
      </c>
      <c r="I120" t="inlineStr">
        <is>
          <t>Imagine what you could do here! At Apple, new ideas have a way of becoming extraordinary products, services, and customer experiences very quickly. Bring passion and dedication to your job and there's no telling what you could accomplish! Dynamic, inquisitive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**Description**  
The Platform Architecture GPU group is looking for a talented GPU Machine Learning Engineer to join the Neural Accelerator effort with strong skills in performance analysis and development at the level of ML frameworks and lower\-level kernel implementations.","responsibilities":"Analyze the performance of linear algebra and machine learning algorithms on Apple GPU platforms, pursuing investigations wherever they take you in Apple software.  
With our partner teams in Software Engineering and Hardware Technologies, formulate system\-level strategies to address performance problems and unlock the next level of AI performance for our users.  
Work closely with MLX, MPS and CoreML teams on real ML use\-cases in an end\-to\-end co\-design effort, from early design exploration up to product launch.  
**Preferred Qualifications**  
MS or PhD in Computer Science, Electrical Engineering, or equivalent  
3\+ years of relevant industry experience  
Experience working specifically in CUDA C\+\+ on ML and/or linear algebra algorithms  
Experience optimizing LLM inference for low latency at the implementation level  
Experience optimizing LLM inference at scale in the cloud or datacenter  
Ability to communicate across both hardware and software organizations  
**Minimum Qualifications**  
BS degree  
Experience with software and hardware performance analysis and optimization  
Experience in GPU programming models such as Metal, CUDA, or similar  
Experience with ML frameworks, for example MLX, Pytorch, or similar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21">
      <c r="A121" t="inlineStr">
        <is>
          <t>in-9130881431ef5b25</t>
        </is>
      </c>
      <c r="B121" t="inlineStr">
        <is>
          <t>ML Engineer, GO-AI Technology &amp; Development Team</t>
        </is>
      </c>
      <c r="C121" t="inlineStr">
        <is>
          <t>Amazon.com</t>
        </is>
      </c>
      <c r="D121" t="inlineStr">
        <is>
          <t>indeed</t>
        </is>
      </c>
      <c r="E121" t="inlineStr"/>
      <c r="F121" t="inlineStr"/>
      <c r="G121" t="inlineStr">
        <is>
          <t>Seattle, WA, US</t>
        </is>
      </c>
      <c r="H121" s="1" t="n">
        <v>45998</v>
      </c>
      <c r="I121"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2">
      <c r="A122" t="inlineStr">
        <is>
          <t>in-901f99768a76aee1</t>
        </is>
      </c>
      <c r="B122" t="inlineStr">
        <is>
          <t>ML Engineer, GO-AI Technology &amp; Development Team</t>
        </is>
      </c>
      <c r="C122" t="inlineStr">
        <is>
          <t>Amazon.com</t>
        </is>
      </c>
      <c r="D122" t="inlineStr">
        <is>
          <t>indeed</t>
        </is>
      </c>
      <c r="E122" t="inlineStr"/>
      <c r="F122" t="inlineStr"/>
      <c r="G122" t="inlineStr">
        <is>
          <t>Westborough, MA, US</t>
        </is>
      </c>
      <c r="H122" s="1" t="n">
        <v>45998</v>
      </c>
      <c r="I122"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3">
      <c r="A123" t="inlineStr">
        <is>
          <t>in-0239521823cd585d</t>
        </is>
      </c>
      <c r="B123" t="inlineStr">
        <is>
          <t>ML Engineer, GO-AI Technology &amp; Development Team</t>
        </is>
      </c>
      <c r="C123" t="inlineStr">
        <is>
          <t>Amazon.com</t>
        </is>
      </c>
      <c r="D123" t="inlineStr">
        <is>
          <t>indeed</t>
        </is>
      </c>
      <c r="E123" t="inlineStr"/>
      <c r="F123" t="inlineStr"/>
      <c r="G123" t="inlineStr">
        <is>
          <t>Boston, MA, US</t>
        </is>
      </c>
      <c r="H123" s="1" t="n">
        <v>45998</v>
      </c>
      <c r="I123"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4">
      <c r="A124" t="inlineStr">
        <is>
          <t>in-5333da97adb0739d</t>
        </is>
      </c>
      <c r="B124" t="inlineStr">
        <is>
          <t>ML Engineer, GO-AI Technology &amp; Development Team</t>
        </is>
      </c>
      <c r="C124" t="inlineStr">
        <is>
          <t>Amazon.com</t>
        </is>
      </c>
      <c r="D124" t="inlineStr">
        <is>
          <t>indeed</t>
        </is>
      </c>
      <c r="E124" t="inlineStr"/>
      <c r="F124" t="inlineStr"/>
      <c r="G124" t="inlineStr">
        <is>
          <t>Reading, MA, US</t>
        </is>
      </c>
      <c r="H124" s="1" t="n">
        <v>45998</v>
      </c>
      <c r="I12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125">
      <c r="A125" t="inlineStr">
        <is>
          <t>in-1d989c83ea8bed7b</t>
        </is>
      </c>
      <c r="B125" t="inlineStr">
        <is>
          <t>Sr. Applied Scientist, Amazon Ads</t>
        </is>
      </c>
      <c r="C125" t="inlineStr">
        <is>
          <t>Amazon.com</t>
        </is>
      </c>
      <c r="D125" t="inlineStr">
        <is>
          <t>indeed</t>
        </is>
      </c>
      <c r="E125">
        <f>HYPERLINK("https://www.indeed.com/viewjob?jk=1d989c83ea8bed7b", "https://www.indeed.com/viewjob?jk=1d989c83ea8bed7b")</f>
        <v/>
      </c>
      <c r="F125">
        <f>HYPERLINK("https://www.amazon.jobs/jobs/3139328/sr-applied-scientist-amazon-ads?cmpid=DA_INAD200785B", "https://www.amazon.jobs/jobs/3139328/sr-applied-scientist-amazon-ads?cmpid=DA_INAD200785B")</f>
        <v/>
      </c>
      <c r="G125" t="inlineStr">
        <is>
          <t>New York, NY, US</t>
        </is>
      </c>
      <c r="H125" s="2" t="n">
        <v>45998</v>
      </c>
      <c r="I1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6">
      <c r="A126" t="inlineStr">
        <is>
          <t>in-d3ddf8ca70a15f7b</t>
        </is>
      </c>
      <c r="B126" t="inlineStr">
        <is>
          <t>Sr. Applied Scientist, Amazon Ads</t>
        </is>
      </c>
      <c r="C126" t="inlineStr">
        <is>
          <t>Amazon.com</t>
        </is>
      </c>
      <c r="D126" t="inlineStr">
        <is>
          <t>indeed</t>
        </is>
      </c>
      <c r="E126">
        <f>HYPERLINK("https://www.indeed.com/viewjob?jk=d3ddf8ca70a15f7b", "https://www.indeed.com/viewjob?jk=d3ddf8ca70a15f7b")</f>
        <v/>
      </c>
      <c r="F126">
        <f>HYPERLINK("https://www.amazon.jobs/jobs/3139328/sr-applied-scientist-amazon-ads?cmpid=DA_INAD200785B", "https://www.amazon.jobs/jobs/3139328/sr-applied-scientist-amazon-ads?cmpid=DA_INAD200785B")</f>
        <v/>
      </c>
      <c r="G126" t="inlineStr">
        <is>
          <t>Seattle, WA, US</t>
        </is>
      </c>
      <c r="H126" s="2" t="n">
        <v>45998</v>
      </c>
      <c r="I1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7">
      <c r="A127" t="inlineStr">
        <is>
          <t>in-45c0d020352a78f4</t>
        </is>
      </c>
      <c r="B127" t="inlineStr">
        <is>
          <t>Sr. Applied Scientist, Amazon Ads</t>
        </is>
      </c>
      <c r="C127" t="inlineStr">
        <is>
          <t>Amazon.com</t>
        </is>
      </c>
      <c r="D127" t="inlineStr">
        <is>
          <t>indeed</t>
        </is>
      </c>
      <c r="E127">
        <f>HYPERLINK("https://www.indeed.com/viewjob?jk=45c0d020352a78f4", "https://www.indeed.com/viewjob?jk=45c0d020352a78f4")</f>
        <v/>
      </c>
      <c r="F127">
        <f>HYPERLINK("https://www.amazon.jobs/jobs/3139328/sr-applied-scientist-amazon-ads?cmpid=DA_INAD200785B", "https://www.amazon.jobs/jobs/3139328/sr-applied-scientist-amazon-ads?cmpid=DA_INAD200785B")</f>
        <v/>
      </c>
      <c r="G127" t="inlineStr">
        <is>
          <t>Santa Monica, CA, US</t>
        </is>
      </c>
      <c r="H127" s="2" t="n">
        <v>45998</v>
      </c>
      <c r="I1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8">
      <c r="A128" t="inlineStr">
        <is>
          <t>in-691b2da9910f81a6</t>
        </is>
      </c>
      <c r="B128" t="inlineStr">
        <is>
          <t>Sr. Applied Scientist, Amazon Ads</t>
        </is>
      </c>
      <c r="C128" t="inlineStr">
        <is>
          <t>Amazon.com</t>
        </is>
      </c>
      <c r="D128" t="inlineStr">
        <is>
          <t>indeed</t>
        </is>
      </c>
      <c r="E128">
        <f>HYPERLINK("https://www.indeed.com/viewjob?jk=691b2da9910f81a6", "https://www.indeed.com/viewjob?jk=691b2da9910f81a6")</f>
        <v/>
      </c>
      <c r="F128">
        <f>HYPERLINK("https://www.amazon.jobs/jobs/3139328/sr-applied-scientist-amazon-ads?cmpid=DA_INAD200785B", "https://www.amazon.jobs/jobs/3139328/sr-applied-scientist-amazon-ads?cmpid=DA_INAD200785B")</f>
        <v/>
      </c>
      <c r="G128" t="inlineStr">
        <is>
          <t>Brooklyn, NY, US</t>
        </is>
      </c>
      <c r="H128" s="2" t="n">
        <v>45998</v>
      </c>
      <c r="I1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9">
      <c r="A129" t="inlineStr">
        <is>
          <t>in-f1cdf0ce0116ef0b</t>
        </is>
      </c>
      <c r="B129" t="inlineStr">
        <is>
          <t>Sr. Applied Scientist, Amazon Ads</t>
        </is>
      </c>
      <c r="C129" t="inlineStr">
        <is>
          <t>Amazon.com</t>
        </is>
      </c>
      <c r="D129" t="inlineStr">
        <is>
          <t>indeed</t>
        </is>
      </c>
      <c r="E129">
        <f>HYPERLINK("https://www.indeed.com/viewjob?jk=f1cdf0ce0116ef0b", "https://www.indeed.com/viewjob?jk=f1cdf0ce0116ef0b")</f>
        <v/>
      </c>
      <c r="F129">
        <f>HYPERLINK("https://www.amazon.jobs/jobs/3139328/sr-applied-scientist-amazon-ads?cmpid=DA_INAD200785B", "https://www.amazon.jobs/jobs/3139328/sr-applied-scientist-amazon-ads?cmpid=DA_INAD200785B")</f>
        <v/>
      </c>
      <c r="G129" t="inlineStr">
        <is>
          <t>Palo Alto, CA, US</t>
        </is>
      </c>
      <c r="H129" s="2" t="n">
        <v>45998</v>
      </c>
      <c r="I12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0">
      <c r="A130" t="inlineStr">
        <is>
          <t>in-4ea4f1f73606c225</t>
        </is>
      </c>
      <c r="B130" t="inlineStr">
        <is>
          <t>Sr. Applied Scientist, Amazon Ads</t>
        </is>
      </c>
      <c r="C130" t="inlineStr">
        <is>
          <t>Amazon.com</t>
        </is>
      </c>
      <c r="D130" t="inlineStr">
        <is>
          <t>indeed</t>
        </is>
      </c>
      <c r="E130">
        <f>HYPERLINK("https://www.indeed.com/viewjob?jk=4ea4f1f73606c225", "https://www.indeed.com/viewjob?jk=4ea4f1f73606c225")</f>
        <v/>
      </c>
      <c r="F130">
        <f>HYPERLINK("https://www.amazon.jobs/jobs/3139328/sr-applied-scientist-amazon-ads?cmpid=DA_INAD200785B", "https://www.amazon.jobs/jobs/3139328/sr-applied-scientist-amazon-ads?cmpid=DA_INAD200785B")</f>
        <v/>
      </c>
      <c r="G130" t="inlineStr">
        <is>
          <t>Boston, MA, US</t>
        </is>
      </c>
      <c r="H130" s="2" t="n">
        <v>45998</v>
      </c>
      <c r="I13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1">
      <c r="A131" t="inlineStr">
        <is>
          <t>in-b6739fc8a93cf919</t>
        </is>
      </c>
      <c r="B131" t="inlineStr">
        <is>
          <t>Sr. Applied Scientist, Amazon Ads</t>
        </is>
      </c>
      <c r="C131" t="inlineStr">
        <is>
          <t>Amazon.com</t>
        </is>
      </c>
      <c r="D131" t="inlineStr">
        <is>
          <t>indeed</t>
        </is>
      </c>
      <c r="E131">
        <f>HYPERLINK("https://www.indeed.com/viewjob?jk=b6739fc8a93cf919", "https://www.indeed.com/viewjob?jk=b6739fc8a93cf919")</f>
        <v/>
      </c>
      <c r="F131">
        <f>HYPERLINK("https://www.amazon.jobs/jobs/3139328/sr-applied-scientist-amazon-ads?cmpid=DA_INAD200785B", "https://www.amazon.jobs/jobs/3139328/sr-applied-scientist-amazon-ads?cmpid=DA_INAD200785B")</f>
        <v/>
      </c>
      <c r="G131" t="inlineStr">
        <is>
          <t>Boulder, CO, US</t>
        </is>
      </c>
      <c r="H131" s="2" t="n">
        <v>45998</v>
      </c>
      <c r="I1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2">
      <c r="A132" t="inlineStr">
        <is>
          <t>in-2b8e63069540952c</t>
        </is>
      </c>
      <c r="B132" t="inlineStr">
        <is>
          <t>Sr. Applied Scientist, Amazon Ads</t>
        </is>
      </c>
      <c r="C132" t="inlineStr">
        <is>
          <t>Amazon.com</t>
        </is>
      </c>
      <c r="D132" t="inlineStr">
        <is>
          <t>indeed</t>
        </is>
      </c>
      <c r="E132">
        <f>HYPERLINK("https://www.indeed.com/viewjob?jk=2b8e63069540952c", "https://www.indeed.com/viewjob?jk=2b8e63069540952c")</f>
        <v/>
      </c>
      <c r="F132">
        <f>HYPERLINK("https://www.amazon.jobs/jobs/3139328/sr-applied-scientist-amazon-ads?cmpid=DA_INAD200785B", "https://www.amazon.jobs/jobs/3139328/sr-applied-scientist-amazon-ads?cmpid=DA_INAD200785B")</f>
        <v/>
      </c>
      <c r="G132" t="inlineStr">
        <is>
          <t>Corvallis, OR, US</t>
        </is>
      </c>
      <c r="H132" s="2" t="n">
        <v>45998</v>
      </c>
      <c r="I1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3">
      <c r="A133" t="inlineStr">
        <is>
          <t>in-07d76b28a5999c3d</t>
        </is>
      </c>
      <c r="B133" t="inlineStr">
        <is>
          <t>Sr. Applied Scientist, Amazon Ads</t>
        </is>
      </c>
      <c r="C133" t="inlineStr">
        <is>
          <t>Amazon.com</t>
        </is>
      </c>
      <c r="D133" t="inlineStr">
        <is>
          <t>indeed</t>
        </is>
      </c>
      <c r="E133">
        <f>HYPERLINK("https://www.indeed.com/viewjob?jk=07d76b28a5999c3d", "https://www.indeed.com/viewjob?jk=07d76b28a5999c3d")</f>
        <v/>
      </c>
      <c r="F133">
        <f>HYPERLINK("https://www.amazon.jobs/jobs/3139328/sr-applied-scientist-amazon-ads?cmpid=DA_INAD200785B", "https://www.amazon.jobs/jobs/3139328/sr-applied-scientist-amazon-ads?cmpid=DA_INAD200785B")</f>
        <v/>
      </c>
      <c r="G133" t="inlineStr">
        <is>
          <t>Sunnyvale, CA, US</t>
        </is>
      </c>
      <c r="H133" s="2" t="n">
        <v>45998</v>
      </c>
      <c r="I1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4">
      <c r="A134" t="inlineStr">
        <is>
          <t>in-1f95de8e7994f72a</t>
        </is>
      </c>
      <c r="B134" t="inlineStr">
        <is>
          <t>Sr. Applied Scientist, Amazon Ads</t>
        </is>
      </c>
      <c r="C134" t="inlineStr">
        <is>
          <t>Amazon.com</t>
        </is>
      </c>
      <c r="D134" t="inlineStr">
        <is>
          <t>indeed</t>
        </is>
      </c>
      <c r="E134">
        <f>HYPERLINK("https://www.indeed.com/viewjob?jk=1f95de8e7994f72a", "https://www.indeed.com/viewjob?jk=1f95de8e7994f72a")</f>
        <v/>
      </c>
      <c r="F134">
        <f>HYPERLINK("https://www.amazon.jobs/jobs/3139328/sr-applied-scientist-amazon-ads?cmpid=DA_INAD200785B", "https://www.amazon.jobs/jobs/3139328/sr-applied-scientist-amazon-ads?cmpid=DA_INAD200785B")</f>
        <v/>
      </c>
      <c r="G134" t="inlineStr">
        <is>
          <t>Tukwila, WA, US</t>
        </is>
      </c>
      <c r="H134" s="2" t="n">
        <v>45998</v>
      </c>
      <c r="I1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5">
      <c r="A135" t="inlineStr">
        <is>
          <t>in-31c8d362958311ea</t>
        </is>
      </c>
      <c r="B135" t="inlineStr">
        <is>
          <t>Applied Scientist II, Prime Video - Personalization and Discovery Science, Personalization and Discovery Science</t>
        </is>
      </c>
      <c r="C135" t="inlineStr">
        <is>
          <t>Amazon.com</t>
        </is>
      </c>
      <c r="D135" t="inlineStr">
        <is>
          <t>indeed</t>
        </is>
      </c>
      <c r="E135">
        <f>HYPERLINK("https://www.indeed.com/viewjob?jk=31c8d362958311ea", "https://www.indeed.com/viewjob?jk=31c8d362958311ea")</f>
        <v/>
      </c>
      <c r="F13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5" t="inlineStr">
        <is>
          <t>New York, NY, US</t>
        </is>
      </c>
      <c r="H135" s="2" t="n">
        <v>45930</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in-7ba7ae5f289ee761</t>
        </is>
      </c>
      <c r="B136" t="inlineStr">
        <is>
          <t>Applied Scientist II, Prime Video - Personalization and Discovery Science, Personalization and Discovery Science</t>
        </is>
      </c>
      <c r="C136" t="inlineStr">
        <is>
          <t>Amazon.com</t>
        </is>
      </c>
      <c r="D136" t="inlineStr">
        <is>
          <t>indeed</t>
        </is>
      </c>
      <c r="E136">
        <f>HYPERLINK("https://www.indeed.com/viewjob?jk=7ba7ae5f289ee761", "https://www.indeed.com/viewjob?jk=7ba7ae5f289ee761")</f>
        <v/>
      </c>
      <c r="F136">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6" t="inlineStr">
        <is>
          <t>Seattle, WA, US</t>
        </is>
      </c>
      <c r="H136" s="2" t="n">
        <v>45930</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in-9623a5e9f201ef7d</t>
        </is>
      </c>
      <c r="B137" t="inlineStr">
        <is>
          <t>Applied Scientist II, Prime Video - Personalization and Discovery Science, Personalization and Discovery Science</t>
        </is>
      </c>
      <c r="C137" t="inlineStr">
        <is>
          <t>Amazon.com</t>
        </is>
      </c>
      <c r="D137" t="inlineStr">
        <is>
          <t>indeed</t>
        </is>
      </c>
      <c r="E137">
        <f>HYPERLINK("https://www.indeed.com/viewjob?jk=9623a5e9f201ef7d", "https://www.indeed.com/viewjob?jk=9623a5e9f201ef7d")</f>
        <v/>
      </c>
      <c r="F137">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37" t="inlineStr">
        <is>
          <t>Sunnyvale, CA, US</t>
        </is>
      </c>
      <c r="H137" s="2" t="n">
        <v>45930</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in-43d4dbf9d4cdc471</t>
        </is>
      </c>
      <c r="B138" t="inlineStr">
        <is>
          <t>Sr. Applied Scientist, Prime Video - Personalization and Discovery Science</t>
        </is>
      </c>
      <c r="C138" t="inlineStr">
        <is>
          <t>Amazon.com</t>
        </is>
      </c>
      <c r="D138" t="inlineStr">
        <is>
          <t>indeed</t>
        </is>
      </c>
      <c r="E138">
        <f>HYPERLINK("https://www.indeed.com/viewjob?jk=43d4dbf9d4cdc471", "https://www.indeed.com/viewjob?jk=43d4dbf9d4cdc471")</f>
        <v/>
      </c>
      <c r="F138">
        <f>HYPERLINK("https://www.amazon.jobs/jobs/3059256/sr-applied-scientist-prime-video--personalization-and-discovery-science?cmpid=DA_INAD200785B", "https://www.amazon.jobs/jobs/3059256/sr-applied-scientist-prime-video--personalization-and-discovery-science?cmpid=DA_INAD200785B")</f>
        <v/>
      </c>
      <c r="G138" t="inlineStr">
        <is>
          <t>New York, NY, US</t>
        </is>
      </c>
      <c r="H138" s="2" t="n">
        <v>45881</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in-5ed91f5b24dbfde8</t>
        </is>
      </c>
      <c r="B139" t="inlineStr">
        <is>
          <t>Sr. Applied Scientist, Prime Video - Personalization and Discovery Science</t>
        </is>
      </c>
      <c r="C139" t="inlineStr">
        <is>
          <t>Amazon.com</t>
        </is>
      </c>
      <c r="D139" t="inlineStr">
        <is>
          <t>indeed</t>
        </is>
      </c>
      <c r="E139">
        <f>HYPERLINK("https://www.indeed.com/viewjob?jk=5ed91f5b24dbfde8", "https://www.indeed.com/viewjob?jk=5ed91f5b24dbfde8")</f>
        <v/>
      </c>
      <c r="F139">
        <f>HYPERLINK("https://www.amazon.jobs/jobs/3059256/sr-applied-scientist-prime-video--personalization-and-discovery-science?cmpid=DA_INAD200785B", "https://www.amazon.jobs/jobs/3059256/sr-applied-scientist-prime-video--personalization-and-discovery-science?cmpid=DA_INAD200785B")</f>
        <v/>
      </c>
      <c r="G139" t="inlineStr">
        <is>
          <t>Seattle, WA, US</t>
        </is>
      </c>
      <c r="H139" s="2" t="n">
        <v>45881</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in-6f64b40ca4e7cee9</t>
        </is>
      </c>
      <c r="B140" t="inlineStr">
        <is>
          <t>Applied Scientist II, Prime Video - Personalization and Discovery Science</t>
        </is>
      </c>
      <c r="C140" t="inlineStr">
        <is>
          <t>Amazon.com</t>
        </is>
      </c>
      <c r="D140" t="inlineStr">
        <is>
          <t>indeed</t>
        </is>
      </c>
      <c r="E140">
        <f>HYPERLINK("https://www.indeed.com/viewjob?jk=6f64b40ca4e7cee9", "https://www.indeed.com/viewjob?jk=6f64b40ca4e7cee9")</f>
        <v/>
      </c>
      <c r="F140">
        <f>HYPERLINK("https://www.amazon.jobs/jobs/3059253/applied-scientist-ii-prime-video--personalization-and-discovery-science?cmpid=DA_INAD200785B", "https://www.amazon.jobs/jobs/3059253/applied-scientist-ii-prime-video--personalization-and-discovery-science?cmpid=DA_INAD200785B")</f>
        <v/>
      </c>
      <c r="G140" t="inlineStr">
        <is>
          <t>Seattle, WA, US</t>
        </is>
      </c>
      <c r="H140" s="2" t="n">
        <v>45881</v>
      </c>
      <c r="I1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in-818c2bd3b064b0ea</t>
        </is>
      </c>
      <c r="B141" t="inlineStr">
        <is>
          <t>Applied Scientist II, Prime Video - Personalization and Discovery Science</t>
        </is>
      </c>
      <c r="C141" t="inlineStr">
        <is>
          <t>Amazon.com</t>
        </is>
      </c>
      <c r="D141" t="inlineStr">
        <is>
          <t>indeed</t>
        </is>
      </c>
      <c r="E141">
        <f>HYPERLINK("https://www.indeed.com/viewjob?jk=818c2bd3b064b0ea", "https://www.indeed.com/viewjob?jk=818c2bd3b064b0ea")</f>
        <v/>
      </c>
      <c r="F141">
        <f>HYPERLINK("https://www.amazon.jobs/jobs/3059253/applied-scientist-ii-prime-video--personalization-and-discovery-science?cmpid=DA_INAD200785B", "https://www.amazon.jobs/jobs/3059253/applied-scientist-ii-prime-video--personalization-and-discovery-science?cmpid=DA_INAD200785B")</f>
        <v/>
      </c>
      <c r="G141" t="inlineStr">
        <is>
          <t>New York, NY, US</t>
        </is>
      </c>
      <c r="H141" s="2" t="n">
        <v>45881</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in-db2e36b3ff71c09c</t>
        </is>
      </c>
      <c r="B142" t="inlineStr">
        <is>
          <t>Applied Scientist II, Prime Video - Personalization and Discovery Science</t>
        </is>
      </c>
      <c r="C142" t="inlineStr">
        <is>
          <t>Amazon.com</t>
        </is>
      </c>
      <c r="D142" t="inlineStr">
        <is>
          <t>indeed</t>
        </is>
      </c>
      <c r="E142">
        <f>HYPERLINK("https://www.indeed.com/viewjob?jk=db2e36b3ff71c09c", "https://www.indeed.com/viewjob?jk=db2e36b3ff71c09c")</f>
        <v/>
      </c>
      <c r="F142">
        <f>HYPERLINK("https://www.amazon.jobs/jobs/3059253/applied-scientist-ii-prime-video--personalization-and-discovery-science?cmpid=DA_INAD200785B", "https://www.amazon.jobs/jobs/3059253/applied-scientist-ii-prime-video--personalization-and-discovery-science?cmpid=DA_INAD200785B")</f>
        <v/>
      </c>
      <c r="G142" t="inlineStr">
        <is>
          <t>Sunnyvale, CA, US</t>
        </is>
      </c>
      <c r="H142" s="2" t="n">
        <v>45881</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in-e31616afc6795c5e</t>
        </is>
      </c>
      <c r="B143" t="inlineStr">
        <is>
          <t>Sr. Applied Scientist, Prime Video - Personalization and Discovery Science</t>
        </is>
      </c>
      <c r="C143" t="inlineStr">
        <is>
          <t>Amazon.com</t>
        </is>
      </c>
      <c r="D143" t="inlineStr">
        <is>
          <t>indeed</t>
        </is>
      </c>
      <c r="E143">
        <f>HYPERLINK("https://www.indeed.com/viewjob?jk=e31616afc6795c5e", "https://www.indeed.com/viewjob?jk=e31616afc6795c5e")</f>
        <v/>
      </c>
      <c r="F143">
        <f>HYPERLINK("https://www.amazon.jobs/jobs/3059256/sr-applied-scientist-prime-video--personalization-and-discovery-science?cmpid=DA_INAD200785B", "https://www.amazon.jobs/jobs/3059256/sr-applied-scientist-prime-video--personalization-and-discovery-science?cmpid=DA_INAD200785B")</f>
        <v/>
      </c>
      <c r="G143" t="inlineStr">
        <is>
          <t>Sunnyvale, CA, US</t>
        </is>
      </c>
      <c r="H143" s="2" t="n">
        <v>45881</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in-2ba354e5636bf07d</t>
        </is>
      </c>
      <c r="B144" t="inlineStr">
        <is>
          <t>LLM Machine Learning Engineer</t>
        </is>
      </c>
      <c r="C144" t="inlineStr">
        <is>
          <t>Apple</t>
        </is>
      </c>
      <c r="D144" t="inlineStr">
        <is>
          <t>indeed</t>
        </is>
      </c>
      <c r="E144">
        <f>HYPERLINK("https://www.indeed.com/viewjob?jk=2ba354e5636bf07d", "https://www.indeed.com/viewjob?jk=2ba354e5636bf07d")</f>
        <v/>
      </c>
      <c r="F144">
        <f>HYPERLINK("https://jsv3.recruitics.com/redirect?rx_cid=3427&amp;rx_jobId=200648705-0836_rxr-661&amp;rx_url=https%3A%2F%2Fjobs.apple.com%2Fen-us%2Fdetails%2F200648705-0836%2Fllm-machine-learning-engineer%3Fboard_id%3DJB001%26rx_campaign%3Dindeed0%26rx_ch%3Djobp4p%26rx_group%3D122365%26rx_id%3D09c79168-1604-11f1-9298-034aa93e6fc5%26rx_job%3D200648705-0836_rxr-661%26rx_medium%3Dcpc%26rx_r%3Dnone%26rx_source%3Dindeed%26rx_ts%3D20260302T103830Z%26rx_vp%3Dcpc%26team%3DOPMFG", "https://jsv3.recruitics.com/redirect?rx_cid=3427&amp;rx_jobId=200648705-0836_rxr-661&amp;rx_url=https%3A%2F%2Fjobs.apple.com%2Fen-us%2Fdetails%2F200648705-0836%2Fllm-machine-learning-engineer%3Fboard_id%3DJB001%26rx_campaign%3Dindeed0%26rx_ch%3Djobp4p%26rx_group%3D122365%26rx_id%3D09c79168-1604-11f1-9298-034aa93e6fc5%26rx_job%3D200648705-0836_rxr-661%26rx_medium%3Dcpc%26rx_r%3Dnone%26rx_source%3Dindeed%26rx_ts%3D20260302T103830Z%26rx_vp%3Dcpc%26team%3DOPMFG")</f>
        <v/>
      </c>
      <c r="G144" t="inlineStr">
        <is>
          <t>Cupertino, CA, US</t>
        </is>
      </c>
      <c r="H144" s="2" t="n">
        <v>46082</v>
      </c>
      <c r="I144" t="inlineStr">
        <is>
          <t>Imagine what you could do here. At Apple, we believe new insights have a way of becoming excellent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It takes deeply dedicated, intelligent individuals to maintain and exceed the high expectations at Apple. The Product Operations team is looking for an extraordinary engineer to join our team. You will help design and implement our machine learning strategy to the substantial supply chain and help build the future of our manufacturing systems and smarter factories. We will be collaborating and working with multi\-functional teams and applying algorithms to large\-scale data.  
**Description**  
Product Operations partners with a variety of different engineering and operations teams, our team leads development of machine learning solutions. We deliver projects from end\-to\-end: problem statement and conceptualization, proof\-of\-concept, and participation in final deployment!  
You will also perform ad\-hoc statistical analyses. You will also work closely with data engineers to generate detailed business intelligence solutions. You will be expected to conduct presentations of analyses to a wide range of audiences including executives.  
**Preferred Qualifications**  
Proven experience in LLM and LMM development, fine\-tuning, and application building. Experience with agents and agentic workflows is a major plus.  
Experience with modern LLM serving and inference frameworks, including vLLM for efficient model inference and serving.  
Hands\-on experience with LangChain and LlamaIndex, enabling RAG applications and LLM orchestration.  
Strong software development skills with proficiency in Python. Experienced user of ML and data science libraries such as PyTorch, TensorFlow, Hugging Face Transformers, and scikit\-learn.  
Familiarity with distributed computing, cloud infrastructure, and orchestration tools, such as Kubernetes, Apache Airflow (DAG), Docker, Conductor, Ray for LLM training and inference at scale is a plus.  
Deep understanding of transformer\-based architectures (e.g., BERT, GPT, LLaMA) and their optimization for low\-latency inference.  
Ability to meaningfully present results of analyses in a clear and impactful manner, breaking down complex ML/LLM concepts for non\-technical audiences.  
Experience applying ML techniques in manufacturing, testing, or hardware optimization is a major plus.  
Proven experience in leading and mentoring teams is a plus.  
**Minimum Qualifications**  
3\+ years of experience in machine learning algorithms, statistics, and data mining models, with an emphasis on large language models (LLM) or large multimodal models (LMM).  
Master’s degree in Machine Learning, Artificial Intelligence, Computer Science, Statistics, Operations Research, Physics, Mechanical Engineering, Electrical Engineering, or a related field.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145">
      <c r="A145" t="inlineStr">
        <is>
          <t>in-26ed5cc26d16989d</t>
        </is>
      </c>
      <c r="B145" t="inlineStr">
        <is>
          <t>Principal Applied Scientist, AWS Marketplace &amp; Partner Services</t>
        </is>
      </c>
      <c r="C145" t="inlineStr">
        <is>
          <t>Amazon Web Services</t>
        </is>
      </c>
      <c r="D145" t="inlineStr">
        <is>
          <t>indeed</t>
        </is>
      </c>
      <c r="E145">
        <f>HYPERLINK("https://www.indeed.com/viewjob?jk=26ed5cc26d16989d", "https://www.indeed.com/viewjob?jk=26ed5cc26d16989d")</f>
        <v/>
      </c>
      <c r="F145">
        <f>HYPERLINK("https://www.amazon.jobs/jobs/3177084/principal-applied-scientist-aws-marketplace--partner-services?cmpid=DA_INAD200785B", "https://www.amazon.jobs/jobs/3177084/principal-applied-scientist-aws-marketplace--partner-services?cmpid=DA_INAD200785B")</f>
        <v/>
      </c>
      <c r="G145" t="inlineStr">
        <is>
          <t>New York, NY, US</t>
        </is>
      </c>
      <c r="H145" s="2" t="n">
        <v>46056</v>
      </c>
      <c r="I14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46">
      <c r="A146" t="inlineStr">
        <is>
          <t>in-8c5c95acd20cddf2</t>
        </is>
      </c>
      <c r="B146" t="inlineStr">
        <is>
          <t>Principal Applied Scientist, AWS Marketplace &amp; Partner Services</t>
        </is>
      </c>
      <c r="C146" t="inlineStr">
        <is>
          <t>Amazon Web Services</t>
        </is>
      </c>
      <c r="D146" t="inlineStr">
        <is>
          <t>indeed</t>
        </is>
      </c>
      <c r="E146">
        <f>HYPERLINK("https://www.indeed.com/viewjob?jk=8c5c95acd20cddf2", "https://www.indeed.com/viewjob?jk=8c5c95acd20cddf2")</f>
        <v/>
      </c>
      <c r="F146">
        <f>HYPERLINK("https://www.amazon.jobs/jobs/3177084/principal-applied-scientist-aws-marketplace--partner-services?cmpid=DA_INAD200785B", "https://www.amazon.jobs/jobs/3177084/principal-applied-scientist-aws-marketplace--partner-services?cmpid=DA_INAD200785B")</f>
        <v/>
      </c>
      <c r="G146" t="inlineStr">
        <is>
          <t>San Diego, CA, US</t>
        </is>
      </c>
      <c r="H146" s="2" t="n">
        <v>46056</v>
      </c>
      <c r="I146"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47">
      <c r="A147" t="inlineStr">
        <is>
          <t>in-c37bb3a3c52b8624</t>
        </is>
      </c>
      <c r="B147" t="inlineStr">
        <is>
          <t>Principal Applied Scientist, AWS Marketplace &amp; Partner Services</t>
        </is>
      </c>
      <c r="C147" t="inlineStr">
        <is>
          <t>Amazon Web Services</t>
        </is>
      </c>
      <c r="D147" t="inlineStr">
        <is>
          <t>indeed</t>
        </is>
      </c>
      <c r="E147">
        <f>HYPERLINK("https://www.indeed.com/viewjob?jk=c37bb3a3c52b8624", "https://www.indeed.com/viewjob?jk=c37bb3a3c52b8624")</f>
        <v/>
      </c>
      <c r="F147">
        <f>HYPERLINK("https://www.amazon.jobs/jobs/3177084/principal-applied-scientist-aws-marketplace--partner-services?cmpid=DA_INAD200785B", "https://www.amazon.jobs/jobs/3177084/principal-applied-scientist-aws-marketplace--partner-services?cmpid=DA_INAD200785B")</f>
        <v/>
      </c>
      <c r="G147" t="inlineStr">
        <is>
          <t>Seattle, WA, US</t>
        </is>
      </c>
      <c r="H147" s="2" t="n">
        <v>46056</v>
      </c>
      <c r="I147"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48">
      <c r="A148" t="inlineStr">
        <is>
          <t>in-a6d1fb7ce2f406bc</t>
        </is>
      </c>
      <c r="B148" t="inlineStr">
        <is>
          <t>Principal Applied Scientist, AWS Marketplace &amp; Partner Services</t>
        </is>
      </c>
      <c r="C148" t="inlineStr">
        <is>
          <t>Amazon Web Services</t>
        </is>
      </c>
      <c r="D148" t="inlineStr">
        <is>
          <t>indeed</t>
        </is>
      </c>
      <c r="E148">
        <f>HYPERLINK("https://www.indeed.com/viewjob?jk=a6d1fb7ce2f406bc", "https://www.indeed.com/viewjob?jk=a6d1fb7ce2f406bc")</f>
        <v/>
      </c>
      <c r="F148">
        <f>HYPERLINK("https://www.amazon.jobs/jobs/3177084/principal-applied-scientist-aws-marketplace--partner-services?cmpid=DA_INAD200785B", "https://www.amazon.jobs/jobs/3177084/principal-applied-scientist-aws-marketplace--partner-services?cmpid=DA_INAD200785B")</f>
        <v/>
      </c>
      <c r="G148" t="inlineStr">
        <is>
          <t>Austin, TX, US</t>
        </is>
      </c>
      <c r="H148" s="2" t="n">
        <v>46056</v>
      </c>
      <c r="I148"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49">
      <c r="A149" t="inlineStr">
        <is>
          <t>in-6ff80acacd311fec</t>
        </is>
      </c>
      <c r="B149" t="inlineStr">
        <is>
          <t>Sr. Applied Scientist, AWS Healthcare-AI</t>
        </is>
      </c>
      <c r="C149" t="inlineStr">
        <is>
          <t>Amazon.com</t>
        </is>
      </c>
      <c r="D149" t="inlineStr">
        <is>
          <t>indeed</t>
        </is>
      </c>
      <c r="E149">
        <f>HYPERLINK("https://www.indeed.com/viewjob?jk=6ff80acacd311fec", "https://www.indeed.com/viewjob?jk=6ff80acacd311fec")</f>
        <v/>
      </c>
      <c r="F149">
        <f>HYPERLINK("https://www.amazon.jobs/jobs/3179064/sr-applied-scientist-aws-healthcareai?cmpid=DA_INAD200785B", "https://www.amazon.jobs/jobs/3179064/sr-applied-scientist-aws-healthcareai?cmpid=DA_INAD200785B")</f>
        <v/>
      </c>
      <c r="G149" t="inlineStr">
        <is>
          <t>Seattle, WA, US</t>
        </is>
      </c>
      <c r="H149" s="2" t="n">
        <v>46055</v>
      </c>
      <c r="I149"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50">
      <c r="A150" t="inlineStr">
        <is>
          <t>in-3fadd62e4c8a4311</t>
        </is>
      </c>
      <c r="B150" t="inlineStr">
        <is>
          <t>Sr. Applied Scientist, AWS Healthcare-AI</t>
        </is>
      </c>
      <c r="C150" t="inlineStr">
        <is>
          <t>Amazon.com</t>
        </is>
      </c>
      <c r="D150" t="inlineStr">
        <is>
          <t>indeed</t>
        </is>
      </c>
      <c r="E150">
        <f>HYPERLINK("https://www.indeed.com/viewjob?jk=3fadd62e4c8a4311", "https://www.indeed.com/viewjob?jk=3fadd62e4c8a4311")</f>
        <v/>
      </c>
      <c r="F150">
        <f>HYPERLINK("https://www.amazon.jobs/jobs/3179064/sr-applied-scientist-aws-healthcareai?cmpid=DA_INAD200785B", "https://www.amazon.jobs/jobs/3179064/sr-applied-scientist-aws-healthcareai?cmpid=DA_INAD200785B")</f>
        <v/>
      </c>
      <c r="G150" t="inlineStr">
        <is>
          <t>Mountain View, CA, US</t>
        </is>
      </c>
      <c r="H150" s="2" t="n">
        <v>46055</v>
      </c>
      <c r="I150"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51">
      <c r="A151" t="inlineStr">
        <is>
          <t>in-b007ba9d8924248d</t>
        </is>
      </c>
      <c r="B151" t="inlineStr">
        <is>
          <t>Applied Scientist (Contract), Artificial General Intelligence</t>
        </is>
      </c>
      <c r="C151" t="inlineStr">
        <is>
          <t>Amazon.com</t>
        </is>
      </c>
      <c r="D151" t="inlineStr">
        <is>
          <t>indeed</t>
        </is>
      </c>
      <c r="E151">
        <f>HYPERLINK("https://www.indeed.com/viewjob?jk=b007ba9d8924248d", "https://www.indeed.com/viewjob?jk=b007ba9d8924248d")</f>
        <v/>
      </c>
      <c r="F151">
        <f>HYPERLINK("https://www.amazon.jobs/jobs/3179168/applied-scientist-contract-artificial-general-intelligence?cmpid=DA_INAD200785B", "https://www.amazon.jobs/jobs/3179168/applied-scientist-contract-artificial-general-intelligence?cmpid=DA_INAD200785B")</f>
        <v/>
      </c>
      <c r="G151" t="inlineStr">
        <is>
          <t>Bellevue, WA, US</t>
        </is>
      </c>
      <c r="H151" s="2" t="n">
        <v>46055</v>
      </c>
      <c r="I15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2">
      <c r="A152" t="inlineStr">
        <is>
          <t>in-fc51d5129d39197a</t>
        </is>
      </c>
      <c r="B152" t="inlineStr">
        <is>
          <t>Applied Scientist (Contract), Artificial General Intelligence</t>
        </is>
      </c>
      <c r="C152" t="inlineStr">
        <is>
          <t>Amazon.com</t>
        </is>
      </c>
      <c r="D152" t="inlineStr">
        <is>
          <t>indeed</t>
        </is>
      </c>
      <c r="E152">
        <f>HYPERLINK("https://www.indeed.com/viewjob?jk=fc51d5129d39197a", "https://www.indeed.com/viewjob?jk=fc51d5129d39197a")</f>
        <v/>
      </c>
      <c r="F152">
        <f>HYPERLINK("https://www.amazon.jobs/jobs/3179168/applied-scientist-contract-artificial-general-intelligence?cmpid=DA_INAD200785B", "https://www.amazon.jobs/jobs/3179168/applied-scientist-contract-artificial-general-intelligence?cmpid=DA_INAD200785B")</f>
        <v/>
      </c>
      <c r="G152" t="inlineStr">
        <is>
          <t>Boston, MA, US</t>
        </is>
      </c>
      <c r="H152" s="2" t="n">
        <v>46055</v>
      </c>
      <c r="I15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3">
      <c r="A153" t="inlineStr">
        <is>
          <t>in-669c95af656b620b</t>
        </is>
      </c>
      <c r="B153" t="inlineStr">
        <is>
          <t>Applied Scientist (Contract), Artificial General Intelligence</t>
        </is>
      </c>
      <c r="C153" t="inlineStr">
        <is>
          <t>Amazon.com</t>
        </is>
      </c>
      <c r="D153" t="inlineStr">
        <is>
          <t>indeed</t>
        </is>
      </c>
      <c r="E153">
        <f>HYPERLINK("https://www.indeed.com/viewjob?jk=669c95af656b620b", "https://www.indeed.com/viewjob?jk=669c95af656b620b")</f>
        <v/>
      </c>
      <c r="F153">
        <f>HYPERLINK("https://www.amazon.jobs/jobs/3179188/applied-scientist-contract-artificial-general-intelligence?cmpid=DA_INAD200785B", "https://www.amazon.jobs/jobs/3179188/applied-scientist-contract-artificial-general-intelligence?cmpid=DA_INAD200785B")</f>
        <v/>
      </c>
      <c r="G153" t="inlineStr">
        <is>
          <t>Bellevue, WA, US</t>
        </is>
      </c>
      <c r="H153" s="2" t="n">
        <v>46055</v>
      </c>
      <c r="I15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4">
      <c r="A154" t="inlineStr">
        <is>
          <t>in-b3027dc0dea11285</t>
        </is>
      </c>
      <c r="B154" t="inlineStr">
        <is>
          <t>Applied Scientist (Contract), Artificial General Intelligence</t>
        </is>
      </c>
      <c r="C154" t="inlineStr">
        <is>
          <t>Amazon.com</t>
        </is>
      </c>
      <c r="D154" t="inlineStr">
        <is>
          <t>indeed</t>
        </is>
      </c>
      <c r="E154">
        <f>HYPERLINK("https://www.indeed.com/viewjob?jk=b3027dc0dea11285", "https://www.indeed.com/viewjob?jk=b3027dc0dea11285")</f>
        <v/>
      </c>
      <c r="F154">
        <f>HYPERLINK("https://www.amazon.jobs/jobs/3179188/applied-scientist-contract-artificial-general-intelligence?cmpid=DA_INAD200785B", "https://www.amazon.jobs/jobs/3179188/applied-scientist-contract-artificial-general-intelligence?cmpid=DA_INAD200785B")</f>
        <v/>
      </c>
      <c r="G154" t="inlineStr">
        <is>
          <t>Boston, MA, US</t>
        </is>
      </c>
      <c r="H154" s="2" t="n">
        <v>46055</v>
      </c>
      <c r="I15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5">
      <c r="A155" t="inlineStr">
        <is>
          <t>in-de3773624c00b426</t>
        </is>
      </c>
      <c r="B155" t="inlineStr">
        <is>
          <t>Applied Scientist (Contract), Artificial General Intelligence</t>
        </is>
      </c>
      <c r="C155" t="inlineStr">
        <is>
          <t>Amazon.com</t>
        </is>
      </c>
      <c r="D155" t="inlineStr">
        <is>
          <t>indeed</t>
        </is>
      </c>
      <c r="E155">
        <f>HYPERLINK("https://www.indeed.com/viewjob?jk=de3773624c00b426", "https://www.indeed.com/viewjob?jk=de3773624c00b426")</f>
        <v/>
      </c>
      <c r="F155">
        <f>HYPERLINK("https://www.amazon.jobs/jobs/3179169/applied-scientist-contract-artificial-general-intelligence?cmpid=DA_INAD200785B", "https://www.amazon.jobs/jobs/3179169/applied-scientist-contract-artificial-general-intelligence?cmpid=DA_INAD200785B")</f>
        <v/>
      </c>
      <c r="G155" t="inlineStr">
        <is>
          <t>Bellevue, WA, US</t>
        </is>
      </c>
      <c r="H155" s="2" t="n">
        <v>46055</v>
      </c>
      <c r="I15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6">
      <c r="A156" t="inlineStr">
        <is>
          <t>in-32e589cdb86b9486</t>
        </is>
      </c>
      <c r="B156" t="inlineStr">
        <is>
          <t>Applied Scientist (Contract), Artificial General Intelligence</t>
        </is>
      </c>
      <c r="C156" t="inlineStr">
        <is>
          <t>Amazon.com</t>
        </is>
      </c>
      <c r="D156" t="inlineStr">
        <is>
          <t>indeed</t>
        </is>
      </c>
      <c r="E156">
        <f>HYPERLINK("https://www.indeed.com/viewjob?jk=32e589cdb86b9486", "https://www.indeed.com/viewjob?jk=32e589cdb86b9486")</f>
        <v/>
      </c>
      <c r="F156">
        <f>HYPERLINK("https://www.amazon.jobs/jobs/3179169/applied-scientist-contract-artificial-general-intelligence?cmpid=DA_INAD200785B", "https://www.amazon.jobs/jobs/3179169/applied-scientist-contract-artificial-general-intelligence?cmpid=DA_INAD200785B")</f>
        <v/>
      </c>
      <c r="G156" t="inlineStr">
        <is>
          <t>Boston, MA, US</t>
        </is>
      </c>
      <c r="H156" s="2" t="n">
        <v>46055</v>
      </c>
      <c r="I15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7">
      <c r="A157" t="inlineStr">
        <is>
          <t>in-511804f23cb04778</t>
        </is>
      </c>
      <c r="B157" t="inlineStr">
        <is>
          <t>Applied Scientist (Contract), Artificial General Intelligence</t>
        </is>
      </c>
      <c r="C157" t="inlineStr">
        <is>
          <t>Amazon.com</t>
        </is>
      </c>
      <c r="D157" t="inlineStr">
        <is>
          <t>indeed</t>
        </is>
      </c>
      <c r="E157">
        <f>HYPERLINK("https://www.indeed.com/viewjob?jk=511804f23cb04778", "https://www.indeed.com/viewjob?jk=511804f23cb04778")</f>
        <v/>
      </c>
      <c r="F157">
        <f>HYPERLINK("https://www.amazon.jobs/jobs/3179187/applied-scientist-contract-artificial-general-intelligence?cmpid=DA_INAD200785B", "https://www.amazon.jobs/jobs/3179187/applied-scientist-contract-artificial-general-intelligence?cmpid=DA_INAD200785B")</f>
        <v/>
      </c>
      <c r="G157" t="inlineStr">
        <is>
          <t>Bellevue, WA, US</t>
        </is>
      </c>
      <c r="H157" s="2" t="n">
        <v>46051</v>
      </c>
      <c r="I157"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8">
      <c r="A158" t="inlineStr">
        <is>
          <t>in-0232655db24c3d4d</t>
        </is>
      </c>
      <c r="B158" t="inlineStr">
        <is>
          <t>Applied Scientist (Contract), Artificial General Intelligence</t>
        </is>
      </c>
      <c r="C158" t="inlineStr">
        <is>
          <t>Amazon.com</t>
        </is>
      </c>
      <c r="D158" t="inlineStr">
        <is>
          <t>indeed</t>
        </is>
      </c>
      <c r="E158">
        <f>HYPERLINK("https://www.indeed.com/viewjob?jk=0232655db24c3d4d", "https://www.indeed.com/viewjob?jk=0232655db24c3d4d")</f>
        <v/>
      </c>
      <c r="F158">
        <f>HYPERLINK("https://www.amazon.jobs/jobs/3179187/applied-scientist-contract-artificial-general-intelligence?cmpid=DA_INAD200785B", "https://www.amazon.jobs/jobs/3179187/applied-scientist-contract-artificial-general-intelligence?cmpid=DA_INAD200785B")</f>
        <v/>
      </c>
      <c r="G158" t="inlineStr">
        <is>
          <t>Boston, MA, US</t>
        </is>
      </c>
      <c r="H158" s="2" t="n">
        <v>46051</v>
      </c>
      <c r="I15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59">
      <c r="A159" t="inlineStr">
        <is>
          <t>in-3526360bd6085c19</t>
        </is>
      </c>
      <c r="B159" t="inlineStr">
        <is>
          <t>Sr. Applied Scientist - SLAM, Amazon Industrial Robotics</t>
        </is>
      </c>
      <c r="C159" t="inlineStr">
        <is>
          <t>Amazon.com</t>
        </is>
      </c>
      <c r="D159" t="inlineStr">
        <is>
          <t>indeed</t>
        </is>
      </c>
      <c r="E159">
        <f>HYPERLINK("https://www.indeed.com/viewjob?jk=3526360bd6085c19", "https://www.indeed.com/viewjob?jk=3526360bd6085c19")</f>
        <v/>
      </c>
      <c r="F159">
        <f>HYPERLINK("https://www.amazon.jobs/jobs/3172078/sr-applied-scientist--slam-amazon-industrial-robotics?cmpid=DA_INAD200785B", "https://www.amazon.jobs/jobs/3172078/sr-applied-scientist--slam-amazon-industrial-robotics?cmpid=DA_INAD200785B")</f>
        <v/>
      </c>
      <c r="G159" t="inlineStr">
        <is>
          <t>Reading, MA, US</t>
        </is>
      </c>
      <c r="H159" s="2" t="n">
        <v>46050</v>
      </c>
      <c r="I159"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0">
      <c r="A160" t="inlineStr">
        <is>
          <t>in-eecd841cab804a8d</t>
        </is>
      </c>
      <c r="B160" t="inlineStr">
        <is>
          <t>Sr. Applied Scientist - SLAM, Amazon Industrial Robotics</t>
        </is>
      </c>
      <c r="C160" t="inlineStr">
        <is>
          <t>Amazon.com</t>
        </is>
      </c>
      <c r="D160" t="inlineStr">
        <is>
          <t>indeed</t>
        </is>
      </c>
      <c r="E160">
        <f>HYPERLINK("https://www.indeed.com/viewjob?jk=eecd841cab804a8d", "https://www.indeed.com/viewjob?jk=eecd841cab804a8d")</f>
        <v/>
      </c>
      <c r="F160">
        <f>HYPERLINK("https://www.amazon.jobs/jobs/3172078/sr-applied-scientist--slam-amazon-industrial-robotics?cmpid=DA_INAD200785B", "https://www.amazon.jobs/jobs/3172078/sr-applied-scientist--slam-amazon-industrial-robotics?cmpid=DA_INAD200785B")</f>
        <v/>
      </c>
      <c r="G160" t="inlineStr">
        <is>
          <t>Reading, MA, US</t>
        </is>
      </c>
      <c r="H160" s="2" t="n">
        <v>46050</v>
      </c>
      <c r="I160"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1">
      <c r="A161" t="inlineStr">
        <is>
          <t>in-252f29315c5d8f0a</t>
        </is>
      </c>
      <c r="B161" t="inlineStr">
        <is>
          <t>Principal Applied Scientist, Sensing, Industrial Robotics Group</t>
        </is>
      </c>
      <c r="C161" t="inlineStr">
        <is>
          <t>Amazon.com</t>
        </is>
      </c>
      <c r="D161" t="inlineStr">
        <is>
          <t>indeed</t>
        </is>
      </c>
      <c r="E161">
        <f>HYPERLINK("https://www.indeed.com/viewjob?jk=252f29315c5d8f0a", "https://www.indeed.com/viewjob?jk=252f29315c5d8f0a")</f>
        <v/>
      </c>
      <c r="F161">
        <f>HYPERLINK("https://www.amazon.jobs/jobs/3170953/principal-applied-scientist-sensing-industrial-robotics-group-?cmpid=DA_INAD200785B", "https://www.amazon.jobs/jobs/3170953/principal-applied-scientist-sensing-industrial-robotics-group-?cmpid=DA_INAD200785B")</f>
        <v/>
      </c>
      <c r="G161" t="inlineStr">
        <is>
          <t>Reading, MA, US</t>
        </is>
      </c>
      <c r="H161" s="2" t="n">
        <v>46050</v>
      </c>
      <c r="I161"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62">
      <c r="A162" t="inlineStr">
        <is>
          <t>in-79995a34a66aa4e9</t>
        </is>
      </c>
      <c r="B162" t="inlineStr">
        <is>
          <t>Principal Applied Scientist, Sensing, Industrial Robotics Group</t>
        </is>
      </c>
      <c r="C162" t="inlineStr">
        <is>
          <t>Amazon.com</t>
        </is>
      </c>
      <c r="D162" t="inlineStr">
        <is>
          <t>indeed</t>
        </is>
      </c>
      <c r="E162">
        <f>HYPERLINK("https://www.indeed.com/viewjob?jk=79995a34a66aa4e9", "https://www.indeed.com/viewjob?jk=79995a34a66aa4e9")</f>
        <v/>
      </c>
      <c r="F162">
        <f>HYPERLINK("https://www.amazon.jobs/jobs/3170953/principal-applied-scientist-sensing-industrial-robotics-group-?cmpid=DA_INAD200785B", "https://www.amazon.jobs/jobs/3170953/principal-applied-scientist-sensing-industrial-robotics-group-?cmpid=DA_INAD200785B")</f>
        <v/>
      </c>
      <c r="G162" t="inlineStr">
        <is>
          <t>Reading, MA, US</t>
        </is>
      </c>
      <c r="H162" s="2" t="n">
        <v>46050</v>
      </c>
      <c r="I162"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63">
      <c r="A163" t="inlineStr">
        <is>
          <t>in-0ebd791dd06858d0</t>
        </is>
      </c>
      <c r="B163" t="inlineStr">
        <is>
          <t>Senior Applied Scientist, Amazon Industrial Robotics</t>
        </is>
      </c>
      <c r="C163" t="inlineStr">
        <is>
          <t>Amazon.com</t>
        </is>
      </c>
      <c r="D163" t="inlineStr">
        <is>
          <t>indeed</t>
        </is>
      </c>
      <c r="E163">
        <f>HYPERLINK("https://www.indeed.com/viewjob?jk=0ebd791dd06858d0", "https://www.indeed.com/viewjob?jk=0ebd791dd06858d0")</f>
        <v/>
      </c>
      <c r="F163">
        <f>HYPERLINK("https://www.amazon.jobs/jobs/3168941/senior-applied-scientist-amazon-industrial-robotics?cmpid=DA_INAD200785B", "https://www.amazon.jobs/jobs/3168941/senior-applied-scientist-amazon-industrial-robotics?cmpid=DA_INAD200785B")</f>
        <v/>
      </c>
      <c r="G163" t="inlineStr">
        <is>
          <t>Reading, MA, US</t>
        </is>
      </c>
      <c r="H163" s="2" t="n">
        <v>46048</v>
      </c>
      <c r="I1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4">
      <c r="A164" t="inlineStr">
        <is>
          <t>in-8d70cdd419713376</t>
        </is>
      </c>
      <c r="B164" t="inlineStr">
        <is>
          <t>Senior Applied Scientist, Amazon Industrial Robotics</t>
        </is>
      </c>
      <c r="C164" t="inlineStr">
        <is>
          <t>Amazon.com</t>
        </is>
      </c>
      <c r="D164" t="inlineStr">
        <is>
          <t>indeed</t>
        </is>
      </c>
      <c r="E164">
        <f>HYPERLINK("https://www.indeed.com/viewjob?jk=8d70cdd419713376", "https://www.indeed.com/viewjob?jk=8d70cdd419713376")</f>
        <v/>
      </c>
      <c r="F164">
        <f>HYPERLINK("https://www.amazon.jobs/jobs/3168941/senior-applied-scientist-amazon-industrial-robotics?cmpid=DA_INAD200785B", "https://www.amazon.jobs/jobs/3168941/senior-applied-scientist-amazon-industrial-robotics?cmpid=DA_INAD200785B")</f>
        <v/>
      </c>
      <c r="G164" t="inlineStr">
        <is>
          <t>Reading, MA, US</t>
        </is>
      </c>
      <c r="H164" s="2" t="n">
        <v>46048</v>
      </c>
      <c r="I1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65">
      <c r="A165" t="inlineStr">
        <is>
          <t>in-ec3dc54970e4b6e0</t>
        </is>
      </c>
      <c r="B165" t="inlineStr">
        <is>
          <t>Applied Scientist, Amazon Connect</t>
        </is>
      </c>
      <c r="C165" t="inlineStr">
        <is>
          <t>Amazon Web Services</t>
        </is>
      </c>
      <c r="D165" t="inlineStr">
        <is>
          <t>indeed</t>
        </is>
      </c>
      <c r="E165">
        <f>HYPERLINK("https://www.indeed.com/viewjob?jk=ec3dc54970e4b6e0", "https://www.indeed.com/viewjob?jk=ec3dc54970e4b6e0")</f>
        <v/>
      </c>
      <c r="F165">
        <f>HYPERLINK("https://www.amazon.jobs/jobs/3168981/applied-scientist-amazon-connect?cmpid=DA_INAD200785B", "https://www.amazon.jobs/jobs/3168981/applied-scientist-amazon-connect?cmpid=DA_INAD200785B")</f>
        <v/>
      </c>
      <c r="G165" t="inlineStr">
        <is>
          <t>New York, NY, US</t>
        </is>
      </c>
      <c r="H165" s="2" t="n">
        <v>46047</v>
      </c>
      <c r="I165"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6">
      <c r="A166" t="inlineStr">
        <is>
          <t>in-f343c4792283410f</t>
        </is>
      </c>
      <c r="B166" t="inlineStr">
        <is>
          <t>Applied Scientist, Amazon Connect</t>
        </is>
      </c>
      <c r="C166" t="inlineStr">
        <is>
          <t>Amazon Web Services</t>
        </is>
      </c>
      <c r="D166" t="inlineStr">
        <is>
          <t>indeed</t>
        </is>
      </c>
      <c r="E166">
        <f>HYPERLINK("https://www.indeed.com/viewjob?jk=f343c4792283410f", "https://www.indeed.com/viewjob?jk=f343c4792283410f")</f>
        <v/>
      </c>
      <c r="F166">
        <f>HYPERLINK("https://www.amazon.jobs/jobs/3168981/applied-scientist-amazon-connect?cmpid=DA_INAD200785B", "https://www.amazon.jobs/jobs/3168981/applied-scientist-amazon-connect?cmpid=DA_INAD200785B")</f>
        <v/>
      </c>
      <c r="G166" t="inlineStr">
        <is>
          <t>Seattle, WA, US</t>
        </is>
      </c>
      <c r="H166" s="2" t="n">
        <v>46047</v>
      </c>
      <c r="I166"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67">
      <c r="A167" t="inlineStr">
        <is>
          <t>in-6a7ac3186de46f00</t>
        </is>
      </c>
      <c r="B167" t="inlineStr">
        <is>
          <t>Applied Scientist II, Prime Video Personalization and Discovery Science</t>
        </is>
      </c>
      <c r="C167" t="inlineStr">
        <is>
          <t>Amazon.com</t>
        </is>
      </c>
      <c r="D167" t="inlineStr">
        <is>
          <t>indeed</t>
        </is>
      </c>
      <c r="E167">
        <f>HYPERLINK("https://www.indeed.com/viewjob?jk=6a7ac3186de46f00", "https://www.indeed.com/viewjob?jk=6a7ac3186de46f00")</f>
        <v/>
      </c>
      <c r="F167">
        <f>HYPERLINK("https://www.amazon.jobs/jobs/3168905/applied-scientist-ii-prime-video-personalization-and-discovery-science?cmpid=DA_INAD200785B", "https://www.amazon.jobs/jobs/3168905/applied-scientist-ii-prime-video-personalization-and-discovery-science?cmpid=DA_INAD200785B")</f>
        <v/>
      </c>
      <c r="G167" t="inlineStr">
        <is>
          <t>Sunnyvale, CA, US</t>
        </is>
      </c>
      <c r="H167" s="2" t="n">
        <v>46047</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8">
      <c r="A168" t="inlineStr">
        <is>
          <t>in-d699bee5484f7e42</t>
        </is>
      </c>
      <c r="B168" t="inlineStr">
        <is>
          <t>Applied Scientist II, Prime Video Personalization and Discovery Science</t>
        </is>
      </c>
      <c r="C168" t="inlineStr">
        <is>
          <t>Amazon.com</t>
        </is>
      </c>
      <c r="D168" t="inlineStr">
        <is>
          <t>indeed</t>
        </is>
      </c>
      <c r="E168">
        <f>HYPERLINK("https://www.indeed.com/viewjob?jk=d699bee5484f7e42", "https://www.indeed.com/viewjob?jk=d699bee5484f7e42")</f>
        <v/>
      </c>
      <c r="F168">
        <f>HYPERLINK("https://www.amazon.jobs/jobs/3168905/applied-scientist-ii-prime-video-personalization-and-discovery-science?cmpid=DA_INAD200785B", "https://www.amazon.jobs/jobs/3168905/applied-scientist-ii-prime-video-personalization-and-discovery-science?cmpid=DA_INAD200785B")</f>
        <v/>
      </c>
      <c r="G168" t="inlineStr">
        <is>
          <t>Seattle, WA, US</t>
        </is>
      </c>
      <c r="H168" s="2" t="n">
        <v>46047</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69">
      <c r="A169" t="inlineStr">
        <is>
          <t>in-91b709770b8a9ed2</t>
        </is>
      </c>
      <c r="B169" t="inlineStr">
        <is>
          <t>Applied Scientist II, Prime Video Personalization and Discovery Science</t>
        </is>
      </c>
      <c r="C169" t="inlineStr">
        <is>
          <t>Amazon.com</t>
        </is>
      </c>
      <c r="D169" t="inlineStr">
        <is>
          <t>indeed</t>
        </is>
      </c>
      <c r="E169">
        <f>HYPERLINK("https://www.indeed.com/viewjob?jk=91b709770b8a9ed2", "https://www.indeed.com/viewjob?jk=91b709770b8a9ed2")</f>
        <v/>
      </c>
      <c r="F169">
        <f>HYPERLINK("https://www.amazon.jobs/jobs/3168905/applied-scientist-ii-prime-video-personalization-and-discovery-science?cmpid=DA_INAD200785B", "https://www.amazon.jobs/jobs/3168905/applied-scientist-ii-prime-video-personalization-and-discovery-science?cmpid=DA_INAD200785B")</f>
        <v/>
      </c>
      <c r="G169" t="inlineStr">
        <is>
          <t>New York, NY, US</t>
        </is>
      </c>
      <c r="H169" s="2" t="n">
        <v>46047</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70">
      <c r="A170" t="inlineStr">
        <is>
          <t>in-6924ecb8904a4ae6</t>
        </is>
      </c>
      <c r="B170" t="inlineStr">
        <is>
          <t>Applied Scientist, Safety ML</t>
        </is>
      </c>
      <c r="C170" t="inlineStr">
        <is>
          <t>Amazon.com</t>
        </is>
      </c>
      <c r="D170" t="inlineStr">
        <is>
          <t>indeed</t>
        </is>
      </c>
      <c r="E170">
        <f>HYPERLINK("https://www.indeed.com/viewjob?jk=6924ecb8904a4ae6", "https://www.indeed.com/viewjob?jk=6924ecb8904a4ae6")</f>
        <v/>
      </c>
      <c r="F170">
        <f>HYPERLINK("https://www.amazon.jobs/jobs/3161224/applied-scientist-safety-ml?cmpid=DA_INAD200785B", "https://www.amazon.jobs/jobs/3161224/applied-scientist-safety-ml?cmpid=DA_INAD200785B")</f>
        <v/>
      </c>
      <c r="G170" t="inlineStr">
        <is>
          <t>San Francisco, CA, US</t>
        </is>
      </c>
      <c r="H170" s="2" t="n">
        <v>46037</v>
      </c>
      <c r="I1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71">
      <c r="A171" t="inlineStr">
        <is>
          <t>in-f4b2b71b37a84c0c</t>
        </is>
      </c>
      <c r="B171" t="inlineStr">
        <is>
          <t>Applied Scientist, Safety ML</t>
        </is>
      </c>
      <c r="C171" t="inlineStr">
        <is>
          <t>Amazon.com</t>
        </is>
      </c>
      <c r="D171" t="inlineStr">
        <is>
          <t>indeed</t>
        </is>
      </c>
      <c r="E171">
        <f>HYPERLINK("https://www.indeed.com/viewjob?jk=f4b2b71b37a84c0c", "https://www.indeed.com/viewjob?jk=f4b2b71b37a84c0c")</f>
        <v/>
      </c>
      <c r="F171">
        <f>HYPERLINK("https://www.amazon.jobs/jobs/3161224/applied-scientist-safety-ml?cmpid=DA_INAD200785B", "https://www.amazon.jobs/jobs/3161224/applied-scientist-safety-ml?cmpid=DA_INAD200785B")</f>
        <v/>
      </c>
      <c r="G171" t="inlineStr">
        <is>
          <t>Seattle, WA, US</t>
        </is>
      </c>
      <c r="H171" s="2" t="n">
        <v>46037</v>
      </c>
      <c r="I1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72">
      <c r="A172" t="inlineStr">
        <is>
          <t>in-38bce061137045dd</t>
        </is>
      </c>
      <c r="B172" t="inlineStr">
        <is>
          <t>Principal Applied Scientist, Measurement, AdTech and Data Science, Ads Performance Measurement</t>
        </is>
      </c>
      <c r="C172" t="inlineStr">
        <is>
          <t>Amazon.com</t>
        </is>
      </c>
      <c r="D172" t="inlineStr">
        <is>
          <t>indeed</t>
        </is>
      </c>
      <c r="E172">
        <f>HYPERLINK("https://www.indeed.com/viewjob?jk=38bce061137045dd", "https://www.indeed.com/viewjob?jk=38bce061137045dd")</f>
        <v/>
      </c>
      <c r="F172">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72" t="inlineStr">
        <is>
          <t>Palo Alto, CA, US</t>
        </is>
      </c>
      <c r="H172" s="2" t="n">
        <v>46037</v>
      </c>
      <c r="I172"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73">
      <c r="A173" t="inlineStr">
        <is>
          <t>in-d4f36272cae852aa</t>
        </is>
      </c>
      <c r="B173" t="inlineStr">
        <is>
          <t>Principal Applied Scientist, Measurement, AdTech and Data Science, Ads Performance Measurement</t>
        </is>
      </c>
      <c r="C173" t="inlineStr">
        <is>
          <t>Amazon.com</t>
        </is>
      </c>
      <c r="D173" t="inlineStr">
        <is>
          <t>indeed</t>
        </is>
      </c>
      <c r="E173">
        <f>HYPERLINK("https://www.indeed.com/viewjob?jk=d4f36272cae852aa", "https://www.indeed.com/viewjob?jk=d4f36272cae852aa")</f>
        <v/>
      </c>
      <c r="F173">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73" t="inlineStr">
        <is>
          <t>Seattle, WA, US</t>
        </is>
      </c>
      <c r="H173" s="2" t="n">
        <v>46037</v>
      </c>
      <c r="I173"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74">
      <c r="A174" t="inlineStr">
        <is>
          <t>in-7d894f7881494582</t>
        </is>
      </c>
      <c r="B174" t="inlineStr">
        <is>
          <t>Principal Applied Scientist, Measurement, AdTech and Data Science, Ads Performance Measurement</t>
        </is>
      </c>
      <c r="C174" t="inlineStr">
        <is>
          <t>Amazon.com</t>
        </is>
      </c>
      <c r="D174" t="inlineStr">
        <is>
          <t>indeed</t>
        </is>
      </c>
      <c r="E174">
        <f>HYPERLINK("https://www.indeed.com/viewjob?jk=7d894f7881494582", "https://www.indeed.com/viewjob?jk=7d894f7881494582")</f>
        <v/>
      </c>
      <c r="F174">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74" t="inlineStr">
        <is>
          <t>New York, NY, US</t>
        </is>
      </c>
      <c r="H174" s="2" t="n">
        <v>46037</v>
      </c>
      <c r="I174"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75">
      <c r="A175" t="inlineStr">
        <is>
          <t>in-3ec4b0e18dcbb3d7</t>
        </is>
      </c>
      <c r="B175" t="inlineStr">
        <is>
          <t>Applied Scientist, LLM Code Agents, Kiro Science</t>
        </is>
      </c>
      <c r="C175" t="inlineStr">
        <is>
          <t>Amazon.com</t>
        </is>
      </c>
      <c r="D175" t="inlineStr">
        <is>
          <t>indeed</t>
        </is>
      </c>
      <c r="E175">
        <f>HYPERLINK("https://www.indeed.com/viewjob?jk=3ec4b0e18dcbb3d7", "https://www.indeed.com/viewjob?jk=3ec4b0e18dcbb3d7")</f>
        <v/>
      </c>
      <c r="F175">
        <f>HYPERLINK("https://www.amazon.jobs/jobs/3161363/applied-scientist-llm-code-agents-kiro-science?cmpid=DA_INAD200785B", "https://www.amazon.jobs/jobs/3161363/applied-scientist-llm-code-agents-kiro-science?cmpid=DA_INAD200785B")</f>
        <v/>
      </c>
      <c r="G175" t="inlineStr">
        <is>
          <t>Seattle, WA, US</t>
        </is>
      </c>
      <c r="H175" s="2" t="n">
        <v>46035</v>
      </c>
      <c r="I175"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76">
      <c r="A176" t="inlineStr">
        <is>
          <t>in-5070a1afe7cb224d</t>
        </is>
      </c>
      <c r="B176" t="inlineStr">
        <is>
          <t>Applied Scientist, LLM Code Agents, Kiro Science</t>
        </is>
      </c>
      <c r="C176" t="inlineStr">
        <is>
          <t>Amazon.com</t>
        </is>
      </c>
      <c r="D176" t="inlineStr">
        <is>
          <t>indeed</t>
        </is>
      </c>
      <c r="E176">
        <f>HYPERLINK("https://www.indeed.com/viewjob?jk=5070a1afe7cb224d", "https://www.indeed.com/viewjob?jk=5070a1afe7cb224d")</f>
        <v/>
      </c>
      <c r="F176">
        <f>HYPERLINK("https://www.amazon.jobs/jobs/3161363/applied-scientist-llm-code-agents-kiro-science?cmpid=DA_INAD200785B", "https://www.amazon.jobs/jobs/3161363/applied-scientist-llm-code-agents-kiro-science?cmpid=DA_INAD200785B")</f>
        <v/>
      </c>
      <c r="G176" t="inlineStr">
        <is>
          <t>Santa Clara, CA, US</t>
        </is>
      </c>
      <c r="H176" s="2" t="n">
        <v>46035</v>
      </c>
      <c r="I176"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77">
      <c r="A177" t="inlineStr">
        <is>
          <t>in-17ac7acce0b06289</t>
        </is>
      </c>
      <c r="B177" t="inlineStr">
        <is>
          <t>Applied Scientist II, Prime Video Personalization and Discovery Science</t>
        </is>
      </c>
      <c r="C177" t="inlineStr">
        <is>
          <t>Amazon.com</t>
        </is>
      </c>
      <c r="D177" t="inlineStr">
        <is>
          <t>indeed</t>
        </is>
      </c>
      <c r="E177">
        <f>HYPERLINK("https://www.indeed.com/viewjob?jk=17ac7acce0b06289", "https://www.indeed.com/viewjob?jk=17ac7acce0b06289")</f>
        <v/>
      </c>
      <c r="F177">
        <f>HYPERLINK("https://www.amazon.jobs/jobs/3165157/applied-scientist-ii-prime-video-personalization-and-discovery-science?cmpid=DA_INAD200785B", "https://www.amazon.jobs/jobs/3165157/applied-scientist-ii-prime-video-personalization-and-discovery-science?cmpid=DA_INAD200785B")</f>
        <v/>
      </c>
      <c r="G177" t="inlineStr">
        <is>
          <t>Seattle, WA, US</t>
        </is>
      </c>
      <c r="H177" s="2" t="n">
        <v>46034</v>
      </c>
      <c r="I1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78">
      <c r="A178" t="inlineStr">
        <is>
          <t>in-bf1146b0783a9756</t>
        </is>
      </c>
      <c r="B178" t="inlineStr">
        <is>
          <t>Applied Scientist II, Prime Video Personalization and Discovery Science</t>
        </is>
      </c>
      <c r="C178" t="inlineStr">
        <is>
          <t>Amazon.com</t>
        </is>
      </c>
      <c r="D178" t="inlineStr">
        <is>
          <t>indeed</t>
        </is>
      </c>
      <c r="E178">
        <f>HYPERLINK("https://www.indeed.com/viewjob?jk=bf1146b0783a9756", "https://www.indeed.com/viewjob?jk=bf1146b0783a9756")</f>
        <v/>
      </c>
      <c r="F178">
        <f>HYPERLINK("https://www.amazon.jobs/jobs/3165157/applied-scientist-ii-prime-video-personalization-and-discovery-science?cmpid=DA_INAD200785B", "https://www.amazon.jobs/jobs/3165157/applied-scientist-ii-prime-video-personalization-and-discovery-science?cmpid=DA_INAD200785B")</f>
        <v/>
      </c>
      <c r="G178" t="inlineStr">
        <is>
          <t>Sunnyvale, CA, US</t>
        </is>
      </c>
      <c r="H178" s="2" t="n">
        <v>46034</v>
      </c>
      <c r="I1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79">
      <c r="A179" t="inlineStr">
        <is>
          <t>in-e4bf518a96cd7773</t>
        </is>
      </c>
      <c r="B179" t="inlineStr">
        <is>
          <t>Applied Scientist, Alexa Smart Home</t>
        </is>
      </c>
      <c r="C179" t="inlineStr">
        <is>
          <t>Amazon.com</t>
        </is>
      </c>
      <c r="D179" t="inlineStr">
        <is>
          <t>indeed</t>
        </is>
      </c>
      <c r="E179">
        <f>HYPERLINK("https://www.indeed.com/viewjob?jk=e4bf518a96cd7773", "https://www.indeed.com/viewjob?jk=e4bf518a96cd7773")</f>
        <v/>
      </c>
      <c r="F179">
        <f>HYPERLINK("https://www.amazon.jobs/jobs/3169205/applied-scientist-alexa-smart-home?cmpid=DA_INAD200785B", "https://www.amazon.jobs/jobs/3169205/applied-scientist-alexa-smart-home?cmpid=DA_INAD200785B")</f>
        <v/>
      </c>
      <c r="G179" t="inlineStr">
        <is>
          <t>Seattle, WA, US</t>
        </is>
      </c>
      <c r="H179" s="2" t="n">
        <v>46033</v>
      </c>
      <c r="I17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0">
      <c r="A180" t="inlineStr">
        <is>
          <t>in-9238ab478527772b</t>
        </is>
      </c>
      <c r="B180" t="inlineStr">
        <is>
          <t>Applied Scientist, Alexa Smart Home</t>
        </is>
      </c>
      <c r="C180" t="inlineStr">
        <is>
          <t>Amazon.com</t>
        </is>
      </c>
      <c r="D180" t="inlineStr">
        <is>
          <t>indeed</t>
        </is>
      </c>
      <c r="E180">
        <f>HYPERLINK("https://www.indeed.com/viewjob?jk=9238ab478527772b", "https://www.indeed.com/viewjob?jk=9238ab478527772b")</f>
        <v/>
      </c>
      <c r="F180">
        <f>HYPERLINK("https://www.amazon.jobs/jobs/3169205/applied-scientist-alexa-smart-home?cmpid=DA_INAD200785B", "https://www.amazon.jobs/jobs/3169205/applied-scientist-alexa-smart-home?cmpid=DA_INAD200785B")</f>
        <v/>
      </c>
      <c r="G180" t="inlineStr">
        <is>
          <t>Sunnyvale, CA, US</t>
        </is>
      </c>
      <c r="H180" s="2" t="n">
        <v>46033</v>
      </c>
      <c r="I180"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81">
      <c r="A181" t="inlineStr">
        <is>
          <t>in-f364739b754bb349</t>
        </is>
      </c>
      <c r="B181" t="inlineStr">
        <is>
          <t>Applied Scientist, AWS Applied AI Solutions</t>
        </is>
      </c>
      <c r="C181" t="inlineStr">
        <is>
          <t>Amazon Web Services</t>
        </is>
      </c>
      <c r="D181" t="inlineStr">
        <is>
          <t>indeed</t>
        </is>
      </c>
      <c r="E181">
        <f>HYPERLINK("https://www.indeed.com/viewjob?jk=f364739b754bb349", "https://www.indeed.com/viewjob?jk=f364739b754bb349")</f>
        <v/>
      </c>
      <c r="F181">
        <f>HYPERLINK("https://www.amazon.jobs/jobs/3166907/applied-scientist-aws-applied-ai-solutions?cmpid=DA_INAD200785B", "https://www.amazon.jobs/jobs/3166907/applied-scientist-aws-applied-ai-solutions?cmpid=DA_INAD200785B")</f>
        <v/>
      </c>
      <c r="G181" t="inlineStr">
        <is>
          <t>New York, NY, US</t>
        </is>
      </c>
      <c r="H181" s="2" t="n">
        <v>46030</v>
      </c>
      <c r="I181"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2">
      <c r="A182" t="inlineStr">
        <is>
          <t>in-e46f93cf2ea70659</t>
        </is>
      </c>
      <c r="B182" t="inlineStr">
        <is>
          <t>Applied Scientist, AWS Applied AI Solutions</t>
        </is>
      </c>
      <c r="C182" t="inlineStr">
        <is>
          <t>Amazon Web Services</t>
        </is>
      </c>
      <c r="D182" t="inlineStr">
        <is>
          <t>indeed</t>
        </is>
      </c>
      <c r="E182">
        <f>HYPERLINK("https://www.indeed.com/viewjob?jk=e46f93cf2ea70659", "https://www.indeed.com/viewjob?jk=e46f93cf2ea70659")</f>
        <v/>
      </c>
      <c r="F182">
        <f>HYPERLINK("https://www.amazon.jobs/jobs/3166907/applied-scientist-aws-applied-ai-solutions?cmpid=DA_INAD200785B", "https://www.amazon.jobs/jobs/3166907/applied-scientist-aws-applied-ai-solutions?cmpid=DA_INAD200785B")</f>
        <v/>
      </c>
      <c r="G182" t="inlineStr">
        <is>
          <t>Seattle, WA, US</t>
        </is>
      </c>
      <c r="H182" s="2" t="n">
        <v>46030</v>
      </c>
      <c r="I182"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3">
      <c r="A183" t="inlineStr">
        <is>
          <t>in-149f06b3dc99e4f3</t>
        </is>
      </c>
      <c r="B183" t="inlineStr">
        <is>
          <t>Applied Scientist II, Prime Video Personalization and Discovery Science</t>
        </is>
      </c>
      <c r="C183" t="inlineStr">
        <is>
          <t>Amazon.com</t>
        </is>
      </c>
      <c r="D183" t="inlineStr">
        <is>
          <t>indeed</t>
        </is>
      </c>
      <c r="E183">
        <f>HYPERLINK("https://www.indeed.com/viewjob?jk=149f06b3dc99e4f3", "https://www.indeed.com/viewjob?jk=149f06b3dc99e4f3")</f>
        <v/>
      </c>
      <c r="F183">
        <f>HYPERLINK("https://www.amazon.jobs/jobs/3155448/applied-scientist-ii-prime-video-personalization-and-discovery-science?cmpid=DA_INAD200785B", "https://www.amazon.jobs/jobs/3155448/applied-scientist-ii-prime-video-personalization-and-discovery-science?cmpid=DA_INAD200785B")</f>
        <v/>
      </c>
      <c r="G183" t="inlineStr">
        <is>
          <t>Seattle, WA, US</t>
        </is>
      </c>
      <c r="H183" s="2" t="n">
        <v>46028</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4">
      <c r="A184" t="inlineStr">
        <is>
          <t>in-c7b62150f4de5d6f</t>
        </is>
      </c>
      <c r="B184" t="inlineStr">
        <is>
          <t>Applied Scientist II, Prime Video Personalization and Discovery Science</t>
        </is>
      </c>
      <c r="C184" t="inlineStr">
        <is>
          <t>Amazon.com</t>
        </is>
      </c>
      <c r="D184" t="inlineStr">
        <is>
          <t>indeed</t>
        </is>
      </c>
      <c r="E184">
        <f>HYPERLINK("https://www.indeed.com/viewjob?jk=c7b62150f4de5d6f", "https://www.indeed.com/viewjob?jk=c7b62150f4de5d6f")</f>
        <v/>
      </c>
      <c r="F184">
        <f>HYPERLINK("https://www.amazon.jobs/jobs/3155448/applied-scientist-ii-prime-video-personalization-and-discovery-science?cmpid=DA_INAD200785B", "https://www.amazon.jobs/jobs/3155448/applied-scientist-ii-prime-video-personalization-and-discovery-science?cmpid=DA_INAD200785B")</f>
        <v/>
      </c>
      <c r="G184" t="inlineStr">
        <is>
          <t>New York, NY, US</t>
        </is>
      </c>
      <c r="H184" s="2" t="n">
        <v>46028</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5">
      <c r="A185" t="inlineStr">
        <is>
          <t>in-b0ae70c89b1ac6d7</t>
        </is>
      </c>
      <c r="B185" t="inlineStr">
        <is>
          <t>Applied Scientist II, Prime Video Personalization and Discovery Science</t>
        </is>
      </c>
      <c r="C185" t="inlineStr">
        <is>
          <t>Amazon.com</t>
        </is>
      </c>
      <c r="D185" t="inlineStr">
        <is>
          <t>indeed</t>
        </is>
      </c>
      <c r="E185">
        <f>HYPERLINK("https://www.indeed.com/viewjob?jk=b0ae70c89b1ac6d7", "https://www.indeed.com/viewjob?jk=b0ae70c89b1ac6d7")</f>
        <v/>
      </c>
      <c r="F185">
        <f>HYPERLINK("https://www.amazon.jobs/jobs/3155448/applied-scientist-ii-prime-video-personalization-and-discovery-science?cmpid=DA_INAD200785B", "https://www.amazon.jobs/jobs/3155448/applied-scientist-ii-prime-video-personalization-and-discovery-science?cmpid=DA_INAD200785B")</f>
        <v/>
      </c>
      <c r="G185" t="inlineStr">
        <is>
          <t>Sunnyvale, CA, US</t>
        </is>
      </c>
      <c r="H185" s="2" t="n">
        <v>46028</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6">
      <c r="A186" t="inlineStr">
        <is>
          <t>in-d867af0004ab5273</t>
        </is>
      </c>
      <c r="B186" t="inlineStr">
        <is>
          <t>Senior Applied Scientist, Distributed SQL</t>
        </is>
      </c>
      <c r="C186" t="inlineStr">
        <is>
          <t>Amazon Web Services</t>
        </is>
      </c>
      <c r="D186" t="inlineStr">
        <is>
          <t>indeed</t>
        </is>
      </c>
      <c r="E186">
        <f>HYPERLINK("https://www.indeed.com/viewjob?jk=d867af0004ab5273", "https://www.indeed.com/viewjob?jk=d867af0004ab5273")</f>
        <v/>
      </c>
      <c r="F186">
        <f>HYPERLINK("https://www.amazon.jobs/jobs/3148444/senior-applied-scientist-distributed-sql?cmpid=DA_INAD200785B", "https://www.amazon.jobs/jobs/3148444/senior-applied-scientist-distributed-sql?cmpid=DA_INAD200785B")</f>
        <v/>
      </c>
      <c r="G186" t="inlineStr">
        <is>
          <t>Seattle, WA, US</t>
        </is>
      </c>
      <c r="H186" s="2" t="n">
        <v>46012</v>
      </c>
      <c r="I18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87">
      <c r="A187" t="inlineStr">
        <is>
          <t>in-66b3d114f709ad3a</t>
        </is>
      </c>
      <c r="B187" t="inlineStr">
        <is>
          <t>Senior Applied Scientist, Distributed SQL</t>
        </is>
      </c>
      <c r="C187" t="inlineStr">
        <is>
          <t>Amazon Web Services</t>
        </is>
      </c>
      <c r="D187" t="inlineStr">
        <is>
          <t>indeed</t>
        </is>
      </c>
      <c r="E187">
        <f>HYPERLINK("https://www.indeed.com/viewjob?jk=66b3d114f709ad3a", "https://www.indeed.com/viewjob?jk=66b3d114f709ad3a")</f>
        <v/>
      </c>
      <c r="F187">
        <f>HYPERLINK("https://www.amazon.jobs/jobs/3148444/senior-applied-scientist-distributed-sql?cmpid=DA_INAD200785B", "https://www.amazon.jobs/jobs/3148444/senior-applied-scientist-distributed-sql?cmpid=DA_INAD200785B")</f>
        <v/>
      </c>
      <c r="G187" t="inlineStr">
        <is>
          <t>East Palo Alto, CA, US</t>
        </is>
      </c>
      <c r="H187" s="2" t="n">
        <v>46012</v>
      </c>
      <c r="I18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88">
      <c r="A188" t="inlineStr">
        <is>
          <t>in-5b096a2ee395e0a3</t>
        </is>
      </c>
      <c r="B188" t="inlineStr">
        <is>
          <t>Applied Scientist, Delivery Foundation Model</t>
        </is>
      </c>
      <c r="C188" t="inlineStr">
        <is>
          <t>Amazon.com</t>
        </is>
      </c>
      <c r="D188" t="inlineStr">
        <is>
          <t>indeed</t>
        </is>
      </c>
      <c r="E188">
        <f>HYPERLINK("https://www.indeed.com/viewjob?jk=5b096a2ee395e0a3", "https://www.indeed.com/viewjob?jk=5b096a2ee395e0a3")</f>
        <v/>
      </c>
      <c r="F188">
        <f>HYPERLINK("https://www.amazon.jobs/jobs/3169077/applied-scientist-delivery-foundation-model-?cmpid=DA_INAD200785B", "https://www.amazon.jobs/jobs/3169077/applied-scientist-delivery-foundation-model-?cmpid=DA_INAD200785B")</f>
        <v/>
      </c>
      <c r="G188" t="inlineStr">
        <is>
          <t>Santa Clara, CA, US</t>
        </is>
      </c>
      <c r="H188" s="2" t="n">
        <v>46009</v>
      </c>
      <c r="I1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89">
      <c r="A189" t="inlineStr">
        <is>
          <t>in-81cf09c2f8447f01</t>
        </is>
      </c>
      <c r="B189" t="inlineStr">
        <is>
          <t>Applied Scientist, Delivery Foundation Model</t>
        </is>
      </c>
      <c r="C189" t="inlineStr">
        <is>
          <t>Amazon.com</t>
        </is>
      </c>
      <c r="D189" t="inlineStr">
        <is>
          <t>indeed</t>
        </is>
      </c>
      <c r="E189">
        <f>HYPERLINK("https://www.indeed.com/viewjob?jk=81cf09c2f8447f01", "https://www.indeed.com/viewjob?jk=81cf09c2f8447f01")</f>
        <v/>
      </c>
      <c r="F189">
        <f>HYPERLINK("https://www.amazon.jobs/jobs/3169077/applied-scientist-delivery-foundation-model-?cmpid=DA_INAD200785B", "https://www.amazon.jobs/jobs/3169077/applied-scientist-delivery-foundation-model-?cmpid=DA_INAD200785B")</f>
        <v/>
      </c>
      <c r="G189" t="inlineStr">
        <is>
          <t>Bellevue, WA, US</t>
        </is>
      </c>
      <c r="H189" s="2" t="n">
        <v>46009</v>
      </c>
      <c r="I1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190">
      <c r="A190" t="inlineStr">
        <is>
          <t>in-333674c44915b314</t>
        </is>
      </c>
      <c r="B190" t="inlineStr">
        <is>
          <t>Principal Applied Scientist, Kiro Science</t>
        </is>
      </c>
      <c r="C190" t="inlineStr">
        <is>
          <t>Amazon Web Services</t>
        </is>
      </c>
      <c r="D190" t="inlineStr">
        <is>
          <t>indeed</t>
        </is>
      </c>
      <c r="E190">
        <f>HYPERLINK("https://www.indeed.com/viewjob?jk=333674c44915b314", "https://www.indeed.com/viewjob?jk=333674c44915b314")</f>
        <v/>
      </c>
      <c r="F190">
        <f>HYPERLINK("https://www.amazon.jobs/jobs/3161064/principal-applied-scientist-kiro-science?cmpid=DA_INAD200785B", "https://www.amazon.jobs/jobs/3161064/principal-applied-scientist-kiro-science?cmpid=DA_INAD200785B")</f>
        <v/>
      </c>
      <c r="G190" t="inlineStr">
        <is>
          <t>New York, NY, US</t>
        </is>
      </c>
      <c r="H190" s="2" t="n">
        <v>45999</v>
      </c>
      <c r="I19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91">
      <c r="A191" t="inlineStr">
        <is>
          <t>in-465995d61cbbf5cd</t>
        </is>
      </c>
      <c r="B191" t="inlineStr">
        <is>
          <t>Principal Applied Scientist, Kiro Science</t>
        </is>
      </c>
      <c r="C191" t="inlineStr">
        <is>
          <t>Amazon Web Services</t>
        </is>
      </c>
      <c r="D191" t="inlineStr">
        <is>
          <t>indeed</t>
        </is>
      </c>
      <c r="E191">
        <f>HYPERLINK("https://www.indeed.com/viewjob?jk=465995d61cbbf5cd", "https://www.indeed.com/viewjob?jk=465995d61cbbf5cd")</f>
        <v/>
      </c>
      <c r="F191">
        <f>HYPERLINK("https://www.amazon.jobs/jobs/3161064/principal-applied-scientist-kiro-science?cmpid=DA_INAD200785B", "https://www.amazon.jobs/jobs/3161064/principal-applied-scientist-kiro-science?cmpid=DA_INAD200785B")</f>
        <v/>
      </c>
      <c r="G191" t="inlineStr">
        <is>
          <t>Santa Clara, CA, US</t>
        </is>
      </c>
      <c r="H191" s="2" t="n">
        <v>45999</v>
      </c>
      <c r="I19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192">
      <c r="A192" t="inlineStr">
        <is>
          <t>in-d10dd37b539f0b36</t>
        </is>
      </c>
      <c r="B192" t="inlineStr">
        <is>
          <t>Principal Applied Scientist, Sponsored Products and Brands</t>
        </is>
      </c>
      <c r="C192" t="inlineStr">
        <is>
          <t>Amazon.com</t>
        </is>
      </c>
      <c r="D192" t="inlineStr">
        <is>
          <t>indeed</t>
        </is>
      </c>
      <c r="E192">
        <f>HYPERLINK("https://www.indeed.com/viewjob?jk=d10dd37b539f0b36", "https://www.indeed.com/viewjob?jk=d10dd37b539f0b36")</f>
        <v/>
      </c>
      <c r="F192">
        <f>HYPERLINK("https://www.amazon.jobs/jobs/3130855/principal-applied-scientist-sponsored-products-and-brands?cmpid=DA_INAD200785B", "https://www.amazon.jobs/jobs/3130855/principal-applied-scientist-sponsored-products-and-brands?cmpid=DA_INAD200785B")</f>
        <v/>
      </c>
      <c r="G192" t="inlineStr">
        <is>
          <t>New York, NY, US</t>
        </is>
      </c>
      <c r="H192" s="2" t="n">
        <v>45979</v>
      </c>
      <c r="I19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in-6f506d4401d740b8</t>
        </is>
      </c>
      <c r="B193" t="inlineStr">
        <is>
          <t>Principal Applied Scientist, Sponsored Products and Brands</t>
        </is>
      </c>
      <c r="C193" t="inlineStr">
        <is>
          <t>Amazon.com</t>
        </is>
      </c>
      <c r="D193" t="inlineStr">
        <is>
          <t>indeed</t>
        </is>
      </c>
      <c r="E193">
        <f>HYPERLINK("https://www.indeed.com/viewjob?jk=6f506d4401d740b8", "https://www.indeed.com/viewjob?jk=6f506d4401d740b8")</f>
        <v/>
      </c>
      <c r="F193">
        <f>HYPERLINK("https://www.amazon.jobs/jobs/3130855/principal-applied-scientist-sponsored-products-and-brands?cmpid=DA_INAD200785B", "https://www.amazon.jobs/jobs/3130855/principal-applied-scientist-sponsored-products-and-brands?cmpid=DA_INAD200785B")</f>
        <v/>
      </c>
      <c r="G193" t="inlineStr">
        <is>
          <t>Seattle, WA, US</t>
        </is>
      </c>
      <c r="H193" s="2" t="n">
        <v>45979</v>
      </c>
      <c r="I19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in-6ef3bef468ea8790</t>
        </is>
      </c>
      <c r="B194" t="inlineStr">
        <is>
          <t>Senior Applied Scientist, Sponsored Products and Brands</t>
        </is>
      </c>
      <c r="C194" t="inlineStr">
        <is>
          <t>Amazon.com</t>
        </is>
      </c>
      <c r="D194" t="inlineStr">
        <is>
          <t>indeed</t>
        </is>
      </c>
      <c r="E194">
        <f>HYPERLINK("https://www.indeed.com/viewjob?jk=6ef3bef468ea8790", "https://www.indeed.com/viewjob?jk=6ef3bef468ea8790")</f>
        <v/>
      </c>
      <c r="F194">
        <f>HYPERLINK("https://www.amazon.jobs/jobs/3130062/senior-applied-scientist-sponsored-products-and-brands?cmpid=DA_INAD200785B", "https://www.amazon.jobs/jobs/3130062/senior-applied-scientist-sponsored-products-and-brands?cmpid=DA_INAD200785B")</f>
        <v/>
      </c>
      <c r="G194" t="inlineStr">
        <is>
          <t>Seattle, WA, US</t>
        </is>
      </c>
      <c r="H194" s="2" t="n">
        <v>45979</v>
      </c>
      <c r="I19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95">
      <c r="A195" t="inlineStr">
        <is>
          <t>in-c810db7c9c1921e4</t>
        </is>
      </c>
      <c r="B195" t="inlineStr">
        <is>
          <t>Senior Applied Scientist, Sponsored Products and Brands</t>
        </is>
      </c>
      <c r="C195" t="inlineStr">
        <is>
          <t>Amazon.com</t>
        </is>
      </c>
      <c r="D195" t="inlineStr">
        <is>
          <t>indeed</t>
        </is>
      </c>
      <c r="E195">
        <f>HYPERLINK("https://www.indeed.com/viewjob?jk=c810db7c9c1921e4", "https://www.indeed.com/viewjob?jk=c810db7c9c1921e4")</f>
        <v/>
      </c>
      <c r="F195">
        <f>HYPERLINK("https://www.amazon.jobs/jobs/3130062/senior-applied-scientist-sponsored-products-and-brands?cmpid=DA_INAD200785B", "https://www.amazon.jobs/jobs/3130062/senior-applied-scientist-sponsored-products-and-brands?cmpid=DA_INAD200785B")</f>
        <v/>
      </c>
      <c r="G195" t="inlineStr">
        <is>
          <t>New York, NY, US</t>
        </is>
      </c>
      <c r="H195" s="2" t="n">
        <v>45979</v>
      </c>
      <c r="I19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196">
      <c r="A196" t="inlineStr">
        <is>
          <t>in-15873d340e2bd97f</t>
        </is>
      </c>
      <c r="B196" t="inlineStr">
        <is>
          <t>Sr. Applied Scientist, Sponsored Products</t>
        </is>
      </c>
      <c r="C196" t="inlineStr">
        <is>
          <t>Amazon.com</t>
        </is>
      </c>
      <c r="D196" t="inlineStr">
        <is>
          <t>indeed</t>
        </is>
      </c>
      <c r="E196">
        <f>HYPERLINK("https://www.indeed.com/viewjob?jk=15873d340e2bd97f", "https://www.indeed.com/viewjob?jk=15873d340e2bd97f")</f>
        <v/>
      </c>
      <c r="F196">
        <f>HYPERLINK("https://www.amazon.jobs/jobs/3136156/sr-applied-scientist-sponsored-products?cmpid=DA_INAD200785B", "https://www.amazon.jobs/jobs/3136156/sr-applied-scientist-sponsored-products?cmpid=DA_INAD200785B")</f>
        <v/>
      </c>
      <c r="G196" t="inlineStr">
        <is>
          <t>New York, NY, US</t>
        </is>
      </c>
      <c r="H196" s="2" t="n">
        <v>45976</v>
      </c>
      <c r="I19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7">
      <c r="A197" t="inlineStr">
        <is>
          <t>in-da362cc70a708d66</t>
        </is>
      </c>
      <c r="B197" t="inlineStr">
        <is>
          <t>Sr. Applied Scientist, Sponsored Products</t>
        </is>
      </c>
      <c r="C197" t="inlineStr">
        <is>
          <t>Amazon.com</t>
        </is>
      </c>
      <c r="D197" t="inlineStr">
        <is>
          <t>indeed</t>
        </is>
      </c>
      <c r="E197">
        <f>HYPERLINK("https://www.indeed.com/viewjob?jk=da362cc70a708d66", "https://www.indeed.com/viewjob?jk=da362cc70a708d66")</f>
        <v/>
      </c>
      <c r="F197">
        <f>HYPERLINK("https://www.amazon.jobs/jobs/3136156/sr-applied-scientist-sponsored-products?cmpid=DA_INAD200785B", "https://www.amazon.jobs/jobs/3136156/sr-applied-scientist-sponsored-products?cmpid=DA_INAD200785B")</f>
        <v/>
      </c>
      <c r="G197" t="inlineStr">
        <is>
          <t>Seattle, WA, US</t>
        </is>
      </c>
      <c r="H197" s="2" t="n">
        <v>45976</v>
      </c>
      <c r="I19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8">
      <c r="A198" t="inlineStr">
        <is>
          <t>in-79452a79e841f8bc</t>
        </is>
      </c>
      <c r="B198" t="inlineStr">
        <is>
          <t>Sr. Applied Scientist, Sponsored Products</t>
        </is>
      </c>
      <c r="C198" t="inlineStr">
        <is>
          <t>Amazon.com</t>
        </is>
      </c>
      <c r="D198" t="inlineStr">
        <is>
          <t>indeed</t>
        </is>
      </c>
      <c r="E198">
        <f>HYPERLINK("https://www.indeed.com/viewjob?jk=79452a79e841f8bc", "https://www.indeed.com/viewjob?jk=79452a79e841f8bc")</f>
        <v/>
      </c>
      <c r="F198">
        <f>HYPERLINK("https://www.amazon.jobs/jobs/3136156/sr-applied-scientist-sponsored-products?cmpid=DA_INAD200785B", "https://www.amazon.jobs/jobs/3136156/sr-applied-scientist-sponsored-products?cmpid=DA_INAD200785B")</f>
        <v/>
      </c>
      <c r="G198" t="inlineStr">
        <is>
          <t>Arlington, VA, US</t>
        </is>
      </c>
      <c r="H198" s="2" t="n">
        <v>45976</v>
      </c>
      <c r="I19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199">
      <c r="A199" t="inlineStr">
        <is>
          <t>in-69e5e9461218608a</t>
        </is>
      </c>
      <c r="B199" t="inlineStr">
        <is>
          <t>Applied Scientist, AWS Agentic AI</t>
        </is>
      </c>
      <c r="C199" t="inlineStr">
        <is>
          <t>Amazon Web Services</t>
        </is>
      </c>
      <c r="D199" t="inlineStr">
        <is>
          <t>indeed</t>
        </is>
      </c>
      <c r="E199">
        <f>HYPERLINK("https://www.indeed.com/viewjob?jk=69e5e9461218608a", "https://www.indeed.com/viewjob?jk=69e5e9461218608a")</f>
        <v/>
      </c>
      <c r="F199">
        <f>HYPERLINK("https://www.amazon.jobs/jobs/3141517/applied-scientist-aws-agentic-ai-?cmpid=DA_INAD200785B", "https://www.amazon.jobs/jobs/3141517/applied-scientist-aws-agentic-ai-?cmpid=DA_INAD200785B")</f>
        <v/>
      </c>
      <c r="G199" t="inlineStr">
        <is>
          <t>Seattle, WA, US</t>
        </is>
      </c>
      <c r="H199" s="2" t="n">
        <v>45962</v>
      </c>
      <c r="I19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in-64a560f1acebfb3d</t>
        </is>
      </c>
      <c r="B200" t="inlineStr">
        <is>
          <t>Applied Scientist, AWS Agentic AI</t>
        </is>
      </c>
      <c r="C200" t="inlineStr">
        <is>
          <t>Amazon Web Services</t>
        </is>
      </c>
      <c r="D200" t="inlineStr">
        <is>
          <t>indeed</t>
        </is>
      </c>
      <c r="E200">
        <f>HYPERLINK("https://www.indeed.com/viewjob?jk=64a560f1acebfb3d", "https://www.indeed.com/viewjob?jk=64a560f1acebfb3d")</f>
        <v/>
      </c>
      <c r="F200">
        <f>HYPERLINK("https://www.amazon.jobs/jobs/3141517/applied-scientist-aws-agentic-ai-?cmpid=DA_INAD200785B", "https://www.amazon.jobs/jobs/3141517/applied-scientist-aws-agentic-ai-?cmpid=DA_INAD200785B")</f>
        <v/>
      </c>
      <c r="G200" t="inlineStr">
        <is>
          <t>New York, NY, US</t>
        </is>
      </c>
      <c r="H200" s="2" t="n">
        <v>45962</v>
      </c>
      <c r="I20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in-166702d5c457327b</t>
        </is>
      </c>
      <c r="B201" t="inlineStr">
        <is>
          <t>Applied Scientist, AWS Agentic AI</t>
        </is>
      </c>
      <c r="C201" t="inlineStr">
        <is>
          <t>Amazon Web Services</t>
        </is>
      </c>
      <c r="D201" t="inlineStr">
        <is>
          <t>indeed</t>
        </is>
      </c>
      <c r="E201">
        <f>HYPERLINK("https://www.indeed.com/viewjob?jk=166702d5c457327b", "https://www.indeed.com/viewjob?jk=166702d5c457327b")</f>
        <v/>
      </c>
      <c r="F201">
        <f>HYPERLINK("https://www.amazon.jobs/jobs/3141517/applied-scientist-aws-agentic-ai-?cmpid=DA_INAD200785B", "https://www.amazon.jobs/jobs/3141517/applied-scientist-aws-agentic-ai-?cmpid=DA_INAD200785B")</f>
        <v/>
      </c>
      <c r="G201" t="inlineStr">
        <is>
          <t>Santa Clara, CA, US</t>
        </is>
      </c>
      <c r="H201" s="2" t="n">
        <v>45962</v>
      </c>
      <c r="I20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in-59b8572e22c01e86</t>
        </is>
      </c>
      <c r="B202" t="inlineStr">
        <is>
          <t>Applied Scientist, Prime Video - Content Understanding, Localization &amp; Enrichment Team</t>
        </is>
      </c>
      <c r="C202" t="inlineStr">
        <is>
          <t>Amazon.com</t>
        </is>
      </c>
      <c r="D202" t="inlineStr">
        <is>
          <t>indeed</t>
        </is>
      </c>
      <c r="E202">
        <f>HYPERLINK("https://www.indeed.com/viewjob?jk=59b8572e22c01e86", "https://www.indeed.com/viewjob?jk=59b8572e22c01e86")</f>
        <v/>
      </c>
      <c r="F202">
        <f>HYPERLINK("https://www.amazon.jobs/jobs/3111928/applied-scientist-prime-video--content-understanding-localization--enrichment-team?cmpid=DA_INAD200785B", "https://www.amazon.jobs/jobs/3111928/applied-scientist-prime-video--content-understanding-localization--enrichment-team?cmpid=DA_INAD200785B")</f>
        <v/>
      </c>
      <c r="G202" t="inlineStr">
        <is>
          <t>San Francisco, CA, US</t>
        </is>
      </c>
      <c r="H202" s="2" t="n">
        <v>45943</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03">
      <c r="A203" t="inlineStr">
        <is>
          <t>in-0c7962154a75f161</t>
        </is>
      </c>
      <c r="B203" t="inlineStr">
        <is>
          <t>Applied Scientist, Prime Video - Content Understanding, Localization &amp; Enrichment Team</t>
        </is>
      </c>
      <c r="C203" t="inlineStr">
        <is>
          <t>Amazon.com</t>
        </is>
      </c>
      <c r="D203" t="inlineStr">
        <is>
          <t>indeed</t>
        </is>
      </c>
      <c r="E203">
        <f>HYPERLINK("https://www.indeed.com/viewjob?jk=0c7962154a75f161", "https://www.indeed.com/viewjob?jk=0c7962154a75f161")</f>
        <v/>
      </c>
      <c r="F203">
        <f>HYPERLINK("https://www.amazon.jobs/jobs/3111928/applied-scientist-prime-video--content-understanding-localization--enrichment-team?cmpid=DA_INAD200785B", "https://www.amazon.jobs/jobs/3111928/applied-scientist-prime-video--content-understanding-localization--enrichment-team?cmpid=DA_INAD200785B")</f>
        <v/>
      </c>
      <c r="G203" t="inlineStr">
        <is>
          <t>Seattle, WA, US</t>
        </is>
      </c>
      <c r="H203" s="2" t="n">
        <v>45943</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04">
      <c r="A204" t="inlineStr">
        <is>
          <t>in-97cca4eaaf31caa8</t>
        </is>
      </c>
      <c r="B204" t="inlineStr">
        <is>
          <t>Principal Applied Scientist, Advertiser Growth, Amazon Sponsored Products &amp; Brands</t>
        </is>
      </c>
      <c r="C204" t="inlineStr">
        <is>
          <t>Amazon.com</t>
        </is>
      </c>
      <c r="D204" t="inlineStr">
        <is>
          <t>indeed</t>
        </is>
      </c>
      <c r="E204">
        <f>HYPERLINK("https://www.indeed.com/viewjob?jk=97cca4eaaf31caa8", "https://www.indeed.com/viewjob?jk=97cca4eaaf31caa8")</f>
        <v/>
      </c>
      <c r="F204">
        <f>HYPERLINK("https://www.amazon.jobs/jobs/3115279/principal-applied-scientist-advertiser-growth-amazon-sponsored-products--brands?cmpid=DA_INAD200785B", "https://www.amazon.jobs/jobs/3115279/principal-applied-scientist-advertiser-growth-amazon-sponsored-products--brands?cmpid=DA_INAD200785B")</f>
        <v/>
      </c>
      <c r="G204" t="inlineStr">
        <is>
          <t>New York, NY, US</t>
        </is>
      </c>
      <c r="H204" s="2" t="n">
        <v>45942</v>
      </c>
      <c r="I20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in-ccda40f654aaff55</t>
        </is>
      </c>
      <c r="B205" t="inlineStr">
        <is>
          <t>Principal Applied Scientist, Advertiser Growth, Amazon Sponsored Products &amp; Brands</t>
        </is>
      </c>
      <c r="C205" t="inlineStr">
        <is>
          <t>Amazon.com</t>
        </is>
      </c>
      <c r="D205" t="inlineStr">
        <is>
          <t>indeed</t>
        </is>
      </c>
      <c r="E205">
        <f>HYPERLINK("https://www.indeed.com/viewjob?jk=ccda40f654aaff55", "https://www.indeed.com/viewjob?jk=ccda40f654aaff55")</f>
        <v/>
      </c>
      <c r="F205">
        <f>HYPERLINK("https://www.amazon.jobs/jobs/3115279/principal-applied-scientist-advertiser-growth-amazon-sponsored-products--brands?cmpid=DA_INAD200785B", "https://www.amazon.jobs/jobs/3115279/principal-applied-scientist-advertiser-growth-amazon-sponsored-products--brands?cmpid=DA_INAD200785B")</f>
        <v/>
      </c>
      <c r="G205" t="inlineStr">
        <is>
          <t>Palo Alto, CA, US</t>
        </is>
      </c>
      <c r="H205" s="2" t="n">
        <v>45942</v>
      </c>
      <c r="I20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in-6cdecc2e4ae0ba3e</t>
        </is>
      </c>
      <c r="B206" t="inlineStr">
        <is>
          <t>Principal Applied Scientist, Advertiser Growth, Amazon Sponsored Products &amp; Brands</t>
        </is>
      </c>
      <c r="C206" t="inlineStr">
        <is>
          <t>Amazon.com</t>
        </is>
      </c>
      <c r="D206" t="inlineStr">
        <is>
          <t>indeed</t>
        </is>
      </c>
      <c r="E206">
        <f>HYPERLINK("https://www.indeed.com/viewjob?jk=6cdecc2e4ae0ba3e", "https://www.indeed.com/viewjob?jk=6cdecc2e4ae0ba3e")</f>
        <v/>
      </c>
      <c r="F206">
        <f>HYPERLINK("https://www.amazon.jobs/jobs/3115279/principal-applied-scientist-advertiser-growth-amazon-sponsored-products--brands?cmpid=DA_INAD200785B", "https://www.amazon.jobs/jobs/3115279/principal-applied-scientist-advertiser-growth-amazon-sponsored-products--brands?cmpid=DA_INAD200785B")</f>
        <v/>
      </c>
      <c r="G206" t="inlineStr">
        <is>
          <t>Seattle, WA, US</t>
        </is>
      </c>
      <c r="H206" s="2" t="n">
        <v>45942</v>
      </c>
      <c r="I20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in-a0f9481430b6d053</t>
        </is>
      </c>
      <c r="B207" t="inlineStr">
        <is>
          <t>Applied Scientist, Workplace Health &amp; Safety</t>
        </is>
      </c>
      <c r="C207" t="inlineStr">
        <is>
          <t>Amazon.com</t>
        </is>
      </c>
      <c r="D207" t="inlineStr">
        <is>
          <t>indeed</t>
        </is>
      </c>
      <c r="E207">
        <f>HYPERLINK("https://www.indeed.com/viewjob?jk=a0f9481430b6d053", "https://www.indeed.com/viewjob?jk=a0f9481430b6d053")</f>
        <v/>
      </c>
      <c r="F207">
        <f>HYPERLINK("https://www.amazon.jobs/jobs/3144886/applied-scientist-workplace-health--safety-?cmpid=DA_INAD200785B", "https://www.amazon.jobs/jobs/3144886/applied-scientist-workplace-health--safety-?cmpid=DA_INAD200785B")</f>
        <v/>
      </c>
      <c r="G207" t="inlineStr">
        <is>
          <t>Nashville, TN, US</t>
        </is>
      </c>
      <c r="H207" s="2" t="n">
        <v>45917</v>
      </c>
      <c r="I20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in-c0ee6820468d848b</t>
        </is>
      </c>
      <c r="B208" t="inlineStr">
        <is>
          <t>Applied Scientist, Workplace Health &amp; Safety</t>
        </is>
      </c>
      <c r="C208" t="inlineStr">
        <is>
          <t>Amazon.com</t>
        </is>
      </c>
      <c r="D208" t="inlineStr">
        <is>
          <t>indeed</t>
        </is>
      </c>
      <c r="E208">
        <f>HYPERLINK("https://www.indeed.com/viewjob?jk=c0ee6820468d848b", "https://www.indeed.com/viewjob?jk=c0ee6820468d848b")</f>
        <v/>
      </c>
      <c r="F208">
        <f>HYPERLINK("https://www.amazon.jobs/jobs/3144886/applied-scientist-workplace-health--safety-?cmpid=DA_INAD200785B", "https://www.amazon.jobs/jobs/3144886/applied-scientist-workplace-health--safety-?cmpid=DA_INAD200785B")</f>
        <v/>
      </c>
      <c r="G208" t="inlineStr">
        <is>
          <t>Bellevue, WA, US</t>
        </is>
      </c>
      <c r="H208" s="2" t="n">
        <v>45917</v>
      </c>
      <c r="I20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in-bcafd26d72c6f278</t>
        </is>
      </c>
      <c r="B209" t="inlineStr">
        <is>
          <t>Sr. Applied Scientist, Prime Video - Personalization and Discovery Science</t>
        </is>
      </c>
      <c r="C209" t="inlineStr">
        <is>
          <t>Amazon.com</t>
        </is>
      </c>
      <c r="D209" t="inlineStr">
        <is>
          <t>indeed</t>
        </is>
      </c>
      <c r="E209">
        <f>HYPERLINK("https://www.indeed.com/viewjob?jk=bcafd26d72c6f278", "https://www.indeed.com/viewjob?jk=bcafd26d72c6f278")</f>
        <v/>
      </c>
      <c r="F209">
        <f>HYPERLINK("https://www.amazon.jobs/jobs/3084479/sr-applied-scientist-prime-video--personalization-and-discovery-science?cmpid=DA_INAD200785B", "https://www.amazon.jobs/jobs/3084479/sr-applied-scientist-prime-video--personalization-and-discovery-science?cmpid=DA_INAD200785B")</f>
        <v/>
      </c>
      <c r="G209" t="inlineStr">
        <is>
          <t>Sunnyvale, CA, US</t>
        </is>
      </c>
      <c r="H209" s="2" t="n">
        <v>45896</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0">
      <c r="A210" t="inlineStr">
        <is>
          <t>in-d37ca9c721158a7f</t>
        </is>
      </c>
      <c r="B210" t="inlineStr">
        <is>
          <t>Sr. Applied Scientist, Prime Video - Personalization and Discovery Science</t>
        </is>
      </c>
      <c r="C210" t="inlineStr">
        <is>
          <t>Amazon.com</t>
        </is>
      </c>
      <c r="D210" t="inlineStr">
        <is>
          <t>indeed</t>
        </is>
      </c>
      <c r="E210">
        <f>HYPERLINK("https://www.indeed.com/viewjob?jk=d37ca9c721158a7f", "https://www.indeed.com/viewjob?jk=d37ca9c721158a7f")</f>
        <v/>
      </c>
      <c r="F210">
        <f>HYPERLINK("https://www.amazon.jobs/jobs/3084479/sr-applied-scientist-prime-video--personalization-and-discovery-science?cmpid=DA_INAD200785B", "https://www.amazon.jobs/jobs/3084479/sr-applied-scientist-prime-video--personalization-and-discovery-science?cmpid=DA_INAD200785B")</f>
        <v/>
      </c>
      <c r="G210" t="inlineStr">
        <is>
          <t>Seattle, WA, US</t>
        </is>
      </c>
      <c r="H210" s="2" t="n">
        <v>45896</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1">
      <c r="A211" t="inlineStr">
        <is>
          <t>in-3585fa6ec0670ff7</t>
        </is>
      </c>
      <c r="B211" t="inlineStr">
        <is>
          <t>Sr. Applied Scientist, Prime Video - Personalization and Discovery Science</t>
        </is>
      </c>
      <c r="C211" t="inlineStr">
        <is>
          <t>Amazon.com</t>
        </is>
      </c>
      <c r="D211" t="inlineStr">
        <is>
          <t>indeed</t>
        </is>
      </c>
      <c r="E211">
        <f>HYPERLINK("https://www.indeed.com/viewjob?jk=3585fa6ec0670ff7", "https://www.indeed.com/viewjob?jk=3585fa6ec0670ff7")</f>
        <v/>
      </c>
      <c r="F211">
        <f>HYPERLINK("https://www.amazon.jobs/jobs/3084479/sr-applied-scientist-prime-video--personalization-and-discovery-science?cmpid=DA_INAD200785B", "https://www.amazon.jobs/jobs/3084479/sr-applied-scientist-prime-video--personalization-and-discovery-science?cmpid=DA_INAD200785B")</f>
        <v/>
      </c>
      <c r="G211" t="inlineStr">
        <is>
          <t>New York, NY, US</t>
        </is>
      </c>
      <c r="H211" s="2" t="n">
        <v>45896</v>
      </c>
      <c r="I2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12">
      <c r="A212" t="inlineStr">
        <is>
          <t>in-18ab7b40fb5e558c</t>
        </is>
      </c>
      <c r="B212" t="inlineStr">
        <is>
          <t>Sr. Applied Scientist, Amazon Advertising</t>
        </is>
      </c>
      <c r="C212" t="inlineStr">
        <is>
          <t>Amazon.com</t>
        </is>
      </c>
      <c r="D212" t="inlineStr">
        <is>
          <t>indeed</t>
        </is>
      </c>
      <c r="E212">
        <f>HYPERLINK("https://www.indeed.com/viewjob?jk=18ab7b40fb5e558c", "https://www.indeed.com/viewjob?jk=18ab7b40fb5e558c")</f>
        <v/>
      </c>
      <c r="F212">
        <f>HYPERLINK("https://www.amazon.jobs/jobs/3035686/sr-applied-scientist-amazon-advertising?cmpid=DA_INAD200785B", "https://www.amazon.jobs/jobs/3035686/sr-applied-scientist-amazon-advertising?cmpid=DA_INAD200785B")</f>
        <v/>
      </c>
      <c r="G212" t="inlineStr">
        <is>
          <t>Los Angeles, CA, US</t>
        </is>
      </c>
      <c r="H212" s="2" t="n">
        <v>45851</v>
      </c>
      <c r="I2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in-a606f8028c656a84</t>
        </is>
      </c>
      <c r="B213" t="inlineStr">
        <is>
          <t>Sr. Applied Scientist, Amazon Advertising</t>
        </is>
      </c>
      <c r="C213" t="inlineStr">
        <is>
          <t>Amazon.com</t>
        </is>
      </c>
      <c r="D213" t="inlineStr">
        <is>
          <t>indeed</t>
        </is>
      </c>
      <c r="E213">
        <f>HYPERLINK("https://www.indeed.com/viewjob?jk=a606f8028c656a84", "https://www.indeed.com/viewjob?jk=a606f8028c656a84")</f>
        <v/>
      </c>
      <c r="F213">
        <f>HYPERLINK("https://www.amazon.jobs/jobs/3035686/sr-applied-scientist-amazon-advertising?cmpid=DA_INAD200785B", "https://www.amazon.jobs/jobs/3035686/sr-applied-scientist-amazon-advertising?cmpid=DA_INAD200785B")</f>
        <v/>
      </c>
      <c r="G213" t="inlineStr">
        <is>
          <t>Simi Valley, CA, US</t>
        </is>
      </c>
      <c r="H213" s="2" t="n">
        <v>45851</v>
      </c>
      <c r="I2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in-fdcae11ab9facd90</t>
        </is>
      </c>
      <c r="B214" t="inlineStr">
        <is>
          <t>Sr. Applied Scientist, Amazon Advertising</t>
        </is>
      </c>
      <c r="C214" t="inlineStr">
        <is>
          <t>Amazon.com</t>
        </is>
      </c>
      <c r="D214" t="inlineStr">
        <is>
          <t>indeed</t>
        </is>
      </c>
      <c r="E214">
        <f>HYPERLINK("https://www.indeed.com/viewjob?jk=fdcae11ab9facd90", "https://www.indeed.com/viewjob?jk=fdcae11ab9facd90")</f>
        <v/>
      </c>
      <c r="F214">
        <f>HYPERLINK("https://www.amazon.jobs/jobs/3035686/sr-applied-scientist-amazon-advertising?cmpid=DA_INAD200785B", "https://www.amazon.jobs/jobs/3035686/sr-applied-scientist-amazon-advertising?cmpid=DA_INAD200785B")</f>
        <v/>
      </c>
      <c r="G214" t="inlineStr">
        <is>
          <t>Palo Alto, CA, US</t>
        </is>
      </c>
      <c r="H214" s="2" t="n">
        <v>45851</v>
      </c>
      <c r="I2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in-4dc4b0e5b5c795af</t>
        </is>
      </c>
      <c r="B215" t="inlineStr">
        <is>
          <t>Sr. Applied Scientist, Amazon Advertising</t>
        </is>
      </c>
      <c r="C215" t="inlineStr">
        <is>
          <t>Amazon.com</t>
        </is>
      </c>
      <c r="D215" t="inlineStr">
        <is>
          <t>indeed</t>
        </is>
      </c>
      <c r="E215">
        <f>HYPERLINK("https://www.indeed.com/viewjob?jk=4dc4b0e5b5c795af", "https://www.indeed.com/viewjob?jk=4dc4b0e5b5c795af")</f>
        <v/>
      </c>
      <c r="F215">
        <f>HYPERLINK("https://www.amazon.jobs/jobs/3035686/sr-applied-scientist-amazon-advertising?cmpid=DA_INAD200785B", "https://www.amazon.jobs/jobs/3035686/sr-applied-scientist-amazon-advertising?cmpid=DA_INAD200785B")</f>
        <v/>
      </c>
      <c r="G215" t="inlineStr">
        <is>
          <t>Arlington, VA, US</t>
        </is>
      </c>
      <c r="H215" s="2" t="n">
        <v>45851</v>
      </c>
      <c r="I2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in-c398c8a65b573832</t>
        </is>
      </c>
      <c r="B216" t="inlineStr">
        <is>
          <t>Sr. Applied Scientist, Amazon Advertising</t>
        </is>
      </c>
      <c r="C216" t="inlineStr">
        <is>
          <t>Amazon.com</t>
        </is>
      </c>
      <c r="D216" t="inlineStr">
        <is>
          <t>indeed</t>
        </is>
      </c>
      <c r="E216">
        <f>HYPERLINK("https://www.indeed.com/viewjob?jk=c398c8a65b573832", "https://www.indeed.com/viewjob?jk=c398c8a65b573832")</f>
        <v/>
      </c>
      <c r="F216">
        <f>HYPERLINK("https://www.amazon.jobs/jobs/3035686/sr-applied-scientist-amazon-advertising?cmpid=DA_INAD200785B", "https://www.amazon.jobs/jobs/3035686/sr-applied-scientist-amazon-advertising?cmpid=DA_INAD200785B")</f>
        <v/>
      </c>
      <c r="G216" t="inlineStr">
        <is>
          <t>Austin, TX, US</t>
        </is>
      </c>
      <c r="H216" s="2" t="n">
        <v>45851</v>
      </c>
      <c r="I2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in-28742812406b8d40</t>
        </is>
      </c>
      <c r="B217" t="inlineStr">
        <is>
          <t>Sr. Applied Scientist, Amazon Advertising</t>
        </is>
      </c>
      <c r="C217" t="inlineStr">
        <is>
          <t>Amazon.com</t>
        </is>
      </c>
      <c r="D217" t="inlineStr">
        <is>
          <t>indeed</t>
        </is>
      </c>
      <c r="E217">
        <f>HYPERLINK("https://www.indeed.com/viewjob?jk=28742812406b8d40", "https://www.indeed.com/viewjob?jk=28742812406b8d40")</f>
        <v/>
      </c>
      <c r="F217">
        <f>HYPERLINK("https://www.amazon.jobs/jobs/3035686/sr-applied-scientist-amazon-advertising?cmpid=DA_INAD200785B", "https://www.amazon.jobs/jobs/3035686/sr-applied-scientist-amazon-advertising?cmpid=DA_INAD200785B")</f>
        <v/>
      </c>
      <c r="G217" t="inlineStr">
        <is>
          <t>Seattle, WA, US</t>
        </is>
      </c>
      <c r="H217" s="2" t="n">
        <v>45851</v>
      </c>
      <c r="I2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in-f9755d26326b62bd</t>
        </is>
      </c>
      <c r="B218" t="inlineStr">
        <is>
          <t>Sr. Applied Scientist, Amazon Advertising</t>
        </is>
      </c>
      <c r="C218" t="inlineStr">
        <is>
          <t>Amazon.com</t>
        </is>
      </c>
      <c r="D218" t="inlineStr">
        <is>
          <t>indeed</t>
        </is>
      </c>
      <c r="E218">
        <f>HYPERLINK("https://www.indeed.com/viewjob?jk=f9755d26326b62bd", "https://www.indeed.com/viewjob?jk=f9755d26326b62bd")</f>
        <v/>
      </c>
      <c r="F218">
        <f>HYPERLINK("https://www.amazon.jobs/jobs/3035686/sr-applied-scientist-amazon-advertising?cmpid=DA_INAD200785B", "https://www.amazon.jobs/jobs/3035686/sr-applied-scientist-amazon-advertising?cmpid=DA_INAD200785B")</f>
        <v/>
      </c>
      <c r="G218" t="inlineStr">
        <is>
          <t>New York, NY, US</t>
        </is>
      </c>
      <c r="H218" s="2" t="n">
        <v>45851</v>
      </c>
      <c r="I2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in-b5ea756f53e3e8ae</t>
        </is>
      </c>
      <c r="B219" t="inlineStr">
        <is>
          <t>Sr. Applied Scientist, Amazon Advertising</t>
        </is>
      </c>
      <c r="C219" t="inlineStr">
        <is>
          <t>Amazon.com</t>
        </is>
      </c>
      <c r="D219" t="inlineStr">
        <is>
          <t>indeed</t>
        </is>
      </c>
      <c r="E219">
        <f>HYPERLINK("https://www.indeed.com/viewjob?jk=b5ea756f53e3e8ae", "https://www.indeed.com/viewjob?jk=b5ea756f53e3e8ae")</f>
        <v/>
      </c>
      <c r="F219">
        <f>HYPERLINK("https://www.amazon.jobs/jobs/3035686/sr-applied-scientist-amazon-advertising?cmpid=DA_INAD200785B", "https://www.amazon.jobs/jobs/3035686/sr-applied-scientist-amazon-advertising?cmpid=DA_INAD200785B")</f>
        <v/>
      </c>
      <c r="G219" t="inlineStr">
        <is>
          <t>West Hollywood, CA, US</t>
        </is>
      </c>
      <c r="H219" s="2" t="n">
        <v>45851</v>
      </c>
      <c r="I2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in-8abf5afe62b79168</t>
        </is>
      </c>
      <c r="B220" t="inlineStr">
        <is>
          <t>Applied Scientist, Prime Video - Personalization and Discovery Science</t>
        </is>
      </c>
      <c r="C220" t="inlineStr">
        <is>
          <t>Amazon.com</t>
        </is>
      </c>
      <c r="D220" t="inlineStr">
        <is>
          <t>indeed</t>
        </is>
      </c>
      <c r="E220">
        <f>HYPERLINK("https://www.indeed.com/viewjob?jk=8abf5afe62b79168", "https://www.indeed.com/viewjob?jk=8abf5afe62b79168")</f>
        <v/>
      </c>
      <c r="F220">
        <f>HYPERLINK("https://www.amazon.jobs/jobs/3033050/applied-scientist-prime-video--personalization-and-discovery-science?cmpid=DA_INAD200785B", "https://www.amazon.jobs/jobs/3033050/applied-scientist-prime-video--personalization-and-discovery-science?cmpid=DA_INAD200785B")</f>
        <v/>
      </c>
      <c r="G220" t="inlineStr">
        <is>
          <t>Sunnyvale, CA, US</t>
        </is>
      </c>
      <c r="H220" s="2" t="n">
        <v>45845</v>
      </c>
      <c r="I2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1">
      <c r="A221" t="inlineStr">
        <is>
          <t>in-de809d97c3f091c1</t>
        </is>
      </c>
      <c r="B221" t="inlineStr">
        <is>
          <t>Applied Scientist, Prime Video - Personalization and Discovery Science</t>
        </is>
      </c>
      <c r="C221" t="inlineStr">
        <is>
          <t>Amazon.com</t>
        </is>
      </c>
      <c r="D221" t="inlineStr">
        <is>
          <t>indeed</t>
        </is>
      </c>
      <c r="E221">
        <f>HYPERLINK("https://www.indeed.com/viewjob?jk=de809d97c3f091c1", "https://www.indeed.com/viewjob?jk=de809d97c3f091c1")</f>
        <v/>
      </c>
      <c r="F221">
        <f>HYPERLINK("https://www.amazon.jobs/jobs/3033050/applied-scientist-prime-video--personalization-and-discovery-science?cmpid=DA_INAD200785B", "https://www.amazon.jobs/jobs/3033050/applied-scientist-prime-video--personalization-and-discovery-science?cmpid=DA_INAD200785B")</f>
        <v/>
      </c>
      <c r="G221" t="inlineStr">
        <is>
          <t>New York, NY, US</t>
        </is>
      </c>
      <c r="H221" s="2" t="n">
        <v>45845</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2">
      <c r="A222" t="inlineStr">
        <is>
          <t>in-569afb636643eb6a</t>
        </is>
      </c>
      <c r="B222" t="inlineStr">
        <is>
          <t>Applied Scientist, Prime Video - Personalization and Discovery Science</t>
        </is>
      </c>
      <c r="C222" t="inlineStr">
        <is>
          <t>Amazon.com</t>
        </is>
      </c>
      <c r="D222" t="inlineStr">
        <is>
          <t>indeed</t>
        </is>
      </c>
      <c r="E222">
        <f>HYPERLINK("https://www.indeed.com/viewjob?jk=569afb636643eb6a", "https://www.indeed.com/viewjob?jk=569afb636643eb6a")</f>
        <v/>
      </c>
      <c r="F222">
        <f>HYPERLINK("https://www.amazon.jobs/jobs/3033050/applied-scientist-prime-video--personalization-and-discovery-science?cmpid=DA_INAD200785B", "https://www.amazon.jobs/jobs/3033050/applied-scientist-prime-video--personalization-and-discovery-science?cmpid=DA_INAD200785B")</f>
        <v/>
      </c>
      <c r="G222" t="inlineStr">
        <is>
          <t>Seattle, WA, US</t>
        </is>
      </c>
      <c r="H222" s="2" t="n">
        <v>45845</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23">
      <c r="A223" t="inlineStr">
        <is>
          <t>in-c2a456a6f0ccea7e</t>
        </is>
      </c>
      <c r="B223" t="inlineStr">
        <is>
          <t>Sr. Applied Scientist, AGI Info</t>
        </is>
      </c>
      <c r="C223" t="inlineStr">
        <is>
          <t>Amazon.com</t>
        </is>
      </c>
      <c r="D223" t="inlineStr">
        <is>
          <t>indeed</t>
        </is>
      </c>
      <c r="E223">
        <f>HYPERLINK("https://www.indeed.com/viewjob?jk=c2a456a6f0ccea7e", "https://www.indeed.com/viewjob?jk=c2a456a6f0ccea7e")</f>
        <v/>
      </c>
      <c r="F223">
        <f>HYPERLINK("https://www.amazon.jobs/jobs/2999351/sr-applied-scientist-agi-info?cmpid=DA_INAD200785B", "https://www.amazon.jobs/jobs/2999351/sr-applied-scientist-agi-info?cmpid=DA_INAD200785B")</f>
        <v/>
      </c>
      <c r="G223" t="inlineStr">
        <is>
          <t>Sunnyvale, CA, US</t>
        </is>
      </c>
      <c r="H223" s="2" t="n">
        <v>45811</v>
      </c>
      <c r="I22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24">
      <c r="A224" t="inlineStr">
        <is>
          <t>in-c113fe7611c0be79</t>
        </is>
      </c>
      <c r="B224" t="inlineStr">
        <is>
          <t>Sr. Applied Scientist, AGI Info</t>
        </is>
      </c>
      <c r="C224" t="inlineStr">
        <is>
          <t>Amazon.com</t>
        </is>
      </c>
      <c r="D224" t="inlineStr">
        <is>
          <t>indeed</t>
        </is>
      </c>
      <c r="E224">
        <f>HYPERLINK("https://www.indeed.com/viewjob?jk=c113fe7611c0be79", "https://www.indeed.com/viewjob?jk=c113fe7611c0be79")</f>
        <v/>
      </c>
      <c r="F224">
        <f>HYPERLINK("https://www.amazon.jobs/jobs/2999351/sr-applied-scientist-agi-info?cmpid=DA_INAD200785B", "https://www.amazon.jobs/jobs/2999351/sr-applied-scientist-agi-info?cmpid=DA_INAD200785B")</f>
        <v/>
      </c>
      <c r="G224" t="inlineStr">
        <is>
          <t>Bellevue, WA, US</t>
        </is>
      </c>
      <c r="H224" s="2" t="n">
        <v>45811</v>
      </c>
      <c r="I22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25">
      <c r="A225" t="inlineStr">
        <is>
          <t>in-eedce1c0f12df0fd</t>
        </is>
      </c>
      <c r="B225" t="inlineStr">
        <is>
          <t>Principal Applied Scientist, Delivery Foundation Model</t>
        </is>
      </c>
      <c r="C225" t="inlineStr">
        <is>
          <t>Amazon.com</t>
        </is>
      </c>
      <c r="D225" t="inlineStr">
        <is>
          <t>indeed</t>
        </is>
      </c>
      <c r="E225">
        <f>HYPERLINK("https://www.indeed.com/viewjob?jk=eedce1c0f12df0fd", "https://www.indeed.com/viewjob?jk=eedce1c0f12df0fd")</f>
        <v/>
      </c>
      <c r="F225">
        <f>HYPERLINK("https://www.amazon.jobs/jobs/3006938/principal-applied-scientist-delivery-foundation-model-?cmpid=DA_INAD200785B", "https://www.amazon.jobs/jobs/3006938/principal-applied-scientist-delivery-foundation-model-?cmpid=DA_INAD200785B")</f>
        <v/>
      </c>
      <c r="G225" t="inlineStr">
        <is>
          <t>Santa Clara, CA, US</t>
        </is>
      </c>
      <c r="H225" s="2" t="n">
        <v>45810</v>
      </c>
      <c r="I22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26">
      <c r="A226" t="inlineStr">
        <is>
          <t>in-323e13a1ab7d762d</t>
        </is>
      </c>
      <c r="B226" t="inlineStr">
        <is>
          <t>Principal Applied Scientist, Delivery Foundation Model</t>
        </is>
      </c>
      <c r="C226" t="inlineStr">
        <is>
          <t>Amazon.com</t>
        </is>
      </c>
      <c r="D226" t="inlineStr">
        <is>
          <t>indeed</t>
        </is>
      </c>
      <c r="E226">
        <f>HYPERLINK("https://www.indeed.com/viewjob?jk=323e13a1ab7d762d", "https://www.indeed.com/viewjob?jk=323e13a1ab7d762d")</f>
        <v/>
      </c>
      <c r="F226">
        <f>HYPERLINK("https://www.amazon.jobs/jobs/3006938/principal-applied-scientist-delivery-foundation-model-?cmpid=DA_INAD200785B", "https://www.amazon.jobs/jobs/3006938/principal-applied-scientist-delivery-foundation-model-?cmpid=DA_INAD200785B")</f>
        <v/>
      </c>
      <c r="G226" t="inlineStr">
        <is>
          <t>Austin, TX, US</t>
        </is>
      </c>
      <c r="H226" s="2" t="n">
        <v>45810</v>
      </c>
      <c r="I22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27">
      <c r="A227" t="inlineStr">
        <is>
          <t>in-a578a3d4db571614</t>
        </is>
      </c>
      <c r="B227" t="inlineStr">
        <is>
          <t>Principal Applied Scientist, Delivery Foundation Model</t>
        </is>
      </c>
      <c r="C227" t="inlineStr">
        <is>
          <t>Amazon.com</t>
        </is>
      </c>
      <c r="D227" t="inlineStr">
        <is>
          <t>indeed</t>
        </is>
      </c>
      <c r="E227">
        <f>HYPERLINK("https://www.indeed.com/viewjob?jk=a578a3d4db571614", "https://www.indeed.com/viewjob?jk=a578a3d4db571614")</f>
        <v/>
      </c>
      <c r="F227">
        <f>HYPERLINK("https://www.amazon.jobs/jobs/3006938/principal-applied-scientist-delivery-foundation-model-?cmpid=DA_INAD200785B", "https://www.amazon.jobs/jobs/3006938/principal-applied-scientist-delivery-foundation-model-?cmpid=DA_INAD200785B")</f>
        <v/>
      </c>
      <c r="G227" t="inlineStr">
        <is>
          <t>Bellevue, WA, US</t>
        </is>
      </c>
      <c r="H227" s="2" t="n">
        <v>45810</v>
      </c>
      <c r="I22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28">
      <c r="A228" t="inlineStr">
        <is>
          <t>in-0da3cc315b830a9b</t>
        </is>
      </c>
      <c r="B228" t="inlineStr">
        <is>
          <t>Principal Applied Scientist, Delivery Foundation Model</t>
        </is>
      </c>
      <c r="C228" t="inlineStr">
        <is>
          <t>Amazon.com</t>
        </is>
      </c>
      <c r="D228" t="inlineStr">
        <is>
          <t>indeed</t>
        </is>
      </c>
      <c r="E228">
        <f>HYPERLINK("https://www.indeed.com/viewjob?jk=0da3cc315b830a9b", "https://www.indeed.com/viewjob?jk=0da3cc315b830a9b")</f>
        <v/>
      </c>
      <c r="F228">
        <f>HYPERLINK("https://www.amazon.jobs/jobs/3006938/principal-applied-scientist-delivery-foundation-model-?cmpid=DA_INAD200785B", "https://www.amazon.jobs/jobs/3006938/principal-applied-scientist-delivery-foundation-model-?cmpid=DA_INAD200785B")</f>
        <v/>
      </c>
      <c r="G228" t="inlineStr">
        <is>
          <t>New York, NY, US</t>
        </is>
      </c>
      <c r="H228" s="2" t="n">
        <v>45810</v>
      </c>
      <c r="I2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29">
      <c r="A229" t="inlineStr">
        <is>
          <t>in-ece27f6b33ce4065</t>
        </is>
      </c>
      <c r="B229" t="inlineStr">
        <is>
          <t>Senior Applied Scientist, Delivery Foundation Model</t>
        </is>
      </c>
      <c r="C229" t="inlineStr">
        <is>
          <t>Amazon.com</t>
        </is>
      </c>
      <c r="D229" t="inlineStr">
        <is>
          <t>indeed</t>
        </is>
      </c>
      <c r="E229">
        <f>HYPERLINK("https://www.indeed.com/viewjob?jk=ece27f6b33ce4065", "https://www.indeed.com/viewjob?jk=ece27f6b33ce4065")</f>
        <v/>
      </c>
      <c r="F229">
        <f>HYPERLINK("https://www.amazon.jobs/jobs/2998435/senior-applied-scientist-delivery-foundation-model-?cmpid=DA_INAD200785B", "https://www.amazon.jobs/jobs/2998435/senior-applied-scientist-delivery-foundation-model-?cmpid=DA_INAD200785B")</f>
        <v/>
      </c>
      <c r="G229" t="inlineStr">
        <is>
          <t>New York, NY, US</t>
        </is>
      </c>
      <c r="H229" s="2" t="n">
        <v>45806</v>
      </c>
      <c r="I2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in-c1b116d922f1da42</t>
        </is>
      </c>
      <c r="B230" t="inlineStr">
        <is>
          <t>Senior Applied Scientist, Delivery Foundation Model</t>
        </is>
      </c>
      <c r="C230" t="inlineStr">
        <is>
          <t>Amazon.com</t>
        </is>
      </c>
      <c r="D230" t="inlineStr">
        <is>
          <t>indeed</t>
        </is>
      </c>
      <c r="E230">
        <f>HYPERLINK("https://www.indeed.com/viewjob?jk=c1b116d922f1da42", "https://www.indeed.com/viewjob?jk=c1b116d922f1da42")</f>
        <v/>
      </c>
      <c r="F230">
        <f>HYPERLINK("https://www.amazon.jobs/jobs/2998435/senior-applied-scientist-delivery-foundation-model-?cmpid=DA_INAD200785B", "https://www.amazon.jobs/jobs/2998435/senior-applied-scientist-delivery-foundation-model-?cmpid=DA_INAD200785B")</f>
        <v/>
      </c>
      <c r="G230" t="inlineStr">
        <is>
          <t>Bellevue, WA, US</t>
        </is>
      </c>
      <c r="H230" s="2" t="n">
        <v>45806</v>
      </c>
      <c r="I2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in-f245d2d0107ebfc6</t>
        </is>
      </c>
      <c r="B231" t="inlineStr">
        <is>
          <t>Senior Applied Scientist, Delivery Foundation Model</t>
        </is>
      </c>
      <c r="C231" t="inlineStr">
        <is>
          <t>Amazon.com</t>
        </is>
      </c>
      <c r="D231" t="inlineStr">
        <is>
          <t>indeed</t>
        </is>
      </c>
      <c r="E231">
        <f>HYPERLINK("https://www.indeed.com/viewjob?jk=f245d2d0107ebfc6", "https://www.indeed.com/viewjob?jk=f245d2d0107ebfc6")</f>
        <v/>
      </c>
      <c r="F231">
        <f>HYPERLINK("https://www.amazon.jobs/jobs/2998435/senior-applied-scientist-delivery-foundation-model-?cmpid=DA_INAD200785B", "https://www.amazon.jobs/jobs/2998435/senior-applied-scientist-delivery-foundation-model-?cmpid=DA_INAD200785B")</f>
        <v/>
      </c>
      <c r="G231" t="inlineStr">
        <is>
          <t>Santa Clara, CA, US</t>
        </is>
      </c>
      <c r="H231" s="2" t="n">
        <v>45806</v>
      </c>
      <c r="I23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in-a57a0e1ebce66ce4</t>
        </is>
      </c>
      <c r="B232" t="inlineStr">
        <is>
          <t>Sr. Applied Scientist - Privacy, Privacy Engineering</t>
        </is>
      </c>
      <c r="C232" t="inlineStr">
        <is>
          <t>Amazon.com</t>
        </is>
      </c>
      <c r="D232" t="inlineStr">
        <is>
          <t>indeed</t>
        </is>
      </c>
      <c r="E232">
        <f>HYPERLINK("https://www.indeed.com/viewjob?jk=a57a0e1ebce66ce4", "https://www.indeed.com/viewjob?jk=a57a0e1ebce66ce4")</f>
        <v/>
      </c>
      <c r="F232">
        <f>HYPERLINK("https://www.amazon.jobs/jobs/2997657/sr-applied-scientist--privacy-privacy-engineering?cmpid=DA_INAD200785B", "https://www.amazon.jobs/jobs/2997657/sr-applied-scientist--privacy-privacy-engineering?cmpid=DA_INAD200785B")</f>
        <v/>
      </c>
      <c r="G232" t="inlineStr">
        <is>
          <t>Seattle, WA, US</t>
        </is>
      </c>
      <c r="H232" s="2" t="n">
        <v>45787</v>
      </c>
      <c r="I23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in-53bfeb5f74cefa52</t>
        </is>
      </c>
      <c r="B233" t="inlineStr">
        <is>
          <t>Sr. Applied Scientist - Privacy, Privacy Engineering</t>
        </is>
      </c>
      <c r="C233" t="inlineStr">
        <is>
          <t>Amazon.com</t>
        </is>
      </c>
      <c r="D233" t="inlineStr">
        <is>
          <t>indeed</t>
        </is>
      </c>
      <c r="E233">
        <f>HYPERLINK("https://www.indeed.com/viewjob?jk=53bfeb5f74cefa52", "https://www.indeed.com/viewjob?jk=53bfeb5f74cefa52")</f>
        <v/>
      </c>
      <c r="F233">
        <f>HYPERLINK("https://www.amazon.jobs/jobs/2997657/sr-applied-scientist--privacy-privacy-engineering?cmpid=DA_INAD200785B", "https://www.amazon.jobs/jobs/2997657/sr-applied-scientist--privacy-privacy-engineering?cmpid=DA_INAD200785B")</f>
        <v/>
      </c>
      <c r="G233" t="inlineStr">
        <is>
          <t>Santa Clara, CA, US</t>
        </is>
      </c>
      <c r="H233" s="2" t="n">
        <v>45787</v>
      </c>
      <c r="I23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in-31bb2b3a5ef8657f</t>
        </is>
      </c>
      <c r="B234" t="inlineStr">
        <is>
          <t>Sr. Applied Scientist - Privacy, Privacy Engineering</t>
        </is>
      </c>
      <c r="C234" t="inlineStr">
        <is>
          <t>Amazon.com</t>
        </is>
      </c>
      <c r="D234" t="inlineStr">
        <is>
          <t>indeed</t>
        </is>
      </c>
      <c r="E234">
        <f>HYPERLINK("https://www.indeed.com/viewjob?jk=31bb2b3a5ef8657f", "https://www.indeed.com/viewjob?jk=31bb2b3a5ef8657f")</f>
        <v/>
      </c>
      <c r="F234">
        <f>HYPERLINK("https://www.amazon.jobs/jobs/2997657/sr-applied-scientist--privacy-privacy-engineering?cmpid=DA_INAD200785B", "https://www.amazon.jobs/jobs/2997657/sr-applied-scientist--privacy-privacy-engineering?cmpid=DA_INAD200785B")</f>
        <v/>
      </c>
      <c r="G234" t="inlineStr">
        <is>
          <t>San Francisco, CA, US</t>
        </is>
      </c>
      <c r="H234" s="2" t="n">
        <v>45787</v>
      </c>
      <c r="I23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in-c3593b7085d903ae</t>
        </is>
      </c>
      <c r="B235" t="inlineStr">
        <is>
          <t>Sr. Applied Scientist - Privacy, Privacy Engineering</t>
        </is>
      </c>
      <c r="C235" t="inlineStr">
        <is>
          <t>Amazon.com</t>
        </is>
      </c>
      <c r="D235" t="inlineStr">
        <is>
          <t>indeed</t>
        </is>
      </c>
      <c r="E235">
        <f>HYPERLINK("https://www.indeed.com/viewjob?jk=c3593b7085d903ae", "https://www.indeed.com/viewjob?jk=c3593b7085d903ae")</f>
        <v/>
      </c>
      <c r="F235">
        <f>HYPERLINK("https://www.amazon.jobs/jobs/2997657/sr-applied-scientist--privacy-privacy-engineering?cmpid=DA_INAD200785B", "https://www.amazon.jobs/jobs/2997657/sr-applied-scientist--privacy-privacy-engineering?cmpid=DA_INAD200785B")</f>
        <v/>
      </c>
      <c r="G235" t="inlineStr">
        <is>
          <t>Sunnyvale, CA, US</t>
        </is>
      </c>
      <c r="H235" s="2" t="n">
        <v>45787</v>
      </c>
      <c r="I23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in-a155bbaf2c511596</t>
        </is>
      </c>
      <c r="B236" t="inlineStr">
        <is>
          <t>Principal Applied Scientist, Delivery Foundation Model</t>
        </is>
      </c>
      <c r="C236" t="inlineStr">
        <is>
          <t>Amazon.com</t>
        </is>
      </c>
      <c r="D236" t="inlineStr">
        <is>
          <t>indeed</t>
        </is>
      </c>
      <c r="E236">
        <f>HYPERLINK("https://www.indeed.com/viewjob?jk=a155bbaf2c511596", "https://www.indeed.com/viewjob?jk=a155bbaf2c511596")</f>
        <v/>
      </c>
      <c r="F236">
        <f>HYPERLINK("https://www.amazon.jobs/jobs/2998635/principal-applied-scientist-delivery-foundation-model-?cmpid=DA_INAD200785B", "https://www.amazon.jobs/jobs/2998635/principal-applied-scientist-delivery-foundation-model-?cmpid=DA_INAD200785B")</f>
        <v/>
      </c>
      <c r="G236" t="inlineStr">
        <is>
          <t>Bellevue, WA, US</t>
        </is>
      </c>
      <c r="H236" s="2" t="n">
        <v>45757</v>
      </c>
      <c r="I23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37">
      <c r="A237" t="inlineStr">
        <is>
          <t>in-97894ef1ca2fcb81</t>
        </is>
      </c>
      <c r="B237" t="inlineStr">
        <is>
          <t>Principal Applied Scientist, Delivery Foundation Model</t>
        </is>
      </c>
      <c r="C237" t="inlineStr">
        <is>
          <t>Amazon.com</t>
        </is>
      </c>
      <c r="D237" t="inlineStr">
        <is>
          <t>indeed</t>
        </is>
      </c>
      <c r="E237">
        <f>HYPERLINK("https://www.indeed.com/viewjob?jk=97894ef1ca2fcb81", "https://www.indeed.com/viewjob?jk=97894ef1ca2fcb81")</f>
        <v/>
      </c>
      <c r="F237">
        <f>HYPERLINK("https://www.amazon.jobs/jobs/2998635/principal-applied-scientist-delivery-foundation-model-?cmpid=DA_INAD200785B", "https://www.amazon.jobs/jobs/2998635/principal-applied-scientist-delivery-foundation-model-?cmpid=DA_INAD200785B")</f>
        <v/>
      </c>
      <c r="G237" t="inlineStr">
        <is>
          <t>New York, NY, US</t>
        </is>
      </c>
      <c r="H237" s="2" t="n">
        <v>45757</v>
      </c>
      <c r="I23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38">
      <c r="A238" t="inlineStr">
        <is>
          <t>in-7e2f05699cd630dc</t>
        </is>
      </c>
      <c r="B238" t="inlineStr">
        <is>
          <t>Principal Applied Scientist, Delivery Foundation Model</t>
        </is>
      </c>
      <c r="C238" t="inlineStr">
        <is>
          <t>Amazon.com</t>
        </is>
      </c>
      <c r="D238" t="inlineStr">
        <is>
          <t>indeed</t>
        </is>
      </c>
      <c r="E238">
        <f>HYPERLINK("https://www.indeed.com/viewjob?jk=7e2f05699cd630dc", "https://www.indeed.com/viewjob?jk=7e2f05699cd630dc")</f>
        <v/>
      </c>
      <c r="F238">
        <f>HYPERLINK("https://www.amazon.jobs/jobs/2998635/principal-applied-scientist-delivery-foundation-model-?cmpid=DA_INAD200785B", "https://www.amazon.jobs/jobs/2998635/principal-applied-scientist-delivery-foundation-model-?cmpid=DA_INAD200785B")</f>
        <v/>
      </c>
      <c r="G238" t="inlineStr">
        <is>
          <t>Santa Clara, CA, US</t>
        </is>
      </c>
      <c r="H238" s="2" t="n">
        <v>45757</v>
      </c>
      <c r="I23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39">
      <c r="A239" t="inlineStr">
        <is>
          <t>in-23b2396d3808220b</t>
        </is>
      </c>
      <c r="B239" t="inlineStr">
        <is>
          <t>AI/ML Engineer</t>
        </is>
      </c>
      <c r="C239" t="inlineStr">
        <is>
          <t>Decentral Holding Corporation</t>
        </is>
      </c>
      <c r="D239" t="inlineStr">
        <is>
          <t>indeed</t>
        </is>
      </c>
      <c r="E239">
        <f>HYPERLINK("https://www.indeed.com/viewjob?jk=23b2396d3808220b", "https://www.indeed.com/viewjob?jk=23b2396d3808220b")</f>
        <v/>
      </c>
      <c r="F239">
        <f>HYPERLINK("http://www.indeed.com/job/aiml-engineer-23b2396d3808220b", "http://www.indeed.com/job/aiml-engineer-23b2396d3808220b")</f>
        <v/>
      </c>
      <c r="G239" t="inlineStr">
        <is>
          <t>US</t>
        </is>
      </c>
      <c r="H239" s="2" t="n">
        <v>46083</v>
      </c>
      <c r="I239" t="inlineStr">
        <is>
          <t>**About Lucia Protocol:** Lucia Protocol is at the forefront of AI\-driven data infrastructure, building the future of decentralized ad attribution. We are redefining how brands, publishers, and communities leverage Web3 to track, attribute, and reward digital actions accurately. Our team is innovating where AI, blockchain, and decentralized ecosystems intersect to power transparent and efficient ad measurement solutions.
**Job Description:** We are seeking a talented and motivated Machine Learning Engineer to join our dynamic team. In this role, you will leverage your machine learning and data science expertise to develop and enhance algorithms that drive our platform's performance, security, and user experience. Your work will be integral to optimizing our data infrastructure and ad attribution, predicting market trends, and ensuring the robustness of our blockchain solutions.
**Key Responsibilities:**
* Design, develop, and deploy machine learning models to enhance various aspects of our DeFi platform.
* Collaborate with cross\-functional teams to understand business requirements and translate them into technical solutions.
* Implement algorithms to analyze and predict market trends, user behaviours, and platform security threats.
* Optimize and fine\-tune machine learning models for real\-time performance and scalability.
* Work closely with blockchain developers to integrate machine learning solutions with our decentralized applications.
* Conduct data analysis to extract meaningful insights and inform strategic decisions.
* Stay up\-to\-date with the latest advancements in machine learning, blockchain, and DeFi technologies.
**Requirements:**
* Bachelor's or Master's degree in Computer Science, Data Science, Machine Learning, or a related field.
* Minimum of 5 years of experience as a Machine Learning Engineer or Data Scientist, preferably in the blockchain or financial technology sectors.
* Strong programming skills in Python, R, or similar languages.
* Strong programming skills with JavaScript. For this role, we're looking for a strong generalist developer who can quickly contribute to product development.
* Experience with machine learning frameworks such as TensorFlow, PyTorch, or scikit\-learn.
* Solid understanding of blockchain technology, smart contracts, and decentralized applications (dApps).
* Familiarity with Web3 technologies and protocols.
* Strong problem\-solving skills and ability to work independently and in a team environment.
* Proficient in English, both written and verbal.
* Excellent communication skills, with the ability to explain complex technical concepts to non\-technical stakeholders.
If you are passionate about machine learning, blockchain technology, and the future of decentralized finance, we would love to hear from you!
**BEFORE APPLYING:**
**We are currently in an exciting fundraising phase and expect to secure funding within the next month or two. During this period, compensation will be deferred. We understand the financial circumstances and will ensure that the time commitment remains reasonable. Our expectation is to have team members who can provide valuable contributions while supporting themselves until the fundraising is complete. Are you open to joining our dynamic team and being part of this thrilling journey as we grow and secure our future together? If so, by applying to this position, you understand and are willing to proceed with this arrangement if selected**.
*Note: Lucia Protocol is an equal opportunity employer. All applicants will be considered for employment without attention to race, colour, religion, sex, sexual orientation, gender identity, national origin, or disability status.*
Job Types: Full\-time, Contract
Pay: $140,000\.00 \- $160,000\.00 per year
Application Question(s):
* Will you now, or in the future, require sponsorship for employment visa status (e.g. H\-1B visa status)?
* Please review the terms outlined in the "Before Applying" section of the job posting.
* How many years of working experience do you have in Web3 or Crypto?
* Have you worked in a web3/crypto exchange, foundation or L1/L2 before?
Experience:
* Machine learning: 5 years (Required)
Work Location: Remote</t>
        </is>
      </c>
    </row>
    <row r="240">
      <c r="A240" t="inlineStr">
        <is>
          <t>in-7d2286c194c49eb0</t>
        </is>
      </c>
      <c r="B240" t="inlineStr">
        <is>
          <t>Senior AI/ML Engineer Remote Nationwide or Hybrid in MN/DC</t>
        </is>
      </c>
      <c r="C240" t="inlineStr">
        <is>
          <t>Optum</t>
        </is>
      </c>
      <c r="D240" t="inlineStr">
        <is>
          <t>indeed</t>
        </is>
      </c>
      <c r="E240">
        <f>HYPERLINK("https://www.indeed.com/viewjob?jk=7d2286c194c49eb0", "https://www.indeed.com/viewjob?jk=7d2286c194c49eb0")</f>
        <v/>
      </c>
      <c r="F240">
        <f>HYPERLINK("https://uhg.taleo.net/careersection/10000/jobdetail.ftl?job=2347560&amp;lang=en", "https://uhg.taleo.net/careersection/10000/jobdetail.ftl?job=2347560&amp;lang=en")</f>
        <v/>
      </c>
      <c r="G240" t="inlineStr">
        <is>
          <t>Eden Prairie, MN, US</t>
        </is>
      </c>
      <c r="H240" s="2" t="n">
        <v>46082</v>
      </c>
      <c r="I240"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We are seeking a highly skilled AI/ML Engineer with expertise in delivering Natural Language Processing (NLP), Optical Character Recognition (OCR), Machine Learning (ML), and cloud\-based AI solutions to join our dynamic team. The ideal candidate will play a pivotal role in transforming our workflows through AI\-driven automation and efficiency, particularly in the modernization of fax processes and telephony systems. This role requires a strong technical foundation, critical thinking, ethical judgment, and collaborative skills to drive impactful solutions aligned with organizational goals and societal values.
You'll enjoy the flexibility to work remotely \* from anywhere within the U.S. as you take on some tough challenges. For all hires in the Minneapolis or Washington, D.C. area, you will be required to work in the office a minimum of four days per week.
 **Primary Responsibilities:**
* Architect, deliver hands\-on, mentor \&amp; review other team members and deliver on timelines with all dependencies and innovative needs thought out, coordinated with cross\-team stakeholders
* Work with product management, design, support and other dev teams members to create high\-quality solutions
* Solve difficult and sometimes ambiguous problems
* Be a team player, show due diligence, your own creativity, take team input, own \&amp; design deliverables with deep security expertise
You'll be rewarded and recognized for your performance in an environment that will challenge you and give you clear direction on what it takes to succeed in your role as well as provide development for other roles you may be interested in.
**Required Qualifications:**
* Undergraduate degree or equivalent experience
* 3\+ years of experience working with Natural Language processing
* 3\+ years of experience with Deploying and manage ML models on cloud platforms such as Microsoft Azure, AWS, Google Cloud Platform (GCP)
* 3\+ years of experience leveraging cloud\-native tools like Azure Machine Learning, AWS SageMaker, GCP AI Platform for model training, deployment, and monitoring
* 2\+ years of experience working with Retrieval\-Augmented Generation
 **Preferred Qualifications:**
* 8\+ years of AI/ML Engineering experience
* Experience with Optical Character Recognition (OCR) for document digitization and data extraction
* Experience with Intelligent document processing
* Experience working in accordance with Dev/Sec/Ops principles, and familiarity with industry deployment best practices using CI/CD tools, MLOps, LLMOps and infrastructure as code (Jenkins, Docker, Kubernetes, Git etc.)
* Deep experience with additional server\-side frameworks and technologies such as FastAPI, Node.js, Flask, Django etc.
* Expert knowledge of Python/SQL and AI/ML libraries (tensorflow/PyTorch/SciKit/Seaborn etc.)  
Familiarity with telephony systems, including voice processing, speech recognition, and platform integration
* Proven track record of shipping and maintaining production, enterprise scale AI applications and data science products
* Proven solid computer science fundaments in data structures, algorithms, automated testing, object\-oriented programming, performance complexity, and implications of computer architecture on software performance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$91,700 to $163,700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41">
      <c r="A241" t="inlineStr">
        <is>
          <t>in-9fc61d15e4f8f33a</t>
        </is>
      </c>
      <c r="B241" t="inlineStr">
        <is>
          <t>Sr. Machine Learning Engineer, Tools and Framework AI</t>
        </is>
      </c>
      <c r="C241" t="inlineStr">
        <is>
          <t>Apple</t>
        </is>
      </c>
      <c r="D241" t="inlineStr">
        <is>
          <t>indeed</t>
        </is>
      </c>
      <c r="E241">
        <f>HYPERLINK("https://www.indeed.com/viewjob?jk=9fc61d15e4f8f33a", "https://www.indeed.com/viewjob?jk=9fc61d15e4f8f33a")</f>
        <v/>
      </c>
      <c r="F241">
        <f>HYPERLINK("https://jsv3.recruitics.com/redirect?rx_cid=3427&amp;rx_jobId=200648476-0836_rxr-661&amp;rx_url=https%3A%2F%2Fjobs.apple.com%2Fen-us%2Fdetails%2F200648476-0836%2Fsr-machine-learning-engineer-tools-and-framework-ai%3Fboard_id%3DJB001%26rx_campaign%3Dindeed0%26rx_ch%3Djobp4p%26rx_group%3D122365%26rx_id%3Dfcb9e476-1603-11f1-9298-81ce68bcbd82%26rx_job%3D200648476-0836_rxr-661%26rx_medium%3Dcpc%26rx_r%3Dnone%26rx_source%3Dindeed%26rx_ts%3D20260302T103830Z%26rx_vp%3Dcpc%26team%3DSFTWR", "https://jsv3.recruitics.com/redirect?rx_cid=3427&amp;rx_jobId=200648476-0836_rxr-661&amp;rx_url=https%3A%2F%2Fjobs.apple.com%2Fen-us%2Fdetails%2F200648476-0836%2Fsr-machine-learning-engineer-tools-and-framework-ai%3Fboard_id%3DJB001%26rx_campaign%3Dindeed0%26rx_ch%3Djobp4p%26rx_group%3D122365%26rx_id%3Dfcb9e476-1603-11f1-9298-81ce68bcbd82%26rx_job%3D200648476-0836_rxr-661%26rx_medium%3Dcpc%26rx_r%3Dnone%26rx_source%3Dindeed%26rx_ts%3D20260302T103830Z%26rx_vp%3Dcpc%26team%3DSFTWR")</f>
        <v/>
      </c>
      <c r="G241" t="inlineStr">
        <is>
          <t>Cupertino, CA, US</t>
        </is>
      </c>
      <c r="H241" s="2" t="n">
        <v>46082</v>
      </c>
      <c r="I241"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On the Tools and Frameworks AI team, you'll work on projects that push the boundaries of what's possible with AI. We're solving problems at the frontier of the field, building tools and capabilities, and figuring out what the next generation of software development looks like. We take these innovations from concept to production, ensuring our work delivers real impact at scale. You'll see your contributions move from early explorations to production systems that users depend on daily.  
**Description**  
We're looking for a Senior ML Engineer who can drive AI\-powered software development from initial design through production deployment. You'll architect and build machine learning systems that push the boundaries of what's possible in software development, writing production\-quality code that scales to meet real\-world demands. This role requires both deep technical expertise and strong collaboration skills\-you'll work closely with product managers, software engineers, and researchers across the organization to translate ambitious ideas into robust, shipping solutions. You'll be responsible for making critical design decisions, mentoring other engineers, and ensuring our exploratory work successfully transitions into production systems that deliver measurable impact.","responsibilities":"Lead, design and implement AI\-first developer productivity projects from prototype to production establishing best software engineering practices.  
Own the end\-to\-end user experience with a strong focus on product quality.  
Work cross\-functionally with multiple stakeholders at Apple, drive requirements and deliver the end solution.  
Be a force\-multiplier, by enabling team\-members to be more productive. Mentor junior engineers.  
**Preferred Qualifications**  
Hands\-on experience working on developer productivity AI tools  
Full\-stack software developer experience with experience building ML infra at scale  
Experience leading AI/ML projects  
**Minimum Qualifications**  
At least 8 years of hands\-on experience in software engineering, with focus on machine learning  
Demonstrated expert knowledge of machine learning modeling and applied machine learning research  
Strong programming skills in: Python, Java, C\+\+ or Swift  
Track record of delivering high quality products and solving complex problems in innovative ways  
Thrive in a collaborative environment and communicate clearly and confidently with partner teams  
Masters OR PhD in Computer Science, Machine Learning Engineering or equivalent professional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42">
      <c r="A242" t="inlineStr">
        <is>
          <t>in-f799084c1168a9d4</t>
        </is>
      </c>
      <c r="B242" t="inlineStr">
        <is>
          <t>GPU Machine Learning Engineer, Platform Architecture</t>
        </is>
      </c>
      <c r="C242" t="inlineStr">
        <is>
          <t>Apple</t>
        </is>
      </c>
      <c r="D242" t="inlineStr">
        <is>
          <t>indeed</t>
        </is>
      </c>
      <c r="E242">
        <f>HYPERLINK("https://www.indeed.com/viewjob?jk=f799084c1168a9d4", "https://www.indeed.com/viewjob?jk=f799084c1168a9d4")</f>
        <v/>
      </c>
      <c r="F242">
        <f>HYPERLINK("https://jsv3.recruitics.com/redirect?rx_cid=3427&amp;rx_jobId=200648992-0836_rxr-661&amp;rx_url=https%3A%2F%2Fjobs.apple.com%2Fen-us%2Fdetails%2F200648992-0836%2Fgpu-machine-learning-engineer-platform-architecture%3Fboard_id%3DJB001%26rx_campaign%3Dindeed0%26rx_ch%3Djobp4p%26rx_group%3D122365%26rx_id%3D07e6007e-1604-11f1-9298-bf856f059c41%26rx_job%3D200648992-0836_rxr-661%26rx_medium%3Dcpc%26rx_r%3Dnone%26rx_source%3Dindeed%26rx_ts%3D20260302T103830Z%26rx_vp%3Dcpc%26team%3DHRDWR", "https://jsv3.recruitics.com/redirect?rx_cid=3427&amp;rx_jobId=200648992-0836_rxr-661&amp;rx_url=https%3A%2F%2Fjobs.apple.com%2Fen-us%2Fdetails%2F200648992-0836%2Fgpu-machine-learning-engineer-platform-architecture%3Fboard_id%3DJB001%26rx_campaign%3Dindeed0%26rx_ch%3Djobp4p%26rx_group%3D122365%26rx_id%3D07e6007e-1604-11f1-9298-bf856f059c41%26rx_job%3D200648992-0836_rxr-661%26rx_medium%3Dcpc%26rx_r%3Dnone%26rx_source%3Dindeed%26rx_ts%3D20260302T103830Z%26rx_vp%3Dcpc%26team%3DHRDWR")</f>
        <v/>
      </c>
      <c r="G242" t="inlineStr">
        <is>
          <t>Austin, TX, US</t>
        </is>
      </c>
      <c r="H242" s="2" t="n">
        <v>46082</v>
      </c>
      <c r="I242" t="inlineStr">
        <is>
          <t>Imagine what you could do here! At Apple, new ideas have a way of becoming extraordinary products, services, and customer experiences very quickly. Bring passion and dedication to your job and there's no telling what you could accomplish! Dynamic, inquisitive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**Description**  
The Platform Architecture GPU group is looking for a talented GPU Machine Learning Engineer to join the Neural Accelerator effort with strong skills in performance analysis and development at the level of ML frameworks and lower\-level kernel implementations.","responsibilities":"Analyze the performance of linear algebra and machine learning algorithms on Apple GPU platforms, pursuing investigations wherever they take you in Apple software.  
With our partner teams in Software Engineering and Hardware Technologies, formulate system\-level strategies to address performance problems and unlock the next level of AI performance for our users.  
Work closely with MLX, MPS and CoreML teams on real ML use\-cases in an end\-to\-end co\-design effort, from early design exploration up to product launch.  
**Preferred Qualifications**  
MS or PhD in Computer Science, Electrical Engineering, or equivalent  
3\+ years of relevant industry experience  
Experience working specifically in CUDA C\+\+ on ML and/or linear algebra algorithms  
Experience optimizing LLM inference for low latency at the implementation level  
Experience optimizing LLM inference at scale in the cloud or datacenter  
Ability to communicate across both hardware and software organizations  
**Minimum Qualifications**  
BS degree  
Experience with software and hardware performance analysis and optimization  
Experience in GPU programming models such as Metal, CUDA, or similar  
Experience with ML frameworks, for example MLX, Pytorch, or similar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43">
      <c r="A243" t="inlineStr">
        <is>
          <t>in-143ac44394288b73</t>
        </is>
      </c>
      <c r="B243" t="inlineStr">
        <is>
          <t>GPU Machine Learning Engineer, Platform Architecture</t>
        </is>
      </c>
      <c r="C243" t="inlineStr">
        <is>
          <t>Apple</t>
        </is>
      </c>
      <c r="D243" t="inlineStr">
        <is>
          <t>indeed</t>
        </is>
      </c>
      <c r="E243">
        <f>HYPERLINK("https://www.indeed.com/viewjob?jk=143ac44394288b73", "https://www.indeed.com/viewjob?jk=143ac44394288b73")</f>
        <v/>
      </c>
      <c r="F243">
        <f>HYPERLINK("https://jsv3.recruitics.com/redirect?rx_cid=3427&amp;rx_jobId=200648992-0157_rxr-661&amp;rx_url=https%3A%2F%2Fjobs.apple.com%2Fen-us%2Fdetails%2F200648992-0157%2Fgpu-machine-learning-engineer-platform-architecture%3Fboard_id%3DJB001%26rx_campaign%3Dindeed0%26rx_ch%3Djobp4p%26rx_group%3D122365%26rx_id%3Dfe1d1e80-1603-11f1-9298-a783aa214c6f%26rx_job%3D200648992-0157_rxr-661%26rx_medium%3Dcpc%26rx_r%3Dnone%26rx_source%3Dindeed%26rx_ts%3D20260302T103830Z%26rx_vp%3Dcpc%26team%3DHRDWR", "https://jsv3.recruitics.com/redirect?rx_cid=3427&amp;rx_jobId=200648992-0157_rxr-661&amp;rx_url=https%3A%2F%2Fjobs.apple.com%2Fen-us%2Fdetails%2F200648992-0157%2Fgpu-machine-learning-engineer-platform-architecture%3Fboard_id%3DJB001%26rx_campaign%3Dindeed0%26rx_ch%3Djobp4p%26rx_group%3D122365%26rx_id%3Dfe1d1e80-1603-11f1-9298-a783aa214c6f%26rx_job%3D200648992-0157_rxr-661%26rx_medium%3Dcpc%26rx_r%3Dnone%26rx_source%3Dindeed%26rx_ts%3D20260302T103830Z%26rx_vp%3Dcpc%26team%3DHRDWR")</f>
        <v/>
      </c>
      <c r="G243" t="inlineStr">
        <is>
          <t>Austin, TX, US</t>
        </is>
      </c>
      <c r="H243" s="2" t="n">
        <v>46082</v>
      </c>
      <c r="I243" t="inlineStr">
        <is>
          <t>Imagine what you could do here! At Apple, new ideas have a way of becoming extraordinary products, services, and customer experiences very quickly. Bring passion and dedication to your job and there's no telling what you could accomplish! Dynamic, inquisitive people and inspiring, innovative technologies are the norm here. The people who work here have reinvented entire industries with all Apple Hardware products. The same passion for innovation that goes into our products also applies to our practices strengthening our commitment to leave the world better than we found it.  
**Description**  
The Platform Architecture GPU group is looking for a talented GPU Machine Learning Engineer to join the Neural Accelerator effort with strong skills in performance analysis and development at the level of ML frameworks and lower\-level kernel implementations.","responsibilities":"Analyze the performance of linear algebra and machine learning algorithms on Apple GPU platforms, pursuing investigations wherever they take you in Apple software.  
With our partner teams in Software Engineering and Hardware Technologies, formulate system\-level strategies to address performance problems and unlock the next level of AI performance for our users.  
Work closely with MLX, MPS and CoreML teams on real ML use\-cases in an end\-to\-end co\-design effort, from early design exploration up to product launch.  
**Preferred Qualifications**  
MS or PhD in Computer Science, Electrical Engineering, or equivalent  
3\+ years of relevant industry experience  
Experience working specifically in CUDA C\+\+ on ML and/or linear algebra algorithms  
Experience optimizing LLM inference for low latency at the implementation level  
Experience optimizing LLM inference at scale in the cloud or datacenter  
Ability to communicate across both hardware and software organizations  
**Minimum Qualifications**  
BS degree  
Experience with software and hardware performance analysis and optimization  
Experience in GPU programming models such as Metal, CUDA, or similar  
Experience with ML frameworks, for example MLX, Pytorch, or similar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244">
      <c r="A244" t="inlineStr">
        <is>
          <t>in-9130881431ef5b25</t>
        </is>
      </c>
      <c r="B244" t="inlineStr">
        <is>
          <t>ML Engineer, GO-AI Technology &amp; Development Team</t>
        </is>
      </c>
      <c r="C244" t="inlineStr">
        <is>
          <t>Amazon.com</t>
        </is>
      </c>
      <c r="D244" t="inlineStr">
        <is>
          <t>indeed</t>
        </is>
      </c>
      <c r="E244">
        <f>HYPERLINK("https://www.indeed.com/viewjob?jk=9130881431ef5b25", "https://www.indeed.com/viewjob?jk=9130881431ef5b25")</f>
        <v/>
      </c>
      <c r="F244">
        <f>HYPERLINK("https://www.amazon.jobs/jobs/3173298/ml-engineer-goai-technology--development-team?cmpid=DA_INAD200785B", "https://www.amazon.jobs/jobs/3173298/ml-engineer-goai-technology--development-team?cmpid=DA_INAD200785B")</f>
        <v/>
      </c>
      <c r="G244" t="inlineStr">
        <is>
          <t>Seattle, WA, US</t>
        </is>
      </c>
      <c r="H244" s="2" t="n">
        <v>45998</v>
      </c>
      <c r="I244"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5">
      <c r="A245" t="inlineStr">
        <is>
          <t>in-901f99768a76aee1</t>
        </is>
      </c>
      <c r="B245" t="inlineStr">
        <is>
          <t>ML Engineer, GO-AI Technology &amp; Development Team</t>
        </is>
      </c>
      <c r="C245" t="inlineStr">
        <is>
          <t>Amazon.com</t>
        </is>
      </c>
      <c r="D245" t="inlineStr">
        <is>
          <t>indeed</t>
        </is>
      </c>
      <c r="E245">
        <f>HYPERLINK("https://www.indeed.com/viewjob?jk=901f99768a76aee1", "https://www.indeed.com/viewjob?jk=901f99768a76aee1")</f>
        <v/>
      </c>
      <c r="F245">
        <f>HYPERLINK("https://www.amazon.jobs/jobs/3173298/ml-engineer-goai-technology--development-team?cmpid=DA_INAD200785B", "https://www.amazon.jobs/jobs/3173298/ml-engineer-goai-technology--development-team?cmpid=DA_INAD200785B")</f>
        <v/>
      </c>
      <c r="G245" t="inlineStr">
        <is>
          <t>Westborough, MA, US</t>
        </is>
      </c>
      <c r="H245" s="2" t="n">
        <v>45998</v>
      </c>
      <c r="I245"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6">
      <c r="A246" t="inlineStr">
        <is>
          <t>in-0239521823cd585d</t>
        </is>
      </c>
      <c r="B246" t="inlineStr">
        <is>
          <t>ML Engineer, GO-AI Technology &amp; Development Team</t>
        </is>
      </c>
      <c r="C246" t="inlineStr">
        <is>
          <t>Amazon.com</t>
        </is>
      </c>
      <c r="D246" t="inlineStr">
        <is>
          <t>indeed</t>
        </is>
      </c>
      <c r="E246">
        <f>HYPERLINK("https://www.indeed.com/viewjob?jk=0239521823cd585d", "https://www.indeed.com/viewjob?jk=0239521823cd585d")</f>
        <v/>
      </c>
      <c r="F246">
        <f>HYPERLINK("https://www.amazon.jobs/jobs/3173298/ml-engineer-goai-technology--development-team?cmpid=DA_INAD200785B", "https://www.amazon.jobs/jobs/3173298/ml-engineer-goai-technology--development-team?cmpid=DA_INAD200785B")</f>
        <v/>
      </c>
      <c r="G246" t="inlineStr">
        <is>
          <t>Boston, MA, US</t>
        </is>
      </c>
      <c r="H246" s="2" t="n">
        <v>45998</v>
      </c>
      <c r="I246"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row r="247">
      <c r="A247" t="inlineStr">
        <is>
          <t>in-5333da97adb0739d</t>
        </is>
      </c>
      <c r="B247" t="inlineStr">
        <is>
          <t>ML Engineer, GO-AI Technology &amp; Development Team</t>
        </is>
      </c>
      <c r="C247" t="inlineStr">
        <is>
          <t>Amazon.com</t>
        </is>
      </c>
      <c r="D247" t="inlineStr">
        <is>
          <t>indeed</t>
        </is>
      </c>
      <c r="E247">
        <f>HYPERLINK("https://www.indeed.com/viewjob?jk=5333da97adb0739d", "https://www.indeed.com/viewjob?jk=5333da97adb0739d")</f>
        <v/>
      </c>
      <c r="F247">
        <f>HYPERLINK("https://www.amazon.jobs/jobs/3173298/ml-engineer-goai-technology--development-team?cmpid=DA_INAD200785B", "https://www.amazon.jobs/jobs/3173298/ml-engineer-goai-technology--development-team?cmpid=DA_INAD200785B")</f>
        <v/>
      </c>
      <c r="G247" t="inlineStr">
        <is>
          <t>Reading, MA, US</t>
        </is>
      </c>
      <c r="H247" s="2" t="n">
        <v>45998</v>
      </c>
      <c r="I247" t="inlineStr">
        <is>
          <t>**DESCRIPTION**
---------------
Amazon Robotics is at the forefront of applying state\-of\-the\-art AI to solve real\-world challenges at unprecedented scale. Our fulfillment centers handle more individual items than any company in the world, combining computer vision, mobile robots, advanced end\-of\-arm tooling, and high\-degree of freedom movement with state\-of\-the\-art artificial intelligence. We partner with customers across Amazon worldwide to conceive, develop, prototype, and deploy intelligent robotic systems that push the boundaries of industrial automation.  
Within Amazon Robotics, the Global Operations \- Artificial Intelligence (GO\-AI) team enables Amazon to accelerate and scale the next generation of AI\-powered robotic solutions. We're transforming how complex visual reasoning tasks are performed across Amazon's robotics operations, moving from traditional manual data annotation processes to state\-of\-the\-art foundation model solutions.
As a Machine Learning Engineer on GO\-AI's Technology \&amp; Development Team, you'll be at the center of this transformation. You'll work with massive\-scale, proprietary datasets to develop vision\-language models that achieve human\-level performance on complex real\-world tasks. Your work will directly impact millions of daily operations across Amazon's global fulfillment network.
This is a rare opportunity to build AI systems that operate at Amazon scale while solving novel technical challenges in computer vision, natural language processing, and human\-AI collaboration. You'll collaborate with world\-class scientists, engineers, and operations teams to deploy state\-of\-the\-art research into production systems that deliver real\-world impact at global scale.  
Key job responsibilities  
* Build and optimize distributed training infrastructure for large\-scale vision\-language models at unprecedented scale
* Design and implement high\-throughput production inference systems that serve foundation models at Amazon scale with strict latency and reliability requirements
* Develop large\-scale data and media processing pipelines to handle massive volumes of video, image, and annotation data for model training and evaluation
* Create automated retraining pipelines and performance monitoring systems to maintain model accuracy in dynamic production environments
* Work closely with scientists and engineers to deliver scalable, high\-performance systems that power state\-of\-the\-art AI applications
A day in the life  
Amazon offers a full range of benefits that assist you and eligible family members, including domestic partners.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Experience programming in Java, C\+\+, Python or related language
* Knowledge of ML frameworks including JAX, PyTorch, vLLM, SGLang, Dynamo, TorchXLA, and TensorRT
* Experience building large\-scale machine learning and AI solutions at Internet scale
**PREFERRED QUALIFICATIONS**
----------------------------
* 5\+ years of full software development life cycle, including coding standards, code reviews, source control management, build processes, testing, and operations experience
* Bachelor's degree in computer science, engineering, mathematics or equivalent, or Master's degree
* Experience in processing data with a massively parallel technology (such as Redshift, Teradata, Netezza, Spark or Hadoop based big data solution)
* Experience with video and image processing and compression algorithms and standards, computer vision and/or machine learning
* Experience with training and deploying machine learning systems to solve large\-scale optimizations
* Experience working cross functionally with tech teams
* Knowledge of automation control system logic, mechanism and protocol
* Mathematics and Statistics: strong understanding of linear algebra, calculus, probability, and statistics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\- 168,100\.00 \- 227,400\.00 USD annually  
USA, MA, N.Reading \- 168,100\.00 \- 227,400\.00 USD annually  
USA, MA, Westboro \- 168,100\.00 \- 227,400\.00 USD annually  
USA, WA, Seattle \- 168,100\.00 \- 227,400\.00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li-4378848306</t>
        </is>
      </c>
      <c r="B2" t="inlineStr">
        <is>
          <t>Lead Palantir AI Engineer</t>
        </is>
      </c>
      <c r="C2" t="inlineStr">
        <is>
          <t>HCA Healthcare</t>
        </is>
      </c>
      <c r="D2" t="inlineStr">
        <is>
          <t>linkedin</t>
        </is>
      </c>
      <c r="E2" t="inlineStr"/>
      <c r="F2" t="inlineStr"/>
      <c r="G2" t="inlineStr"/>
      <c r="H2" t="inlineStr"/>
      <c r="I2" t="inlineStr">
        <is>
          <t>At HCA Healthcare, we are committed to providing our patients and care providers with the highest quality healthcare services. HCA’s Digital Transformation and Innovation (DT\&amp;I) team delivers a step change in that direction through clinically led integration of digital and AI technologies into care.
 We are seeking a Lead AI Engineer with deep expertise in Palantir Foundry and strong hands\-on experience with Palantir’s Artificial Intelligence Platform (AIP). This role will lead the design, development, and operationalization of AI\-driven solutions within Foundry. The ideal candidate combines strong software engineering discipline, advanced data engineering depth, and applied AI/ML expertise, with the ability to translate complex business problems into production\-grade AI applications
**Key Responsibilities:** 
* Act as a technical lead, partnering directly with clinical and operational stakeholders to deliver high\-impact, mission\-critical AI solutions in fast\-paced environments.
* Lead technical design and implementation of Palantir Foundry use cases
* Design and deploy LLM\-powered workflows, AI agents, and enterprise decision\-support solutions within Foundry.
* Build data pipelines and workflows to prepare data for machine learning and GenAI.
* Build, fine\-tune, evaluate, and operationalize AI/ML models within Foundry’s ecosystem.
* Implement and standardize robust MLOps practices, including versioning, CI/CD, monitoring, governance, and performance tracking.
* Mentor other engineers as the team grows, and work with engineering leadership to define longer term roadmaps.
 Education \&amp; Experience:
* Bachelor’s degree in computer science, engineering, or a related technical field\- Required
* Master’s degree\- Preferred
* 7\+ years of experience in software engineering with a focus on AI Engineering\- Required
* 7\+ years of overall engineering experience, including 2\+ years of hands\-on experience with Palantir Foundry in production environments.
* Experience building and managing data pipelines, Ontology models, Workshop applications, and operational workflows within Foundry.
* Strong proficiency in Python, PySpark/Spark, and advanced SQL.
* Experience developing and deploying AI/ML models in production environments.
* Experience with Generative AI / LLM\-based solutions.
* Strong experience building and maintaining data pipelines (ETL/ELT) using Foundry tools, Python, and SQL.
* Experience leading engineering teams and delivering projects in Agile environments.
* Experience implementing solutions in regulated environments (e.g., healthcare, finance)\- Preferred
* Frontend development experience using TypeScript and React is a plus.\- Preferred
**Licenses, Certification \&amp; Training Requirements:** 
 Palantir certifications (Foundry Data Engineer, Solution Architect, or Application Developer)\- Preferred
**Work Location/Schedule:** 
* Remote (U.S. Only) \- M\-F, 8am – 5pm \- Central Time
**Travel Required:** 
* This job requires travel to Nashville, TN to attend final interview, 3\-day New Hire Orientation, quarterly team meetings, and other travel on as\-needed basis
**Visa Sponsorship:** 
* Not offered, now or in the future</t>
        </is>
      </c>
    </row>
    <row r="3">
      <c r="A3" t="inlineStr">
        <is>
          <t>li-4340290419</t>
        </is>
      </c>
      <c r="B3" t="inlineStr">
        <is>
          <t>Machine Learning Engineer</t>
        </is>
      </c>
      <c r="C3" t="inlineStr">
        <is>
          <t>Parker B Associates</t>
        </is>
      </c>
      <c r="D3" t="inlineStr">
        <is>
          <t>linkedin</t>
        </is>
      </c>
      <c r="E3" t="inlineStr"/>
      <c r="F3" t="inlineStr"/>
      <c r="G3" t="inlineStr"/>
      <c r="H3" t="inlineStr"/>
      <c r="I3" t="inlineStr">
        <is>
          <t>Machine Learning Engineer (Green card holder / US Citizen ONLY)
 New York City
 Permanent
 €130,000 – €250,000 \+ Bens
 Our client is a global Insurance business seeking a Machine Learning Engineer to join the team on a permanent basis.
 Are you interested in working on a brand\-new, greenfield AI project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4">
      <c r="A4" t="inlineStr">
        <is>
          <t>li-4318663121</t>
        </is>
      </c>
      <c r="B4" t="inlineStr">
        <is>
          <t>Senior Data Scientist / Machine Learning Engineer - Listing Quality</t>
        </is>
      </c>
      <c r="C4" t="inlineStr">
        <is>
          <t>Faire</t>
        </is>
      </c>
      <c r="D4" t="inlineStr">
        <is>
          <t>linkedin</t>
        </is>
      </c>
      <c r="E4" t="inlineStr"/>
      <c r="F4" t="inlineStr"/>
      <c r="G4" t="inlineStr">
        <is>
          <t>San Francisco, CA</t>
        </is>
      </c>
      <c r="H4" t="inlineStr"/>
      <c r="I4"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Faire leverages the power of machine learning and data insights to revolutionize the wholesale industry, enabling local retailers to compete against giants like Amazon and big box stores. At Faire, the Data Science team is responsible for creating and maintaining a diverse range of algorithms and models that power our marketplace. We are dedicated to building machine learning models that help our customers thrive.
 As a member of the Brand Data Science team working on Listing Quality, you will be responsible for improving the quality of product listings to help retailers find and evaluate products on Faire. You will use ML and AI to tackle critical challenges, such as enhancing image and text quality, extracting structured product attributes, and accurately identifying duplicates and product variants. You will leverage deep learning, multi\-modal LLMs, and human\-in\-the\-loop training to create high performance solutions. This space has been evolving rapidly with advancements in AI and you will be at the forefront of applying the latest technology to drive real\-world impact. You will independently design and implement solutions and work with the cross\-functional Listing Quality pod, including product, design, engineering, analytics, and operations, to solve problems end\-to\-end.
**What You’ll Do**
* Drive data science vision, strategy, and execution on Listing Quality, using ML and AI solutions to improve the quality of Faire’s product listings.
* Use deep learning, LLM fine tuning, and human\-in\-the\-loop training to automatically detect and address issues with high accuracy.
* Act as a lead on the cross\-functional Listing Quality pod, thinking end\-to\-end about brand and retailer experiences.
**Qualifications**
* 3\+ years of industry experience using machine learning to solve real\-world problems
* Experience with relevant business problems (e.g. e\-commerce)
* Experience with relevant technical methods (e.g. LLM fine tuning, deep learning, or human\-in\-the\-loop machine learning)
* Strong programming skills
* An excitement and willingness to learn new tools and techniques
* The ability to design and implement ML solutions without supervision
* Strong communication skills and the ability to work in a highly cross\-functional team
**Great To Haves**
* Master’s or PhD in Computer Science, Statistics, or related STEM fields is highly recommended
* Previous experience in listing quality for e\-commerce
* Previous experience in supervised fine tuning of multi\-modal LLMs
* Experience deploying and optimizing LLM inference systems at scale (10B\+ tokens), with focus on cost efficiency and product impact
**Salary Range**
 San Francisco: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5">
      <c r="A5" t="inlineStr">
        <is>
          <t>li-4289453950</t>
        </is>
      </c>
      <c r="B5" t="inlineStr">
        <is>
          <t>Applied Scientist, Search and Recommender Systems- VenturaOS</t>
        </is>
      </c>
      <c r="C5" t="inlineStr">
        <is>
          <t>The Trade Desk</t>
        </is>
      </c>
      <c r="D5" t="inlineStr">
        <is>
          <t>linkedin</t>
        </is>
      </c>
      <c r="E5" t="inlineStr"/>
      <c r="F5" t="inlineStr"/>
      <c r="G5" t="inlineStr">
        <is>
          <t>San Jose, CA</t>
        </is>
      </c>
      <c r="H5" t="inlineStr"/>
      <c r="I5" t="inlineStr">
        <is>
          <t>**About VenturaOS**
 We're a small, high\-impact team building the next\-generation TV operating system. Our flexible structure gives engineers direct influence over product direction—an opportunity rarely found in larger companies.
 Our innovative approach to the CTV industry optimizes the advertising supply chain, creating better outcomes for advertisers, publishers, and TV viewers alike. As part of our
 **Ventura OS** 
 project, we're developing sophisticated backend infrastructure to power our platform, with a strong emphasis on quality at scale.
 We believe culture matters. We foster an environment where engineers thrive through collaboration, innovation, and continuous learning. Our teams build cutting\-edge streaming technology that enables advertisers to leverage data for more relevant and effective ad experiences—while improving efficiency across the entire supply chain ecosystem.
**Who we are looking for:**
 We are looking for an experienced Applied Scientist join Ventura OS who brings:
* Proven Expertise: You have a sustained track record of making significant, self\-directed, and end\-to\-end contributions to large and impactful AI\-based projects. You think beyond just the task at hand to deeply understand the 'why' behind what you are doing.
* Technical Leadership: You will be driving technical projects and providing leadership in a groundbreaking and fast\-paced environment. This includes task planning, conducting code reviews, and individual code contributions.
* Data Intuition: You have a strong sense of data intuition. At our scale, many off\-the\-shelf modeling techniques (open source and enterprise) simply don't work. You can work from first principles and intuition to develop solutions and adapt them to a unique environment.
* Product Focus: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can pitch your ideas to different audiences at all levels.
* Start\-up Mentality: You are accustomed to start\-up culture. You embrace risks, make smart investments, and stay agile when priorities shift.
* Collaborative Confidence: You work with confidence and without ego. Our research data scientists have deep knowledge and exercise a high degree of leadership in their daily work. You have strongly held, defensible ideas, and advocate for what you believe is right. You are also adept at identifying and evaluating trade\-offs, willing to be proven wrong, and quick to support your teammates.
* Diversity and Inclusion: You value, seek out, and foster diversity. We are a global team from many diverse backgrounds, with different experiences and perspectives. You welcome ideas that are different from your own and are skilled at finding and building from common ground.
* Innovative Thinking: You are a creative thinker, not bound by "the way things have always been done." What you know is less important than how well you learn and innovate. We don't need research data scientists who know all the answers; we need research data scientists who can invent the answers no one has thought of yet, to the questions yet to be asked.
**What you bring to the Ventura Team:** 
* Versatile Expertise: You are a jack\-of\-all\-trades and master of some in the field of AI. Ideally, you have 5\+ years of experience working with AI\-related research and applications. You may have an advanced degree in a CS/AI/ECE field, but it’s not a strict requirement. What and how you can contribute is what’s most important to us.
* Innovative Application: You have a track record of turning the latest AI publications into solutions for real\-world problems or ideas for novel product creation. You stay up to date with the latest advancements in AI.
* Agile Collaboration: You are comfortable working on an agile, distributed team spanning multiple time zones and continents.
* Effective Communication: You can communicate effectively across both technical and non\-technical audiences.
* Technical Proficiency: You have strong programming and big data processing skills, with experience in making machine learning or data mining algorithms work on massive amounts of data.
* Product focus: You know how to get your ML models production ready. You know how to work with your team to get your code/model up and running into production.
* Specialized Knowledge: Deep expertise and extensive hands\-on experience in some of the following areas is a plus:
+ Recommendation Systems
+ Natural Language Processing
+ Search
+ Information Retrieval
+ Large Language Models
+ Deep Learning
+ Generative AI technologies
+ Large\-scale data mining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6">
      <c r="A6" t="inlineStr">
        <is>
          <t>li-4379908326</t>
        </is>
      </c>
      <c r="B6" t="inlineStr">
        <is>
          <t>Machine Learning Engineer</t>
        </is>
      </c>
      <c r="C6" t="inlineStr">
        <is>
          <t>Finch</t>
        </is>
      </c>
      <c r="D6" t="inlineStr">
        <is>
          <t>linkedin</t>
        </is>
      </c>
      <c r="E6" t="inlineStr"/>
      <c r="F6" t="inlineStr"/>
      <c r="G6" t="inlineStr">
        <is>
          <t>New York, NY</t>
        </is>
      </c>
      <c r="H6" t="inlineStr"/>
      <c r="I6" t="inlineStr">
        <is>
          <t>**About Finch**
 We believe every American household deserves access to counsel in life’s biggest moments. At Finch, we’re building the infrastructure to make justice radically more accessible. Our modern approach to consumer law automates the admin work and puts clients first, starting with personal injury.
 Since launching in April, we’ve grown 10x and are now powering pre\-litigation for top law firms across the country. We combine expert operators with purpose\-built AI to handle intake, claim opening, medical records, police reports, lien management, demands, and everything in between.
 We’re backed by Sequoia, Redpoint, and the founders \&amp; CEOs of generational companies like DoorDash, Ironclad, and Digits. We’re rebuilding how the law serves everyday Americans from first principles, and we’re hiring exceptional operators to help us scale it nationwide.
**This Role**
 Legal work is buried in unstructured documents, repetitive workflows, and data that no existing system handles well — and we're building the AI to fix it. As a Machine Learning Engineer at Finch, you'll own the full lifecycle of AI systems, from prototype to production, working on problems where a single breakthrough can meaningfully change how law firms operate.
**What You'll Do**
 This is a hands\-on applied AI role where you'll build and ship production systems — not just run experiments. The scope will grow as our product and team do.
* Build voice agents, browser agents, OCR pipelines, and LLM\-powered workflows that work reliably in production.
* Design rigorous evaluation frameworks and feedback loops to systematically improve model accuracy and reliability.
* Own the full ML lifecycle — model selection, fine\-tuning, prompt design, deployment, and monitoring.
* Collaborate directly with product, ops, and legal experts to make sure the AI is solving the right problems.
* Track emerging research and tools, and make deliberate calls about when to bring them into our stack.
**Who We Have In Mind**
 This role is for engineers who care about outcomes over algorithms and are just as comfortable in production as they are in a notebook. Here's what that requires.
 Must\-Haves
* 3\+ years building and deploying production ML systems.
* Strong Python skills and experience working across the ML stack end\-to\-end.
* Hands\-on experience with LLMs, prompt engineering, and evaluation design.
* A track record of shipping observable, maintainable AI systems — not just prototypes.
 Nice\-to\-Haves
* Experience with NLP, OCR, speech, or agent frameworks (LangChain, OpenAI APIs, etc.).
* Prior work at an early\-stage startup where you helped define ML infrastructure from scratch.
* Familiarity with legal tech, document\-heavy workflows, or regulated industries.
 This Role Might Not Be For You If
* You prefer research or experimentation over owning systems in production.
* You do your best work with a well\-scoped problem and a stable, established ML platform.
* You're looking for a remote\-first role — this one is 4 days/week in our NYC office.
**Compensation**
 The expected package for this role includes base salary \+ commission \+ equity.
* Base salary \= $170,000 \- $250,000
**Benefits**
* 100% coverage for health, dental, and vision.
* 401(k) retirement plan.
* In\-office snacks, drinks, and daily team lunches and dinners.
* Flexible PTO (we trust you to take the time you need).
**Interview Process**
* Intro: An initial call to see if there's a mutual fit.
* Interview: An interview that typically involves a case assignment of sorts.
* Onsite: A visit to our NYC office to interview, meet the team, and have lunch.
**At Finch Legal, we believe in practicing what we advocate.**
 As a company dedicated to upholding justice and protecting people in the workplace, we are equally committed to fostering a safe, inclusive, and equitable environment within our own walls. We welcome and support individuals from all backgrounds and lived experiences — regardless of race, ethnicity, gender identity, sexual orientation, religion, disability, or veteran status.
 We recognize that diversity strengthens our team, enriches our perspectives, and empowers us to better serve our clients and communities. At Finch Legal, inclusion isn’t just a value — it’s a practice.
 Compensation Range: $170K \- $250K</t>
        </is>
      </c>
    </row>
    <row r="7">
      <c r="A7" t="inlineStr">
        <is>
          <t>li-4251314769</t>
        </is>
      </c>
      <c r="B7" t="inlineStr">
        <is>
          <t>AI Engineer</t>
        </is>
      </c>
      <c r="C7" t="inlineStr">
        <is>
          <t>PepsiCo</t>
        </is>
      </c>
      <c r="D7" t="inlineStr">
        <is>
          <t>linkedin</t>
        </is>
      </c>
      <c r="E7" t="inlineStr"/>
      <c r="F7" t="inlineStr"/>
      <c r="G7" t="inlineStr">
        <is>
          <t>Plano, TX</t>
        </is>
      </c>
      <c r="H7" t="inlineStr"/>
      <c r="I7"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8">
      <c r="A8" t="inlineStr">
        <is>
          <t>li-4379796711</t>
        </is>
      </c>
      <c r="B8" t="inlineStr">
        <is>
          <t>Junior AI/ML Engineer (Remote)</t>
        </is>
      </c>
      <c r="C8" t="inlineStr">
        <is>
          <t>Lensa</t>
        </is>
      </c>
      <c r="D8" t="inlineStr">
        <is>
          <t>linkedin</t>
        </is>
      </c>
      <c r="E8" t="inlineStr"/>
      <c r="F8" t="inlineStr"/>
      <c r="G8" t="inlineStr">
        <is>
          <t>Boston, MA</t>
        </is>
      </c>
      <c r="H8" t="inlineStr"/>
      <c r="I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9">
      <c r="A9" t="inlineStr">
        <is>
          <t>li-4379939487</t>
        </is>
      </c>
      <c r="B9" t="inlineStr">
        <is>
          <t>Machine Learning Engineer</t>
        </is>
      </c>
      <c r="C9" t="inlineStr">
        <is>
          <t>Open Select</t>
        </is>
      </c>
      <c r="D9" t="inlineStr">
        <is>
          <t>linkedin</t>
        </is>
      </c>
      <c r="E9" t="inlineStr"/>
      <c r="F9" t="inlineStr"/>
      <c r="G9" t="inlineStr"/>
      <c r="H9" t="inlineStr"/>
      <c r="I9" t="inlineStr">
        <is>
          <t>**Machine Learning Engineer \- Agentic Systems** 
 Location: Hybrid, San Francisco
 Salary: Up to $250,000 \+ Equity
 Industry: AI Agents / Performance Marketing / Data Platforms
**Who You’ll Join:** 
 Join an early\-stage, fast\-growing AI startup building autonomous agents to run performance marketing for small and mid\-sized businesses, giving them “enterprise\-grade” growth tech without big in\-house teams. A fast\-growing network of D2C brands and apps already relies on these agents for a 40% lift in performance, with 50\+ customers and a growing waitlist.
 The company recently raised a $25M seed round led by Kleiner Perkins, positioning it in the top 1% of seed\-stage AI companies, and is going after a massive $1T ads market. You’ll be part of a \~27\-person, high\-density team with hands\-on advisors like Jerry Dischler, the former Google executive who built the early Google Ads business.
**What You’ll Do:** 
* Design and build the core agentic platform that powers autonomous marketing agents end\-to\-end.
* Architect the foundational data and signal layer using a modern lakehouse approach, including robust pipelines and ML serving systems.
* Build reliable, safe “tool machines” that let agents interact with external systems and the real world.
* Develop customer\-facing applications, such as a seamless chat UI where users collaborate with their AI partners.
* Collaborate with data scientists to build MLOps infrastructure for training, fine\-tuning, and deploying state\-of\-the\-art reasoning models.
**Who You Are:** 
* 4\+ years of experience in machine learning engineering, able to write production\-grade code.
* Experience in either ML platform work (data, infra, serving, MLOps) or ML modelling (training, fine\-tuning, evaluation) and ideally both.
* Product\-minded engineer and systems\-level thinker who can navigate ambiguity and design for scale, reliability, and extensibility.
* Comfortable working in an early\-stage environment with high ownership, fast iteration, and 4\-6 week R\&amp;D sprints.
* Excited about AI agents, performance marketing, and building systems that directly move measurable business metrics.
**Tech Stack:** 
 Python, PyTorch, TensorFlow, LangGraph, Kubernetes, MLflow, Spark, Airflow, dbt
**Why You’ll Thrive:** 
* Build the core agentic and data platform that directly controls millions in ad spend for SMBs and growth\-stage brands.
* Join a $25M seed\-stage company backed by Kleiner Perkins and other top\-tier investors, with strong signal and runway.
* Work in a small, stellar team where talent density is high, and advisors include leaders like Jerry Dischler, who built Google Ads.
* See clear, quantifiable impact from your work, with customers already seeing around 40% lift and a growing client waitlist.
* Enjoy a hybrid setup centered in Mountain View, with flexibility for SF\-based candidates and a culture that values good humans as much as strong engineers.
 This role is open to US citizens, Green Card holders, and TN visa holders only.</t>
        </is>
      </c>
    </row>
    <row r="10">
      <c r="A10" t="inlineStr">
        <is>
          <t>li-4377869776</t>
        </is>
      </c>
      <c r="B10" t="inlineStr">
        <is>
          <t>Applied AI Engineer</t>
        </is>
      </c>
      <c r="C10" t="inlineStr">
        <is>
          <t>Arcade</t>
        </is>
      </c>
      <c r="D10" t="inlineStr">
        <is>
          <t>linkedin</t>
        </is>
      </c>
      <c r="E10" t="inlineStr"/>
      <c r="F10" t="inlineStr"/>
      <c r="G10" t="inlineStr">
        <is>
          <t>San Francisco, CA</t>
        </is>
      </c>
      <c r="H10" t="inlineStr"/>
      <c r="I10" t="inlineStr">
        <is>
          <t>**About Arcade**
 Arcade is building the world’s first AI physical product creation platform, where imagination becomes reality. Our platform lets anyone design, purchase, and sell custom, manufacturable products using natural language and generative AI. We believe everyone should have the power to create physical goods as easily as they post online, and we’re building the infrastructure to make that real.
 We’ve raised $42M from a world\-class group of investors, including Reid Hoffman, Forerunner Ventures (Kirsten Green), Canaan Partners (Laura Chau), Adverb Ventures (April Underwood), Factorial Funds (Sol Bier), Offline Ventures (Brit Morin), Sound Ventures (Ashton Kutcher), Inspired Capital (Alexa von Tobel), and Torch Capital (Jonathan Keidan). Our angel investors include Elad Gil, Ev Williams, Marissa Mayer, Sara Beykpour, Kayvon Beykpour, Anna Veronika Dorogush, Eugenia Kuyda, David Luan, Sharon Zhou, Kelly Wearstler, Karlie Kloss, Colin Kaepernick, Christy Turlington Burns, and Jeff Wilke.
 Arcade is headquartered in San Francisco’s Presidio and led by serial entrepreneur Mariam Naficy (Minted, Eve), and a founding team with deep experience in generative AI, design systems, and supply chain. We’re pioneering a new category at the intersection of AI, personal expression, and on\-demand manufacturing, and we’re building fast.
**Overview Of Role**
 We are seeking an Applied AI Engineer to join our growing team and help advance our generative AI capabilities. This role blends hands\-on model development with integration of cutting\-edge AI techniques into production systems. You’ll contribute to research, model experimentation, and implementation working closely with cross\-functional teams to bring AI\-driven products to life.
**Responsibilities**
* Collaborate with engineering and product teams to train and fine\-tune machine learning models, including diffusion models, LLMs, and other emerging generative architectures
* Develop tools and pipelines that support scalable, efficient, and production\-ready AI systems
* Collect, clean, and analyze large\-scale datasets to improve model performance and reliability
* Deploy and maintain AI models in production environments, ensuring scalability, reliability, and efficiency
* Design and deploy text\-to\-image models and LLM\-based applications, including advanced prompt engineering, fine\-tuning, and multi\-component workflows
* Maintain and monitor deployed models in cloud\-based production environments
* Stay current with developments in generative AI, contribute to the research environment, and apply new developments to enhance pipeline performance
* Communicate technical concepts clearly across technical and non\-technical audiences
**Qualifications**
* Bachelor’s or Master’s degree in Computer Science, Mathematics, AI/ML, or a related field
* Strong proficiency in Python and familiarity with Linux environments; hands\-on experience with machine learning libraries like PyTorch, TensorFlow,, etc.
* Strong fundamentals in machine learning concepts, with a deep understanding of algorithms and their underlying mechanics ("under the hood")
* Familiarity with training, fine\-tuning, and evaluating models, especially with large\-scale datasets
* Familiarity with data preprocessing, cleaning, and feature engineering
* Awareness of recent developments in generative AI, diffusion models, and LLMs
* Familiarity with cloud platforms and deploying AI models in cloud\-based environments
* Excellent problem\-solving and analytical thinking skills with close attention to detail
* Excellent communication and collaboration skills in a fast\-paced and collaborative environment.
**Additional**
 Competitive compensation
 Lunch provided daily
 Company events
 Arcade is an equal opportunity employer. We’re committed to building a diverse, inclusive, and supportive team, and to creating a platform where anyone, anywhere, can make something meaningful.</t>
        </is>
      </c>
    </row>
    <row r="11">
      <c r="A11" t="inlineStr">
        <is>
          <t>li-4182357321</t>
        </is>
      </c>
      <c r="B11" t="inlineStr">
        <is>
          <t>Machine Learning Engineer, Core Engineering</t>
        </is>
      </c>
      <c r="C11" t="inlineStr">
        <is>
          <t>Pinterest</t>
        </is>
      </c>
      <c r="D11" t="inlineStr">
        <is>
          <t>linkedin</t>
        </is>
      </c>
      <c r="E11" t="inlineStr"/>
      <c r="F11" t="inlineStr"/>
      <c r="G11" t="inlineStr">
        <is>
          <t>Palo Alto, CA</t>
        </is>
      </c>
      <c r="H11" t="inlineStr"/>
      <c r="I1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2">
      <c r="A12" t="inlineStr">
        <is>
          <t>li-4377756248</t>
        </is>
      </c>
      <c r="B12" t="inlineStr">
        <is>
          <t>Applied AI/ML Engineer</t>
        </is>
      </c>
      <c r="C12" t="inlineStr">
        <is>
          <t>Rise Technical</t>
        </is>
      </c>
      <c r="D12" t="inlineStr">
        <is>
          <t>linkedin</t>
        </is>
      </c>
      <c r="E12" t="inlineStr"/>
      <c r="F12" t="inlineStr"/>
      <c r="G12" t="inlineStr"/>
      <c r="H12" t="inlineStr"/>
      <c r="I12" t="inlineStr">
        <is>
          <t>**Applied AI / ML Engineer** 
**$190,000 – $290,000 \+ Competitive Equity \+ Benefits \+ PTO** 
**San Francisco, CA – Onsite** 
 Looking to join a fast\-growing startup with little bureaucracy and rapid iteration to build AI systems that power how elite recruiters and companies match with top talent faster and more intelligently?
 This is an exciting opportunity to join a company transforming how leading start\-ups source and hire talent through an AI\-native marketplace. Backed by top\-tier investors (think founders of YouTube, Instacart, Canva, and leading VCs), the team is pioneering new capabilities in AI\-driven recruitment technology, building large\-scale matchmaking, ranking, and automation systems that make hiring more efficient end\-to\-end.
 As part of a tight\-knit, high\-caliber engineering team, you’ll take ownership of core AI systems powering the marketplace. You’ll design and ship production ML models across ranking, retrieval, personalization, and LLM\-powered workflows; build robust evaluation frameworks; deploy and monitor models in production; and directly influence the intelligence layer that drives marketplace growth and quality, all while working closely with experienced founders and product leaders.
 This is a hands\-on, high\-impact role perfect for engineers who thrive in fast\-moving environments, enjoy solving ambiguous real\-world AI problems, and want their work to directly move company metrics.
**The Role** 
* Design and build AI/ML systems that power matchmaking, ranking, search, and automation across the marketplace
* Own model development end\-to\-end—from data collection and labeling strategy to deployment, monitoring, and iteration in production
* Develop and maintain robust evaluation frameworks to measure quality, bias, reliability, and business impact
* Work on large\-scale retrieval and ranking problems across millions of candidate profiles
* Collaborate closely with product, AI engineers, and full\-stack teams to ship systems that directly improve marketplace performance
* Set technical direction and best practices for applied AI across the platform
* Onsite
**The Person** 
* 3\+ years of experience building and owning production AI/ML systems used by real users
* Experience with LLM\-based systems, retrieval, ranking, NLP, personalization, or large\-scale matching systems
* Strong judgment around evaluation and metrics—knows how to measure what truly matters for product outcomes
* Track record of shipping AI systems that drive measurable business impact
* High ownership, strong product instincts, and ability to operate autonomously in an early\-stage environment
* Excellent communication skills, able to collaborate cross\-functionally with engineering, product, and operations
* Excited to solve real\-world AI problems with a tight\-knit, ambitious team</t>
        </is>
      </c>
    </row>
    <row r="13">
      <c r="A13" t="inlineStr">
        <is>
          <t>li-4379090357</t>
        </is>
      </c>
      <c r="B13" t="inlineStr">
        <is>
          <t>Machine Learning Engineer, Level 4</t>
        </is>
      </c>
      <c r="C13" t="inlineStr">
        <is>
          <t>Snap Inc.</t>
        </is>
      </c>
      <c r="D13" t="inlineStr">
        <is>
          <t>linkedin</t>
        </is>
      </c>
      <c r="E13" t="inlineStr"/>
      <c r="F13" t="inlineStr"/>
      <c r="G13" t="inlineStr">
        <is>
          <t>Palo Alto, CA</t>
        </is>
      </c>
      <c r="H13" t="inlineStr"/>
      <c r="I13"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14">
      <c r="A14" t="inlineStr">
        <is>
          <t>li-4378832984</t>
        </is>
      </c>
      <c r="B14" t="inlineStr">
        <is>
          <t>AI Engineer</t>
        </is>
      </c>
      <c r="C14" t="inlineStr">
        <is>
          <t>Verathon</t>
        </is>
      </c>
      <c r="D14" t="inlineStr">
        <is>
          <t>linkedin</t>
        </is>
      </c>
      <c r="E14" t="inlineStr"/>
      <c r="F14" t="inlineStr"/>
      <c r="G14" t="inlineStr">
        <is>
          <t>Bothell, WA</t>
        </is>
      </c>
      <c r="H14" t="inlineStr"/>
      <c r="I14" t="inlineStr">
        <is>
          <t>The
 **AI Engineer** 
 plays a critical hands\-on role in bringing Verathon’s AI strategy to life. This role is responsible for building, configuring, and deploying AI\-powered solutions, including custom GPTs, copilots, automations, applications, and agentic workflows, that solve high\-impact problems across the company. The AI Engineer partners closely with AI Business Partners and the AI Solutions Architect to translate business needs into scalable, secure, and compliant technical solutions.
 This position is ideal for a practical builder who thrives in fast experimentation, iterative development, and enabling real\-world value through AI. It includes technical context engineering, assembling prompts, instructions, retrieval logic, and agent workflows that reflect Verathon’s processes and domain knowledge.
**Responsibilities** 
* Design, develop, and deploy AI\-powered solutions including custom GPTs, copilots, and agentic workflows using enterprise LLM platforms and APIs.
* Build Retrieval\-Augmented Generation (RAG) pipelines, vector search capabilities, and secure data connectors to enable Verathon\-owned data usage.
* Collaborate with AI Business Partners and other departmental representatives to translate functional requirements and use\-case concepts into technical implementations.
* Translate business\-defined context into structured prompts, system instructions, agent behaviors, and RAG retrieval logic (“technical context engineering”).
* Refine and optimize context injection strategies (prompt templates, chains, tools, memory, retrieval parameters) to improve solution reliability and accuracy.
* Prototype rapidly, iterate based on user feedback, and deliver production\-ready AI solutions with appropriate guardrails.
* Develop reusable prompts, templates, automations, and components to accelerate future AI solution development.
* Integrate AI tools with Verathon systems (e.g., Salesforce, Epicor, MasterControl, HRIS) following architecture, security, and compliance standards.
* Partner with the AI Solutions Architect to evaluate and implement new AI tools and ensure alignment with Verathon’s AI Policy and Roper guidelines.
* Document solutions clearly and support functional teams through adoption, training, and scaling of deployed AI tools.
**Qualifications** 
* Bachelor’s degree in computer science, engineering, information systems, data science, or related field.
* 3–7 years of experience in software development, automation engineering, data engineering, or applied AI development.
* Hands\-on experience with Python, REST APIs, and modern AI/LLM frameworks (e.g., LangChain, Semantic Kernel, LlamaIndex).
* Experience configuring and deploying AI tools such as ChatGPT Enterprise, Copilot, Claude, or similar enterprise AI platforms.
* Understanding of Retrieval\-Augmented Generation (RAG), vector databases, and prompt design best practices.
* Familiarity with integration patterns for enterprise systems and cloud environments (Azure/AWS).
* Demonstrated ability to rapidly experiment, prototype, and iterate AI solutions based on business feedback.
* Strong collaboration skills and comfort working closely with business and technical stakeholders.
**Who You Are** 
* A practical builder who enjoys turning ideas into working solutions quickly.
* Comfortable navigating ambiguity and translating loosely defined requirements into prototypes and production\-ready tools.
* Hands\-on with modern AI tools and excited about learning new technologies.
* Driven by impact; motivated to deploy solutions that make work faster, easier, and smarter across the organization.
* A collaborative partner who communicates clearly and earns trust through delivery.
*Salary range \- $115,000\.00 \- $231,000\.00 (Compensation will vary based on skills, experience and location; it is not typical to be hired at or above the top of the salary range).* 
 Full\-time employees who are not on a commission plan are eligible for Verathon’s annual bonus plan based on company and individual performance.
 Verathon provides a competitive benefits package including medical, dental, vision, basic life insurance, paid holidays, paid time off and a 401(k) matching plan. For more information, please visit our complete Benefits Summary at
 https://www.verathon.com/sites/default/files/2026\-02/US\_HQ\_Employee\_Benefits\_Summary.pdf
 .
 EEO
 Research shows that women and underrepresented groups tend to apply to jobs only when they check every box on a job posting. If you’re currently reading this and hesitating to click “Apply” for that reason, we encourage you to go for it! Even if you are not a match for this role, we may have another opportunity that may be a great fit.
 Why Verathon
 Verathon is committed to becoming an AI\-native organization where AI is how we work, grow, and win. Join us and help accelerate our transformation by building real AI solutions that unlock innovation, productivity, and operational excellence across healthcare technology.
 Verathon is an equal opportunity employer and strongly supports diversity in the workplace. We believe that diverse ideas, opinions and perspectives will build a strong foundation for success. In order to provide equal employment and advancement opportunities to all individuals, employment decisions at Verathon will be based on merit, qualifications, and abilities. Verathon does not discriminate in employment opportunities or practices on the basis of race, color, religion, sexual orientation, gender identity, national origin, age, disability, or any other characteristic protected by law.</t>
        </is>
      </c>
    </row>
    <row r="15">
      <c r="A15" t="inlineStr">
        <is>
          <t>li-4377772067</t>
        </is>
      </c>
      <c r="B15" t="inlineStr">
        <is>
          <t>AI/ML Engineer</t>
        </is>
      </c>
      <c r="C15" t="inlineStr">
        <is>
          <t>TechDoQuest</t>
        </is>
      </c>
      <c r="D15" t="inlineStr">
        <is>
          <t>linkedin</t>
        </is>
      </c>
      <c r="E15" t="inlineStr"/>
      <c r="F15" t="inlineStr"/>
      <c r="G15" t="inlineStr">
        <is>
          <t>Alpharetta, GA</t>
        </is>
      </c>
      <c r="H15" t="inlineStr"/>
      <c r="I15" t="inlineStr">
        <is>
          <t>**Entry Level (1–5 years)** 
**Mandatory Skills:** 
* Python
* TensorFlow/PyTorch basics
* Understanding of ML algorithms
* Preferred Skills:
* Exposure to data preprocessing tools (Pandas, NumPy)
* Basic cloud AI services
**Mid Level (5–12 years)** 
 Mandatory Skills:
* Model development \&amp; deployment
* REST API integration for ML models
* Preferred Skills:
* Experience with NLP, deep learning
* Cloud ML platforms (AWS SageMaker, Azure AI)
**Expert (12\+ years)** 
**Mandatory Skills:** 
* Designing scalable ML systems
* Advanced statistical modeling
* Preferred Skills:
* Leadership in AI strategy
* Cutting\-edge frameworks (Transformers, LLMs)
**Summary of Common Skills Across Roles** 
* Common Mandatory Skills:
* Java
* Spring Boot
* Python
* SQL Server
* DB2
* REST APIs
* Version control (Git)
* Basic DevOps (CI/CD)
**Common Preferred Skills:** 
* Kafka
* ElasticSearch
* Cloud platforms (AWS/Azure/GCP)
* Containerization (Docker, Kubernetes)
* AI/ML exposure for senior roles</t>
        </is>
      </c>
    </row>
    <row r="16">
      <c r="A16" t="inlineStr">
        <is>
          <t>li-4367554970</t>
        </is>
      </c>
      <c r="B16" t="inlineStr">
        <is>
          <t>Machine Learning Engineer, AI Recommendation and Search</t>
        </is>
      </c>
      <c r="C16" t="inlineStr">
        <is>
          <t>hackajob</t>
        </is>
      </c>
      <c r="D16" t="inlineStr">
        <is>
          <t>linkedin</t>
        </is>
      </c>
      <c r="E16" t="inlineStr"/>
      <c r="F16" t="inlineStr"/>
      <c r="G16" t="inlineStr">
        <is>
          <t>Philadelphia, PA</t>
        </is>
      </c>
      <c r="H16" t="inlineStr"/>
      <c r="I16"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Model Development; Code Development; Python (Programming Language); Communication; Machine Learning Operations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7">
      <c r="A17" t="inlineStr">
        <is>
          <t>li-4379740629</t>
        </is>
      </c>
      <c r="B17" t="inlineStr">
        <is>
          <t>Lead AI/ML Engineer - Defense Robotics</t>
        </is>
      </c>
      <c r="C17" t="inlineStr">
        <is>
          <t>Approach Venture</t>
        </is>
      </c>
      <c r="D17" t="inlineStr">
        <is>
          <t>linkedin</t>
        </is>
      </c>
      <c r="E17" t="inlineStr"/>
      <c r="F17" t="inlineStr"/>
      <c r="G17" t="inlineStr">
        <is>
          <t>Austin, TX</t>
        </is>
      </c>
      <c r="H17" t="inlineStr"/>
      <c r="I17" t="inlineStr">
        <is>
          <t>**Lead AI / ML Engineer \- Architect Autonomous Defense Systems at the Tactical Edge!**
*Austin, TX \| On\-site*
**Opportunity Summary**
 Join a funded defense technology startup developing autonomous robotic systems designed to counter rapidly evolving small unmanned aerial threats. Our initial platform focuses on defensive counter UAS applications operating in high consequence environments where latency, resilience, and autonomy are non negotiable. We are seeking a Lead AI / ML Engineer to own the machine intelligence architecture behind these systems. This is not an execution\-only position. You will define model strategy, guide technical direction, and ensure our learning systems translate into reliable field performance under strict size, weight, and power constraints. If you are driven to build real\-world autonomy that performs outside of lab conditions, this is a rare opportunity to lead from the front.
**About Us**
 We are a venture\-backed robotics company building autonomous machines for national security missions. Our systems integrate perception, control, and embedded intelligence to operate at the tactical edge. The team combines deep experience in robotics, machine learning, and hardware development, and we are scaling quickly to meet urgent operational demand. Our work sits at the intersection of autonomy, defense applications, and next\-generation edge AI.
**Job Duties**
* Define and lead the machine learning architecture for real\-time threat detection, tracking, and classification
* Design and train advanced neural networks capable of distinguishing hostile aerial systems from environmental noise
* Architect sensor fusion pipelines integrating radar, RF, optical, and acoustic data streams
* Guide development of transformer\-based and imitation learning control frameworks
* Oversee model optimization for deployment on constrained edge hardware platforms
* Establish MLOps processes for field deployment, monitoring, iteration, and performance validation
* Develop anomaly detection strategies to identify novel or previously unseen aerial threats
* Partner with robotics and perception teams to ensure seamless integration between model outputs and real\-time guidance systems
* Mentor engineers and set technical standards across the AI stack
**Qualifications**
* Bachelor’s degree or higher in Computer Science, Engineering, Applied Mathematics, or related discipline
* 5\+ years of experience developing and deploying machine learning systems in production environments
* Expert\-level proficiency in Python
* Extensive experience with deep learning frameworks such as PyTorch or TensorFlow
* Strong command of neural network design, classification systems, and multi\-sensor data fusion
* Proven experience optimizing models for resource\-constrained or edge\-based hardware
* Deep understanding of linear algebra, calculus, probability, and statistics as applied to machine learning systems
* Experience leading projects or technical teams within AI or robotics domains
* U.S. Person status required due to export\-controlled work
* Willingness to complete a background check
**Preferred Experience**
* Experience working in a defense or dual\-use robotics environment
* Security clearance or ability to obtain one
* Background in anomaly detection, adversarial robustness, or resilient AI systems
* Experience deploying AI models on embedded platforms such as NVIDIA Jetson or similar
* Personal passion for robotics, hardware experimentation, or autonomous systems
**Why Join Us**
* Lead technical direction for a mission\-critical autonomy platform
* Direct influence on product architecture and roadmap
* Early\-stage equity participation
* Newly built laboratory environment with advanced prototyping equipment
* Opportunity for rapid growth as the organization scales
* Work on systems that address urgent national security needs
**Compensation Details**
 Salary:
 *$200,000 \- $300,000*</t>
        </is>
      </c>
    </row>
    <row r="18">
      <c r="A18" t="inlineStr">
        <is>
          <t>li-4379916710</t>
        </is>
      </c>
      <c r="B18" t="inlineStr">
        <is>
          <t>Machine Learning Engineer</t>
        </is>
      </c>
      <c r="C18" t="inlineStr">
        <is>
          <t>Hirenza</t>
        </is>
      </c>
      <c r="D18" t="inlineStr">
        <is>
          <t>linkedin</t>
        </is>
      </c>
      <c r="E18" t="inlineStr"/>
      <c r="F18" t="inlineStr"/>
      <c r="G18" t="inlineStr"/>
      <c r="H18" t="inlineStr"/>
      <c r="I18" t="inlineStr">
        <is>
          <t>**About The Company**
 Cliff Services Inc. is a leading provider of innovative solutions across various industries, committed to delivering excellence and fostering growth for our clients. With a strong focus on quality, integrity, and customer satisfaction, we have established ourselves as a trusted partner in the marketplace. Our company prides itself on a collaborative work environment that encourages professional development, creativity, and continuous learning. At Cliff Services Inc., we are dedicated to making a positive impact through our services and building long\-term relationships with our clients and employees alike.
**About The Role**
 We are seeking a highly motivated and detail\-oriented professional to join our team in the role of \[Job Title]. This position offers an exciting opportunity to contribute to our company's growth and success by managing key projects, supporting operational processes, and collaborating with cross\-functional teams. The ideal candidate will possess strong communication skills, a proactive approach, and a passion for delivering high\-quality results. This role is pivotal in ensuring that our services meet the highest standards and align with our strategic objectives. The successful candidate will be instrumental in driving efficiency, innovation, and customer satisfaction within our organization.
**Qualifications**
 The ideal candidate should hold a minimum of a bachelor’s degree in a relevant field such as Business Administration, Management, or a related discipline. Proven experience of at least \[X] years in a similar role is preferred, with a demonstrated ability to manage multiple priorities effectively. Strong analytical skills, problem\-solving abilities, and proficiency in relevant software tools are essential. Excellent communication and interpersonal skills are required to foster collaboration across teams and with clients. A proactive attitude, adaptability, and a commitment to continuous improvement are highly valued traits for this position.
**Responsibilities**
* Manage and oversee daily operations to ensure efficiency and quality standards are met.
* Coordinate with various departments to streamline processes and improve workflows.
* Support the development and implementation of strategic initiatives.
* Monitor project progress, identify potential issues, and implement corrective actions.
* Maintain effective communication with clients, vendors, and internal teams to ensure expectations are aligned.
* Prepare detailed reports and presentations for management review.
* Assist in the development of policies, procedures, and best practices to enhance operational effectiveness.
* Provide leadership and guidance to team members, fostering a positive and productive work environment.
**Benefits**
 At Cliff Services Inc., we recognize the importance of our employees' well\-being and professional growth. We offer a comprehensive benefits package that includes competitive salary packages, health insurance, retirement plans, and paid time off. Employees also have access to ongoing training and development programs to support their career advancement. Our workplace promotes work\-life balance through flexible working hours and a supportive environment. Additionally, employees are encouraged to participate in various wellness initiatives and team\-building activities designed to foster a collaborative and engaging workplace culture.
 Equal Opportunity
 Cliff Services Inc. is an equal opportunity employer. We are committed to creating a diverse and inclusive workplace where all employees are valued and respected. We do not discriminate based on race, color, religion, gender, sexual orientation, age, disability, or any other protected characteristic. Our hiring practices are designed to ensure fairness and equal access to employment opportunities for all qualified candidates. We believe that a diverse workforce enhances our ability to innovate and serve our clients effectively.</t>
        </is>
      </c>
    </row>
    <row r="19">
      <c r="A19" t="inlineStr">
        <is>
          <t>li-4378842304</t>
        </is>
      </c>
      <c r="B19" t="inlineStr">
        <is>
          <t>Principal AI/ML Engineer</t>
        </is>
      </c>
      <c r="C19" t="inlineStr">
        <is>
          <t>Optum</t>
        </is>
      </c>
      <c r="D19" t="inlineStr">
        <is>
          <t>linkedin</t>
        </is>
      </c>
      <c r="E19" t="inlineStr"/>
      <c r="F19" t="inlineStr"/>
      <c r="G19" t="inlineStr"/>
      <c r="H19" t="inlineStr"/>
      <c r="I19" t="inlineStr">
        <is>
          <t>**Principal AI/ML Engineer \- Remote (ID: 2346821\)** 
**Description \-**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Lead data science work conceptualizing, designing, developing, and maintaining AI/ML models for disease progression/patient engagement programs
* Meet with business partners to understand requirements and design solution(s) which work best for the problem
* Review AI/ML model ideas, engineering designs and offer ideas for new approaches
* Develop and evolve Data Science and Engineering roadmap for disease progression and patient engagement programs
* Raise the bar on excellence in execution in terms of quality, timeliness, and scalability
* Collaborate with counterparts in other Geographical locations to ensure smooth execution of critical projects across the board
* Recommend applicable technical patterns and solutions that are aligned with architectural guiding principles and standards through a regular cadence of delivery and continuous improvement initiatives
* Collaborate closely with Product and Capability Architects on aligning inferred Solutions and Enterprise architecture to granular technical patterns and solutions
* Govern technical debt and promote balance
 You’ll be rewarded and recognized for your performance in an environment that will challenge you and give you clear direction on what it takes to succeed in your role as well as provide development for other roles you may be interested in.
**Qualifications \-** 
**Required Qualifications:** 
* MS degree in Computer Science or related field
* 7\+ years of experience using computer languages (Python, SQL) to manipulate data and draw insights from large data sets, including cloud\-based Databricks and Azure AI Services
**Preferred Qualifications:** 
* Ph.D. in Computer Science or related field
* 10\+ years of data science experience
* Knowledge of advanced statistical techniques and concepts and experience with applications
* Proven solid problem\-solving skills with an emphasis on model development and engineering
* Proven outstanding communication skills both written and verbal
* Knowledge of a variety of machine learning techniques (clustering, decision trees, neural networks, graph ML, OCR, sentiment analysis, etc.) and their real\-world advantages/drawbacks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$134,600 to $230,800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20">
      <c r="A20" t="inlineStr">
        <is>
          <t>li-4251321130</t>
        </is>
      </c>
      <c r="B20" t="inlineStr">
        <is>
          <t>AI Engineer</t>
        </is>
      </c>
      <c r="C20" t="inlineStr">
        <is>
          <t>PepsiCo</t>
        </is>
      </c>
      <c r="D20" t="inlineStr">
        <is>
          <t>linkedin</t>
        </is>
      </c>
      <c r="E20" t="inlineStr"/>
      <c r="F20" t="inlineStr"/>
      <c r="G20" t="inlineStr">
        <is>
          <t>Purchase, NY</t>
        </is>
      </c>
      <c r="H20" t="inlineStr"/>
      <c r="I20"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1">
      <c r="A21" t="inlineStr">
        <is>
          <t>li-4378818316</t>
        </is>
      </c>
      <c r="B21" t="inlineStr">
        <is>
          <t>Machine Learning Engineer</t>
        </is>
      </c>
      <c r="C21" t="inlineStr">
        <is>
          <t>Wiraa</t>
        </is>
      </c>
      <c r="D21" t="inlineStr">
        <is>
          <t>linkedin</t>
        </is>
      </c>
      <c r="E21" t="inlineStr"/>
      <c r="F21" t="inlineStr"/>
      <c r="G21" t="inlineStr"/>
      <c r="H21" t="inlineStr"/>
      <c r="I21" t="inlineStr">
        <is>
          <t>**About The Company**
 Toyota Connected is a global leader in mobility solutions, dedicated to leveraging big data and cloud intelligence to enhance the driving experience. Established in 2016, the company focuses on creating innovative technologies that make driving a Toyota or Lexus more personal, intuitive, and safe. Toyota Connected aims to revolutionize mobility by integrating cutting\-edge data analytics, connected vehicle services, and AI\-driven solutions that empower customers to explore new ways of using their vehicles. With a commitment to diversity and inclusion, Toyota Connected fosters a collaborative environment where innovation thrives, and every employee's unique perspective is valued. The company supports its employees with comprehensive benefits, professional development opportunities, and a flexible work culture designed to promote work\-life balance.
**About The Role**
 Toyota Connected’s Labs team is seeking a highly skilled Machine Learning Engineer to join our innovative group. In this role, you will apply advanced machine learning and statistical techniques to solve complex, often unsolved problems that directly impact the company's bottom line. The ideal candidate is results\-driven, deeply technical, and passionate about applying state\-of\-the\-art ML methods to voice and text data. You will be responsible for translating research concepts into practical, scalable solutions, maintaining high\-quality code, and collaborating with cross\-functional teams to design and implement machine learning systems. Your work will involve full lifecycle management of models—from data cleansing and feature engineering to model validation and deployment—contributing to the development of next\-generation products and services. This position offers a unique opportunity to work in a fast\-paced, Agile environment where your innovations will have a tangible impact on mobility solutions and customer experiences.
**Qualifications**
* 3\+ years of hands\-on experience in Machine Learning within a corporate environment
* Proficiency in programming with Python
* Experience working with TensorFlow or PyTorch frameworks
* Strong background in Natural Language Processing (NLP)
* Familiarity with algorithm design and complexity analysis
* Experience deploying solutions in cloud environments such as AWS or Azure (preferred)
* Experience designing and implementing ML pipelines for production systems (preferred)
* Strong decision\-making and problem\-solving skills
* Ability to analyze data, assess risks, and develop effective solutions quickly
* Proven capability to learn and adopt new technologies and methodologies
* Excellent collaboration skills with cross\-functional teams including developers, designers, and product managers
* Experience taking ownership of projects and driving them to successful completion
* Results\-oriented mindset with a track record of achieving measurable outcomes
**Responsibilities**
* Translate complex research papers and white papers into efficient, maintainable code implementations
* Develop, test, and deploy scalable machine learning models and algorithms
* Write clean, well\-documented code in accordance with coding standards
* Share architecture patterns and new technological innovations with team members
* Contribute to system design through writing and reviewing RFCs (Request for Comments)
* Participate actively in interview panels to evaluate junior ML engineers
* Review merge requests and ensure code quality through rigorous testing and validation
* Implement comprehensive unit and integration tests to ensure robustness of code contributions
* Manage the full modeling lifecycle, including data cleansing, feature engineering, and iterative model tuning
* Build automated, scalable processes for large\-scale data analysis, model validation, and deployment
* Stay updated on the latest research methodologies and technological advancements to incorporate best practices
* Collaborate within an Agile Scrum environment to prototype, design, and implement predictive models and algorithms
* Utilize statistical, machine learning, and deep learning techniques to develop innovative solutions and drive research \&amp; development efforts
**Benefits**
* Competitive compensation package with comprehensive health benefits
* Annual training budget of $2,500 to support ongoing professional development
* Unlimited paid time off and flexible work arrangements to promote work\-life balance
* Home office stipend of $1,000 to support ergonomic remote work setup
* Four months of paid parental leave to support new parents
* Adoption assistance of $5,000 for standard adoptions or $6,000 for special needs cases
* 401(k) plan with a generous company match that is fully vested from day one
* Vehicle discounts on Toyota and Lexus models
* Vehicle allowance for leasing or purchasing new Toyota and Lexus vehicles
* Participation in annual hackathons to foster creativity and innovation
* Annual wellness stipend of $1,000 to support mental and physical health
* Free catered lunches on\-site and access to fully stocked Nespresso bars
* Casual dress code and a collaborative work environment
* Free covered parking for employees
 Equal Opportunity
 Toyota Connected is an equal opportunity employer committed to fostering an inclusive and diverse workplace. We welcome applications from all qualified individuals regardless of race, color, religion, gender, sexual orientation, gender identity or expression, national origin, age, disability, or veteran status. We are dedicated to providing reasonable accommodations during the hiring process to ensure equal access for all candidates. If you require an accommodation, please contact your Recruiter or HR representative. We believe that diverse perspectives drive innovation and are essential to our success, and we are committed to creating an environment where everyone can thrive.</t>
        </is>
      </c>
    </row>
    <row r="22">
      <c r="A22" t="inlineStr">
        <is>
          <t>li-4379513871</t>
        </is>
      </c>
      <c r="B22" t="inlineStr">
        <is>
          <t>AI Engineer, Design Innovation</t>
        </is>
      </c>
      <c r="C22" t="inlineStr">
        <is>
          <t>Skechers</t>
        </is>
      </c>
      <c r="D22" t="inlineStr">
        <is>
          <t>linkedin</t>
        </is>
      </c>
      <c r="E22" t="inlineStr"/>
      <c r="F22" t="inlineStr"/>
      <c r="G22" t="inlineStr">
        <is>
          <t>Manhattan Beach, CA</t>
        </is>
      </c>
      <c r="H22" t="inlineStr"/>
      <c r="I22" t="inlineStr">
        <is>
          <t>**Who We Are**
 Headquartered in Southern California, Skechers—the Comfort Technology Company®—has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 The Role**
 Skechers Technology team is enabling our business with AI through the development and adoption of private, proprietary AI technologies. The AI Engineer \- Design Innovation is a key role within the Skechers organization and will be central to developing AI\-powered design tools and technologies specifically for Skechers' Design team. The AI Engineer \- Design Innovation will spearhead the development of cutting\-edge AI tools tailored for footwear and apparel design workflows. This role is at the forefront of integrating graphic designing, image modeling, and generative AI technologies to revolutionize how our designers create and visualize products. While reporting to IT, this position will be 100% dedicated to supporting the Design team, working closely with designers to understand their needs and translating them into innovative AI\-powered solutions. The AI Engineer will collaborate with high\-velocity software engineering teams and coordinate across various departments to bring design\-focused AI capabilities to new heights. The candidate should be an experienced and motivated technologist who possesses a unique balance of technical depth, creative problem\-solving skills, and strong interpersonal abilities.
**What You'll Do**
* Lead the design, development, and deployment of AI\-powered design tools, integrating with cutting\-edge image generation models including OpenAI (GPT\-Image\-1, DALL\-E 3\), Google Gemini 2\.5 Flash, FLUX 1\.1 Pro Ultra, Stable Diffusion 3\.5, SeedDream v4, and Ideogram 3\.0 for footwear and apparel automation.
* Integrate and optimize multiple AI APIs with a "Lego\-building" approach \- viewing APIs as building blocks to create proprietary solutions that don't exist off\-the\-shelf, specifically for fashion and footwear design applications.
* Develop and maintain multi\-API orchestration including Google Gemini, OpenAI, and Fal.ai integrations with advanced prompt engineering techniques to enhance design workflows and maintain brand consistency while generating new designs.
* Build scalable image generation pipelines for batch processing handling hundreds of concurrent requests, with intelligent routing between AI providers based on task requirements using cloud services (AWS, Vercel, Replit, or equivalent platforms).
* Create and deploy web applications using JavaScript/TypeScript, React/Next.js, and Tailwind CSS components to provide designers with intuitive drag\-and\-drop interfaces for AI\-powered design tools, collaborating on frontend development.
* Coordinate with cross\-functional teams as the sole software developer among footwear designers, graphic artists, and merchandisers \- bringing significant autonomy and creative freedom to integrate AI solutions tailored for creative workflows.
* Develop automated systems for CMF variations, component swapping, style transfer, and other design workflows with queue management solutions for handling high\-volume AI generation tasks.
* Design and implement database solutions using PostgreSQL with Drizzle ORM for storing design assets, API response caching, user data, and design iteration histories with efficient file storage.
* Execute against the product backlog efficiently, rapidly prototyping and experimenting with emerging models to multiply creative team output through intelligent automation.
* Implement quality validation, automatic retry logic, and brand consistency checks to ensure all design\-focused requirements are met while managing API rate limits and costs across multiple providers.
* Stay up to date with the latest advancements in generative AI from Google, OpenAI, ByteDance, and emerging ai models / companies, proposing and implementing innovative AI solutions based on real team needs.
* Other duties as assigned.
**What You'll Bring**
* Proficiency with generative AI, including hosted LLMs (Claude, OpenAI, Gemini), LLM API integration, advanced prompt engineering techniques, and most importantly image generation models such as Stable Diffusion and Imagen.
* Strong programming skills in Python for AI applications (with frameworks like LangChain), and JavaScript/TypeScript for web development.
* Experience with modern JavaScript Frameworks like React/Next.js or Flutter for building designer\-facing applications with understanding of UX patterns and mobile\-first design principles is preferred.
* Strong skills in API development (REST/GraphQL), database design (SQL/NoSQL including MongoDB), and integration with design tools.
* Proficiency with general AWS services (Lambda, API Gateway, S3, etc) is required while experience with Docker containerization and orchestration systems (ECS/EKS/Fargate) is a plus.
* Experience with CI/CD pipelines and development tools including Git, Jenkins, and Postman.
* Experience with file storage, CDN management for large design files, batch processing systems, and queue management for AI tasks.
* Proficiency in Figma/Sketch, understanding of design tool ecosystems, design systems, and component libraries.
* Understanding of image generation pipelines, design workflow optimization, and creative team collaboration.
* Experience with design tools, agile methodologies, and project management tools like JIRA.
* Strong analytical and problem\-solving skills with high degree of self\-motivation and experience with user research.
* Understanding of fashion/footwear industry trends and design processes is a huge plus.
**Requirements**
 To perform this job successfully, an individual must be able to perform each essential duty satisfactorily. The requirements listed below are representative of the knowledge, skill, and/or ability required.
* B.S. or M.S. in Computer Science, Machine Learning, Computer Graphics, or equivalent proven years of experience.
* 5\+ years of experience in software development with a focus on AI applications.
* 3\+ years of experience with Python.
* 3\+ years of experience in developing REST APIs with JSON, HTTP protocol, Postman and/or curl.
* Web development experience with HTML, CSS, and JavaScript and modern JS frameworks.
* Experience with AWS Lambda, API Gateway, S3, and other cloud services.
* Working knowledge of Linux, Windows, SQL and NoSQL database systems (MongoDB), and networking.
* Experience integrating with 3rd party APIs, particularly design and creative tools.
* Experience working with DevOps teams on implementing CI/CD pipelines and monitoring/alerting.
* Graphic design experience or background working closely with creative teams is highly preferred.
* Experience working directly with business facing groups outside of development is ideal.
* Experience working within an Agile team environment is ideal.
* Ability to communicate complex technical topics to creative professionals with precision and clarity.
* Ability to translate creative requirements into technical specifications accurately and effectively.
 The pay range for this position is $150,000\-$220,000/yr USD.
**About Skechers**
 Skechers, a global Fortune 500® company, develops and markets a diverse range of lifestyle and performance footwear, apparel, and accessories. Serving over 180 countries and territories, Skechers connects customers to products through department and specialty stores, e\-commerce and digital stores, and through our more than 5,300 Skechers retail locations.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row>
    <row r="23">
      <c r="A23" t="inlineStr">
        <is>
          <t>li-4379928291</t>
        </is>
      </c>
      <c r="B23" t="inlineStr">
        <is>
          <t>AI/ML Engineer</t>
        </is>
      </c>
      <c r="C23" t="inlineStr">
        <is>
          <t>micro1</t>
        </is>
      </c>
      <c r="D23" t="inlineStr">
        <is>
          <t>linkedin</t>
        </is>
      </c>
      <c r="E23" t="inlineStr"/>
      <c r="F23" t="inlineStr"/>
      <c r="G23" t="inlineStr"/>
      <c r="H23" t="inlineStr"/>
      <c r="I23"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24">
      <c r="A24" t="inlineStr">
        <is>
          <t>li-4378848499</t>
        </is>
      </c>
      <c r="B24" t="inlineStr">
        <is>
          <t>Entry Level Machine Learning Engineer</t>
        </is>
      </c>
      <c r="C24" t="inlineStr">
        <is>
          <t>Emonics LLC</t>
        </is>
      </c>
      <c r="D24" t="inlineStr">
        <is>
          <t>linkedin</t>
        </is>
      </c>
      <c r="E24" t="inlineStr"/>
      <c r="F24" t="inlineStr"/>
      <c r="G24" t="inlineStr">
        <is>
          <t>Houston, TX</t>
        </is>
      </c>
      <c r="H24" t="inlineStr"/>
      <c r="I24" t="inlineStr">
        <is>
          <t>Job Overview:
 We are hiring a Machine Learning Engineer to develop scalable ML solutions and improve model performance.
 Responsibilities:
 Implement ML algorithms
 Optimize models for performance and scalability
 Work with large datasets
 Assist in production deployment
 Requirements:
 Degree in Computer Science, Engineering, or similar
 Experience with Python, Scikit\-learn
 Basic knowledge of cloud platforms (AWS/Azure/GCP)</t>
        </is>
      </c>
    </row>
    <row r="25">
      <c r="A25" t="inlineStr">
        <is>
          <t>li-4378809683</t>
        </is>
      </c>
      <c r="B25" t="inlineStr">
        <is>
          <t>AI / ML Engineer</t>
        </is>
      </c>
      <c r="C25" t="inlineStr">
        <is>
          <t>Wiraa</t>
        </is>
      </c>
      <c r="D25" t="inlineStr">
        <is>
          <t>linkedin</t>
        </is>
      </c>
      <c r="E25" t="inlineStr"/>
      <c r="F25" t="inlineStr"/>
      <c r="G25" t="inlineStr"/>
      <c r="H25" t="inlineStr"/>
      <c r="I25" t="inlineStr">
        <is>
          <t>About the Company
 At General Motors, our product teams are at the forefront of redefining mobility and shaping the future of transportation. We focus on creating innovative vehicles and experiences through a human\-centered design approach that emphasizes safety, connectivity, and intelligence. Our commitment to technological advancement spans across hardware, battery systems, software, and safety features, aiming to transform the driving experience and set new industry standards. With a global presence, GM’s mission is to move millions of people daily while making driving safer, smarter, and more sustainable. Join us as we push the boundaries of innovation to turn today's possibilities into tomorrow's realities.
 About the Role
 We are seeking a highly skilled Staff AI/ML Engineer to join our Embodied AI organization. In this senior individual contributor role, you will develop and deploy advanced machine learning solutions that directly influence the performance and safety of our autonomous driving systems. Your expertise will be instrumental in designing sophisticated ML models capable of enabling vehicles to operate reliably across diverse real\-world scenarios. You will collaborate closely with cross\-functional engineering teams to translate cutting\-edge research into scalable onboard solutions, support continuous improvement of our autonomy stack, and mentor junior engineers. This position offers an exciting opportunity to impact the future of transportation technology by working on innovative AI solutions that enhance vehicle perception, decision\-making, and safety.
 Qualifications
* Bachelor’s, Master’s, or PhD in Computer Science, Robotics, Machine Learning, or a related field
* Experience working with large\-scale foundation models and alignment methods applied to real\-world systems
* Proven ability to deliver applied ML solutions within real\-world constraints and timelines
* Proficiency in PyTorch and Python programming languages
* Experience building and scaling model training pipelines for efficient iteration
* Strong data processing skills using tools such as NumPy, Pandas, and Apache Spark
* Excellent communication skills for effective cross\-team collaboration
* Experience deploying ML models into production environments and understanding end\-to\-end workflows
* Experience in robotics or autonomous driving systems is preferred
 Responsibilities
* Design and implement machine learning solutions aligned with GM’s autonomous driving objectives
* Apply techniques such as unsupervised pre\-training, imitation learning, reinforcement learning, model scaling, and foundation modeling to solve challenges in object detection, tracking, classification, trajectory generation, and safe AI
* Collaborate with cross\-functional teams to deploy models and algorithms into onboard vehicle systems
* Contribute to applied research efforts and stay updated with advancements in ML frameworks and methodologies
* Design and build efficient infrastructure, pipelines, and tooling to accelerate model development and iteration
* Lead technical execution from prototyping to deployment, documenting best practices and lessons learned
* Mentor and support engineers through technical collaboration, code reviews, and knowledge sharing to foster engineering excellence
 Benefits
* Comprehensive health and wellbeing programs including medical, dental, and vision coverage
* Health Savings Account (HSA) and Flexible Spending Accounts (FSA)
* Retirement savings plans and financial wellness resources
* Sick leave, paid vacation, and holiday benefits
* Tuition assistance and professional development programs
* Employee assistance programs for personal and family support
* GM vehicle discounts and potential eligibility for a company vehicle
* Relocation assistance may be available for eligible candidates
 Equal Opportunity
 General Motors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foster innovation and drive our success forward.</t>
        </is>
      </c>
    </row>
    <row r="26">
      <c r="A26" t="inlineStr">
        <is>
          <t>li-4379918409</t>
        </is>
      </c>
      <c r="B26" t="inlineStr">
        <is>
          <t>Senior Applied AI Engineer</t>
        </is>
      </c>
      <c r="C26" t="inlineStr">
        <is>
          <t>Orbis Group</t>
        </is>
      </c>
      <c r="D26" t="inlineStr">
        <is>
          <t>linkedin</t>
        </is>
      </c>
      <c r="E26" t="inlineStr"/>
      <c r="F26" t="inlineStr"/>
      <c r="G26" t="inlineStr"/>
      <c r="H26" t="inlineStr"/>
      <c r="I26" t="inlineStr">
        <is>
          <t>**Senior Applied AI Engineer (Mid / Senior / Staff)** 
 NYC/hybrid
 High\-Growth Fintech
 Pre–Series
 C
 $230,000 to $260,000 base \+ equity
 What if you could build production AI systems that real users rely on every single day, not demos, not prototypes, not internal tools, but revenue\-driving software?
 We’re partnering with a high\-growth, venture\-backed fintech platform that’s quietly transforming a $500B\+ industry. In just a few years, they’ve scaled from single\-digit millions in revenue to tens of millions, grown assets under management into the billions, and are now entering their next major growth phase ahead of Series C.
 They’re hiring aggressively in NYC and a core part of that expansion is a small, elite group of applied AI builders.
**This Is Not Research AI** 
 This is applied AI in production.
 You’ll be building:
* AI copilots embedded directly into user workflows
* Agentic systems that automate high\-friction tasks
* RAG pipelines and intelligent retrieval systems
* Classification, extraction, routing, and recommendation engines
* Workflow automations that meaningfully increase user productivity
 If you’ve been building agents yourself
 If you’ve automated your own QA or dev workflows
 If you’re already 3x’ing your output with AI tools
 You’re exactly who they want.
**The Kind of Engineer Who Thrives Here** 
* Have 4–10 years of experience (flexible on level for exceptional talent)
* Have shipped real AI features into production
* Think in systems, not just endpoints
* Have strong 0 to1 ownership instincts
* Enjoy collaborating with product and design
* Prefer small, high\-impact teams over large orgs
* Want your work to ship fast and matter
* Growth\-stage startup experience is ideal.
* Big tech is welcome — if you were building, not just maintaining.
**Tech Environment** 
* Current stack includes:
* Rails, React, Next.js, Postgres, GraphQL.
* But here’s the reality:
* They care more about what you’ve built than the language you used.
* Python, Node, TypeScript, Go, all very welcome.
* Next.js is a plus.
* Enterprise\-heavy, maintenance\-only backgrounds are unlikely to thrive here.
* The stack will evolve, this team optimises for velocity, ownership, and leverage.
**Why This Role Is Different** 
 What makes this opportunity stand out is how early and real the AI mandate is. The AI layer is genuinely greenfield, and you’ll be working in small, high\-autonomy pods where you can take ideas from concept to production in months, not quarters. You’ll have direct access to users, tight feedback loops, and the ability to see what you build adopted quickly and meaningfully influence product direction. This isn’t experimentation in isolation, it’s applied AI embedded into workflows that people rely on daily.
 The timing is equally compelling. The company is scaling rapidly in both revenue and assets, approaching Series C with strong momentum and a clear liquidity trajectory. Backed by a founder with multiple successful exits, this is a chance to join at a point where impact is high and upside is real. If you’re deciding between incremental optimisation at a large AI lab or building high\-impact AI systems that ship immediately and shape a growing platform, this is the latter.
 If this sounds like the kind of environment where you’d thrive, let’s talk.</t>
        </is>
      </c>
    </row>
    <row r="27">
      <c r="A27" t="inlineStr">
        <is>
          <t>li-4273273439</t>
        </is>
      </c>
      <c r="B27" t="inlineStr">
        <is>
          <t>AI Engineer</t>
        </is>
      </c>
      <c r="C27" t="inlineStr">
        <is>
          <t>apexanalytix</t>
        </is>
      </c>
      <c r="D27" t="inlineStr">
        <is>
          <t>linkedin</t>
        </is>
      </c>
      <c r="E27" t="inlineStr"/>
      <c r="F27" t="inlineStr"/>
      <c r="G27" t="inlineStr">
        <is>
          <t>Greensboro, NC</t>
        </is>
      </c>
      <c r="H27" t="inlineStr"/>
      <c r="I27" t="inlineStr">
        <is>
          <t>**About Us**
 At apexanalytix, we’re lifelong innovators! Since the date of our founding nearly four decades ago we’ve been consistently growing, profitable, and delivering the best procure\-to\-pay solutions to the world. We’re the perfect balance of established company and start\-up. You will find a unique home here.
 And you’ll recognize the names of our clients. Most of them are on The Global 2000\. They trust us to give them the latest in controls, audit and analytics software every day. Industry analysts consistently rank us as a top supplier management solution, and you’ll be helping build that reputation.
 Read more about apexanalytix \- https://www.apexanalytix.com/about/
****Quick Take \-****
 As an AI Engineer, you’ll drive the end\-to\-end development of advanced GenAI applications, including agentic AI agents with autonomous workflows, function calling, and LLM model fine\-tuning. This role is for an experienced engineer who excels at building robust, production\-grade AI systems and pushing the boundaries of what GenAI can accomplish.
 ****This role can be done remotely from the United States. There is a strong preference for EST or CST location.****
****The Work \-****
* Fine\-tune and deploy open\-source general purpose LLMs and code\-generation models (e.g. Llama 4, qwen2\.5\) using PEFT, LoRA, QLoRA, instruction tuning, RLHF, etc..
* Design GenAI applications with agentic capabilities—autonomous, goal\-driven agents that can plan, reason, and execute multi\-step workflows with minimal human input.
* Implement function calling in workflows, enabling models to invoke external tools, APIs, databases, and services to perform actions or access real\-time data.
* Build agentic RAG pipelines, where LLMs coordinate data retrieval and reasoning dynamically via retrieval\-augmented generation.
* Create and maintain scalable pipelines, including data ingestion, labeling, feature engineering, vector DB management, and MLOps frameworks (MLflow, Kubeflow).
* Containerize applications using Kubernetes and Docker.
* Optimize and monitor model performance, including latency, drift, bias, privacy, and security compliance.
* Collaborate cross\-functionally, mediating between data, product, and engineering teams to translate requirements into agentic GenAI solutions.
* Stay current with research trends like agentic RL frameworks (e.g., ARTIST), multi\-agent orchestration, MCP, and secure function calling.
****The Must\-Haves \-****
* B.S or M.S. in Computer Science, Data Science, ML/AI or equivalent.
* 3\-5 years building and deploying AI/ML solutions with demonstrable production experience.
* Extensive experience fine\-tuning LLMs and code models with advanced techniques (PEFT/LoRA/QLoRa/RLHF).
* Proven track record designing or delivering agentic GenAI applications—function calling, autonomous workflows, RAG pipelines.
* Proficient in Python, PyTorch/TensorFlow, Hugging Face, LangChain, LangGraph or similar frameworks.
* Experience in Document and Image Analysis and extracting insights from unstructured data, including text documents and images.
* Strong infrastructure skills: Docker, Kubernetes, CI/CD, MLOps tooling.
* Sharp analytical mindset for system optimization, error mitigation, and security best practices.
* Excellent problem\-solving and ability to translate business needs into technical design.
 Over the years, we’ve discovered that the most effective and successful associates at apexanalytix are people who have a specific combination of values, skills, and behaviors that we call “The apex Way”. Read more about The apex Way \- https://www.apexanalytix.com/careers/
****We are currently unable to offer Visa Sponsorship; candidates must be authorized to work in the U.S. without sponsorship now as well as in the future.****
**Benefits**
 At apexanalytix we know that our associates are the reason behind our successes. We truly value you as an associate and part of our professional family. Our goal is to offer the very best benefits possible to you and your loved ones. When it comes to benefits, whether for yourself or your family the most important aspect is choice. And we get that. apexanalytix offers competitive benefits for the countries that we serve, in addition to our BeWell@apex initiative that encourages employees’ growth in six key wellness areas: Emotional, Physical, Community, Financial, Social, and Intelligence.
 With resources such as a strong Mentor Program, Internal Training Portal, plus Education, Tuition, and Certification Assistance, we provide tools for our associates to grow and develop.</t>
        </is>
      </c>
    </row>
    <row r="28">
      <c r="A28" t="inlineStr">
        <is>
          <t>li-4377771017</t>
        </is>
      </c>
      <c r="B28" t="inlineStr">
        <is>
          <t>Sr AI Engineer</t>
        </is>
      </c>
      <c r="C28" t="inlineStr">
        <is>
          <t>Apollo Solutions</t>
        </is>
      </c>
      <c r="D28" t="inlineStr">
        <is>
          <t>linkedin</t>
        </is>
      </c>
      <c r="E28" t="inlineStr"/>
      <c r="F28" t="inlineStr"/>
      <c r="G28" t="inlineStr">
        <is>
          <t>New York, NY</t>
        </is>
      </c>
      <c r="H28" t="inlineStr"/>
      <c r="I28" t="inlineStr">
        <is>
          <t>**Sr AI Engineer** 
**Location:** 
 Remote with occasional travel to New York, NY
**Compensation:** 
 $120,000–$170,000 \+ bonus
 A large Fortune 500 insurance company is expanding its AI \&amp; Data function. This organization has spent decades building a reputation for trust, long\-term thinking, and a people\-first culture. Today, they’re investing heavily in modern AI capabilities to support a diversified portfolio across insurance, financial products, and emerging digital initiatives.
 You’ll join a well\-supported AI group that combines product managers, data scientists, AI engineers, platform engineers, and model governance specialists. The team works on a wide range of AI and GenAI initiatives, partnering closely with business stakeholders from ideation through deployment. Leadership buy\-in is strong, and the environment encourages experimentation, collaboration, and continuous learning.
**What You’ll Do** 
* Design and build production\-grade AI and ML solutions.
* Ensure AI code meets engineering best practices and high\-quality standards.
* Implement, optimize, debug, scale, and monitor ML models in production environments.
* Work with Platform Engineers to automate deployment pipelines and tooling.
* Collaborate on solution architecture, ensuring ML systems integrate seamlessly into real\-world applications.
**What You’ll Bring** 
* 5\+ years of software engineering experience, including 2\+ years building AI/ML solutions.
* Strong Python skills and background with ML frameworks (TensorFlow, PyTorch, Keras, scikit\-learn, etc.).
* Experience developing APIs and applying modern engineering best practices.
* Knowledge of NLP tooling (SpaCy, NLTK, Hugging Face).
* Familiarity with AWS cloud environments and cloud\-native tools.
**Preferred Experience** 
* Previous exposure to Generative AI projects.
* Experience with vector databases.
* Kubernetes knowledge.
* Experience working with MCP servers.</t>
        </is>
      </c>
    </row>
    <row r="29">
      <c r="A29" t="inlineStr">
        <is>
          <t>li-4378848120</t>
        </is>
      </c>
      <c r="B29" t="inlineStr">
        <is>
          <t>Machine Learning Engineer</t>
        </is>
      </c>
      <c r="C29" t="inlineStr">
        <is>
          <t>Insight Global</t>
        </is>
      </c>
      <c r="D29" t="inlineStr">
        <is>
          <t>linkedin</t>
        </is>
      </c>
      <c r="E29" t="inlineStr"/>
      <c r="F29" t="inlineStr"/>
      <c r="G29" t="inlineStr">
        <is>
          <t>Richmond, VA</t>
        </is>
      </c>
      <c r="H29" t="inlineStr"/>
      <c r="I29" t="inlineStr">
        <is>
          <t>**Basic Qualifications** 
 • 5\+ years in applied ML engineering, AI system development, or distributed systems engineering
 • Strong expertise with Azure, including Azure ML, Azure AI Services, Azure OpenAI, and AKS
 • Proven experience building and deploying agentic AI or multi\-agent architectures
 • Hands\-on experience with MCP and/or A2A agent communication frameworks
 • Expertise with Airflow, Azure Data Factory, or distributed data engines
 • Strong Python engineering experience with ML frameworks (PyTorch, TensorFlow)
 • Deep experience with LangChain or comparable LLM orchestration frameworks
 • Familiarity with vector databases, embeddings, semantic search, and RAG pipelines
 • Strong understanding of enterprise cloud security, identity, networking, and performance optimization</t>
        </is>
      </c>
    </row>
    <row r="30">
      <c r="A30" t="inlineStr">
        <is>
          <t>li-4379902823</t>
        </is>
      </c>
      <c r="B30" t="inlineStr">
        <is>
          <t>AI Engineer</t>
        </is>
      </c>
      <c r="C30" t="inlineStr">
        <is>
          <t>Hirenza</t>
        </is>
      </c>
      <c r="D30" t="inlineStr">
        <is>
          <t>linkedin</t>
        </is>
      </c>
      <c r="E30" t="inlineStr"/>
      <c r="F30" t="inlineStr"/>
      <c r="G30" t="inlineStr"/>
      <c r="H30" t="inlineStr"/>
      <c r="I30" t="inlineStr">
        <is>
          <t>**About The Company**
 Charles Schwab is a leading financial services firm dedicated to helping individuals and institutions achieve their financial goals. Established with a mission to provide high\-quality investment services, Schwab has built a reputation for integrity, innovation, and client\-centric solutions. With a comprehensive range of offerings including brokerage, banking, and wealth management, the company serves millions of clients across the globe. Schwab’s commitment to transparency, technological advancement, and personalized service positions it as a trusted partner in the financial industry.
**About The Role**
 We are seeking a highly motivated and detail\-oriented professional to join our team in the role of Financial Analyst. In this position, you will play a crucial role in supporting our investment strategies and financial planning efforts. The ideal candidate will have a strong analytical background, excellent communication skills, and a passion for the financial markets. You will work closely with senior management, portfolio managers, and clients to analyze market trends, evaluate investment opportunities, and develop actionable insights that align with our clients’ financial objectives. This role offers an excellent opportunity to grow within a dynamic and innovative organization, contributing directly to the success and growth of our clients’ portfolios.
**Qualifications**
 The ideal candidate will possess a bachelor’s degree in Finance, Economics, or a related field; a master’s degree or professional certifications such as CFA or CFP are preferred. Candidates should have at least 3\-5 years of experience in financial analysis, investment management, or related roles. Strong proficiency in financial modeling, data analysis, and the use of analytical tools such as Excel, Bloomberg, and other financial software is essential. Excellent written and verbal communication skills are required, along with the ability to work collaboratively in a team environment. A demonstrated understanding of financial markets, investment products, and regulatory frameworks is also necessary.
**Responsibilities**
 In this role, your responsibilities will include conducting comprehensive market research and analysis to identify investment opportunities and risks. You will develop and maintain detailed financial models to evaluate potential investments and support decision\-making processes. Collaborating with portfolio managers, you will assist in constructing and optimizing investment portfolios based on client objectives and market conditions. You will prepare detailed reports and presentations for internal teams and clients, clearly articulating complex financial concepts and recommendations. Monitoring market developments and economic indicators to provide timely updates and insights is also part of your duties. Additionally, you will ensure compliance with regulatory standards and internal policies, maintaining the highest level of integrity and professionalism in all activities.
**Benefits**
 Charles Schwab offers a comprehensive benefits package designed to support the well\-being and professional growth of its employees. This includes competitive salaries, health insurance plans, retirement savings options, and wellness programs. Employees have access to ongoing training and development opportunities, fostering continuous learning and career advancement. The company promotes a flexible work environment, encouraging work\-life balance through flexible schedules and remote work options where applicable. Additionally, Schwab provides various employee assistance programs, financial wellness resources, and recognition initiatives to reward outstanding performance and dedication.
 Equal Opportunity
 Charles Schwab is committed to fostering an inclusive and diverse workplace. We believe that a variety of perspectives and experiences enhances our ability to serve our clients and innovate as an organization. We are an equal opportunity employer and do not discriminate based on race, color, religion, gender, gender identity or expression, sexual orientation, national origin, age, disability, or any other protected characteristic. We encourage applicants from all backgrounds to apply and look forward to welcoming talented individuals who share our values and commitment to excellence.</t>
        </is>
      </c>
    </row>
    <row r="31">
      <c r="A31" t="inlineStr">
        <is>
          <t>li-4378845802</t>
        </is>
      </c>
      <c r="B31" t="inlineStr">
        <is>
          <t>Python AI Engineer</t>
        </is>
      </c>
      <c r="C31" t="inlineStr">
        <is>
          <t>Tech Mahindra</t>
        </is>
      </c>
      <c r="D31" t="inlineStr">
        <is>
          <t>linkedin</t>
        </is>
      </c>
      <c r="E31" t="inlineStr"/>
      <c r="F31" t="inlineStr"/>
      <c r="G31" t="inlineStr">
        <is>
          <t>Cleveland, OH</t>
        </is>
      </c>
      <c r="H31" t="inlineStr"/>
      <c r="I31" t="inlineStr">
        <is>
          <t>*At Tech Mahindra* 
***(***
*Tech Mahindra \| Connected World, Connected Experiences), we live the philosophy of connected world and connected experiences. We thrive on change that is powered by the intelligent symphony of technology and humans designing meaningful and sustainable experiences. Consumer ‘experiences’ are driving and disrupting industries like never before. Businesses must build seamless yet simple enterprises that collaborate, synergize, and drive the change. Change that connects us all and empowers us to deliver experiences that span across the digital, the physical, the convergent, and everything in between. That’s when truly connected experiences manifest.* 
*Extraordinary is when experiences come together – a continuous convergence of digital technologies, touchpoints, and most importantly people. It’s time to reimagine, reinvent, and revolutionize business models \&amp; operations as well as to transform enterprises into living, breathing, and connected businesses. We are the Digital Change makers who strive to change the way the world, communities, businesses, and humans interact digitally. We are harnessing the power of change, brought in by technologies, that makes it the most exciting time to be alive in the human history. Our universe, as we build it, disrupt it, and redesign it, is powering the digital change.* 
*Tech Mahindra represents the connected world, offering innovative and customer\-centric information technology experiences, enabling Enterprises, Associates, and the Society to Rise. It has 150,000\+ professionals working for 1000\+ Global Customers (including Fortune 500 companies) in 90 Countries. We’re part of the esteemed Mahindra group, headquartered in India. Under a new CEO, Tech Mahindra is committed to a transformative journey with 'Scale @ Speed' as our guiding principle.* 
**Role:** 
 Python AI Engineer
**Location:** 
 Cleveland, Ohio\- 5 days per week onsite required
 This job posting is for an existing, active vacancy and we are looking to hire Python AI Engineer in Cleveland, Ohio, USA immediately who has experience in LLM, RAG, Agentic AI, AI Chatbot, Python and Azure.
**Job Summary** 
 We are seeking a skilled Python AI Engineer with strong expertise in developing, fine\-tuning, and deploying AI models leveraging
 **Azure OpenAI services** 
 . The ideal candidate will design scalable and production\-ready AI solutions that address diverse business requirements such as text generation, summarization, and sentiment analysis.
**Key Responsibilities** 
* Develop and maintain robust Python scripts to interact with
 **Azure OpenAI APIs** 
 and related services.
* Evaluate,
 **select, and fine\-tune Azure OpenAI models** 
 based on project\-specific needs.
* Design and implement AI solutions for multiple NLP tasks including text generation, summarization, and sentiment analysis.
* Deploy, monitor, and optimize AI models in production environments.
* Stay up to date with the
 **latest advancements** 
 in AI, LLMs, and Azure AI ecosystem.
* Utilize industry\-standard
 **libraries, frameworks, and tools** 
 to enhance development efficiency.
* Ensure
 **scalability and performance** 
 of AI applications to meet enterprise demands.
* Collaborate and communicate complex AI concepts effectively with both technical and non\-technical stakeholders.
* Troubleshoot and
 **resolve AI model development challenges** 
 , providing innovative and practical solutions.
**Required Skills and Experience** 
* Strong proficiency in
 **Python programming** 
 and experience with AI/ML frameworks (e.g., PyTorch, TensorFlow, Transformers).
* Hands\-on experience with
 **Azure OpenAI** 
 models and APIs.
* Solid understanding of
 **MLOps** 
 concepts, version control, and CI/CD pipelines.
* Familiarity with
 **data preprocessing, prompt engineering** 
 , and performance tuning.
* Excellent
 **problem\-solving** 
 and analytical skills.
 The pay range for this role is $120,000\- $130,000 per annum including any bonuses or variable pay. Tech Mahindra also offers benefits like medical, vision, dental, life, disability insurance and paid time off (including holidays, parental leave, and sick leave, as required by law). Ask our recruiters for more details on our Benefits package. The exact offer terms will depend on the skill level, educational qualifications, experience and location of the candidate. This job is open for contract as well with a pay range of USD 70\-80/hr (max.)
 AI tools may assist in the recruitment process; however, all hiring decisions are made by the recruitment team based on a comprehensive evaluation of candidates.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t>
        </is>
      </c>
    </row>
    <row r="32">
      <c r="A32" t="inlineStr">
        <is>
          <t>li-4273514916</t>
        </is>
      </c>
      <c r="B32" t="inlineStr">
        <is>
          <t>Machine Learning Engineer Graduate (App Ads and Gaming) - 2026 Start (BS/MS)</t>
        </is>
      </c>
      <c r="C32" t="inlineStr">
        <is>
          <t>TikTok</t>
        </is>
      </c>
      <c r="D32" t="inlineStr">
        <is>
          <t>linkedin</t>
        </is>
      </c>
      <c r="E32" t="inlineStr"/>
      <c r="F32" t="inlineStr"/>
      <c r="G32" t="inlineStr">
        <is>
          <t>San Jose, CA</t>
        </is>
      </c>
      <c r="H32" t="inlineStr"/>
      <c r="I32" t="inlineStr">
        <is>
          <t>**Responsibilities**
 The App Ads and Gaming team empowers TikTok's global monetization (billion\-dollar business) via efficiently delivering application ads on TikTok. Our mission is to push the boundaries of large\-scale ad delivery systems and lead the innovations of TikTok's personalized online advertising.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Key Responsibilities
* Build highly scalable machine learning systems and state\-of\-the\-art machine learning models to improve ads ranking quality and optimize advertisers' marketing strategies. Examples include but are not limited to click through rate prediction, conversion rate prediction, intelligent format selection and user journey optimization.
* Explore, develop and experiment with new features to improve model accuracy.
* Understand ads platform objectives and take full advantage of modern machine learning to improve ads relevance, quality, and quantity delivered to end\-users.
* Collaborate with Product Managers, Designers, and other disciplines to explore the next generation of shopping experiences on TikTok.
**Qualifications**
 Minimum Qualifications:
* BS/MS degree in Computer Science, Computer Engineering, or other relevant majors, with related work experience.
* Solid programming skills, including but not limited to: Go, C/C\+\+, Python. Familiar with basic data structure and algorithms. Familiar with Linux development environment.
* Good analytical thinking capability. Have essential knowledge and skills in statistics.
* Good theoretical grounding in the machine and deep learning concepts and techniques (CNN/RNN/LSTM, etc.).
* Familiar with the architecture and implementation of at least one mainstream machine learning programming framework (TensorFlow/PyTorch/MXNet), familiar with its architecture and implementation mechanism.
 Preferred Qualifications
* Good understanding in one of the following domains: ads bidding \&amp; auction, ads quality control, and online advertising systems (familiar with one or more of these terms: CPC/CPM, CTR/CVR, Ranking /Targeting, Conversion/Budget, Campaign/Creative, Demand/Inventory, DSP/RTB).
* Experience in resource management and task scheduling with large\-scale distributed software (such as Spark and TensorFlow).
* Relevant work or research experiences in search and recommendation.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3">
      <c r="A33" t="inlineStr">
        <is>
          <t>li-4377755728</t>
        </is>
      </c>
      <c r="B33" t="inlineStr">
        <is>
          <t>Lead AI Engineer</t>
        </is>
      </c>
      <c r="C33" t="inlineStr">
        <is>
          <t>CoSourcing Partners - Enterprise-AI and IT Services Company</t>
        </is>
      </c>
      <c r="D33" t="inlineStr">
        <is>
          <t>linkedin</t>
        </is>
      </c>
      <c r="E33" t="inlineStr"/>
      <c r="F33" t="inlineStr"/>
      <c r="G33" t="inlineStr">
        <is>
          <t>Illinois, United States</t>
        </is>
      </c>
      <c r="H33" t="inlineStr"/>
      <c r="I33" t="inlineStr">
        <is>
          <t>**Title:** 
 Lead AI Engineer
**Location:** 
 Remote
**Employment Type:** 
 Contract / Contract\-to\-Hire \- We are open to both.
**Role Summary:** 
 We are hiring a Lead AI Engineer to anchor and grow our AI practice, with strong hands on expertise in Generative AI and traditional Machine Learning. This role combines technical leadership, solution architecture, and delivery ownership across client and internal AI initiatives.
 The ideal candidate is deeply hands\-on, production\-focused, and capable of translating business problems into scalable AI solutions.
**Key Responsibilities** 
 :
**Technical Leadership:** 
* Lead design and development of AI solutions across:
* Generative AI (LLMs, RAG, embeddings, chatbots)
* Traditional ML (classification, regression, NLP, forecasting, etc.)
* Own end\-to\-end lifecycle: problem framing → model development → deployment → monitoring.
* Define best practices for model development, evaluation, and production readiness.
* Mentor and guide junior ML engineers and data scientists.
**Generative AI Delivery:** 
* Design and implement:
* RAG\-based systems
* Enterprise chatbots \&amp; copilots
* Document intelligence solutions
* Build embedding pipelines and integrate vector databases.
* Apply prompt engineering and fine\-tuning where required.
* Implement guardrails, evaluation metrics, and quality controls.
**Traditional ML \&amp; Applied AI:** 
* Develop and deploy ML models using standard frameworks.
* Optimize model performance, scalability, and reliability.
* Work with structured and unstructured data pipelines.
* Ensure models are production\-ready and measurable.
**Production \&amp; MLOps** 
 :
* Implement CI/CD practices for ML workflows.
* Containerize and deploy models using modern tooling.
* Set up monitoring, retraining, and drift detection.
* Collaborate with DevOps and cloud teams for scalable deployments.
**Practice Growth \&amp; Client Engagement** 
 :
* Support pre\-sales with solution design and effort estimation.
* Drive POCs and accelerators in GenAI and ML.
* Contribute to reusable frameworks and AI assets.
* Stay updated with evolving AI/LLM ecosystem.
**Required Skills:** 
 Strong experience with modern GenAI design patterns including advanced RAG (hybrid search, reranking), agentic orchestration (LangGraph or cloud\-native ADK/Strands), and parameter\-efficient fine\-tuning (LoRA/QLoRA).
 Experience with LLM evaluation, guardrails, and model observability in production environments.
 Solid understanding of ML algorithms and deep learning.
 Experience with frameworks such as TensorFlow, PyTorch, Scikit\-learn.
 Experience architecting and deploying AI solutions on AWS, GCP, or Azure.
 Knowledge of containerization (Docker) and orchestration (Kubernetes).
 Familiarity with ML lifecycle management tools (e.g., MLflow, Airflow).
**Experience:** 
* 6–10 years in AI/ML engineering.
* 3\+ years leading AI/ML initiatives or mentoring teams.
* Proven track record of deploying ML or GenAI systems to production.</t>
        </is>
      </c>
    </row>
    <row r="34">
      <c r="A34" t="inlineStr">
        <is>
          <t>li-4379949006</t>
        </is>
      </c>
      <c r="B34" t="inlineStr">
        <is>
          <t>Principal AI Engineer</t>
        </is>
      </c>
      <c r="C34" t="inlineStr">
        <is>
          <t>Vivid Resourcing</t>
        </is>
      </c>
      <c r="D34" t="inlineStr">
        <is>
          <t>linkedin</t>
        </is>
      </c>
      <c r="E34" t="inlineStr"/>
      <c r="F34" t="inlineStr"/>
      <c r="G34" t="inlineStr"/>
      <c r="H34" t="inlineStr"/>
      <c r="I34" t="inlineStr">
        <is>
          <t>**About the role** 
 Research has consistently shown that one\-on\-one tutoring dramatically outperforms traditional classroom instruction—a finding known as Bloom's 2 Sigma Problem. Despite decades of awareness, no solution has successfully delivered personalized tutoring at scale. Until now.
 We are building an AI tutoring system designed to emulate and eventually surpass the best human tutors. You will work on the core AI system that delivers real\-time, adaptive learning experiences to learners.
 **If you're excited about building the future of human learning, this role is for you.** 
**Responsibilities:** 
* **Build and evolve the core AI tutoring system** 
 , including prompt architectures, agentic workflows, and real\-time adaptive behaviors.
* **Run rigorous experimentation and evaluation** 
 , developing custom metrics and frameworks to measure learning effectiveness and improve model reliability.
* **Design and implement scalable, maintainable software** 
 , integrating AI capabilities with platform systems, content pipelines, and user experience components.
* **Collaborate cross\-functionally** 
 with educators, content creators, and product teams to translate pedagogical goals into technical solutions.
* **Prototype and productionize novel model interactions** 
 , leveraging emerging research and capabilities to advance the tutor’s intelligence.
* **Ensure quality, safety, and observability** 
 through monitoring, testing, guardrails, and iterative refinement of model behavior.
* **Share knowledge and elevate teammates** 
 , contributing to a culture of clarity, simplicity, and continuous learning.
**Technical:** 
* 1\+ years building complex LLM\-based systems, with strong prompt engineering intuition and experience designing agentic workflows.
* Ability to design meaningful evaluation methods, including custom metrics and frameworks when off\-the\-shelf options fall short.
* Strong software engineering fundamentals, architectural thinking, and fluency in Python; comfortable working with production infrastructure, cloud environments, and CI/CD.
* Actively follows AI research and emerging capabilities, applying new ideas creatively to real problems.
**Why Them?** 
* Exciting challenges: Face new technical challenges daily, keeping your work engaging and rewarding.
* Competitive compensation: We offer a competitive salary with attractive benefits.
* Flexibility: Benefit from flexible working hours because the future is flexible!
* Continuous learning: Access a yearly learning budget for conferences \&amp; training to support your professional growth.
* Global retreats: Participate in international company retreats, fostering a global team spirit.
* Equipment: Yearly refreshment of your IT Equipment budget for your home working setup.
* Amazing team: Collaborate with a truly exceptional team—seriously, we’re awesome!
 If interested get in touch: daniel.zelnis@vividresourcing.com</t>
        </is>
      </c>
    </row>
    <row r="35">
      <c r="A35" t="inlineStr">
        <is>
          <t>li-4233174383</t>
        </is>
      </c>
      <c r="B35" t="inlineStr">
        <is>
          <t>Sr. Machine Learning Engineer, Computer Vision</t>
        </is>
      </c>
      <c r="C35" t="inlineStr">
        <is>
          <t>Pinterest</t>
        </is>
      </c>
      <c r="D35" t="inlineStr">
        <is>
          <t>linkedin</t>
        </is>
      </c>
      <c r="E35" t="inlineStr"/>
      <c r="F35" t="inlineStr"/>
      <c r="G35" t="inlineStr">
        <is>
          <t>San Francisco, CA</t>
        </is>
      </c>
      <c r="H35" t="inlineStr"/>
      <c r="I35"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Pinterest, the Pinterest Labs organization focuses on applied ML research and development. Labs focuses on a broad variety of AI/ML initiatives, such as core computer vision, multimodal representation learning, heterogeneous graph neural networks, generative modeling, recommender systems, etc. This is the group that develops foundation ML models that fully leverage the tens of billions of Pins and the associated knowledge graph to improve the core product.
 We are currently hiring for the visual modeling team in Labs, which focuses on developing Pinterest Canvas. Canvas is a foundation text\-to\-image model developed internally for helping various visualization, inpainting, and outpainting products. In this role, you’ll get to work with Pinterest’s rich visual\-text dataset to build large\-scale generative models which are continuously being shipped to production to power visualization features. The core Canvas pod is a small group (\~6 engineers along with a product prototyping team) inside of Labs, allowing for deep collaboration. For example, engineers working on the Canvas project also participate in the development of our core multimodal text \&amp; image embeddings, as these are in turn used to condition the model in unique ways.
**What You’ll Do**
* Prototype new model architectures for Pinterest Canvas, our internal text\-to\-image generative model. We’re looking for hands\-on experience working with diffusion text\-to\-image models and independent model implementation skills.
* Read research papers, participate in group discussions, and help brainstorm our overall visual generative strategy at the company.
* Help with collection of relevant visual training data for Pinterest Canvas, particularly to conduct RLHF, targeted fine\-tuning, etc.
* Publish and publicize your work via conferences, paper submissions, blog posts, etc.
* Mentor more junior researchers or research interns within the Pinterest Labs organization.
**What We’re Looking For**
* Research engineers and scientists who have experience working with generative computer vision models, preferably various forms of diffusion models.
* 5\+ years of industry computer vision experience.
* M.S. or PhD in Machine Learning, Computer Science, or related areas.
* Publications at top ML conferences.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$161,263—$332,012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6">
      <c r="A36" t="inlineStr">
        <is>
          <t>li-4335847191</t>
        </is>
      </c>
      <c r="B36" t="inlineStr">
        <is>
          <t>Staff AI Engineer - AMR Robot Localization</t>
        </is>
      </c>
      <c r="C36" t="inlineStr">
        <is>
          <t>General Motors</t>
        </is>
      </c>
      <c r="D36" t="inlineStr">
        <is>
          <t>linkedin</t>
        </is>
      </c>
      <c r="E36" t="inlineStr"/>
      <c r="F36" t="inlineStr"/>
      <c r="G36" t="inlineStr">
        <is>
          <t>Mountain View, CA</t>
        </is>
      </c>
      <c r="H36" t="inlineStr"/>
      <c r="I36" t="inlineStr">
        <is>
          <t>**Job Description**
 The Robotics Software team is pioneering the next generation of autonomous robotic systems, focusing on autonomous mobile robots (AMRs) and intelligent robotic platforms. We develop full\-stack robotics capabilities—from perception and planning to control and system integration—bringing innovative, real\-world autonomous solutions to the future of the work.
 We are looking for a Staff Robot Localization Engineer to develop localization solutions that support the development, testing, and validation of localization subsystem of autonomous robotic systems. In this role, you will focus on developing camera\- and LiDAR\-based localization subsystem, design technical specification, creating and executing test plan, integrating the software with physical and simulation platforms, and enabling teams to accomplish the technical and business objectives.
 You will work cross\-functionally with experts in autonomy, contributing to system\-level validation and the continuous improvement of system robustness and validation workflows.
**What You'll Do:**
* Design and implement high\-precision localization methods using camera, LiDAR, wheel encoder and inertial sensors.
* Develop scalable and real\-time localization module optimized for autonomous robotic systems.
* Create engineering specifications and test procedures to ensure system compliance.
* Evaluate and benchmark the performance of localization systems.
* Review the state\-of\-the\-art in camera\- and LiDAR\-based localization algorithms
* Troubleshoot using strong knowledge of probabilistic estimation, sensor fusion, and real\-time system implementation.
* Adjust and fine\-tune localization system parameters to improve accuracy and robustness
**Your Skills \&amp; Abilities:**
* Bachelor's, Master’s or Ph.D. in Robotics, Computer Science, Electrical/Mechanical Engineering, or related field.
* Proficiency in C\+\+ or Python.
* Expertise in camera\- and LiDAR\-based localization algorithms, statistical estimation theory, and practices such as pose graph and factor graph optimization and implementation.
* Experience optimizing localization software to balance performance within resource constraints.
* Understanding of state\-of\-the\-art solutions in place recognition for addressing loop\-closure detection issues.
* Familiarity with ROS2 or other robotics middleware.
* Understanding and experience of other robotics key modules such as perception, mapping, and path planning.
* Adhere to continuous development and deployment practices in robotic software development
**What Will Give You A Competitive Edge:**
* Proficiency with deep learning frameworks and toolchains like PyTorch and TensorFlow
* Knowledge of the development process for deep learning and AI models
* Familiarity with localization repositories like Cartographer, ORB\-SLAM, and VINS\-Mono.
* Experience working with cloud\-based map construction systems.
* AV/ADAS integration or industrial automation experience is a bonus.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166,000 to 265,000\.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37">
      <c r="A37" t="inlineStr">
        <is>
          <t>li-4379937210</t>
        </is>
      </c>
      <c r="B37" t="inlineStr">
        <is>
          <t>AI Engineer</t>
        </is>
      </c>
      <c r="C37" t="inlineStr">
        <is>
          <t>micro1</t>
        </is>
      </c>
      <c r="D37" t="inlineStr">
        <is>
          <t>linkedin</t>
        </is>
      </c>
      <c r="E37" t="inlineStr"/>
      <c r="F37" t="inlineStr"/>
      <c r="G37" t="inlineStr"/>
      <c r="H37" t="inlineStr"/>
      <c r="I37" t="inlineStr">
        <is>
          <t>**Job Title:** 
 AI/ML Engineer
**Job Type:** 
 Full\-time, Contractual
**Job Summary:** 
 Join our customer's team as a AI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38">
      <c r="A38" t="inlineStr">
        <is>
          <t>li-4299030887</t>
        </is>
      </c>
      <c r="B38" t="inlineStr">
        <is>
          <t>Staff Machine Learning Engineer - Generative AI</t>
        </is>
      </c>
      <c r="C38" t="inlineStr">
        <is>
          <t>Xometry</t>
        </is>
      </c>
      <c r="D38" t="inlineStr">
        <is>
          <t>linkedin</t>
        </is>
      </c>
      <c r="E38" t="inlineStr"/>
      <c r="F38" t="inlineStr"/>
      <c r="G38" t="inlineStr">
        <is>
          <t>North Bethesda, MD</t>
        </is>
      </c>
      <c r="H38" t="inlineStr"/>
      <c r="I38"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**Staff Machine Learning Engineer** 
 to lead our Generative AI efforts. This is a rare opportunity to shape the future of manufacturing by applying cutting\-edge AI research to real\-world problems: from multimodal document understanding, to extracting structured data from technical drawings, to building new ways of reasoning across text, images, and 3D data. If you’re passionate about building state\-of\-the\-art AI systems and want to see your work have immediate business and customer impact, we’d love to talk.
**Responsibilities:**
* Lead with vision – Set the technical direction for our Generative AI team, establish best practices, and inspire high\-impact innovation.
* Drive strategy – Help shape the AI roadmap, identifying the most valuable opportunities to apply generative AI across Xometry’s marketplace.
* Build cutting\-edge models – Develop and deploy large language and generative models for multimodal document processing and structured data extraction.
* Innovate across modalities – Explore new ways to combine text, images, and 3D data to unlock smarter, faster solutions.
* Engineer at scale – Create data pipelines and training workflows that can handle massive, complex datasets.
* Deploy in the cloud – Use AWS and other platforms to train, optimize, and deploy models into production at scale.
* Collaborate widely – Work with engineers, product leaders, and business teams to bring AI solutions into real products and customer workflows.
* Mentor and grow – Guide teammates on advanced ML methods, model architecture, and best practices, elevating the entire team.
* Stay ahead – Keep up with the latest generative AI and deep learning research, and bring fresh ideas into production.
**Qualifications:**
* Bachelor’s degree required; advanced degree (M.S. or PhD) in Computer Science, Machine Learning, AI, or related field is a big plus.
* 5\+ years of experience in machine learning or data science, with deep expertise in generative models, LLMs, or computer vision.
* Strong track record working with large\-scale language and vision models (Transformers, GPT, VLMs).
* Hands\-on experience with multimodal data (text, images, 3D).
* Proficiency in Python and key ML libraries (PyTorch, TensorFlow, pandas, NumPy).
* Solid grounding in probability, statistics, and optimization for generative modeling.
* Experience deploying ML and AI models using cloud microservice architecture (AWS preferred).
* Strong software engineering skills, including object oriented programming, testing, version control, CI/CD best practices and IaC (terraform preferred).
* A proven ability to communicate effectively with all levels of the organization, from executives to product managers and various stakeholders.
* Background in manufacturing, supply chain, or related industries is a plus — but curiosity and drive matter more.
* Must be a U.S. Citizen or Green Card holder (ITAR compliance)
 The estimated base salary range for new hires into this role is $140,000\-$230,000 annually OR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39">
      <c r="A39" t="inlineStr">
        <is>
          <t>li-4331190053</t>
        </is>
      </c>
      <c r="B39" t="inlineStr">
        <is>
          <t>Senior Machine Learning Engineer, Computer Vision</t>
        </is>
      </c>
      <c r="C39" t="inlineStr">
        <is>
          <t>Metropolis Technologies</t>
        </is>
      </c>
      <c r="D39" t="inlineStr">
        <is>
          <t>linkedin</t>
        </is>
      </c>
      <c r="E39" t="inlineStr"/>
      <c r="F39" t="inlineStr"/>
      <c r="G39" t="inlineStr">
        <is>
          <t>Los Angeles, CA</t>
        </is>
      </c>
      <c r="H39" t="inlineStr"/>
      <c r="I39"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We are seeking a Senior Machine Learning Engineer to play a key role to join our growing team. As a key member of the Advanced Technologies team, you will play a critical role in designing, developing, and deploying state\-of\-the\-art computer vision and recommendation models that power our core products and solutions. Your work will involve tackling challenging problems in object detection, tracking, OCR, video analytics, and multi\-modal systems. This role involves a unique blend of technical expertise in data and machine learning, innovative thinking, and a passion for data\-driven solutions.
**What You'll Do**
* Design, develop, and deploy advanced computer vision models for real\-world applications, including object detection, itracking, OCR, image search, and scene understanding
* Build and optimize deep learning models, ensuring high accuracy, performance, and scalability for deployment in production environments
* Explore and integrate multi\-modal approaches, leveraging visual, textual, and other data modalities for robust solutions
* Collaborate with cross\-functional teams, including data engineers and software engineers to deliver end\-to\-end solutions
* Lead the design and implementation of scalable pipelines for data processing, model training, and model deployment
* Optimize models for performance on various hardware platforms, including CPUs, GPUs, and edge devices
* Conduct thorough experimentation and A/B testing to validate model effectiveness and ensure alignment with business objectives
* Mentor junior team members, providing technical guidance and fostering professional growth
* Write clean, efficient, and maintainable code while adhering to best practices in software engineering and machine learning
**What we're looking for**
* PhD in Computer Science, Engineering, or a related field, or equivalent work experience
* 5\+ years of hands\-on experience in machine learning and computer vision, with a strong track record of deploying models into production
* Proficiency in Python and ML frameworks (PyTorch/TensorFlow/ONNX/TensorRT)
* Strong experience with model optimization (e.g., quantization, pruning) and deployment on various platforms (cloud, edge, or mobile)
* Familiarity with cloud platforms (AWS, GCP, or Azure), containerization (Docker), and orchestration (ECS, Kubernetes)
* Proven experience in building and maintaining data pipelines (e.g., Airflow)
* Strong understanding of the agile development process and CI/CD pipelines and tools (e.g., Github Actions, Jenkins)
* Excellent communication skills, capable of presenting complex technical information clearly
**While not required, these are a plus:**
* Experience with C\+\+
* Experience in high\-growth, innovative environments
* Publications in top\-tier conferences (e.g., CVPR, ICCV, NeurIPS) are a strong plus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to $200,000\.00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40">
      <c r="A40" t="inlineStr">
        <is>
          <t>li-4331187671</t>
        </is>
      </c>
      <c r="B40" t="inlineStr">
        <is>
          <t>Senior Machine Learning Engineer, Computer Vision</t>
        </is>
      </c>
      <c r="C40" t="inlineStr">
        <is>
          <t>Metropolis Technologies</t>
        </is>
      </c>
      <c r="D40" t="inlineStr">
        <is>
          <t>linkedin</t>
        </is>
      </c>
      <c r="E40" t="inlineStr"/>
      <c r="F40" t="inlineStr"/>
      <c r="G40" t="inlineStr">
        <is>
          <t>Seattle, WA</t>
        </is>
      </c>
      <c r="H40" t="inlineStr"/>
      <c r="I40" t="inlineStr">
        <is>
          <t>**Who We Are**
 The real world is the next frontier, and at Metropolis, we are creating the artificial intelligence to make it responsive. We are pioneering the Recognition Economy — a future where mundane repetition disappears and being known unlocks access, comfort and belonging everywhere you go. From transforming parking into a seamless drive\-in, drive\-out experience for millions of Members to expanding our intelligence layer across retail and hospitality, we are building a world that feels instinctive and magical. The future isn’t coming; it’s here, and we need builders, innovators and problem solvers to help us create it.
**Who You Are**
 We are seeking a Senior Machine Learning Engineer to play a key role to join our growing team. As a key member of the Advanced Technologies team, you will play a critical role in designing, developing, and deploying state\-of\-the\-art computer vision and recommendation models that power our core products and solutions. Your work will involve tackling challenging problems in object detection, tracking, OCR, video analytics, and multi\-modal systems. This role involves a unique blend of technical expertise in data and machine learning, innovative thinking, and a passion for data\-driven solutions.
**What You'll Do**
* Design, develop, and deploy advanced computer vision models for real\-world applications, including object detection, itracking, OCR, image search, and scene understanding
* Build and optimize deep learning models, ensuring high accuracy, performance, and scalability for deployment in production environments
* Explore and integrate multi\-modal approaches, leveraging visual, textual, and other data modalities for robust solutions
* Collaborate with cross\-functional teams, including data engineers and software engineers to deliver end\-to\-end solutions
* Lead the design and implementation of scalable pipelines for data processing, model training, and model deployment
* Optimize models for performance on various hardware platforms, including CPUs, GPUs, and edge devices
* Conduct thorough experimentation and A/B testing to validate model effectiveness and ensure alignment with business objectives
* Mentor junior team members, providing technical guidance and fostering professional growth
* Write clean, efficient, and maintainable code while adhering to best practices in software engineering and machine learning
**What we're looking for**
* PhD in Computer Science, Engineering, or a related field, or equivalent work experience
* 5\+ years of hands\-on experience in machine learning and computer vision, with a strong track record of deploying models into production
* Proficiency in Python and ML frameworks (PyTorch/TensorFlow/ONNX/TensorRT)
* Strong experience with model optimization (e.g., quantization, pruning) and deployment on various platforms (cloud, edge, or mobile)
* Familiarity with cloud platforms (AWS, GCP, or Azure), containerization (Docker), and orchestration (ECS, Kubernetes)
* Proven experience in building and maintaining data pipelines (e.g., Airflow)
* Strong understanding of the agile development process and CI/CD pipelines and tools (e.g., Github Actions, Jenkins)
* Excellent communication skills, capable of presenting complex technical information clearly
**While not required, these are a plus:**
* Experience with C\+\+
* Experience in high\-growth, innovative environments
* Publications in top\-tier conferences (e.g., CVPR, ICCV, NeurIPS) are a strong plus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to $200,000\.00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41">
      <c r="A41" t="inlineStr">
        <is>
          <t>li-4336248523</t>
        </is>
      </c>
      <c r="B41" t="inlineStr">
        <is>
          <t>Senior Applied Machine Learning Engineer - Asset Intelligence</t>
        </is>
      </c>
      <c r="C41" t="inlineStr">
        <is>
          <t>MaintainX</t>
        </is>
      </c>
      <c r="D41" t="inlineStr">
        <is>
          <t>linkedin</t>
        </is>
      </c>
      <c r="E41" t="inlineStr"/>
      <c r="F41" t="inlineStr"/>
      <c r="G41" t="inlineStr">
        <is>
          <t>San Francisco, CA</t>
        </is>
      </c>
      <c r="H41" t="inlineStr"/>
      <c r="I41" t="inlineStr">
        <is>
          <t>MaintainX is the world’s leading mobile\-first Asset and Work Intelligence platform for industrial and frontline environments. We’re a modern, IoT\-enabled, cloud\-based solution that powers maintenance, safety, and operations on physical equipment and facilities.
 We help 12,000\+ organizations—including Duracell, Univar Solutions, Titan America, McDonald’s, Brenntag, Cintas, Xylem, and Shell—achieve operational excellence and reliability at scale.
 Following our $150 million Series D led by Bain Capital Ventures, Bessemer Ventures, August Capital, Amity Ventures, and Ridge Ventures, MaintainX has raised a total of $254 million, valuing the company at $2\.5 billion.
 As we enter our next phase of growth, we’re investing deeply in AI/ML, LLMs, and Industrial IoT to transform how frontline teams operate—predicting failures before they happen, automating workflows, and embedding intelligence into every asset and procedure.
 The Role
 We are seeking a highly skilled and motivated
 **Senior Applied Machine Learning Engineer** 
 to guide the technical direction and architecture of our Predictive Maintenance and Asset Intelligence initiatives.
 You’ll combine deep ML expertise with strong software engineering and leadership skills—mentoring engineers, scaling systems, and driving the roadmap for AI\-enabled maintenance intelligence across thousands of industrial sites.
 This role sits at the intersection of ML architecture, IoT data systems, and product impact, shaping the foundation for MaintainX’s predictive and generative AI strategy.
**What You’ll Do**
* Lead technical direction for predictive maintenance, anomaly detection, and LLM\-powered intelligence across MaintainX products.
* Architect end\-to\-end ML systems—from data ingestion and feature engineering to model training, deployment, and monitoring.
* Mentor a growing team of ML and data engineers, instilling best practices for experimentation, evaluation, and model lifecycle management.
* Partner with product and engineering leaders to align AI roadmap with customer needs and business goals.
* Design reliable data and feedback loops that connect customer telemetry and operator feedback to model retraining.
* Drive performance optimization through techniques like quantization, distillation, and scalable inference serving.
* Work with LLM frameworks (LangChain, LlamaIndex, Hugging Face) to build reasoning systems and agentic workflows for asset and work intelligence.
* Ensure ML infrastructure meets production standards for latency, reliability, explainability, and security.
**About You**
* 7\+ years of experience in Machine Learning, Data Science, or Applied AI.
* Expertise in Python, and strong familiarity with PyTorch, TensorFlow, and cloud ML stacks (AWS, Databricks, or similar).
* Proven experience deploying production ML systems—not just prototypes—at scale.
* Strong background in LLMs, time\-series modeling, and anomaly detection for real\-world data.
* Demonstrated ability to lead architectural decisions, mentor engineers, and collaborate across product, data, and platform teams.
* Knowledge of MLOps tooling (Docker, Kubernetes, Weights \&amp; Biases, MLflow, SageMaker).
* Advanced degree (MS/PhD) in Computer Science, Machine Learning, or related field preferred.
**Bonus Skills**
* Experience with OCR for extracting structured data from documents.
* Background in time\-series modeling for predictive maintenance and anomaly detection.
* Familiarity with Industrial IoT systems (sensors, telemetry, edge computing).
* Experience applying reinforcement learning or agentic architectures for decision\-making and control systems.
* Contributions to open\-source ML frameworks or research in reliability, explainability, or digital twins.
**What’s In It For You**
* Competitive salary and meaningful equity opportunities.
* Healthcare, dental, and vision coverage.
* 401(k) / RRSP enrollment program.
* Take what you need PTO.
* A high impact Culture:
+ You’ll work with Smart, Humble Optimists across the globe.
+ Meritocratic environment where ideas and outcomes are publicly celebrated.
**About Us**
 We exist to make the lives of frontline and maintenance teams easier by building software that meets their real\-world needs. Our product transforms how 80% of the global workforce—those who don’t sit behind a desk—manage their operations, assets, and teams.
 MaintainX is committed to creating a diverse environment. All qualified applicants will receive consideration for employment without regard to race, color, religion, gender, gender identity or expression, sexual orientation, national origin, genetics, disability, age, or veteran status.</t>
        </is>
      </c>
    </row>
    <row r="42">
      <c r="A42" t="inlineStr">
        <is>
          <t>li-4372713781</t>
        </is>
      </c>
      <c r="B42" t="inlineStr">
        <is>
          <t>AI Engineer</t>
        </is>
      </c>
      <c r="C42" t="inlineStr">
        <is>
          <t>Underdog.io -Apply to top tech jobs in 60 seconds. A place where companies apply to you</t>
        </is>
      </c>
      <c r="D42" t="inlineStr">
        <is>
          <t>linkedin</t>
        </is>
      </c>
      <c r="E42" t="inlineStr"/>
      <c r="F42" t="inlineStr"/>
      <c r="G42" t="inlineStr"/>
      <c r="H42" t="inlineStr"/>
      <c r="I42"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43">
      <c r="A43" t="inlineStr">
        <is>
          <t>li-4379294290</t>
        </is>
      </c>
      <c r="B43" t="inlineStr">
        <is>
          <t>Lead Machine Learning Engineer – Agentic AI, Vice President</t>
        </is>
      </c>
      <c r="C43" t="inlineStr">
        <is>
          <t>JPMorganChase</t>
        </is>
      </c>
      <c r="D43" t="inlineStr">
        <is>
          <t>linkedin</t>
        </is>
      </c>
      <c r="E43" t="inlineStr"/>
      <c r="F43" t="inlineStr"/>
      <c r="G43" t="inlineStr">
        <is>
          <t>Jersey City, NJ</t>
        </is>
      </c>
      <c r="H43" t="inlineStr"/>
      <c r="I43" t="inlineStr">
        <is>
          <t>**Job Description**
 Are you passionate about building the next generation of AI solutions? Join us to lead and mentor a team of talented engineers, drive innovation in generative and agentic AI, and deliver impactful, scalable technology for Risk Technology. You’ll collaborate with cross\-functional partners and play a key role in shaping the future of Asset and Wealth Management Risk.
 As a Lead Machine Learning Engineer – Agentic AI in Risk Technology, you will lead a specialized technical area, driving impact across teams, technologies, and projects. You will leverage your expertise in software engineering and multi\-agent system design to deliver complex, high\-impact initiatives. You will mentor and guide a team of engineers, foster best practices in ML engineering, and partner with data science, product, and business teams to deliver end\-to\-end solutions that drive value for the Risk business.
**Job Responsibilities**
* Lead the deployment and scaling of advanced generative AI, agentic AI, and classical ML solutions for the Risk business.
* Design and execute enterprise\-wide, reusable AI/ML frameworks and core infrastructure to accelerate AI solution development.
* Develop multi\-agent systems for orchestration, agent\-to\-agent communication, memory, telemetry, and guardrails.
* Guide research on context and prompt engineering techniques to improve prompt\-based model performance, utilizing libraries such as SmartSDK and LangGraph.
* Develop and maintain tools and frameworks for prompt\-based agent evaluation, monitoring, and optimization at enterprise scale.
* Build and maintain data pipelines and processing workflows for scalable, efficient data consumption.
* Write secure, high\-quality production code and conduct code reviews.
* Partner with Data Science, Product, and Business teams to identify requirements and develop solutions.
* Communicate technical concepts and results to both technical and non\-technical stakeholders, including senior leadership.
* Provide technical leadership, mentorship, and guidance to junior engineers, promoting a culture of excellence and continuous learning.
**Required Qualifications, Capabilities, And Skills**
* Bachelor’s or Master’s degree in Computer Science, Engineering, Data Science, or a related field.
* 10\+ years of experience in machine learning engineering.
* Strong proficiency in Python and experience deploying end\-to\-end pipelines on AWS.
* Hands\-on experience in system design, application development, testing, and operational stability.
* Experience using LangGraph or SmartSDK for multi\-agent orchestration.
* Experience with AWS and infrastructure\-as\-code tools such as Terraform.
**Preferred Qualifications, Capabilities, And Skills**
* Strategic thinker with the ability to drive technical vision for business impact.
* Demonstrated leadership working with engineers, data scientists, and ML practitioners.
* Familiarity with MLOps practices, including CI/CD for ML, model monitoring, automated deployment, and ML pipelines.
* Experience with agentic telemetry and evaluation services.
* Hands\-on experience building and maintaining user interfaces.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4">
      <c r="A44" t="inlineStr">
        <is>
          <t>li-4379906734</t>
        </is>
      </c>
      <c r="B44" t="inlineStr">
        <is>
          <t>Lead Machine Learning Engineer</t>
        </is>
      </c>
      <c r="C44" t="inlineStr">
        <is>
          <t>Capital One</t>
        </is>
      </c>
      <c r="D44" t="inlineStr">
        <is>
          <t>linkedin</t>
        </is>
      </c>
      <c r="E44" t="inlineStr"/>
      <c r="F44" t="inlineStr"/>
      <c r="G44" t="inlineStr">
        <is>
          <t>New York, NY</t>
        </is>
      </c>
      <c r="H44" t="inlineStr"/>
      <c r="I44"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Experience developing, delivering, and supporting ML solutions in a public cloud such as AWS, Azure, or Google Cloud Platform
* 3\+ years of on\-the\-job experience with an industry recognized ML framework such as scikit\-learn, PyTorch, Dask, Spark, or TensorFlow
* 2\+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5">
      <c r="A45" t="inlineStr">
        <is>
          <t>li-4375821022</t>
        </is>
      </c>
      <c r="B45" t="inlineStr">
        <is>
          <t>Sr Machine Learning Engineer</t>
        </is>
      </c>
      <c r="C45" t="inlineStr">
        <is>
          <t>Underdog.io -Apply to top tech jobs in 60 seconds. A place where companies apply to you</t>
        </is>
      </c>
      <c r="D45" t="inlineStr">
        <is>
          <t>linkedin</t>
        </is>
      </c>
      <c r="E45" t="inlineStr"/>
      <c r="F45" t="inlineStr"/>
      <c r="G45" t="inlineStr"/>
      <c r="H45" t="inlineStr"/>
      <c r="I45"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46">
      <c r="A46" t="inlineStr">
        <is>
          <t>li-4342456726</t>
        </is>
      </c>
      <c r="B46" t="inlineStr">
        <is>
          <t>Home Lending Data &amp; Analytics – Applied AI/ML Engineer - VP</t>
        </is>
      </c>
      <c r="C46" t="inlineStr">
        <is>
          <t>JPMorganChase</t>
        </is>
      </c>
      <c r="D46" t="inlineStr">
        <is>
          <t>linkedin</t>
        </is>
      </c>
      <c r="E46" t="inlineStr"/>
      <c r="F46" t="inlineStr"/>
      <c r="G46" t="inlineStr">
        <is>
          <t>Jacksonville, FL</t>
        </is>
      </c>
      <c r="H46" t="inlineStr"/>
      <c r="I46" t="inlineStr">
        <is>
          <t>**Job Description**
 Are you ready to play a pivotal role in shaping the future of Data \&amp; Analytics?
 As a valued member of our Home Lending Data \&amp; Analytics Applied AI/ML team, you will be at the forefront of our firm\-wide initiatives to innovate and enhance Data \&amp; Analytics functions. Your contributions will be instrumental in transforming the processes and tools for data, analysis, and modeling.
 As an Applied AI/ML Engineer within our Home Lending Data \&amp; Analytics team, you will work in close coordination with various teams in Data \&amp; Analytics, including Data Owners, Reporting, Analysis, and Modeling. Your role will involve designing and implementing AI\-powered solutions that boost operational efficiency, improve employee experience, and improve data quality. Leveraging your expertise in artificial intelligence and data analytics, you will develop state\-of\-the\-art applications that simplify processes and yield tangible business outcomes. Your valuable contributions will play a pivotal role in transforming our way of working, ensuring we remain at the cutting edge of the industry.
**Job Responsibilities**
* Write and deliver high\-quality code for AI\-driven Home Lending Data \&amp; Analytics initiatives, ensuring robust and efficient solutions that meet business objectives
* Work closely with Data Owners, Reporting, Analysis, and Modeling teams to address and solve complex problems including AI, ML, and advanced analytics, with a focus on generative AI technologies
* Deploy and scale AI models to production environments, ensuring robustness, reliability, security, and compliance
* Fine\-tune AI models for optimal performance and efficiency, addressing any issues that arise
* Work closely with data scientists, software engineers, and product teams to integrate AI solutions into existing systems and workflows
* Own and manage the entire code lifecycle, from development through production deployment and ongoing maintenance, adhering to best practices
* Develop and maintain comprehensive technical documentation for all AI solutions, ensuring clarity, accuracy, and accessibility for both technical and non\-technical stakeholders
* Continuously monitor AI performance, making necessary adjustments to maintain and improve accuracy and efficiency
* Engage with stakeholders to develop, demonstrate, and iterate on deliverables, ensuring alignment with analyst needs and regulatory requirement
**Required Qualifications, Capabilities, And Skills**
* 7\+ years of work experience.
* Masters degree in a quantitative field such as Data Science, Computer Science, Engineering, Math, Physics, etc
* Proven track record of delivering projects in the AI/ML and data analytics space
* Proficiency in Python.
* Experience with foundation LLMs (e.g., GPT\-5, Claude), RAG, Agents.
* Strong understanding of software engineering principles and practices, including version control, testing, and code optimization
* Technical documentation experience preferred.
**Preferred Qualifications, Capabilities And Skills**
* Experience with AWS Cloud Platform and Databricks for deploying and managing machine learning models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7">
      <c r="A47" t="inlineStr">
        <is>
          <t>li-4378848306</t>
        </is>
      </c>
      <c r="B47" t="inlineStr">
        <is>
          <t>Lead Palantir AI Engineer</t>
        </is>
      </c>
      <c r="C47" t="inlineStr">
        <is>
          <t>HCA Healthcare</t>
        </is>
      </c>
      <c r="D47" t="inlineStr">
        <is>
          <t>linkedin</t>
        </is>
      </c>
      <c r="E47">
        <f>HYPERLINK("https://www.linkedin.com/jobs/view/4378848306", "https://www.linkedin.com/jobs/view/4378848306")</f>
        <v/>
      </c>
      <c r="F47" t="inlineStr"/>
      <c r="G47" t="inlineStr"/>
      <c r="H47" t="inlineStr"/>
      <c r="I47" t="inlineStr">
        <is>
          <t>At HCA Healthcare, we are committed to providing our patients and care providers with the highest quality healthcare services. HCA’s Digital Transformation and Innovation (DT\&amp;I) team delivers a step change in that direction through clinically led integration of digital and AI technologies into care.
 We are seeking a Lead AI Engineer with deep expertise in Palantir Foundry and strong hands\-on experience with Palantir’s Artificial Intelligence Platform (AIP). This role will lead the design, development, and operationalization of AI\-driven solutions within Foundry. The ideal candidate combines strong software engineering discipline, advanced data engineering depth, and applied AI/ML expertise, with the ability to translate complex business problems into production\-grade AI applications
**Key Responsibilities:** 
* Act as a technical lead, partnering directly with clinical and operational stakeholders to deliver high\-impact, mission\-critical AI solutions in fast\-paced environments.
* Lead technical design and implementation of Palantir Foundry use cases
* Design and deploy LLM\-powered workflows, AI agents, and enterprise decision\-support solutions within Foundry.
* Build data pipelines and workflows to prepare data for machine learning and GenAI.
* Build, fine\-tune, evaluate, and operationalize AI/ML models within Foundry’s ecosystem.
* Implement and standardize robust MLOps practices, including versioning, CI/CD, monitoring, governance, and performance tracking.
* Mentor other engineers as the team grows, and work with engineering leadership to define longer term roadmaps.
 Education \&amp; Experience:
* Bachelor’s degree in computer science, engineering, or a related technical field\- Required
* Master’s degree\- Preferred
* 7\+ years of experience in software engineering with a focus on AI Engineering\- Required
* 7\+ years of overall engineering experience, including 2\+ years of hands\-on experience with Palantir Foundry in production environments.
* Experience building and managing data pipelines, Ontology models, Workshop applications, and operational workflows within Foundry.
* Strong proficiency in Python, PySpark/Spark, and advanced SQL.
* Experience developing and deploying AI/ML models in production environments.
* Experience with Generative AI / LLM\-based solutions.
* Strong experience building and maintaining data pipelines (ETL/ELT) using Foundry tools, Python, and SQL.
* Experience leading engineering teams and delivering projects in Agile environments.
* Experience implementing solutions in regulated environments (e.g., healthcare, finance)\- Preferred
* Frontend development experience using TypeScript and React is a plus.\- Preferred
**Licenses, Certification \&amp; Training Requirements:** 
 Palantir certifications (Foundry Data Engineer, Solution Architect, or Application Developer)\- Preferred
**Work Location/Schedule:** 
* Remote (U.S. Only) \- M\-F, 8am – 5pm \- Central Time
**Travel Required:** 
* This job requires travel to Nashville, TN to attend final interview, 3\-day New Hire Orientation, quarterly team meetings, and other travel on as\-needed basis
**Visa Sponsorship:** 
* Not offered, now or in the future</t>
        </is>
      </c>
    </row>
    <row r="48">
      <c r="A48" t="inlineStr">
        <is>
          <t>li-4340290419</t>
        </is>
      </c>
      <c r="B48" t="inlineStr">
        <is>
          <t>Machine Learning Engineer</t>
        </is>
      </c>
      <c r="C48" t="inlineStr">
        <is>
          <t>Parker B Associates</t>
        </is>
      </c>
      <c r="D48" t="inlineStr">
        <is>
          <t>linkedin</t>
        </is>
      </c>
      <c r="E48">
        <f>HYPERLINK("https://www.linkedin.com/jobs/view/4340290419", "https://www.linkedin.com/jobs/view/4340290419")</f>
        <v/>
      </c>
      <c r="F48" t="inlineStr"/>
      <c r="G48" t="inlineStr"/>
      <c r="H48" t="inlineStr"/>
      <c r="I48" t="inlineStr">
        <is>
          <t>Machine Learning Engineer (Green card holder / US Citizen ONLY)
 New York City
 Permanent
 €130,000 – €250,000 \+ Bens
 Our client is a global Insurance business seeking a Machine Learning Engineer to join the team on a permanent basis.
 Are you interested in working on a brand\-new, greenfield AI project built from the ground up?
 This opportunity involves building advanced insurance capabilities across the enterprise and developing scalable AI solutions.
* Do you want to work with a world\-class Data \&amp; AI team shaping the future of insurance?
* Would you like to work for an organisation investing in advanced technologies?
* Do you have a passion for winning and success?
 Responsibilities:
* Design, develop, and deploy AI/ML
* Identify opportunities for AI\-driven growth
* Translate complex concepts into actionable business insights
* Research and apply the latest advancements for continuous improvement
 A full job spec will be provided upon request.
 Skills/ Experience:
* Background in data science \&amp; machine learning techniques
* Strong statistical knowledge
* Generative AI/ LLM expertise \- a bonus
* Python \&amp; SQL
* Developed end\-to\-end AI solutions
* Cloud
* Excellent communication skills (ability to present to C\-level)
 If you are interested or would like further information, please apply as soon as possible.
 Keywords – Senior Data Scientist, Senior AI engineer, AI engineer, Senior ML Engineer, ML Engineer, Machine Learning Engineer, Data Scientist</t>
        </is>
      </c>
    </row>
    <row r="49">
      <c r="A49" t="inlineStr">
        <is>
          <t>li-4318663121</t>
        </is>
      </c>
      <c r="B49" t="inlineStr">
        <is>
          <t>Senior Data Scientist / Machine Learning Engineer - Listing Quality</t>
        </is>
      </c>
      <c r="C49" t="inlineStr">
        <is>
          <t>Faire</t>
        </is>
      </c>
      <c r="D49" t="inlineStr">
        <is>
          <t>linkedin</t>
        </is>
      </c>
      <c r="E49">
        <f>HYPERLINK("https://www.linkedin.com/jobs/view/4318663121", "https://www.linkedin.com/jobs/view/4318663121")</f>
        <v/>
      </c>
      <c r="F49" t="inlineStr"/>
      <c r="G49" t="inlineStr">
        <is>
          <t>San Francisco, CA</t>
        </is>
      </c>
      <c r="H49" t="inlineStr"/>
      <c r="I49"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Faire leverages the power of machine learning and data insights to revolutionize the wholesale industry, enabling local retailers to compete against giants like Amazon and big box stores. At Faire, the Data Science team is responsible for creating and maintaining a diverse range of algorithms and models that power our marketplace. We are dedicated to building machine learning models that help our customers thrive.
 As a member of the Brand Data Science team working on Listing Quality, you will be responsible for improving the quality of product listings to help retailers find and evaluate products on Faire. You will use ML and AI to tackle critical challenges, such as enhancing image and text quality, extracting structured product attributes, and accurately identifying duplicates and product variants. You will leverage deep learning, multi\-modal LLMs, and human\-in\-the\-loop training to create high performance solutions. This space has been evolving rapidly with advancements in AI and you will be at the forefront of applying the latest technology to drive real\-world impact. You will independently design and implement solutions and work with the cross\-functional Listing Quality pod, including product, design, engineering, analytics, and operations, to solve problems end\-to\-end.
**What You’ll Do**
* Drive data science vision, strategy, and execution on Listing Quality, using ML and AI solutions to improve the quality of Faire’s product listings.
* Use deep learning, LLM fine tuning, and human\-in\-the\-loop training to automatically detect and address issues with high accuracy.
* Act as a lead on the cross\-functional Listing Quality pod, thinking end\-to\-end about brand and retailer experiences.
**Qualifications**
* 3\+ years of industry experience using machine learning to solve real\-world problems
* Experience with relevant business problems (e.g. e\-commerce)
* Experience with relevant technical methods (e.g. LLM fine tuning, deep learning, or human\-in\-the\-loop machine learning)
* Strong programming skills
* An excitement and willingness to learn new tools and techniques
* The ability to design and implement ML solutions without supervision
* Strong communication skills and the ability to work in a highly cross\-functional team
**Great To Haves**
* Master’s or PhD in Computer Science, Statistics, or related STEM fields is highly recommended
* Previous experience in listing quality for e\-commerce
* Previous experience in supervised fine tuning of multi\-modal LLMs
* Experience deploying and optimizing LLM inference systems at scale (10B\+ tokens), with focus on cost efficiency and product impact
**Salary Range**
 San Francisco: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50">
      <c r="A50" t="inlineStr">
        <is>
          <t>li-4289453950</t>
        </is>
      </c>
      <c r="B50" t="inlineStr">
        <is>
          <t>Applied Scientist, Search and Recommender Systems- VenturaOS</t>
        </is>
      </c>
      <c r="C50" t="inlineStr">
        <is>
          <t>The Trade Desk</t>
        </is>
      </c>
      <c r="D50" t="inlineStr">
        <is>
          <t>linkedin</t>
        </is>
      </c>
      <c r="E50">
        <f>HYPERLINK("https://www.linkedin.com/jobs/view/4289453950", "https://www.linkedin.com/jobs/view/4289453950")</f>
        <v/>
      </c>
      <c r="F50">
        <f>HYPERLINK("https://job-boards.greenhouse.io/thetradedesk/jobs/4789299007?gh_src=1c01b2067us&amp;urlHash=P-jV", "https://job-boards.greenhouse.io/thetradedesk/jobs/4789299007?gh_src=1c01b2067us&amp;urlHash=P-jV")</f>
        <v/>
      </c>
      <c r="G50" t="inlineStr">
        <is>
          <t>San Jose, CA</t>
        </is>
      </c>
      <c r="H50" t="inlineStr"/>
      <c r="I50" t="inlineStr">
        <is>
          <t>**About VenturaOS**
 We're a small, high\-impact team building the next\-generation TV operating system. Our flexible structure gives engineers direct influence over product direction—an opportunity rarely found in larger companies.
 Our innovative approach to the CTV industry optimizes the advertising supply chain, creating better outcomes for advertisers, publishers, and TV viewers alike. As part of our
 **Ventura OS** 
 project, we're developing sophisticated backend infrastructure to power our platform, with a strong emphasis on quality at scale.
 We believe culture matters. We foster an environment where engineers thrive through collaboration, innovation, and continuous learning. Our teams build cutting\-edge streaming technology that enables advertisers to leverage data for more relevant and effective ad experiences—while improving efficiency across the entire supply chain ecosystem.
**Who we are looking for:**
 We are looking for an experienced Applied Scientist join Ventura OS who brings:
* Proven Expertise: You have a sustained track record of making significant, self\-directed, and end\-to\-end contributions to large and impactful AI\-based projects. You think beyond just the task at hand to deeply understand the 'why' behind what you are doing.
* Technical Leadership: You will be driving technical projects and providing leadership in a groundbreaking and fast\-paced environment. This includes task planning, conducting code reviews, and individual code contributions.
* Data Intuition: You have a strong sense of data intuition. At our scale, many off\-the\-shelf modeling techniques (open source and enterprise) simply don't work. You can work from first principles and intuition to develop solutions and adapt them to a unique environment.
* Product Focus: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can pitch your ideas to different audiences at all levels.
* Start\-up Mentality: You are accustomed to start\-up culture. You embrace risks, make smart investments, and stay agile when priorities shift.
* Collaborative Confidence: You work with confidence and without ego. Our research data scientists have deep knowledge and exercise a high degree of leadership in their daily work. You have strongly held, defensible ideas, and advocate for what you believe is right. You are also adept at identifying and evaluating trade\-offs, willing to be proven wrong, and quick to support your teammates.
* Diversity and Inclusion: You value, seek out, and foster diversity. We are a global team from many diverse backgrounds, with different experiences and perspectives. You welcome ideas that are different from your own and are skilled at finding and building from common ground.
* Innovative Thinking: You are a creative thinker, not bound by "the way things have always been done." What you know is less important than how well you learn and innovate. We don't need research data scientists who know all the answers; we need research data scientists who can invent the answers no one has thought of yet, to the questions yet to be asked.
**What you bring to the Ventura Team:** 
* Versatile Expertise: You are a jack\-of\-all\-trades and master of some in the field of AI. Ideally, you have 5\+ years of experience working with AI\-related research and applications. You may have an advanced degree in a CS/AI/ECE field, but it’s not a strict requirement. What and how you can contribute is what’s most important to us.
* Innovative Application: You have a track record of turning the latest AI publications into solutions for real\-world problems or ideas for novel product creation. You stay up to date with the latest advancements in AI.
* Agile Collaboration: You are comfortable working on an agile, distributed team spanning multiple time zones and continents.
* Effective Communication: You can communicate effectively across both technical and non\-technical audiences.
* Technical Proficiency: You have strong programming and big data processing skills, with experience in making machine learning or data mining algorithms work on massive amounts of data.
* Product focus: You know how to get your ML models production ready. You know how to work with your team to get your code/model up and running into production.
* Specialized Knowledge: Deep expertise and extensive hands\-on experience in some of the following areas is a plus:
+ Recommendation Systems
+ Natural Language Processing
+ Search
+ Information Retrieval
+ Large Language Models
+ Deep Learning
+ Generative AI technologies
+ Large\-scale data mining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51">
      <c r="A51" t="inlineStr">
        <is>
          <t>li-4379908326</t>
        </is>
      </c>
      <c r="B51" t="inlineStr">
        <is>
          <t>Machine Learning Engineer</t>
        </is>
      </c>
      <c r="C51" t="inlineStr">
        <is>
          <t>Finch</t>
        </is>
      </c>
      <c r="D51" t="inlineStr">
        <is>
          <t>linkedin</t>
        </is>
      </c>
      <c r="E51">
        <f>HYPERLINK("https://www.linkedin.com/jobs/view/4379908326", "https://www.linkedin.com/jobs/view/4379908326")</f>
        <v/>
      </c>
      <c r="F51" t="inlineStr"/>
      <c r="G51" t="inlineStr">
        <is>
          <t>New York, NY</t>
        </is>
      </c>
      <c r="H51" t="inlineStr"/>
      <c r="I51" t="inlineStr">
        <is>
          <t>**About Finch**
 We believe every American household deserves access to counsel in life’s biggest moments. At Finch, we’re building the infrastructure to make justice radically more accessible. Our modern approach to consumer law automates the admin work and puts clients first, starting with personal injury.
 Since launching in April, we’ve grown 10x and are now powering pre\-litigation for top law firms across the country. We combine expert operators with purpose\-built AI to handle intake, claim opening, medical records, police reports, lien management, demands, and everything in between.
 We’re backed by Sequoia, Redpoint, and the founders \&amp; CEOs of generational companies like DoorDash, Ironclad, and Digits. We’re rebuilding how the law serves everyday Americans from first principles, and we’re hiring exceptional operators to help us scale it nationwide.
**This Role**
 Legal work is buried in unstructured documents, repetitive workflows, and data that no existing system handles well — and we're building the AI to fix it. As a Machine Learning Engineer at Finch, you'll own the full lifecycle of AI systems, from prototype to production, working on problems where a single breakthrough can meaningfully change how law firms operate.
**What You'll Do**
 This is a hands\-on applied AI role where you'll build and ship production systems — not just run experiments. The scope will grow as our product and team do.
* Build voice agents, browser agents, OCR pipelines, and LLM\-powered workflows that work reliably in production.
* Design rigorous evaluation frameworks and feedback loops to systematically improve model accuracy and reliability.
* Own the full ML lifecycle — model selection, fine\-tuning, prompt design, deployment, and monitoring.
* Collaborate directly with product, ops, and legal experts to make sure the AI is solving the right problems.
* Track emerging research and tools, and make deliberate calls about when to bring them into our stack.
**Who We Have In Mind**
 This role is for engineers who care about outcomes over algorithms and are just as comfortable in production as they are in a notebook. Here's what that requires.
 Must\-Haves
* 3\+ years building and deploying production ML systems.
* Strong Python skills and experience working across the ML stack end\-to\-end.
* Hands\-on experience with LLMs, prompt engineering, and evaluation design.
* A track record of shipping observable, maintainable AI systems — not just prototypes.
 Nice\-to\-Haves
* Experience with NLP, OCR, speech, or agent frameworks (LangChain, OpenAI APIs, etc.).
* Prior work at an early\-stage startup where you helped define ML infrastructure from scratch.
* Familiarity with legal tech, document\-heavy workflows, or regulated industries.
 This Role Might Not Be For You If
* You prefer research or experimentation over owning systems in production.
* You do your best work with a well\-scoped problem and a stable, established ML platform.
* You're looking for a remote\-first role — this one is 4 days/week in our NYC office.
**Compensation**
 The expected package for this role includes base salary \+ commission \+ equity.
* Base salary \= $170,000 \- $250,000
**Benefits**
* 100% coverage for health, dental, and vision.
* 401(k) retirement plan.
* In\-office snacks, drinks, and daily team lunches and dinners.
* Flexible PTO (we trust you to take the time you need).
**Interview Process**
* Intro: An initial call to see if there's a mutual fit.
* Interview: An interview that typically involves a case assignment of sorts.
* Onsite: A visit to our NYC office to interview, meet the team, and have lunch.
**At Finch Legal, we believe in practicing what we advocate.**
 As a company dedicated to upholding justice and protecting people in the workplace, we are equally committed to fostering a safe, inclusive, and equitable environment within our own walls. We welcome and support individuals from all backgrounds and lived experiences — regardless of race, ethnicity, gender identity, sexual orientation, religion, disability, or veteran status.
 We recognize that diversity strengthens our team, enriches our perspectives, and empowers us to better serve our clients and communities. At Finch Legal, inclusion isn’t just a value — it’s a practice.
 Compensation Range: $170K \- $250K</t>
        </is>
      </c>
    </row>
    <row r="52">
      <c r="A52" t="inlineStr">
        <is>
          <t>li-4251314769</t>
        </is>
      </c>
      <c r="B52" t="inlineStr">
        <is>
          <t>AI Engineer</t>
        </is>
      </c>
      <c r="C52" t="inlineStr">
        <is>
          <t>PepsiCo</t>
        </is>
      </c>
      <c r="D52" t="inlineStr">
        <is>
          <t>linkedin</t>
        </is>
      </c>
      <c r="E52">
        <f>HYPERLINK("https://www.linkedin.com/jobs/view/4251314769", "https://www.linkedin.com/jobs/view/4251314769")</f>
        <v/>
      </c>
      <c r="F52">
        <f>HYPERLINK("https://www.pepsicojobs.com/jobs/391473?lang=en-us&amp;iisn=linkedin&amp;urlHash=ird7", "https://www.pepsicojobs.com/jobs/391473?lang=en-us&amp;iisn=linkedin&amp;urlHash=ird7")</f>
        <v/>
      </c>
      <c r="G52" t="inlineStr">
        <is>
          <t>Plano, TX</t>
        </is>
      </c>
      <c r="H52" t="inlineStr"/>
      <c r="I52"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53">
      <c r="A53" t="inlineStr">
        <is>
          <t>li-4379796711</t>
        </is>
      </c>
      <c r="B53" t="inlineStr">
        <is>
          <t>Junior AI/ML Engineer (Remote)</t>
        </is>
      </c>
      <c r="C53" t="inlineStr">
        <is>
          <t>Lensa</t>
        </is>
      </c>
      <c r="D53" t="inlineStr">
        <is>
          <t>linkedin</t>
        </is>
      </c>
      <c r="E53">
        <f>HYPERLINK("https://www.linkedin.com/jobs/view/4379796711", "https://www.linkedin.com/jobs/view/4379796711")</f>
        <v/>
      </c>
      <c r="F53" t="inlineStr"/>
      <c r="G53" t="inlineStr">
        <is>
          <t>Boston, MA</t>
        </is>
      </c>
      <c r="H53" t="inlineStr"/>
      <c r="I5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FocusKPI Inc.. Clicking "Apply Now" or "Read more" on Lensa redirects you to the job board/employer site. Any information collected there is subject to their terms and privacy notice.
 Location: Remote (EST preferred)
 Type: Paid Internship or Contract (Full\-time)
 Start Date: Immediate
 Role Overview
 We are seeking a Junior AI/ML Engineer to support the development of an enterprise AI chatbot and data intelligence system. This role will focus on building interactive AI agents that connect to enterprise databases, generate insights, and support decision\-making.
 The position includes hands\-on work in both LLM\-based chatbot/agent development and machine learning , including building prediction models and integrating them into production workflows. This is a client\-facing technical role requiring strong coding ability, analytical thinking, and the ability to work in a fast\-paced environment.
 Key Responsibilities
* Develop and deploy AI chatbot/agent solutions for enterprise use cases
* Integrate LLM\-based agents with structured and unstructured enterprise data
* Connect chat interfaces to SQL/enterprise databases and internal APIs
* Build and integrate machine learning models (prediction, classification, clustering, etc.)
* Perform data preprocessing, feature engineering, and model evaluation
* Integrate ML outputs into chatbot or workflow interfaces
* Support data pipeline development and automation
* Collaborate with internal team and occasionally clients to understand requirements
* Document model logic, workflows, and implementation details
**Required Qualifications**
* Bachelor’s or Master’s degree in Computer Science, Data Science, Statistics, Engineering, or related quantitative field
* Strong Python programming skills
* Hands\-on experience with machine learning (regression, classification, clustering, or similar)
* Familiarity with ML libraries such as scikit\-learn, pandas, numpy, or similar
* Experience working with databases (SQL, PostgreSQL, or similar)
* Familiarity with LLM APIs (OpenAI, Claude, or open\-source models)
* Experience building APIs or backend services (FastAPI, Flask, or similar)
* Strong analytical and problem\-solving skills
* Ability to work independently and communicate clearly
**Preferred Qualifications**
* Graduate degree or currently pursuing MS in AI, Data Science, or related field
* Experience with agent frameworks (LangChain, LlamaIndex, LangGraph, CrewAI, etc.)
* Experience deploying or integrating ML models into applications
* Knowledge of vector databases or embeddings
* Familiarity with AWS, GCP, or Azure
* Prior internship or project experience building AI/ML applications
 How to Apply
 Please submit the following to danz@focuskpi.com :
* Resume
* GitHub or portfolio that includes at least one agentic or AI chatbot project
* A short written explanation (3–6 paragraphs) of one project, including:
* What problem the agent/chatbot solves
* Architecture and tools used (LLM, framework, database, etc.)
* Your specific contribution
* Challenges encountered and how you solved them
 Candidates without project examples or explanation will not be considered.
 Immediate start preferred.
 NOTICE: Please be aware of fraudulent emails regarding job postings, job offers and fake checks. FocusKPI's recruiting team will strictly reach out via @focuskpi.com email domain. If you have received fraudulent emails now or in the past, please report it to https://reportfraud.ftc.gov/ . The domain @focuskpijobs.com is fraudulent and not related to FocusKPI. Please do not not reply or communicate to anyone with @focuskpijobs.com.
 Powered by JazzHR
 If you have questions about this posting, please contact support@lensa.com</t>
        </is>
      </c>
    </row>
    <row r="54">
      <c r="A54" t="inlineStr">
        <is>
          <t>li-4379939487</t>
        </is>
      </c>
      <c r="B54" t="inlineStr">
        <is>
          <t>Machine Learning Engineer</t>
        </is>
      </c>
      <c r="C54" t="inlineStr">
        <is>
          <t>Open Select</t>
        </is>
      </c>
      <c r="D54" t="inlineStr">
        <is>
          <t>linkedin</t>
        </is>
      </c>
      <c r="E54">
        <f>HYPERLINK("https://www.linkedin.com/jobs/view/4379939487", "https://www.linkedin.com/jobs/view/4379939487")</f>
        <v/>
      </c>
      <c r="F54" t="inlineStr"/>
      <c r="G54" t="inlineStr"/>
      <c r="H54" t="inlineStr"/>
      <c r="I54" t="inlineStr">
        <is>
          <t>**Machine Learning Engineer \- Agentic Systems** 
 Location: Hybrid, San Francisco
 Salary: Up to $250,000 \+ Equity
 Industry: AI Agents / Performance Marketing / Data Platforms
**Who You’ll Join:** 
 Join an early\-stage, fast\-growing AI startup building autonomous agents to run performance marketing for small and mid\-sized businesses, giving them “enterprise\-grade” growth tech without big in\-house teams. A fast\-growing network of D2C brands and apps already relies on these agents for a 40% lift in performance, with 50\+ customers and a growing waitlist.
 The company recently raised a $25M seed round led by Kleiner Perkins, positioning it in the top 1% of seed\-stage AI companies, and is going after a massive $1T ads market. You’ll be part of a \~27\-person, high\-density team with hands\-on advisors like Jerry Dischler, the former Google executive who built the early Google Ads business.
**What You’ll Do:** 
* Design and build the core agentic platform that powers autonomous marketing agents end\-to\-end.
* Architect the foundational data and signal layer using a modern lakehouse approach, including robust pipelines and ML serving systems.
* Build reliable, safe “tool machines” that let agents interact with external systems and the real world.
* Develop customer\-facing applications, such as a seamless chat UI where users collaborate with their AI partners.
* Collaborate with data scientists to build MLOps infrastructure for training, fine\-tuning, and deploying state\-of\-the\-art reasoning models.
**Who You Are:** 
* 4\+ years of experience in machine learning engineering, able to write production\-grade code.
* Experience in either ML platform work (data, infra, serving, MLOps) or ML modelling (training, fine\-tuning, evaluation) and ideally both.
* Product\-minded engineer and systems\-level thinker who can navigate ambiguity and design for scale, reliability, and extensibility.
* Comfortable working in an early\-stage environment with high ownership, fast iteration, and 4\-6 week R\&amp;D sprints.
* Excited about AI agents, performance marketing, and building systems that directly move measurable business metrics.
**Tech Stack:** 
 Python, PyTorch, TensorFlow, LangGraph, Kubernetes, MLflow, Spark, Airflow, dbt
**Why You’ll Thrive:** 
* Build the core agentic and data platform that directly controls millions in ad spend for SMBs and growth\-stage brands.
* Join a $25M seed\-stage company backed by Kleiner Perkins and other top\-tier investors, with strong signal and runway.
* Work in a small, stellar team where talent density is high, and advisors include leaders like Jerry Dischler, who built Google Ads.
* See clear, quantifiable impact from your work, with customers already seeing around 40% lift and a growing client waitlist.
* Enjoy a hybrid setup centered in Mountain View, with flexibility for SF\-based candidates and a culture that values good humans as much as strong engineers.
 This role is open to US citizens, Green Card holders, and TN visa holders only.</t>
        </is>
      </c>
    </row>
    <row r="55">
      <c r="A55" t="inlineStr">
        <is>
          <t>li-4377869776</t>
        </is>
      </c>
      <c r="B55" t="inlineStr">
        <is>
          <t>Applied AI Engineer</t>
        </is>
      </c>
      <c r="C55" t="inlineStr">
        <is>
          <t>Arcade</t>
        </is>
      </c>
      <c r="D55" t="inlineStr">
        <is>
          <t>linkedin</t>
        </is>
      </c>
      <c r="E55">
        <f>HYPERLINK("https://www.linkedin.com/jobs/view/4377869776", "https://www.linkedin.com/jobs/view/4377869776")</f>
        <v/>
      </c>
      <c r="F55">
        <f>HYPERLINK("https://jobs.ashbyhq.com/arcade-ai/0345023a-0bde-4dab-906a-ca7b3619bef1/application?utm_source=X4lrZkRbek&amp;src=linkedin&amp;urlHash=tleT", "https://jobs.ashbyhq.com/arcade-ai/0345023a-0bde-4dab-906a-ca7b3619bef1/application?utm_source=X4lrZkRbek&amp;src=linkedin&amp;urlHash=tleT")</f>
        <v/>
      </c>
      <c r="G55" t="inlineStr">
        <is>
          <t>San Francisco, CA</t>
        </is>
      </c>
      <c r="H55" t="inlineStr"/>
      <c r="I55" t="inlineStr">
        <is>
          <t>**About Arcade**
 Arcade is building the world’s first AI physical product creation platform, where imagination becomes reality. Our platform lets anyone design, purchase, and sell custom, manufacturable products using natural language and generative AI. We believe everyone should have the power to create physical goods as easily as they post online, and we’re building the infrastructure to make that real.
 We’ve raised $42M from a world\-class group of investors, including Reid Hoffman, Forerunner Ventures (Kirsten Green), Canaan Partners (Laura Chau), Adverb Ventures (April Underwood), Factorial Funds (Sol Bier), Offline Ventures (Brit Morin), Sound Ventures (Ashton Kutcher), Inspired Capital (Alexa von Tobel), and Torch Capital (Jonathan Keidan). Our angel investors include Elad Gil, Ev Williams, Marissa Mayer, Sara Beykpour, Kayvon Beykpour, Anna Veronika Dorogush, Eugenia Kuyda, David Luan, Sharon Zhou, Kelly Wearstler, Karlie Kloss, Colin Kaepernick, Christy Turlington Burns, and Jeff Wilke.
 Arcade is headquartered in San Francisco’s Presidio and led by serial entrepreneur Mariam Naficy (Minted, Eve), and a founding team with deep experience in generative AI, design systems, and supply chain. We’re pioneering a new category at the intersection of AI, personal expression, and on\-demand manufacturing, and we’re building fast.
**Overview Of Role**
 We are seeking an Applied AI Engineer to join our growing team and help advance our generative AI capabilities. This role blends hands\-on model development with integration of cutting\-edge AI techniques into production systems. You’ll contribute to research, model experimentation, and implementation working closely with cross\-functional teams to bring AI\-driven products to life.
**Responsibilities**
* Collaborate with engineering and product teams to train and fine\-tune machine learning models, including diffusion models, LLMs, and other emerging generative architectures
* Develop tools and pipelines that support scalable, efficient, and production\-ready AI systems
* Collect, clean, and analyze large\-scale datasets to improve model performance and reliability
* Deploy and maintain AI models in production environments, ensuring scalability, reliability, and efficiency
* Design and deploy text\-to\-image models and LLM\-based applications, including advanced prompt engineering, fine\-tuning, and multi\-component workflows
* Maintain and monitor deployed models in cloud\-based production environments
* Stay current with developments in generative AI, contribute to the research environment, and apply new developments to enhance pipeline performance
* Communicate technical concepts clearly across technical and non\-technical audiences
**Qualifications**
* Bachelor’s or Master’s degree in Computer Science, Mathematics, AI/ML, or a related field
* Strong proficiency in Python and familiarity with Linux environments; hands\-on experience with machine learning libraries like PyTorch, TensorFlow,, etc.
* Strong fundamentals in machine learning concepts, with a deep understanding of algorithms and their underlying mechanics ("under the hood")
* Familiarity with training, fine\-tuning, and evaluating models, especially with large\-scale datasets
* Familiarity with data preprocessing, cleaning, and feature engineering
* Awareness of recent developments in generative AI, diffusion models, and LLMs
* Familiarity with cloud platforms and deploying AI models in cloud\-based environments
* Excellent problem\-solving and analytical thinking skills with close attention to detail
* Excellent communication and collaboration skills in a fast\-paced and collaborative environment.
**Additional**
 Competitive compensation
 Lunch provided daily
 Company events
 Arcade is an equal opportunity employer. We’re committed to building a diverse, inclusive, and supportive team, and to creating a platform where anyone, anywhere, can make something meaningful.</t>
        </is>
      </c>
    </row>
    <row r="56">
      <c r="A56" t="inlineStr">
        <is>
          <t>li-4182357321</t>
        </is>
      </c>
      <c r="B56" t="inlineStr">
        <is>
          <t>Machine Learning Engineer, Core Engineering</t>
        </is>
      </c>
      <c r="C56" t="inlineStr">
        <is>
          <t>Pinterest</t>
        </is>
      </c>
      <c r="D56" t="inlineStr">
        <is>
          <t>linkedin</t>
        </is>
      </c>
      <c r="E56">
        <f>HYPERLINK("https://www.linkedin.com/jobs/view/4182357321", "https://www.linkedin.com/jobs/view/4182357321")</f>
        <v/>
      </c>
      <c r="F56">
        <f>HYPERLINK("https://www.pinterestcareers.com/jobs/6121450/machine-learning-engineer-core-engineering/?source=linkedin_limited_listing&amp;utm_source=linkedin_limited_listing&amp;urlHash=PXZg", "https://www.pinterestcareers.com/jobs/6121450/machine-learning-engineer-core-engineering/?source=linkedin_limited_listing&amp;utm_source=linkedin_limited_listing&amp;urlHash=PXZg")</f>
        <v/>
      </c>
      <c r="G56" t="inlineStr">
        <is>
          <t>Palo Alto, CA</t>
        </is>
      </c>
      <c r="H56" t="inlineStr"/>
      <c r="I56"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57">
      <c r="A57" t="inlineStr">
        <is>
          <t>li-4377756248</t>
        </is>
      </c>
      <c r="B57" t="inlineStr">
        <is>
          <t>Applied AI/ML Engineer</t>
        </is>
      </c>
      <c r="C57" t="inlineStr">
        <is>
          <t>Rise Technical</t>
        </is>
      </c>
      <c r="D57" t="inlineStr">
        <is>
          <t>linkedin</t>
        </is>
      </c>
      <c r="E57">
        <f>HYPERLINK("https://www.linkedin.com/jobs/view/4377756248", "https://www.linkedin.com/jobs/view/4377756248")</f>
        <v/>
      </c>
      <c r="F57" t="inlineStr"/>
      <c r="G57" t="inlineStr"/>
      <c r="H57" t="inlineStr"/>
      <c r="I57" t="inlineStr">
        <is>
          <t>**Applied AI / ML Engineer** 
**$190,000 – $290,000 \+ Competitive Equity \+ Benefits \+ PTO** 
**San Francisco, CA – Onsite** 
 Looking to join a fast\-growing startup with little bureaucracy and rapid iteration to build AI systems that power how elite recruiters and companies match with top talent faster and more intelligently?
 This is an exciting opportunity to join a company transforming how leading start\-ups source and hire talent through an AI\-native marketplace. Backed by top\-tier investors (think founders of YouTube, Instacart, Canva, and leading VCs), the team is pioneering new capabilities in AI\-driven recruitment technology, building large\-scale matchmaking, ranking, and automation systems that make hiring more efficient end\-to\-end.
 As part of a tight\-knit, high\-caliber engineering team, you’ll take ownership of core AI systems powering the marketplace. You’ll design and ship production ML models across ranking, retrieval, personalization, and LLM\-powered workflows; build robust evaluation frameworks; deploy and monitor models in production; and directly influence the intelligence layer that drives marketplace growth and quality, all while working closely with experienced founders and product leaders.
 This is a hands\-on, high\-impact role perfect for engineers who thrive in fast\-moving environments, enjoy solving ambiguous real\-world AI problems, and want their work to directly move company metrics.
**The Role** 
* Design and build AI/ML systems that power matchmaking, ranking, search, and automation across the marketplace
* Own model development end\-to\-end—from data collection and labeling strategy to deployment, monitoring, and iteration in production
* Develop and maintain robust evaluation frameworks to measure quality, bias, reliability, and business impact
* Work on large\-scale retrieval and ranking problems across millions of candidate profiles
* Collaborate closely with product, AI engineers, and full\-stack teams to ship systems that directly improve marketplace performance
* Set technical direction and best practices for applied AI across the platform
* Onsite
**The Person** 
* 3\+ years of experience building and owning production AI/ML systems used by real users
* Experience with LLM\-based systems, retrieval, ranking, NLP, personalization, or large\-scale matching systems
* Strong judgment around evaluation and metrics—knows how to measure what truly matters for product outcomes
* Track record of shipping AI systems that drive measurable business impact
* High ownership, strong product instincts, and ability to operate autonomously in an early\-stage environment
* Excellent communication skills, able to collaborate cross\-functionally with engineering, product, and operations
* Excited to solve real\-world AI problems with a tight\-knit, ambitious team</t>
        </is>
      </c>
    </row>
    <row r="58">
      <c r="A58" t="inlineStr">
        <is>
          <t>li-4379090357</t>
        </is>
      </c>
      <c r="B58" t="inlineStr">
        <is>
          <t>Machine Learning Engineer, Level 4</t>
        </is>
      </c>
      <c r="C58" t="inlineStr">
        <is>
          <t>Snap Inc.</t>
        </is>
      </c>
      <c r="D58" t="inlineStr">
        <is>
          <t>linkedin</t>
        </is>
      </c>
      <c r="E58">
        <f>HYPERLINK("https://www.linkedin.com/jobs/view/4379090357", "https://www.linkedin.com/jobs/view/4379090357")</f>
        <v/>
      </c>
      <c r="F58" t="inlineStr"/>
      <c r="G58" t="inlineStr">
        <is>
          <t>Palo Alto, CA</t>
        </is>
      </c>
      <c r="H58" t="inlineStr"/>
      <c r="I5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We’re looking for a Machine Learning Engineer to join Snap Inc!
 What you’ll do:
* Build and deploy machine learning models that power core products, serving millions of Snapchatters
* Apply modern ML techniques to solve large\-scale, real\-world problems
* Own the full ML lifecycle from data analysis to production deployment
* Partner with cross\-functional teams to prototype and launch ML\-driven features
 Knowledge, Skills \&amp; Abilities:
* Strong understanding of machine learning approaches and algorithms
* Able to prioritize duties and work well on your own
* Ability to work with both internal and external partners
* Skilled at solving open ambiguous problems
* Strong collaboration and mentorship skills
 Minimum Qualifications:
* Bachelor's Degree in a relevant technical field such as computer science or equivalent years of practical work experience
* 3\+ years of post\-Bachelor’s machine learning experience; or Master’s degree in a technical field \+ 2\+ year of post\-grad machine learning experience; or PhD in a relevant technical field
* Experience developing machine learning models for ranking, recommendations, search, content understanding, image generation, or other relevant applications of machine learning
 Preferred Qualifications:
* Advanced degree in computer science or related field
* Experience working with machine learning frameworks such as TensorFlow, Caffe2, PyTorch, Spark ML, scikit\-learn, or related frameworks
* Experience working with machine learning, ranking infrastructures, and system design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$173,000\-$259,000 annually.
 Zone B:
 The base salary range for this position is $164,000\-$246,000 annually.
 Zone C:
 The base salary range for this position is $147,000\-$220,000 annually.
 This position is eligible for equity in the form of RSUs.</t>
        </is>
      </c>
    </row>
    <row r="59">
      <c r="A59" t="inlineStr">
        <is>
          <t>li-4378832984</t>
        </is>
      </c>
      <c r="B59" t="inlineStr">
        <is>
          <t>AI Engineer</t>
        </is>
      </c>
      <c r="C59" t="inlineStr">
        <is>
          <t>Verathon</t>
        </is>
      </c>
      <c r="D59" t="inlineStr">
        <is>
          <t>linkedin</t>
        </is>
      </c>
      <c r="E59">
        <f>HYPERLINK("https://www.linkedin.com/jobs/view/4378832984", "https://www.linkedin.com/jobs/view/4378832984")</f>
        <v/>
      </c>
      <c r="F59">
        <f>HYPERLINK("https://us-employees-verathon.icims.com/jobs/1717/ai-engineer/job&amp;urlHash=ap9D", "https://us-employees-verathon.icims.com/jobs/1717/ai-engineer/job&amp;urlHash=ap9D")</f>
        <v/>
      </c>
      <c r="G59" t="inlineStr">
        <is>
          <t>Bothell, WA</t>
        </is>
      </c>
      <c r="H59" t="inlineStr"/>
      <c r="I59" t="inlineStr">
        <is>
          <t>The
 **AI Engineer** 
 plays a critical hands\-on role in bringing Verathon’s AI strategy to life. This role is responsible for building, configuring, and deploying AI\-powered solutions, including custom GPTs, copilots, automations, applications, and agentic workflows, that solve high\-impact problems across the company. The AI Engineer partners closely with AI Business Partners and the AI Solutions Architect to translate business needs into scalable, secure, and compliant technical solutions.
 This position is ideal for a practical builder who thrives in fast experimentation, iterative development, and enabling real\-world value through AI. It includes technical context engineering, assembling prompts, instructions, retrieval logic, and agent workflows that reflect Verathon’s processes and domain knowledge.
**Responsibilities** 
* Design, develop, and deploy AI\-powered solutions including custom GPTs, copilots, and agentic workflows using enterprise LLM platforms and APIs.
* Build Retrieval\-Augmented Generation (RAG) pipelines, vector search capabilities, and secure data connectors to enable Verathon\-owned data usage.
* Collaborate with AI Business Partners and other departmental representatives to translate functional requirements and use\-case concepts into technical implementations.
* Translate business\-defined context into structured prompts, system instructions, agent behaviors, and RAG retrieval logic (“technical context engineering”).
* Refine and optimize context injection strategies (prompt templates, chains, tools, memory, retrieval parameters) to improve solution reliability and accuracy.
* Prototype rapidly, iterate based on user feedback, and deliver production\-ready AI solutions with appropriate guardrails.
* Develop reusable prompts, templates, automations, and components to accelerate future AI solution development.
* Integrate AI tools with Verathon systems (e.g., Salesforce, Epicor, MasterControl, HRIS) following architecture, security, and compliance standards.
* Partner with the AI Solutions Architect to evaluate and implement new AI tools and ensure alignment with Verathon’s AI Policy and Roper guidelines.
* Document solutions clearly and support functional teams through adoption, training, and scaling of deployed AI tools.
**Qualifications** 
* Bachelor’s degree in computer science, engineering, information systems, data science, or related field.
* 3–7 years of experience in software development, automation engineering, data engineering, or applied AI development.
* Hands\-on experience with Python, REST APIs, and modern AI/LLM frameworks (e.g., LangChain, Semantic Kernel, LlamaIndex).
* Experience configuring and deploying AI tools such as ChatGPT Enterprise, Copilot, Claude, or similar enterprise AI platforms.
* Understanding of Retrieval\-Augmented Generation (RAG), vector databases, and prompt design best practices.
* Familiarity with integration patterns for enterprise systems and cloud environments (Azure/AWS).
* Demonstrated ability to rapidly experiment, prototype, and iterate AI solutions based on business feedback.
* Strong collaboration skills and comfort working closely with business and technical stakeholders.
**Who You Are** 
* A practical builder who enjoys turning ideas into working solutions quickly.
* Comfortable navigating ambiguity and translating loosely defined requirements into prototypes and production\-ready tools.
* Hands\-on with modern AI tools and excited about learning new technologies.
* Driven by impact; motivated to deploy solutions that make work faster, easier, and smarter across the organization.
* A collaborative partner who communicates clearly and earns trust through delivery.
*Salary range \- $115,000\.00 \- $231,000\.00 (Compensation will vary based on skills, experience and location; it is not typical to be hired at or above the top of the salary range).* 
 Full\-time employees who are not on a commission plan are eligible for Verathon’s annual bonus plan based on company and individual performance.
 Verathon provides a competitive benefits package including medical, dental, vision, basic life insurance, paid holidays, paid time off and a 401(k) matching plan. For more information, please visit our complete Benefits Summary at
 https://www.verathon.com/sites/default/files/2026\-02/US\_HQ\_Employee\_Benefits\_Summary.pdf
 .
 EEO
 Research shows that women and underrepresented groups tend to apply to jobs only when they check every box on a job posting. If you’re currently reading this and hesitating to click “Apply” for that reason, we encourage you to go for it! Even if you are not a match for this role, we may have another opportunity that may be a great fit.
 Why Verathon
 Verathon is committed to becoming an AI\-native organization where AI is how we work, grow, and win. Join us and help accelerate our transformation by building real AI solutions that unlock innovation, productivity, and operational excellence across healthcare technology.
 Verathon is an equal opportunity employer and strongly supports diversity in the workplace. We believe that diverse ideas, opinions and perspectives will build a strong foundation for success. In order to provide equal employment and advancement opportunities to all individuals, employment decisions at Verathon will be based on merit, qualifications, and abilities. Verathon does not discriminate in employment opportunities or practices on the basis of race, color, religion, sexual orientation, gender identity, national origin, age, disability, or any other characteristic protected by law.</t>
        </is>
      </c>
    </row>
    <row r="60">
      <c r="A60" t="inlineStr">
        <is>
          <t>li-4377772067</t>
        </is>
      </c>
      <c r="B60" t="inlineStr">
        <is>
          <t>AI/ML Engineer</t>
        </is>
      </c>
      <c r="C60" t="inlineStr">
        <is>
          <t>TechDoQuest</t>
        </is>
      </c>
      <c r="D60" t="inlineStr">
        <is>
          <t>linkedin</t>
        </is>
      </c>
      <c r="E60">
        <f>HYPERLINK("https://www.linkedin.com/jobs/view/4377772067", "https://www.linkedin.com/jobs/view/4377772067")</f>
        <v/>
      </c>
      <c r="F60" t="inlineStr"/>
      <c r="G60" t="inlineStr">
        <is>
          <t>Alpharetta, GA</t>
        </is>
      </c>
      <c r="H60" t="inlineStr"/>
      <c r="I60" t="inlineStr">
        <is>
          <t>**Entry Level (1–5 years)** 
**Mandatory Skills:** 
* Python
* TensorFlow/PyTorch basics
* Understanding of ML algorithms
* Preferred Skills:
* Exposure to data preprocessing tools (Pandas, NumPy)
* Basic cloud AI services
**Mid Level (5–12 years)** 
 Mandatory Skills:
* Model development \&amp; deployment
* REST API integration for ML models
* Preferred Skills:
* Experience with NLP, deep learning
* Cloud ML platforms (AWS SageMaker, Azure AI)
**Expert (12\+ years)** 
**Mandatory Skills:** 
* Designing scalable ML systems
* Advanced statistical modeling
* Preferred Skills:
* Leadership in AI strategy
* Cutting\-edge frameworks (Transformers, LLMs)
**Summary of Common Skills Across Roles** 
* Common Mandatory Skills:
* Java
* Spring Boot
* Python
* SQL Server
* DB2
* REST APIs
* Version control (Git)
* Basic DevOps (CI/CD)
**Common Preferred Skills:** 
* Kafka
* ElasticSearch
* Cloud platforms (AWS/Azure/GCP)
* Containerization (Docker, Kubernetes)
* AI/ML exposure for senior roles</t>
        </is>
      </c>
    </row>
    <row r="61">
      <c r="A61" t="inlineStr">
        <is>
          <t>li-4367554970</t>
        </is>
      </c>
      <c r="B61" t="inlineStr">
        <is>
          <t>Machine Learning Engineer, AI Recommendation and Search</t>
        </is>
      </c>
      <c r="C61" t="inlineStr">
        <is>
          <t>hackajob</t>
        </is>
      </c>
      <c r="D61" t="inlineStr">
        <is>
          <t>linkedin</t>
        </is>
      </c>
      <c r="E61">
        <f>HYPERLINK("https://www.linkedin.com/jobs/view/4367554970", "https://www.linkedin.com/jobs/view/4367554970")</f>
        <v/>
      </c>
      <c r="F61">
        <f>HYPERLINK("https://www.hackajob.com/job/248a6e3e-fab7-11f0-b544-0a05e249917d-machine-learning-engineer-ai-recommendation-and-search?utm_source=LinkedIn&amp;utm_medium=JobAds&amp;utm_term=Automated&amp;utm_campaign=comcast-machine-learning-engineer-ai-recommendation-and-search&amp;job_name=machine-learning-engineer-ai-recommendation-and-search&amp;company=comcast&amp;workplace_type=on-site&amp;city=philadelphia&amp;country=united-states&amp;urlHash=yyQv", "https://www.hackajob.com/job/248a6e3e-fab7-11f0-b544-0a05e249917d-machine-learning-engineer-ai-recommendation-and-search?utm_source=LinkedIn&amp;utm_medium=JobAds&amp;utm_term=Automated&amp;utm_campaign=comcast-machine-learning-engineer-ai-recommendation-and-search&amp;job_name=machine-learning-engineer-ai-recommendation-and-search&amp;company=comcast&amp;workplace_type=on-site&amp;city=philadelphia&amp;country=united-states&amp;urlHash=yyQv")</f>
        <v/>
      </c>
      <c r="G61" t="inlineStr">
        <is>
          <t>Philadelphia, PA</t>
        </is>
      </c>
      <c r="H61" t="inlineStr"/>
      <c r="I61"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Comcast brings together the best in media and technology. We drive innovation to create the world's best entertainment and online experiences. As a Fortune 50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The AI Search and Recommendation team is seeking a highly skilled Engineer Machine Learning to design, develop, and deploy ML models and services that power next\-generation products and platforms across Comcast, Sky, and NBCUniversal. This role combines strong coding ability, applied ML expertise, and system design skills to deliver reliable, scalable solutions. You will work closely with senior engineers and product teams to break down complex problems, implement robust architectures, and ensure high\-quality delivery.
****Job Description****
**Core Responsibilities**
* Build and optimize ML models and pipelines for production use cases.
* Participate in system design for scalable ML services; ensure reliability, performance, and cost\-efficiency.
* Write clean, efficient, and well\-tested code in Python; actively engage in code reviews.
* Implement end\-to\-end ML workflows including data ingestion, feature engineering, training, evaluation, and deployment.
* Work with product and engineering teams to break down complex projects into smaller deliverables; assist with effort estimation and sequencing.
* Ensure robust testing, monitoring, and performance tuning for ML systems; implement observability\-first practices.
* Stay current with emerging ML techniques and tools; evaluate and integrate new technologies where appropriate.
* Maintain clear documentation of designs, workflows, and best practices; contribute to internal knowledge bases.
* Provide guidance to junior engineers and interns on ML development practices and coding standards.
****Qualifications****
* Bachelor’s Degree in Computer Science, Electrical Engineering, or related field.
* 5\-7 years building platform engineering initiatives in technology\-driven organizations
* Proven experience in AI/ML, Cloud Computing, knowledge of distributed systems and MLOps (feature stores, model registries, pipelines, monitoring for data/concept drift).
* Strong coding proficiency in Python; excellence in code quality, testing, performance, and reliability.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\&amp; diversity.
* Do what's right for each other, our customers, investors and our communities.
**Education**
 Bachelor's Degree
 While possessing the stated degree is preferred, Comcast also may consider applicants who hold some combination of coursework and experience, or who have extensive related professional experience.
****Relevant Work Experience****
 5\-7\+ Years
 Comcast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Model Development; Code Development; Python (Programming Language); Communication; Machine Learning Operations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62">
      <c r="A62" t="inlineStr">
        <is>
          <t>li-4379740629</t>
        </is>
      </c>
      <c r="B62" t="inlineStr">
        <is>
          <t>Lead AI/ML Engineer - Defense Robotics</t>
        </is>
      </c>
      <c r="C62" t="inlineStr">
        <is>
          <t>Approach Venture</t>
        </is>
      </c>
      <c r="D62" t="inlineStr">
        <is>
          <t>linkedin</t>
        </is>
      </c>
      <c r="E62">
        <f>HYPERLINK("https://www.linkedin.com/jobs/view/4379740629", "https://www.linkedin.com/jobs/view/4379740629")</f>
        <v/>
      </c>
      <c r="F62" t="inlineStr"/>
      <c r="G62" t="inlineStr">
        <is>
          <t>Austin, TX</t>
        </is>
      </c>
      <c r="H62" t="inlineStr"/>
      <c r="I62" t="inlineStr">
        <is>
          <t>**Lead AI / ML Engineer \- Architect Autonomous Defense Systems at the Tactical Edge!**
*Austin, TX \| On\-site*
**Opportunity Summary**
 Join a funded defense technology startup developing autonomous robotic systems designed to counter rapidly evolving small unmanned aerial threats. Our initial platform focuses on defensive counter UAS applications operating in high consequence environments where latency, resilience, and autonomy are non negotiable. We are seeking a Lead AI / ML Engineer to own the machine intelligence architecture behind these systems. This is not an execution\-only position. You will define model strategy, guide technical direction, and ensure our learning systems translate into reliable field performance under strict size, weight, and power constraints. If you are driven to build real\-world autonomy that performs outside of lab conditions, this is a rare opportunity to lead from the front.
**About Us**
 We are a venture\-backed robotics company building autonomous machines for national security missions. Our systems integrate perception, control, and embedded intelligence to operate at the tactical edge. The team combines deep experience in robotics, machine learning, and hardware development, and we are scaling quickly to meet urgent operational demand. Our work sits at the intersection of autonomy, defense applications, and next\-generation edge AI.
**Job Duties**
* Define and lead the machine learning architecture for real\-time threat detection, tracking, and classification
* Design and train advanced neural networks capable of distinguishing hostile aerial systems from environmental noise
* Architect sensor fusion pipelines integrating radar, RF, optical, and acoustic data streams
* Guide development of transformer\-based and imitation learning control frameworks
* Oversee model optimization for deployment on constrained edge hardware platforms
* Establish MLOps processes for field deployment, monitoring, iteration, and performance validation
* Develop anomaly detection strategies to identify novel or previously unseen aerial threats
* Partner with robotics and perception teams to ensure seamless integration between model outputs and real\-time guidance systems
* Mentor engineers and set technical standards across the AI stack
**Qualifications**
* Bachelor’s degree or higher in Computer Science, Engineering, Applied Mathematics, or related discipline
* 5\+ years of experience developing and deploying machine learning systems in production environments
* Expert\-level proficiency in Python
* Extensive experience with deep learning frameworks such as PyTorch or TensorFlow
* Strong command of neural network design, classification systems, and multi\-sensor data fusion
* Proven experience optimizing models for resource\-constrained or edge\-based hardware
* Deep understanding of linear algebra, calculus, probability, and statistics as applied to machine learning systems
* Experience leading projects or technical teams within AI or robotics domains
* U.S. Person status required due to export\-controlled work
* Willingness to complete a background check
**Preferred Experience**
* Experience working in a defense or dual\-use robotics environment
* Security clearance or ability to obtain one
* Background in anomaly detection, adversarial robustness, or resilient AI systems
* Experience deploying AI models on embedded platforms such as NVIDIA Jetson or similar
* Personal passion for robotics, hardware experimentation, or autonomous systems
**Why Join Us**
* Lead technical direction for a mission\-critical autonomy platform
* Direct influence on product architecture and roadmap
* Early\-stage equity participation
* Newly built laboratory environment with advanced prototyping equipment
* Opportunity for rapid growth as the organization scales
* Work on systems that address urgent national security needs
**Compensation Details**
 Salary:
 *$200,000 \- $300,000*</t>
        </is>
      </c>
    </row>
    <row r="63">
      <c r="A63" t="inlineStr">
        <is>
          <t>li-4378842304</t>
        </is>
      </c>
      <c r="B63" t="inlineStr">
        <is>
          <t>Principal AI/ML Engineer</t>
        </is>
      </c>
      <c r="C63" t="inlineStr">
        <is>
          <t>Optum</t>
        </is>
      </c>
      <c r="D63" t="inlineStr">
        <is>
          <t>linkedin</t>
        </is>
      </c>
      <c r="E63">
        <f>HYPERLINK("https://www.linkedin.com/jobs/view/4378842304", "https://www.linkedin.com/jobs/view/4378842304")</f>
        <v/>
      </c>
      <c r="F63" t="inlineStr"/>
      <c r="G63" t="inlineStr"/>
      <c r="H63" t="inlineStr"/>
      <c r="I63" t="inlineStr">
        <is>
          <t>**Principal AI/ML Engineer \- Remote (ID: 2346821\)** 
**Description \-** 
 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Optum AI is UnitedHealth Group’s enterprise AI team. We are AI/ML scientists and engineers with deep expertise in AI/ML engineering for health care. We develop AI/ML solutions for the highest impact opportunities across UnitedHealth Group businesses including UnitedHealthcare, Optum Financial, Optum Health, Optum Insight, and Optum Rx. In addition to transforming the health care journey through responsible AI/ML innovation, our charter also includes developing and supporting an enterprise AI/ML development platform.
**Optum AI team members:** 
* Have impact at scale: We have the data and resources to make an impact at scale. When our solutions are deployed, they have the potential to make health care system work better for everyone
* Do ground\-breaking work: Many of our current projects involve cutting edge ML, NLP and LLM techniques. Generative AI methods for working with structured and unstructured health care data are continuously being developed and improved. We are working in one of the most important frontiers of AI/ML research and development
* Partner with world\-class experts on innovative solutions: Our team members are developing novel AI/ML solutions to business challenges. In some cases, this includes the opportunity to file patents and publish papers about the methods we develop. We also collaborate with AI/ML researchers at some of the world’s top universities
 You’ll enjoy the flexibility to work remotely \* from anywhere within the U.S. as you take on some tough challenges. For all hires in the Minneapolis or Washington, D.C. area, you will be required to work in the office a minimum of four days per week.
**Primary Responsibilities:** 
* Lead data science work conceptualizing, designing, developing, and maintaining AI/ML models for disease progression/patient engagement programs
* Meet with business partners to understand requirements and design solution(s) which work best for the problem
* Review AI/ML model ideas, engineering designs and offer ideas for new approaches
* Develop and evolve Data Science and Engineering roadmap for disease progression and patient engagement programs
* Raise the bar on excellence in execution in terms of quality, timeliness, and scalability
* Collaborate with counterparts in other Geographical locations to ensure smooth execution of critical projects across the board
* Recommend applicable technical patterns and solutions that are aligned with architectural guiding principles and standards through a regular cadence of delivery and continuous improvement initiatives
* Collaborate closely with Product and Capability Architects on aligning inferred Solutions and Enterprise architecture to granular technical patterns and solutions
* Govern technical debt and promote balance
 You’ll be rewarded and recognized for your performance in an environment that will challenge you and give you clear direction on what it takes to succeed in your role as well as provide development for other roles you may be interested in.
**Qualifications \-** 
**Required Qualifications:** 
* MS degree in Computer Science or related field
* 7\+ years of experience using computer languages (Python, SQL) to manipulate data and draw insights from large data sets, including cloud\-based Databricks and Azure AI Services
**Preferred Qualifications:** 
* Ph.D. in Computer Science or related field
* 10\+ years of data science experience
* Knowledge of advanced statistical techniques and concepts and experience with applications
* Proven solid problem\-solving skills with an emphasis on model development and engineering
* Proven outstanding communication skills both written and verbal
* Knowledge of a variety of machine learning techniques (clustering, decision trees, neural networks, graph ML, OCR, sentiment analysis, etc.) and their real\-world advantages/drawbacks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$134,600 to $230,800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64">
      <c r="A64" t="inlineStr">
        <is>
          <t>li-4379916710</t>
        </is>
      </c>
      <c r="B64" t="inlineStr">
        <is>
          <t>Machine Learning Engineer</t>
        </is>
      </c>
      <c r="C64" t="inlineStr">
        <is>
          <t>Hirenza</t>
        </is>
      </c>
      <c r="D64" t="inlineStr">
        <is>
          <t>linkedin</t>
        </is>
      </c>
      <c r="E64">
        <f>HYPERLINK("https://www.linkedin.com/jobs/view/4379916710", "https://www.linkedin.com/jobs/view/4379916710")</f>
        <v/>
      </c>
      <c r="F64" t="inlineStr"/>
      <c r="G64" t="inlineStr"/>
      <c r="H64" t="inlineStr"/>
      <c r="I64" t="inlineStr">
        <is>
          <t>**About The Company**
 Cliff Services Inc. is a leading provider of innovative solutions across various industries, committed to delivering excellence and fostering growth for our clients. With a strong focus on quality, integrity, and customer satisfaction, we have established ourselves as a trusted partner in the marketplace. Our company prides itself on a collaborative work environment that encourages professional development, creativity, and continuous learning. At Cliff Services Inc., we are dedicated to making a positive impact through our services and building long\-term relationships with our clients and employees alike.
**About The Role**
 We are seeking a highly motivated and detail\-oriented professional to join our team in the role of \[Job Title]. This position offers an exciting opportunity to contribute to our company's growth and success by managing key projects, supporting operational processes, and collaborating with cross\-functional teams. The ideal candidate will possess strong communication skills, a proactive approach, and a passion for delivering high\-quality results. This role is pivotal in ensuring that our services meet the highest standards and align with our strategic objectives. The successful candidate will be instrumental in driving efficiency, innovation, and customer satisfaction within our organization.
**Qualifications**
 The ideal candidate should hold a minimum of a bachelor’s degree in a relevant field such as Business Administration, Management, or a related discipline. Proven experience of at least \[X] years in a similar role is preferred, with a demonstrated ability to manage multiple priorities effectively. Strong analytical skills, problem\-solving abilities, and proficiency in relevant software tools are essential. Excellent communication and interpersonal skills are required to foster collaboration across teams and with clients. A proactive attitude, adaptability, and a commitment to continuous improvement are highly valued traits for this position.
**Responsibilities**
* Manage and oversee daily operations to ensure efficiency and quality standards are met.
* Coordinate with various departments to streamline processes and improve workflows.
* Support the development and implementation of strategic initiatives.
* Monitor project progress, identify potential issues, and implement corrective actions.
* Maintain effective communication with clients, vendors, and internal teams to ensure expectations are aligned.
* Prepare detailed reports and presentations for management review.
* Assist in the development of policies, procedures, and best practices to enhance operational effectiveness.
* Provide leadership and guidance to team members, fostering a positive and productive work environment.
**Benefits**
 At Cliff Services Inc., we recognize the importance of our employees' well\-being and professional growth. We offer a comprehensive benefits package that includes competitive salary packages, health insurance, retirement plans, and paid time off. Employees also have access to ongoing training and development programs to support their career advancement. Our workplace promotes work\-life balance through flexible working hours and a supportive environment. Additionally, employees are encouraged to participate in various wellness initiatives and team\-building activities designed to foster a collaborative and engaging workplace culture.
 Equal Opportunity
 Cliff Services Inc. is an equal opportunity employer. We are committed to creating a diverse and inclusive workplace where all employees are valued and respected. We do not discriminate based on race, color, religion, gender, sexual orientation, age, disability, or any other protected characteristic. Our hiring practices are designed to ensure fairness and equal access to employment opportunities for all qualified candidates. We believe that a diverse workforce enhances our ability to innovate and serve our clients effectively.</t>
        </is>
      </c>
    </row>
    <row r="65">
      <c r="A65" t="inlineStr">
        <is>
          <t>li-4251321130</t>
        </is>
      </c>
      <c r="B65" t="inlineStr">
        <is>
          <t>AI Engineer</t>
        </is>
      </c>
      <c r="C65" t="inlineStr">
        <is>
          <t>PepsiCo</t>
        </is>
      </c>
      <c r="D65" t="inlineStr">
        <is>
          <t>linkedin</t>
        </is>
      </c>
      <c r="E65">
        <f>HYPERLINK("https://www.linkedin.com/jobs/view/4251321130", "https://www.linkedin.com/jobs/view/4251321130")</f>
        <v/>
      </c>
      <c r="F65">
        <f>HYPERLINK("https://www.pepsicojobs.com/jobs/391357?lang=en-us&amp;iisn=linkedin&amp;urlHash=oN1a", "https://www.pepsicojobs.com/jobs/391357?lang=en-us&amp;iisn=linkedin&amp;urlHash=oN1a")</f>
        <v/>
      </c>
      <c r="G65" t="inlineStr">
        <is>
          <t>Purchase, NY</t>
        </is>
      </c>
      <c r="H65" t="inlineStr"/>
      <c r="I65"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66">
      <c r="A66" t="inlineStr">
        <is>
          <t>li-4378818316</t>
        </is>
      </c>
      <c r="B66" t="inlineStr">
        <is>
          <t>Machine Learning Engineer</t>
        </is>
      </c>
      <c r="C66" t="inlineStr">
        <is>
          <t>Wiraa</t>
        </is>
      </c>
      <c r="D66" t="inlineStr">
        <is>
          <t>linkedin</t>
        </is>
      </c>
      <c r="E66">
        <f>HYPERLINK("https://www.linkedin.com/jobs/view/4378818316", "https://www.linkedin.com/jobs/view/4378818316")</f>
        <v/>
      </c>
      <c r="F66" t="inlineStr"/>
      <c r="G66" t="inlineStr"/>
      <c r="H66" t="inlineStr"/>
      <c r="I66" t="inlineStr">
        <is>
          <t>**About The Company**
 Toyota Connected is a global leader in mobility solutions, dedicated to leveraging big data and cloud intelligence to enhance the driving experience. Established in 2016, the company focuses on creating innovative technologies that make driving a Toyota or Lexus more personal, intuitive, and safe. Toyota Connected aims to revolutionize mobility by integrating cutting\-edge data analytics, connected vehicle services, and AI\-driven solutions that empower customers to explore new ways of using their vehicles. With a commitment to diversity and inclusion, Toyota Connected fosters a collaborative environment where innovation thrives, and every employee's unique perspective is valued. The company supports its employees with comprehensive benefits, professional development opportunities, and a flexible work culture designed to promote work\-life balance.
**About The Role**
 Toyota Connected’s Labs team is seeking a highly skilled Machine Learning Engineer to join our innovative group. In this role, you will apply advanced machine learning and statistical techniques to solve complex, often unsolved problems that directly impact the company's bottom line. The ideal candidate is results\-driven, deeply technical, and passionate about applying state\-of\-the\-art ML methods to voice and text data. You will be responsible for translating research concepts into practical, scalable solutions, maintaining high\-quality code, and collaborating with cross\-functional teams to design and implement machine learning systems. Your work will involve full lifecycle management of models—from data cleansing and feature engineering to model validation and deployment—contributing to the development of next\-generation products and services. This position offers a unique opportunity to work in a fast\-paced, Agile environment where your innovations will have a tangible impact on mobility solutions and customer experiences.
**Qualifications**
* 3\+ years of hands\-on experience in Machine Learning within a corporate environment
* Proficiency in programming with Python
* Experience working with TensorFlow or PyTorch frameworks
* Strong background in Natural Language Processing (NLP)
* Familiarity with algorithm design and complexity analysis
* Experience deploying solutions in cloud environments such as AWS or Azure (preferred)
* Experience designing and implementing ML pipelines for production systems (preferred)
* Strong decision\-making and problem\-solving skills
* Ability to analyze data, assess risks, and develop effective solutions quickly
* Proven capability to learn and adopt new technologies and methodologies
* Excellent collaboration skills with cross\-functional teams including developers, designers, and product managers
* Experience taking ownership of projects and driving them to successful completion
* Results\-oriented mindset with a track record of achieving measurable outcomes
**Responsibilities**
* Translate complex research papers and white papers into efficient, maintainable code implementations
* Develop, test, and deploy scalable machine learning models and algorithms
* Write clean, well\-documented code in accordance with coding standards
* Share architecture patterns and new technological innovations with team members
* Contribute to system design through writing and reviewing RFCs (Request for Comments)
* Participate actively in interview panels to evaluate junior ML engineers
* Review merge requests and ensure code quality through rigorous testing and validation
* Implement comprehensive unit and integration tests to ensure robustness of code contributions
* Manage the full modeling lifecycle, including data cleansing, feature engineering, and iterative model tuning
* Build automated, scalable processes for large\-scale data analysis, model validation, and deployment
* Stay updated on the latest research methodologies and technological advancements to incorporate best practices
* Collaborate within an Agile Scrum environment to prototype, design, and implement predictive models and algorithms
* Utilize statistical, machine learning, and deep learning techniques to develop innovative solutions and drive research \&amp; development efforts
**Benefits**
* Competitive compensation package with comprehensive health benefits
* Annual training budget of $2,500 to support ongoing professional development
* Unlimited paid time off and flexible work arrangements to promote work\-life balance
* Home office stipend of $1,000 to support ergonomic remote work setup
* Four months of paid parental leave to support new parents
* Adoption assistance of $5,000 for standard adoptions or $6,000 for special needs cases
* 401(k) plan with a generous company match that is fully vested from day one
* Vehicle discounts on Toyota and Lexus models
* Vehicle allowance for leasing or purchasing new Toyota and Lexus vehicles
* Participation in annual hackathons to foster creativity and innovation
* Annual wellness stipend of $1,000 to support mental and physical health
* Free catered lunches on\-site and access to fully stocked Nespresso bars
* Casual dress code and a collaborative work environment
* Free covered parking for employees
 Equal Opportunity
 Toyota Connected is an equal opportunity employer committed to fostering an inclusive and diverse workplace. We welcome applications from all qualified individuals regardless of race, color, religion, gender, sexual orientation, gender identity or expression, national origin, age, disability, or veteran status. We are dedicated to providing reasonable accommodations during the hiring process to ensure equal access for all candidates. If you require an accommodation, please contact your Recruiter or HR representative. We believe that diverse perspectives drive innovation and are essential to our success, and we are committed to creating an environment where everyone can thrive.</t>
        </is>
      </c>
    </row>
    <row r="67">
      <c r="A67" t="inlineStr">
        <is>
          <t>li-4379513871</t>
        </is>
      </c>
      <c r="B67" t="inlineStr">
        <is>
          <t>AI Engineer, Design Innovation</t>
        </is>
      </c>
      <c r="C67" t="inlineStr">
        <is>
          <t>Skechers</t>
        </is>
      </c>
      <c r="D67" t="inlineStr">
        <is>
          <t>linkedin</t>
        </is>
      </c>
      <c r="E67">
        <f>HYPERLINK("https://www.linkedin.com/jobs/view/4379513871", "https://www.linkedin.com/jobs/view/4379513871")</f>
        <v/>
      </c>
      <c r="F67">
        <f>HYPERLINK("https://skechers.wd5.myworkdayjobs.com/One-career-site/job/Manhattan-Beach-CA/AI-Engineer\u002d\u002dDesign-Innovation_JR121224?source=Applicant_LinkedIn&amp;urlHash=uLl5", "https://skechers.wd5.myworkdayjobs.com/One-career-site/job/Manhattan-Beach-CA/AI-Engineer\u002d\u002dDesign-Innovation_JR121224?source=Applicant_LinkedIn&amp;urlHash=uLl5")</f>
        <v/>
      </c>
      <c r="G67" t="inlineStr">
        <is>
          <t>Manhattan Beach, CA</t>
        </is>
      </c>
      <c r="H67" t="inlineStr"/>
      <c r="I67" t="inlineStr">
        <is>
          <t>**Who We Are**
 Headquartered in Southern California, Skechers—the Comfort Technology Company®—has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 The Role**
 Skechers Technology team is enabling our business with AI through the development and adoption of private, proprietary AI technologies. The AI Engineer \- Design Innovation is a key role within the Skechers organization and will be central to developing AI\-powered design tools and technologies specifically for Skechers' Design team. The AI Engineer \- Design Innovation will spearhead the development of cutting\-edge AI tools tailored for footwear and apparel design workflows. This role is at the forefront of integrating graphic designing, image modeling, and generative AI technologies to revolutionize how our designers create and visualize products. While reporting to IT, this position will be 100% dedicated to supporting the Design team, working closely with designers to understand their needs and translating them into innovative AI\-powered solutions. The AI Engineer will collaborate with high\-velocity software engineering teams and coordinate across various departments to bring design\-focused AI capabilities to new heights. The candidate should be an experienced and motivated technologist who possesses a unique balance of technical depth, creative problem\-solving skills, and strong interpersonal abilities.
**What You'll Do**
* Lead the design, development, and deployment of AI\-powered design tools, integrating with cutting\-edge image generation models including OpenAI (GPT\-Image\-1, DALL\-E 3\), Google Gemini 2\.5 Flash, FLUX 1\.1 Pro Ultra, Stable Diffusion 3\.5, SeedDream v4, and Ideogram 3\.0 for footwear and apparel automation.
* Integrate and optimize multiple AI APIs with a "Lego\-building" approach \- viewing APIs as building blocks to create proprietary solutions that don't exist off\-the\-shelf, specifically for fashion and footwear design applications.
* Develop and maintain multi\-API orchestration including Google Gemini, OpenAI, and Fal.ai integrations with advanced prompt engineering techniques to enhance design workflows and maintain brand consistency while generating new designs.
* Build scalable image generation pipelines for batch processing handling hundreds of concurrent requests, with intelligent routing between AI providers based on task requirements using cloud services (AWS, Vercel, Replit, or equivalent platforms).
* Create and deploy web applications using JavaScript/TypeScript, React/Next.js, and Tailwind CSS components to provide designers with intuitive drag\-and\-drop interfaces for AI\-powered design tools, collaborating on frontend development.
* Coordinate with cross\-functional teams as the sole software developer among footwear designers, graphic artists, and merchandisers \- bringing significant autonomy and creative freedom to integrate AI solutions tailored for creative workflows.
* Develop automated systems for CMF variations, component swapping, style transfer, and other design workflows with queue management solutions for handling high\-volume AI generation tasks.
* Design and implement database solutions using PostgreSQL with Drizzle ORM for storing design assets, API response caching, user data, and design iteration histories with efficient file storage.
* Execute against the product backlog efficiently, rapidly prototyping and experimenting with emerging models to multiply creative team output through intelligent automation.
* Implement quality validation, automatic retry logic, and brand consistency checks to ensure all design\-focused requirements are met while managing API rate limits and costs across multiple providers.
* Stay up to date with the latest advancements in generative AI from Google, OpenAI, ByteDance, and emerging ai models / companies, proposing and implementing innovative AI solutions based on real team needs.
* Other duties as assigned.
**What You'll Bring**
* Proficiency with generative AI, including hosted LLMs (Claude, OpenAI, Gemini), LLM API integration, advanced prompt engineering techniques, and most importantly image generation models such as Stable Diffusion and Imagen.
* Strong programming skills in Python for AI applications (with frameworks like LangChain), and JavaScript/TypeScript for web development.
* Experience with modern JavaScript Frameworks like React/Next.js or Flutter for building designer\-facing applications with understanding of UX patterns and mobile\-first design principles is preferred.
* Strong skills in API development (REST/GraphQL), database design (SQL/NoSQL including MongoDB), and integration with design tools.
* Proficiency with general AWS services (Lambda, API Gateway, S3, etc) is required while experience with Docker containerization and orchestration systems (ECS/EKS/Fargate) is a plus.
* Experience with CI/CD pipelines and development tools including Git, Jenkins, and Postman.
* Experience with file storage, CDN management for large design files, batch processing systems, and queue management for AI tasks.
* Proficiency in Figma/Sketch, understanding of design tool ecosystems, design systems, and component libraries.
* Understanding of image generation pipelines, design workflow optimization, and creative team collaboration.
* Experience with design tools, agile methodologies, and project management tools like JIRA.
* Strong analytical and problem\-solving skills with high degree of self\-motivation and experience with user research.
* Understanding of fashion/footwear industry trends and design processes is a huge plus.
**Requirements**
 To perform this job successfully, an individual must be able to perform each essential duty satisfactorily. The requirements listed below are representative of the knowledge, skill, and/or ability required.
* B.S. or M.S. in Computer Science, Machine Learning, Computer Graphics, or equivalent proven years of experience.
* 5\+ years of experience in software development with a focus on AI applications.
* 3\+ years of experience with Python.
* 3\+ years of experience in developing REST APIs with JSON, HTTP protocol, Postman and/or curl.
* Web development experience with HTML, CSS, and JavaScript and modern JS frameworks.
* Experience with AWS Lambda, API Gateway, S3, and other cloud services.
* Working knowledge of Linux, Windows, SQL and NoSQL database systems (MongoDB), and networking.
* Experience integrating with 3rd party APIs, particularly design and creative tools.
* Experience working with DevOps teams on implementing CI/CD pipelines and monitoring/alerting.
* Graphic design experience or background working closely with creative teams is highly preferred.
* Experience working directly with business facing groups outside of development is ideal.
* Experience working within an Agile team environment is ideal.
* Ability to communicate complex technical topics to creative professionals with precision and clarity.
* Ability to translate creative requirements into technical specifications accurately and effectively.
 The pay range for this position is $150,000\-$220,000/yr USD.
**About Skechers**
 Skechers, a global Fortune 500® company, develops and markets a diverse range of lifestyle and performance footwear, apparel, and accessories. Serving over 180 countries and territories, Skechers connects customers to products through department and specialty stores, e\-commerce and digital stores, and through our more than 5,300 Skechers retail locations.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row>
    <row r="68">
      <c r="A68" t="inlineStr">
        <is>
          <t>li-4379928291</t>
        </is>
      </c>
      <c r="B68" t="inlineStr">
        <is>
          <t>AI/ML Engineer</t>
        </is>
      </c>
      <c r="C68" t="inlineStr">
        <is>
          <t>micro1</t>
        </is>
      </c>
      <c r="D68" t="inlineStr">
        <is>
          <t>linkedin</t>
        </is>
      </c>
      <c r="E68">
        <f>HYPERLINK("https://www.linkedin.com/jobs/view/4379928291", "https://www.linkedin.com/jobs/view/4379928291")</f>
        <v/>
      </c>
      <c r="F68" t="inlineStr"/>
      <c r="G68" t="inlineStr"/>
      <c r="H68" t="inlineStr"/>
      <c r="I68" t="inlineStr">
        <is>
          <t>**Job Title:** 
 AI/ML Engineer
**Job Type:** 
 Full\-time, Contractual
**Job Summary:** 
 Join our customer's team as a AI/ML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69">
      <c r="A69" t="inlineStr">
        <is>
          <t>li-4378848499</t>
        </is>
      </c>
      <c r="B69" t="inlineStr">
        <is>
          <t>Entry Level Machine Learning Engineer</t>
        </is>
      </c>
      <c r="C69" t="inlineStr">
        <is>
          <t>Emonics LLC</t>
        </is>
      </c>
      <c r="D69" t="inlineStr">
        <is>
          <t>linkedin</t>
        </is>
      </c>
      <c r="E69">
        <f>HYPERLINK("https://www.linkedin.com/jobs/view/4378848499", "https://www.linkedin.com/jobs/view/4378848499")</f>
        <v/>
      </c>
      <c r="F69" t="inlineStr"/>
      <c r="G69" t="inlineStr">
        <is>
          <t>Houston, TX</t>
        </is>
      </c>
      <c r="H69" t="inlineStr"/>
      <c r="I69" t="inlineStr">
        <is>
          <t>Job Overview:
 We are hiring a Machine Learning Engineer to develop scalable ML solutions and improve model performance.
 Responsibilities:
 Implement ML algorithms
 Optimize models for performance and scalability
 Work with large datasets
 Assist in production deployment
 Requirements:
 Degree in Computer Science, Engineering, or similar
 Experience with Python, Scikit\-learn
 Basic knowledge of cloud platforms (AWS/Azure/GCP)</t>
        </is>
      </c>
    </row>
    <row r="70">
      <c r="A70" t="inlineStr">
        <is>
          <t>li-4378809683</t>
        </is>
      </c>
      <c r="B70" t="inlineStr">
        <is>
          <t>AI / ML Engineer</t>
        </is>
      </c>
      <c r="C70" t="inlineStr">
        <is>
          <t>Wiraa</t>
        </is>
      </c>
      <c r="D70" t="inlineStr">
        <is>
          <t>linkedin</t>
        </is>
      </c>
      <c r="E70">
        <f>HYPERLINK("https://www.linkedin.com/jobs/view/4378809683", "https://www.linkedin.com/jobs/view/4378809683")</f>
        <v/>
      </c>
      <c r="F70">
        <f>HYPERLINK("https://www.wiraa.com/job-description/us266DEF7B6FD0B5172A83AA75AACF8047&amp;urlHash=oFHw", "https://www.wiraa.com/job-description/us266DEF7B6FD0B5172A83AA75AACF8047&amp;urlHash=oFHw")</f>
        <v/>
      </c>
      <c r="G70" t="inlineStr"/>
      <c r="H70" t="inlineStr"/>
      <c r="I70" t="inlineStr">
        <is>
          <t>About the Company
 At General Motors, our product teams are at the forefront of redefining mobility and shaping the future of transportation. We focus on creating innovative vehicles and experiences through a human\-centered design approach that emphasizes safety, connectivity, and intelligence. Our commitment to technological advancement spans across hardware, battery systems, software, and safety features, aiming to transform the driving experience and set new industry standards. With a global presence, GM’s mission is to move millions of people daily while making driving safer, smarter, and more sustainable. Join us as we push the boundaries of innovation to turn today's possibilities into tomorrow's realities.
 About the Role
 We are seeking a highly skilled Staff AI/ML Engineer to join our Embodied AI organization. In this senior individual contributor role, you will develop and deploy advanced machine learning solutions that directly influence the performance and safety of our autonomous driving systems. Your expertise will be instrumental in designing sophisticated ML models capable of enabling vehicles to operate reliably across diverse real\-world scenarios. You will collaborate closely with cross\-functional engineering teams to translate cutting\-edge research into scalable onboard solutions, support continuous improvement of our autonomy stack, and mentor junior engineers. This position offers an exciting opportunity to impact the future of transportation technology by working on innovative AI solutions that enhance vehicle perception, decision\-making, and safety.
 Qualifications
* Bachelor’s, Master’s, or PhD in Computer Science, Robotics, Machine Learning, or a related field
* Experience working with large\-scale foundation models and alignment methods applied to real\-world systems
* Proven ability to deliver applied ML solutions within real\-world constraints and timelines
* Proficiency in PyTorch and Python programming languages
* Experience building and scaling model training pipelines for efficient iteration
* Strong data processing skills using tools such as NumPy, Pandas, and Apache Spark
* Excellent communication skills for effective cross\-team collaboration
* Experience deploying ML models into production environments and understanding end\-to\-end workflows
* Experience in robotics or autonomous driving systems is preferred
 Responsibilities
* Design and implement machine learning solutions aligned with GM’s autonomous driving objectives
* Apply techniques such as unsupervised pre\-training, imitation learning, reinforcement learning, model scaling, and foundation modeling to solve challenges in object detection, tracking, classification, trajectory generation, and safe AI
* Collaborate with cross\-functional teams to deploy models and algorithms into onboard vehicle systems
* Contribute to applied research efforts and stay updated with advancements in ML frameworks and methodologies
* Design and build efficient infrastructure, pipelines, and tooling to accelerate model development and iteration
* Lead technical execution from prototyping to deployment, documenting best practices and lessons learned
* Mentor and support engineers through technical collaboration, code reviews, and knowledge sharing to foster engineering excellence
 Benefits
* Comprehensive health and wellbeing programs including medical, dental, and vision coverage
* Health Savings Account (HSA) and Flexible Spending Accounts (FSA)
* Retirement savings plans and financial wellness resources
* Sick leave, paid vacation, and holiday benefits
* Tuition assistance and professional development programs
* Employee assistance programs for personal and family support
* GM vehicle discounts and potential eligibility for a company vehicle
* Relocation assistance may be available for eligible candidates
 Equal Opportunity
 General Motors is an equal opportunity employer. We celebrate diversity and are committed to creating an inclusive environment for all employees. All qualified applicants will receive consideration for employment without regard to race, color, religion, gender, gender identity or expression, sexual orientation, national origin, genetics, disability, age, or veteran status. We believe that diverse perspectives foster innovation and drive our success forward.</t>
        </is>
      </c>
    </row>
    <row r="71">
      <c r="A71" t="inlineStr">
        <is>
          <t>li-4379918409</t>
        </is>
      </c>
      <c r="B71" t="inlineStr">
        <is>
          <t>Senior Applied AI Engineer</t>
        </is>
      </c>
      <c r="C71" t="inlineStr">
        <is>
          <t>Orbis Group</t>
        </is>
      </c>
      <c r="D71" t="inlineStr">
        <is>
          <t>linkedin</t>
        </is>
      </c>
      <c r="E71">
        <f>HYPERLINK("https://www.linkedin.com/jobs/view/4379918409", "https://www.linkedin.com/jobs/view/4379918409")</f>
        <v/>
      </c>
      <c r="F71" t="inlineStr"/>
      <c r="G71" t="inlineStr"/>
      <c r="H71" t="inlineStr"/>
      <c r="I71" t="inlineStr">
        <is>
          <t>**Senior Applied AI Engineer (Mid / Senior / Staff)** 
 NYC/hybrid
 High\-Growth Fintech
 Pre–Series
 C
 $230,000 to $260,000 base \+ equity
 What if you could build production AI systems that real users rely on every single day, not demos, not prototypes, not internal tools, but revenue\-driving software?
 We’re partnering with a high\-growth, venture\-backed fintech platform that’s quietly transforming a $500B\+ industry. In just a few years, they’ve scaled from single\-digit millions in revenue to tens of millions, grown assets under management into the billions, and are now entering their next major growth phase ahead of Series C.
 They’re hiring aggressively in NYC and a core part of that expansion is a small, elite group of applied AI builders.
**This Is Not Research AI** 
 This is applied AI in production.
 You’ll be building:
* AI copilots embedded directly into user workflows
* Agentic systems that automate high\-friction tasks
* RAG pipelines and intelligent retrieval systems
* Classification, extraction, routing, and recommendation engines
* Workflow automations that meaningfully increase user productivity
 If you’ve been building agents yourself
 If you’ve automated your own QA or dev workflows
 If you’re already 3x’ing your output with AI tools
 You’re exactly who they want.
**The Kind of Engineer Who Thrives Here** 
* Have 4–10 years of experience (flexible on level for exceptional talent)
* Have shipped real AI features into production
* Think in systems, not just endpoints
* Have strong 0 to1 ownership instincts
* Enjoy collaborating with product and design
* Prefer small, high\-impact teams over large orgs
* Want your work to ship fast and matter
* Growth\-stage startup experience is ideal.
* Big tech is welcome — if you were building, not just maintaining.
**Tech Environment** 
* Current stack includes:
* Rails, React, Next.js, Postgres, GraphQL.
* But here’s the reality:
* They care more about what you’ve built than the language you used.
* Python, Node, TypeScript, Go, all very welcome.
* Next.js is a plus.
* Enterprise\-heavy, maintenance\-only backgrounds are unlikely to thrive here.
* The stack will evolve, this team optimises for velocity, ownership, and leverage.
**Why This Role Is Different** 
 What makes this opportunity stand out is how early and real the AI mandate is. The AI layer is genuinely greenfield, and you’ll be working in small, high\-autonomy pods where you can take ideas from concept to production in months, not quarters. You’ll have direct access to users, tight feedback loops, and the ability to see what you build adopted quickly and meaningfully influence product direction. This isn’t experimentation in isolation, it’s applied AI embedded into workflows that people rely on daily.
 The timing is equally compelling. The company is scaling rapidly in both revenue and assets, approaching Series C with strong momentum and a clear liquidity trajectory. Backed by a founder with multiple successful exits, this is a chance to join at a point where impact is high and upside is real. If you’re deciding between incremental optimisation at a large AI lab or building high\-impact AI systems that ship immediately and shape a growing platform, this is the latter.
 If this sounds like the kind of environment where you’d thrive, let’s talk.</t>
        </is>
      </c>
    </row>
    <row r="72">
      <c r="A72" t="inlineStr">
        <is>
          <t>li-4273273439</t>
        </is>
      </c>
      <c r="B72" t="inlineStr">
        <is>
          <t>AI Engineer</t>
        </is>
      </c>
      <c r="C72" t="inlineStr">
        <is>
          <t>apexanalytix</t>
        </is>
      </c>
      <c r="D72" t="inlineStr">
        <is>
          <t>linkedin</t>
        </is>
      </c>
      <c r="E72">
        <f>HYPERLINK("https://www.linkedin.com/jobs/view/4273273439", "https://www.linkedin.com/jobs/view/4273273439")</f>
        <v/>
      </c>
      <c r="F72">
        <f>HYPERLINK("https://ats.rippling.com/apexanalytix-careers/jobs/e1eab597-c978-401f-9aaa-eb1f5553b86b&amp;urlHash=fdVH", "https://ats.rippling.com/apexanalytix-careers/jobs/e1eab597-c978-401f-9aaa-eb1f5553b86b&amp;urlHash=fdVH")</f>
        <v/>
      </c>
      <c r="G72" t="inlineStr">
        <is>
          <t>Greensboro, NC</t>
        </is>
      </c>
      <c r="H72" t="inlineStr"/>
      <c r="I72" t="inlineStr">
        <is>
          <t>**About Us**
 At apexanalytix, we’re lifelong innovators! Since the date of our founding nearly four decades ago we’ve been consistently growing, profitable, and delivering the best procure\-to\-pay solutions to the world. We’re the perfect balance of established company and start\-up. You will find a unique home here.
 And you’ll recognize the names of our clients. Most of them are on The Global 2000\. They trust us to give them the latest in controls, audit and analytics software every day. Industry analysts consistently rank us as a top supplier management solution, and you’ll be helping build that reputation.
 Read more about apexanalytix \- https://www.apexanalytix.com/about/
****Quick Take \-****
 As an AI Engineer, you’ll drive the end\-to\-end development of advanced GenAI applications, including agentic AI agents with autonomous workflows, function calling, and LLM model fine\-tuning. This role is for an experienced engineer who excels at building robust, production\-grade AI systems and pushing the boundaries of what GenAI can accomplish.
 ****This role can be done remotely from the United States. There is a strong preference for EST or CST location.****
****The Work \-****
* Fine\-tune and deploy open\-source general purpose LLMs and code\-generation models (e.g. Llama 4, qwen2\.5\) using PEFT, LoRA, QLoRA, instruction tuning, RLHF, etc..
* Design GenAI applications with agentic capabilities—autonomous, goal\-driven agents that can plan, reason, and execute multi\-step workflows with minimal human input.
* Implement function calling in workflows, enabling models to invoke external tools, APIs, databases, and services to perform actions or access real\-time data.
* Build agentic RAG pipelines, where LLMs coordinate data retrieval and reasoning dynamically via retrieval\-augmented generation.
* Create and maintain scalable pipelines, including data ingestion, labeling, feature engineering, vector DB management, and MLOps frameworks (MLflow, Kubeflow).
* Containerize applications using Kubernetes and Docker.
* Optimize and monitor model performance, including latency, drift, bias, privacy, and security compliance.
* Collaborate cross\-functionally, mediating between data, product, and engineering teams to translate requirements into agentic GenAI solutions.
* Stay current with research trends like agentic RL frameworks (e.g., ARTIST), multi\-agent orchestration, MCP, and secure function calling.
****The Must\-Haves \-****
* B.S or M.S. in Computer Science, Data Science, ML/AI or equivalent.
* 3\-5 years building and deploying AI/ML solutions with demonstrable production experience.
* Extensive experience fine\-tuning LLMs and code models with advanced techniques (PEFT/LoRA/QLoRa/RLHF).
* Proven track record designing or delivering agentic GenAI applications—function calling, autonomous workflows, RAG pipelines.
* Proficient in Python, PyTorch/TensorFlow, Hugging Face, LangChain, LangGraph or similar frameworks.
* Experience in Document and Image Analysis and extracting insights from unstructured data, including text documents and images.
* Strong infrastructure skills: Docker, Kubernetes, CI/CD, MLOps tooling.
* Sharp analytical mindset for system optimization, error mitigation, and security best practices.
* Excellent problem\-solving and ability to translate business needs into technical design.
 Over the years, we’ve discovered that the most effective and successful associates at apexanalytix are people who have a specific combination of values, skills, and behaviors that we call “The apex Way”. Read more about The apex Way \- https://www.apexanalytix.com/careers/
****We are currently unable to offer Visa Sponsorship; candidates must be authorized to work in the U.S. without sponsorship now as well as in the future.****
**Benefits**
 At apexanalytix we know that our associates are the reason behind our successes. We truly value you as an associate and part of our professional family. Our goal is to offer the very best benefits possible to you and your loved ones. When it comes to benefits, whether for yourself or your family the most important aspect is choice. And we get that. apexanalytix offers competitive benefits for the countries that we serve, in addition to our BeWell@apex initiative that encourages employees’ growth in six key wellness areas: Emotional, Physical, Community, Financial, Social, and Intelligence.
 With resources such as a strong Mentor Program, Internal Training Portal, plus Education, Tuition, and Certification Assistance, we provide tools for our associates to grow and develop.</t>
        </is>
      </c>
    </row>
    <row r="73">
      <c r="A73" t="inlineStr">
        <is>
          <t>li-4377771017</t>
        </is>
      </c>
      <c r="B73" t="inlineStr">
        <is>
          <t>Sr AI Engineer</t>
        </is>
      </c>
      <c r="C73" t="inlineStr">
        <is>
          <t>Apollo Solutions</t>
        </is>
      </c>
      <c r="D73" t="inlineStr">
        <is>
          <t>linkedin</t>
        </is>
      </c>
      <c r="E73">
        <f>HYPERLINK("https://www.linkedin.com/jobs/view/4377771017", "https://www.linkedin.com/jobs/view/4377771017")</f>
        <v/>
      </c>
      <c r="F73" t="inlineStr"/>
      <c r="G73" t="inlineStr">
        <is>
          <t>New York, NY</t>
        </is>
      </c>
      <c r="H73" t="inlineStr"/>
      <c r="I73" t="inlineStr">
        <is>
          <t>**Sr AI Engineer** 
**Location:** 
 Remote with occasional travel to New York, NY
**Compensation:** 
 $120,000–$170,000 \+ bonus
 A large Fortune 500 insurance company is expanding its AI \&amp; Data function. This organization has spent decades building a reputation for trust, long\-term thinking, and a people\-first culture. Today, they’re investing heavily in modern AI capabilities to support a diversified portfolio across insurance, financial products, and emerging digital initiatives.
 You’ll join a well\-supported AI group that combines product managers, data scientists, AI engineers, platform engineers, and model governance specialists. The team works on a wide range of AI and GenAI initiatives, partnering closely with business stakeholders from ideation through deployment. Leadership buy\-in is strong, and the environment encourages experimentation, collaboration, and continuous learning.
**What You’ll Do** 
* Design and build production\-grade AI and ML solutions.
* Ensure AI code meets engineering best practices and high\-quality standards.
* Implement, optimize, debug, scale, and monitor ML models in production environments.
* Work with Platform Engineers to automate deployment pipelines and tooling.
* Collaborate on solution architecture, ensuring ML systems integrate seamlessly into real\-world applications.
**What You’ll Bring** 
* 5\+ years of software engineering experience, including 2\+ years building AI/ML solutions.
* Strong Python skills and background with ML frameworks (TensorFlow, PyTorch, Keras, scikit\-learn, etc.).
* Experience developing APIs and applying modern engineering best practices.
* Knowledge of NLP tooling (SpaCy, NLTK, Hugging Face).
* Familiarity with AWS cloud environments and cloud\-native tools.
**Preferred Experience** 
* Previous exposure to Generative AI projects.
* Experience with vector databases.
* Kubernetes knowledge.
* Experience working with MCP servers.</t>
        </is>
      </c>
    </row>
    <row r="74">
      <c r="A74" t="inlineStr">
        <is>
          <t>li-4378848120</t>
        </is>
      </c>
      <c r="B74" t="inlineStr">
        <is>
          <t>Machine Learning Engineer</t>
        </is>
      </c>
      <c r="C74" t="inlineStr">
        <is>
          <t>Insight Global</t>
        </is>
      </c>
      <c r="D74" t="inlineStr">
        <is>
          <t>linkedin</t>
        </is>
      </c>
      <c r="E74">
        <f>HYPERLINK("https://www.linkedin.com/jobs/view/4378848120", "https://www.linkedin.com/jobs/view/4378848120")</f>
        <v/>
      </c>
      <c r="F74" t="inlineStr"/>
      <c r="G74" t="inlineStr">
        <is>
          <t>Richmond, VA</t>
        </is>
      </c>
      <c r="H74" t="inlineStr"/>
      <c r="I74" t="inlineStr">
        <is>
          <t>**Basic Qualifications** 
 • 5\+ years in applied ML engineering, AI system development, or distributed systems engineering
 • Strong expertise with Azure, including Azure ML, Azure AI Services, Azure OpenAI, and AKS
 • Proven experience building and deploying agentic AI or multi\-agent architectures
 • Hands\-on experience with MCP and/or A2A agent communication frameworks
 • Expertise with Airflow, Azure Data Factory, or distributed data engines
 • Strong Python engineering experience with ML frameworks (PyTorch, TensorFlow)
 • Deep experience with LangChain or comparable LLM orchestration frameworks
 • Familiarity with vector databases, embeddings, semantic search, and RAG pipelines
 • Strong understanding of enterprise cloud security, identity, networking, and performance optimization</t>
        </is>
      </c>
    </row>
    <row r="75">
      <c r="A75" t="inlineStr">
        <is>
          <t>li-4379902823</t>
        </is>
      </c>
      <c r="B75" t="inlineStr">
        <is>
          <t>AI Engineer</t>
        </is>
      </c>
      <c r="C75" t="inlineStr">
        <is>
          <t>Hirenza</t>
        </is>
      </c>
      <c r="D75" t="inlineStr">
        <is>
          <t>linkedin</t>
        </is>
      </c>
      <c r="E75">
        <f>HYPERLINK("https://www.linkedin.com/jobs/view/4379902823", "https://www.linkedin.com/jobs/view/4379902823")</f>
        <v/>
      </c>
      <c r="F75">
        <f>HYPERLINK("https://www.hirecrap.com/job-description-usj/7017751611371042639?source=LinkedIn&amp;urlHash=s0Tc", "https://www.hirecrap.com/job-description-usj/7017751611371042639?source=LinkedIn&amp;urlHash=s0Tc")</f>
        <v/>
      </c>
      <c r="G75" t="inlineStr"/>
      <c r="H75" t="inlineStr"/>
      <c r="I75" t="inlineStr">
        <is>
          <t>**About The Company**
 Charles Schwab is a leading financial services firm dedicated to helping individuals and institutions achieve their financial goals. Established with a mission to provide high\-quality investment services, Schwab has built a reputation for integrity, innovation, and client\-centric solutions. With a comprehensive range of offerings including brokerage, banking, and wealth management, the company serves millions of clients across the globe. Schwab’s commitment to transparency, technological advancement, and personalized service positions it as a trusted partner in the financial industry.
**About The Role**
 We are seeking a highly motivated and detail\-oriented professional to join our team in the role of Financial Analyst. In this position, you will play a crucial role in supporting our investment strategies and financial planning efforts. The ideal candidate will have a strong analytical background, excellent communication skills, and a passion for the financial markets. You will work closely with senior management, portfolio managers, and clients to analyze market trends, evaluate investment opportunities, and develop actionable insights that align with our clients’ financial objectives. This role offers an excellent opportunity to grow within a dynamic and innovative organization, contributing directly to the success and growth of our clients’ portfolios.
**Qualifications**
 The ideal candidate will possess a bachelor’s degree in Finance, Economics, or a related field; a master’s degree or professional certifications such as CFA or CFP are preferred. Candidates should have at least 3\-5 years of experience in financial analysis, investment management, or related roles. Strong proficiency in financial modeling, data analysis, and the use of analytical tools such as Excel, Bloomberg, and other financial software is essential. Excellent written and verbal communication skills are required, along with the ability to work collaboratively in a team environment. A demonstrated understanding of financial markets, investment products, and regulatory frameworks is also necessary.
**Responsibilities**
 In this role, your responsibilities will include conducting comprehensive market research and analysis to identify investment opportunities and risks. You will develop and maintain detailed financial models to evaluate potential investments and support decision\-making processes. Collaborating with portfolio managers, you will assist in constructing and optimizing investment portfolios based on client objectives and market conditions. You will prepare detailed reports and presentations for internal teams and clients, clearly articulating complex financial concepts and recommendations. Monitoring market developments and economic indicators to provide timely updates and insights is also part of your duties. Additionally, you will ensure compliance with regulatory standards and internal policies, maintaining the highest level of integrity and professionalism in all activities.
**Benefits**
 Charles Schwab offers a comprehensive benefits package designed to support the well\-being and professional growth of its employees. This includes competitive salaries, health insurance plans, retirement savings options, and wellness programs. Employees have access to ongoing training and development opportunities, fostering continuous learning and career advancement. The company promotes a flexible work environment, encouraging work\-life balance through flexible schedules and remote work options where applicable. Additionally, Schwab provides various employee assistance programs, financial wellness resources, and recognition initiatives to reward outstanding performance and dedication.
 Equal Opportunity
 Charles Schwab is committed to fostering an inclusive and diverse workplace. We believe that a variety of perspectives and experiences enhances our ability to serve our clients and innovate as an organization. We are an equal opportunity employer and do not discriminate based on race, color, religion, gender, gender identity or expression, sexual orientation, national origin, age, disability, or any other protected characteristic. We encourage applicants from all backgrounds to apply and look forward to welcoming talented individuals who share our values and commitment to excellence.</t>
        </is>
      </c>
    </row>
    <row r="76">
      <c r="A76" t="inlineStr">
        <is>
          <t>li-4378845802</t>
        </is>
      </c>
      <c r="B76" t="inlineStr">
        <is>
          <t>Python AI Engineer</t>
        </is>
      </c>
      <c r="C76" t="inlineStr">
        <is>
          <t>Tech Mahindra</t>
        </is>
      </c>
      <c r="D76" t="inlineStr">
        <is>
          <t>linkedin</t>
        </is>
      </c>
      <c r="E76">
        <f>HYPERLINK("https://www.linkedin.com/jobs/view/4378845802", "https://www.linkedin.com/jobs/view/4378845802")</f>
        <v/>
      </c>
      <c r="F76" t="inlineStr"/>
      <c r="G76" t="inlineStr">
        <is>
          <t>Cleveland, OH</t>
        </is>
      </c>
      <c r="H76" t="inlineStr"/>
      <c r="I76" t="inlineStr">
        <is>
          <t>*At Tech Mahindra* 
***(***
*Tech Mahindra \| Connected World, Connected Experiences), we live the philosophy of connected world and connected experiences. We thrive on change that is powered by the intelligent symphony of technology and humans designing meaningful and sustainable experiences. Consumer ‘experiences’ are driving and disrupting industries like never before. Businesses must build seamless yet simple enterprises that collaborate, synergize, and drive the change. Change that connects us all and empowers us to deliver experiences that span across the digital, the physical, the convergent, and everything in between. That’s when truly connected experiences manifest.* 
*Extraordinary is when experiences come together – a continuous convergence of digital technologies, touchpoints, and most importantly people. It’s time to reimagine, reinvent, and revolutionize business models \&amp; operations as well as to transform enterprises into living, breathing, and connected businesses. We are the Digital Change makers who strive to change the way the world, communities, businesses, and humans interact digitally. We are harnessing the power of change, brought in by technologies, that makes it the most exciting time to be alive in the human history. Our universe, as we build it, disrupt it, and redesign it, is powering the digital change.* 
*Tech Mahindra represents the connected world, offering innovative and customer\-centric information technology experiences, enabling Enterprises, Associates, and the Society to Rise. It has 150,000\+ professionals working for 1000\+ Global Customers (including Fortune 500 companies) in 90 Countries. We’re part of the esteemed Mahindra group, headquartered in India. Under a new CEO, Tech Mahindra is committed to a transformative journey with 'Scale @ Speed' as our guiding principle.* 
**Role:** 
 Python AI Engineer
**Location:** 
 Cleveland, Ohio\- 5 days per week onsite required
 This job posting is for an existing, active vacancy and we are looking to hire Python AI Engineer in Cleveland, Ohio, USA immediately who has experience in LLM, RAG, Agentic AI, AI Chatbot, Python and Azure.
**Job Summary** 
 We are seeking a skilled Python AI Engineer with strong expertise in developing, fine\-tuning, and deploying AI models leveraging
 **Azure OpenAI services** 
 . The ideal candidate will design scalable and production\-ready AI solutions that address diverse business requirements such as text generation, summarization, and sentiment analysis.
**Key Responsibilities** 
* Develop and maintain robust Python scripts to interact with
 **Azure OpenAI APIs** 
 and related services.
* Evaluate,
 **select, and fine\-tune Azure OpenAI models** 
 based on project\-specific needs.
* Design and implement AI solutions for multiple NLP tasks including text generation, summarization, and sentiment analysis.
* Deploy, monitor, and optimize AI models in production environments.
* Stay up to date with the
 **latest advancements** 
 in AI, LLMs, and Azure AI ecosystem.
* Utilize industry\-standard
 **libraries, frameworks, and tools** 
 to enhance development efficiency.
* Ensure
 **scalability and performance** 
 of AI applications to meet enterprise demands.
* Collaborate and communicate complex AI concepts effectively with both technical and non\-technical stakeholders.
* Troubleshoot and
 **resolve AI model development challenges** 
 , providing innovative and practical solutions.
**Required Skills and Experience** 
* Strong proficiency in
 **Python programming** 
 and experience with AI/ML frameworks (e.g., PyTorch, TensorFlow, Transformers).
* Hands\-on experience with
 **Azure OpenAI** 
 models and APIs.
* Solid understanding of
 **MLOps** 
 concepts, version control, and CI/CD pipelines.
* Familiarity with
 **data preprocessing, prompt engineering** 
 , and performance tuning.
* Excellent
 **problem\-solving** 
 and analytical skills.
 The pay range for this role is $120,000\- $130,000 per annum including any bonuses or variable pay. Tech Mahindra also offers benefits like medical, vision, dental, life, disability insurance and paid time off (including holidays, parental leave, and sick leave, as required by law). Ask our recruiters for more details on our Benefits package. The exact offer terms will depend on the skill level, educational qualifications, experience and location of the candidate. This job is open for contract as well with a pay range of USD 70\-80/hr (max.)
 AI tools may assist in the recruitment process; however, all hiring decisions are made by the recruitment team based on a comprehensive evaluation of candidates.
 “Tech Mahindra is an Equal Employment Opportunity employer. We promote and support a diverse workforce at all levels of the company. All qualified applicants will receive consideration for employment without regard to race, religion, color, sex, age, national origin, or disability. All applicants will be evaluated solely on the basis of their ability, competence, and performance of the essential functions of their positions with or without reasonable accommodations. Reasonable accommodations also are available in the hiring process for applicants with disabilities. Candidates can request a reasonable accommodation by contacting the company ADA Coordinator at ADA\_Accomodations@TechMahindra.com.”</t>
        </is>
      </c>
    </row>
    <row r="77">
      <c r="A77" t="inlineStr">
        <is>
          <t>li-4273514916</t>
        </is>
      </c>
      <c r="B77" t="inlineStr">
        <is>
          <t>Machine Learning Engineer Graduate (App Ads and Gaming) - 2026 Start (BS/MS)</t>
        </is>
      </c>
      <c r="C77" t="inlineStr">
        <is>
          <t>TikTok</t>
        </is>
      </c>
      <c r="D77" t="inlineStr">
        <is>
          <t>linkedin</t>
        </is>
      </c>
      <c r="E77">
        <f>HYPERLINK("https://www.linkedin.com/jobs/view/4273514916", "https://www.linkedin.com/jobs/view/4273514916")</f>
        <v/>
      </c>
      <c r="F77" t="inlineStr"/>
      <c r="G77" t="inlineStr">
        <is>
          <t>San Jose, CA</t>
        </is>
      </c>
      <c r="H77" t="inlineStr"/>
      <c r="I77" t="inlineStr">
        <is>
          <t>**Responsibilities**
 The App Ads and Gaming team empowers TikTok's global monetization (billion\-dollar business) via efficiently delivering application ads on TikTok. Our mission is to push the boundaries of large\-scale ad delivery systems and lead the innovations of TikTok's personalized online advertising.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Key Responsibilities
* Build highly scalable machine learning systems and state\-of\-the\-art machine learning models to improve ads ranking quality and optimize advertisers' marketing strategies. Examples include but are not limited to click through rate prediction, conversion rate prediction, intelligent format selection and user journey optimization.
* Explore, develop and experiment with new features to improve model accuracy.
* Understand ads platform objectives and take full advantage of modern machine learning to improve ads relevance, quality, and quantity delivered to end\-users.
* Collaborate with Product Managers, Designers, and other disciplines to explore the next generation of shopping experiences on TikTok.
**Qualifications**
 Minimum Qualifications:
* BS/MS degree in Computer Science, Computer Engineering, or other relevant majors, with related work experience.
* Solid programming skills, including but not limited to: Go, C/C\+\+, Python. Familiar with basic data structure and algorithms. Familiar with Linux development environment.
* Good analytical thinking capability. Have essential knowledge and skills in statistics.
* Good theoretical grounding in the machine and deep learning concepts and techniques (CNN/RNN/LSTM, etc.).
* Familiar with the architecture and implementation of at least one mainstream machine learning programming framework (TensorFlow/PyTorch/MXNet), familiar with its architecture and implementation mechanism.
 Preferred Qualifications
* Good understanding in one of the following domains: ads bidding \&amp; auction, ads quality control, and online advertising systems (familiar with one or more of these terms: CPC/CPM, CTR/CVR, Ranking /Targeting, Conversion/Budget, Campaign/Creative, Demand/Inventory, DSP/RTB).
* Experience in resource management and task scheduling with large\-scale distributed software (such as Spark and TensorFlow).
* Relevant work or research experiences in search and recommendation.
 Job Information
**【For Pay Transparency】Compensation Description (Annually)**
 The base salary range for this position in the selected city is $122574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78">
      <c r="A78" t="inlineStr">
        <is>
          <t>li-4377755728</t>
        </is>
      </c>
      <c r="B78" t="inlineStr">
        <is>
          <t>Lead AI Engineer</t>
        </is>
      </c>
      <c r="C78" t="inlineStr">
        <is>
          <t>CoSourcing Partners - Enterprise-AI and IT Services Company</t>
        </is>
      </c>
      <c r="D78" t="inlineStr">
        <is>
          <t>linkedin</t>
        </is>
      </c>
      <c r="E78">
        <f>HYPERLINK("https://www.linkedin.com/jobs/view/4377755728", "https://www.linkedin.com/jobs/view/4377755728")</f>
        <v/>
      </c>
      <c r="F78" t="inlineStr"/>
      <c r="G78" t="inlineStr">
        <is>
          <t>Illinois, United States</t>
        </is>
      </c>
      <c r="H78" t="inlineStr"/>
      <c r="I78" t="inlineStr">
        <is>
          <t>**Title:** 
 Lead AI Engineer
**Location:** 
 Remote
**Employment Type:** 
 Contract / Contract\-to\-Hire \- We are open to both.
**Role Summary:** 
 We are hiring a Lead AI Engineer to anchor and grow our AI practice, with strong hands on expertise in Generative AI and traditional Machine Learning. This role combines technical leadership, solution architecture, and delivery ownership across client and internal AI initiatives.
 The ideal candidate is deeply hands\-on, production\-focused, and capable of translating business problems into scalable AI solutions.
**Key Responsibilities** 
 :
**Technical Leadership:** 
* Lead design and development of AI solutions across:
* Generative AI (LLMs, RAG, embeddings, chatbots)
* Traditional ML (classification, regression, NLP, forecasting, etc.)
* Own end\-to\-end lifecycle: problem framing → model development → deployment → monitoring.
* Define best practices for model development, evaluation, and production readiness.
* Mentor and guide junior ML engineers and data scientists.
**Generative AI Delivery:** 
* Design and implement:
* RAG\-based systems
* Enterprise chatbots \&amp; copilots
* Document intelligence solutions
* Build embedding pipelines and integrate vector databases.
* Apply prompt engineering and fine\-tuning where required.
* Implement guardrails, evaluation metrics, and quality controls.
**Traditional ML \&amp; Applied AI:** 
* Develop and deploy ML models using standard frameworks.
* Optimize model performance, scalability, and reliability.
* Work with structured and unstructured data pipelines.
* Ensure models are production\-ready and measurable.
**Production \&amp; MLOps** 
 :
* Implement CI/CD practices for ML workflows.
* Containerize and deploy models using modern tooling.
* Set up monitoring, retraining, and drift detection.
* Collaborate with DevOps and cloud teams for scalable deployments.
**Practice Growth \&amp; Client Engagement** 
 :
* Support pre\-sales with solution design and effort estimation.
* Drive POCs and accelerators in GenAI and ML.
* Contribute to reusable frameworks and AI assets.
* Stay updated with evolving AI/LLM ecosystem.
**Required Skills:** 
 Strong experience with modern GenAI design patterns including advanced RAG (hybrid search, reranking), agentic orchestration (LangGraph or cloud\-native ADK/Strands), and parameter\-efficient fine\-tuning (LoRA/QLoRA).
 Experience with LLM evaluation, guardrails, and model observability in production environments.
 Solid understanding of ML algorithms and deep learning.
 Experience with frameworks such as TensorFlow, PyTorch, Scikit\-learn.
 Experience architecting and deploying AI solutions on AWS, GCP, or Azure.
 Knowledge of containerization (Docker) and orchestration (Kubernetes).
 Familiarity with ML lifecycle management tools (e.g., MLflow, Airflow).
**Experience:** 
* 6–10 years in AI/ML engineering.
* 3\+ years leading AI/ML initiatives or mentoring teams.
* Proven track record of deploying ML or GenAI systems to production.</t>
        </is>
      </c>
    </row>
    <row r="79">
      <c r="A79" t="inlineStr">
        <is>
          <t>li-4379949006</t>
        </is>
      </c>
      <c r="B79" t="inlineStr">
        <is>
          <t>Principal AI Engineer</t>
        </is>
      </c>
      <c r="C79" t="inlineStr">
        <is>
          <t>Vivid Resourcing</t>
        </is>
      </c>
      <c r="D79" t="inlineStr">
        <is>
          <t>linkedin</t>
        </is>
      </c>
      <c r="E79">
        <f>HYPERLINK("https://www.linkedin.com/jobs/view/4379949006", "https://www.linkedin.com/jobs/view/4379949006")</f>
        <v/>
      </c>
      <c r="F79" t="inlineStr"/>
      <c r="G79" t="inlineStr"/>
      <c r="H79" t="inlineStr"/>
      <c r="I79" t="inlineStr">
        <is>
          <t>**About the role** 
 Research has consistently shown that one\-on\-one tutoring dramatically outperforms traditional classroom instruction—a finding known as Bloom's 2 Sigma Problem. Despite decades of awareness, no solution has successfully delivered personalized tutoring at scale. Until now.
 We are building an AI tutoring system designed to emulate and eventually surpass the best human tutors. You will work on the core AI system that delivers real\-time, adaptive learning experiences to learners.
 **If you're excited about building the future of human learning, this role is for you.** 
**Responsibilities:** 
* **Build and evolve the core AI tutoring system** 
 , including prompt architectures, agentic workflows, and real\-time adaptive behaviors.
* **Run rigorous experimentation and evaluation** 
 , developing custom metrics and frameworks to measure learning effectiveness and improve model reliability.
* **Design and implement scalable, maintainable software** 
 , integrating AI capabilities with platform systems, content pipelines, and user experience components.
* **Collaborate cross\-functionally** 
 with educators, content creators, and product teams to translate pedagogical goals into technical solutions.
* **Prototype and productionize novel model interactions** 
 , leveraging emerging research and capabilities to advance the tutor’s intelligence.
* **Ensure quality, safety, and observability** 
 through monitoring, testing, guardrails, and iterative refinement of model behavior.
* **Share knowledge and elevate teammates** 
 , contributing to a culture of clarity, simplicity, and continuous learning.
**Technical:** 
* 1\+ years building complex LLM\-based systems, with strong prompt engineering intuition and experience designing agentic workflows.
* Ability to design meaningful evaluation methods, including custom metrics and frameworks when off\-the\-shelf options fall short.
* Strong software engineering fundamentals, architectural thinking, and fluency in Python; comfortable working with production infrastructure, cloud environments, and CI/CD.
* Actively follows AI research and emerging capabilities, applying new ideas creatively to real problems.
**Why Them?** 
* Exciting challenges: Face new technical challenges daily, keeping your work engaging and rewarding.
* Competitive compensation: We offer a competitive salary with attractive benefits.
* Flexibility: Benefit from flexible working hours because the future is flexible!
* Continuous learning: Access a yearly learning budget for conferences \&amp; training to support your professional growth.
* Global retreats: Participate in international company retreats, fostering a global team spirit.
* Equipment: Yearly refreshment of your IT Equipment budget for your home working setup.
* Amazing team: Collaborate with a truly exceptional team—seriously, we’re awesome!
 If interested get in touch: daniel.zelnis@vividresourcing.com</t>
        </is>
      </c>
    </row>
    <row r="80">
      <c r="A80" t="inlineStr">
        <is>
          <t>li-4233174383</t>
        </is>
      </c>
      <c r="B80" t="inlineStr">
        <is>
          <t>Sr. Machine Learning Engineer, Computer Vision</t>
        </is>
      </c>
      <c r="C80" t="inlineStr">
        <is>
          <t>Pinterest</t>
        </is>
      </c>
      <c r="D80" t="inlineStr">
        <is>
          <t>linkedin</t>
        </is>
      </c>
      <c r="E80">
        <f>HYPERLINK("https://www.linkedin.com/jobs/view/4233174383", "https://www.linkedin.com/jobs/view/4233174383")</f>
        <v/>
      </c>
      <c r="F80" t="inlineStr"/>
      <c r="G80" t="inlineStr">
        <is>
          <t>San Francisco, CA</t>
        </is>
      </c>
      <c r="H80" t="inlineStr"/>
      <c r="I8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Pinterest, the Pinterest Labs organization focuses on applied ML research and development. Labs focuses on a broad variety of AI/ML initiatives, such as core computer vision, multimodal representation learning, heterogeneous graph neural networks, generative modeling, recommender systems, etc. This is the group that develops foundation ML models that fully leverage the tens of billions of Pins and the associated knowledge graph to improve the core product.
 We are currently hiring for the visual modeling team in Labs, which focuses on developing Pinterest Canvas. Canvas is a foundation text\-to\-image model developed internally for helping various visualization, inpainting, and outpainting products. In this role, you’ll get to work with Pinterest’s rich visual\-text dataset to build large\-scale generative models which are continuously being shipped to production to power visualization features. The core Canvas pod is a small group (\~6 engineers along with a product prototyping team) inside of Labs, allowing for deep collaboration. For example, engineers working on the Canvas project also participate in the development of our core multimodal text \&amp; image embeddings, as these are in turn used to condition the model in unique ways.
**What You’ll Do**
* Prototype new model architectures for Pinterest Canvas, our internal text\-to\-image generative model. We’re looking for hands\-on experience working with diffusion text\-to\-image models and independent model implementation skills.
* Read research papers, participate in group discussions, and help brainstorm our overall visual generative strategy at the company.
* Help with collection of relevant visual training data for Pinterest Canvas, particularly to conduct RLHF, targeted fine\-tuning, etc.
* Publish and publicize your work via conferences, paper submissions, blog posts, etc.
* Mentor more junior researchers or research interns within the Pinterest Labs organization.
**What We’re Looking For**
* Research engineers and scientists who have experience working with generative computer vision models, preferably various forms of diffusion models.
* 5\+ years of industry computer vision experience.
* M.S. or PhD in Machine Learning, Computer Science, or related areas.
* Publications at top ML conferences.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$161,263—$332,012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81">
      <c r="A81" t="inlineStr">
        <is>
          <t>li-4335847191</t>
        </is>
      </c>
      <c r="B81" t="inlineStr">
        <is>
          <t>Staff AI Engineer - AMR Robot Localization</t>
        </is>
      </c>
      <c r="C81" t="inlineStr">
        <is>
          <t>General Motors</t>
        </is>
      </c>
      <c r="D81" t="inlineStr">
        <is>
          <t>linkedin</t>
        </is>
      </c>
      <c r="E81">
        <f>HYPERLINK("https://www.linkedin.com/jobs/view/4335847191", "https://www.linkedin.com/jobs/view/4335847191")</f>
        <v/>
      </c>
      <c r="F81" t="inlineStr"/>
      <c r="G81" t="inlineStr">
        <is>
          <t>Mountain View, CA</t>
        </is>
      </c>
      <c r="H81" t="inlineStr"/>
      <c r="I81" t="inlineStr">
        <is>
          <t>**Job Description**
 The Robotics Software team is pioneering the next generation of autonomous robotic systems, focusing on autonomous mobile robots (AMRs) and intelligent robotic platforms. We develop full\-stack robotics capabilities—from perception and planning to control and system integration—bringing innovative, real\-world autonomous solutions to the future of the work.
 We are looking for a Staff Robot Localization Engineer to develop localization solutions that support the development, testing, and validation of localization subsystem of autonomous robotic systems. In this role, you will focus on developing camera\- and LiDAR\-based localization subsystem, design technical specification, creating and executing test plan, integrating the software with physical and simulation platforms, and enabling teams to accomplish the technical and business objectives.
 You will work cross\-functionally with experts in autonomy, contributing to system\-level validation and the continuous improvement of system robustness and validation workflows.
**What You'll Do:**
* Design and implement high\-precision localization methods using camera, LiDAR, wheel encoder and inertial sensors.
* Develop scalable and real\-time localization module optimized for autonomous robotic systems.
* Create engineering specifications and test procedures to ensure system compliance.
* Evaluate and benchmark the performance of localization systems.
* Review the state\-of\-the\-art in camera\- and LiDAR\-based localization algorithms
* Troubleshoot using strong knowledge of probabilistic estimation, sensor fusion, and real\-time system implementation.
* Adjust and fine\-tune localization system parameters to improve accuracy and robustness
**Your Skills \&amp; Abilities:**
* Bachelor's, Master’s or Ph.D. in Robotics, Computer Science, Electrical/Mechanical Engineering, or related field.
* Proficiency in C\+\+ or Python.
* Expertise in camera\- and LiDAR\-based localization algorithms, statistical estimation theory, and practices such as pose graph and factor graph optimization and implementation.
* Experience optimizing localization software to balance performance within resource constraints.
* Understanding of state\-of\-the\-art solutions in place recognition for addressing loop\-closure detection issues.
* Familiarity with ROS2 or other robotics middleware.
* Understanding and experience of other robotics key modules such as perception, mapping, and path planning.
* Adhere to continuous development and deployment practices in robotic software development
**What Will Give You A Competitive Edge:**
* Proficiency with deep learning frameworks and toolchains like PyTorch and TensorFlow
* Knowledge of the development process for deep learning and AI models
* Familiarity with localization repositories like Cartographer, ORB\-SLAM, and VINS\-Mono.
* Experience working with cloud\-based map construction systems.
* AV/ADAS integration or industrial automation experience is a bonus.
 Compensation: The compensation information is a good faith estimate only. It is based on what a successful applicant might be paid in accordance with applicable state laws. The compensation may not be representative for positions located outside of New York, Colorado, California, or Washington.
* The salary range for this role is 166,000 to 265,000\. The actual base salary a successful candidate will be offered within this range will vary based on factors relevant to the position.
* Bonus Potential: An incentive pay program offers payouts based on company performance, job level, and individual performance.
* Benefits: GM offers a variety of health and wellbeing benefit programs. Benefit options include medical, dental, vision, Health Savings Account, Flexible Spending Accounts, retirement savings plan, sickness and accident benefits, life insurance, paid vacation \&amp; holidays, tuition assistance programs, employee assistance program, GM vehicle discounts and more
 This role is categorized as hybrid. This means the selected candidate is expected to report to a specific location at least 3 times a week {or other frequency dictated by their manager}. The selected candidate will be required to travel \&lt;25% for this role. This job may be eligible for relocation benefits.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82">
      <c r="A82" t="inlineStr">
        <is>
          <t>li-4379937210</t>
        </is>
      </c>
      <c r="B82" t="inlineStr">
        <is>
          <t>AI Engineer</t>
        </is>
      </c>
      <c r="C82" t="inlineStr">
        <is>
          <t>micro1</t>
        </is>
      </c>
      <c r="D82" t="inlineStr">
        <is>
          <t>linkedin</t>
        </is>
      </c>
      <c r="E82">
        <f>HYPERLINK("https://www.linkedin.com/jobs/view/4379937210", "https://www.linkedin.com/jobs/view/4379937210")</f>
        <v/>
      </c>
      <c r="F82" t="inlineStr"/>
      <c r="G82" t="inlineStr"/>
      <c r="H82" t="inlineStr"/>
      <c r="I82" t="inlineStr">
        <is>
          <t>**Job Title:** 
 AI/ML Engineer
**Job Type:** 
 Full\-time, Contractual
**Job Summary:** 
 Join our customer's team as a AI Engineer and play a pivotal role in driving mission\-critical government initiatives while also contributing to micro1’s proprietary AI infrastructure,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 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83">
      <c r="A83" t="inlineStr">
        <is>
          <t>li-4299030887</t>
        </is>
      </c>
      <c r="B83" t="inlineStr">
        <is>
          <t>Staff Machine Learning Engineer - Generative AI</t>
        </is>
      </c>
      <c r="C83" t="inlineStr">
        <is>
          <t>Xometry</t>
        </is>
      </c>
      <c r="D83" t="inlineStr">
        <is>
          <t>linkedin</t>
        </is>
      </c>
      <c r="E83">
        <f>HYPERLINK("https://www.linkedin.com/jobs/view/4299030887", "https://www.linkedin.com/jobs/view/4299030887")</f>
        <v/>
      </c>
      <c r="F83" t="inlineStr"/>
      <c r="G83" t="inlineStr">
        <is>
          <t>North Bethesda, MD</t>
        </is>
      </c>
      <c r="H83" t="inlineStr"/>
      <c r="I83"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**Staff Machine Learning Engineer** 
 to lead our Generative AI efforts. This is a rare opportunity to shape the future of manufacturing by applying cutting\-edge AI research to real\-world problems: from multimodal document understanding, to extracting structured data from technical drawings, to building new ways of reasoning across text, images, and 3D data. If you’re passionate about building state\-of\-the\-art AI systems and want to see your work have immediate business and customer impact, we’d love to talk.
**Responsibilities:**
* Lead with vision – Set the technical direction for our Generative AI team, establish best practices, and inspire high\-impact innovation.
* Drive strategy – Help shape the AI roadmap, identifying the most valuable opportunities to apply generative AI across Xometry’s marketplace.
* Build cutting\-edge models – Develop and deploy large language and generative models for multimodal document processing and structured data extraction.
* Innovate across modalities – Explore new ways to combine text, images, and 3D data to unlock smarter, faster solutions.
* Engineer at scale – Create data pipelines and training workflows that can handle massive, complex datasets.
* Deploy in the cloud – Use AWS and other platforms to train, optimize, and deploy models into production at scale.
* Collaborate widely – Work with engineers, product leaders, and business teams to bring AI solutions into real products and customer workflows.
* Mentor and grow – Guide teammates on advanced ML methods, model architecture, and best practices, elevating the entire team.
* Stay ahead – Keep up with the latest generative AI and deep learning research, and bring fresh ideas into production.
**Qualifications:**
* Bachelor’s degree required; advanced degree (M.S. or PhD) in Computer Science, Machine Learning, AI, or related field is a big plus.
* 5\+ years of experience in machine learning or data science, with deep expertise in generative models, LLMs, or computer vision.
* Strong track record working with large\-scale language and vision models (Transformers, GPT, VLMs).
* Hands\-on experience with multimodal data (text, images, 3D).
* Proficiency in Python and key ML libraries (PyTorch, TensorFlow, pandas, NumPy).
* Solid grounding in probability, statistics, and optimization for generative modeling.
* Experience deploying ML and AI models using cloud microservice architecture (AWS preferred).
* Strong software engineering skills, including object oriented programming, testing, version control, CI/CD best practices and IaC (terraform preferred).
* A proven ability to communicate effectively with all levels of the organization, from executives to product managers and various stakeholders.
* Background in manufacturing, supply chain, or related industries is a plus — but curiosity and drive matter more.
* Must be a U.S. Citizen or Green Card holder (ITAR compliance)
 The estimated base salary range for new hires into this role is $140,000\-$230,000 annually OR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84">
      <c r="A84" t="inlineStr">
        <is>
          <t>li-4331190053</t>
        </is>
      </c>
      <c r="B84" t="inlineStr">
        <is>
          <t>Senior Machine Learning Engineer, Computer Vision</t>
        </is>
      </c>
      <c r="C84" t="inlineStr">
        <is>
          <t>Metropolis Technologies</t>
        </is>
      </c>
      <c r="D84" t="inlineStr">
        <is>
          <t>linkedin</t>
        </is>
      </c>
      <c r="E84">
        <f>HYPERLINK("https://www.linkedin.com/jobs/view/4331190053", "https://www.linkedin.com/jobs/view/4331190053")</f>
        <v/>
      </c>
      <c r="F84" t="inlineStr"/>
      <c r="G84" t="inlineStr">
        <is>
          <t>Los Angeles, CA</t>
        </is>
      </c>
      <c r="H84" t="inlineStr"/>
      <c r="I84"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We are seeking a Senior Machine Learning Engineer to play a key role to join our growing team. As a key member of the Advanced Technologies team, you will play a critical role in designing, developing, and deploying state\-of\-the\-art computer vision and recommendation models that power our core products and solutions. Your work will involve tackling challenging problems in object detection, tracking, OCR, video analytics, and multi\-modal systems. This role involves a unique blend of technical expertise in data and machine learning, innovative thinking, and a passion for data\-driven solutions.
**What You'll Do**
* Design, develop, and deploy advanced computer vision models for real\-world applications, including object detection, itracking, OCR, image search, and scene understanding
* Build and optimize deep learning models, ensuring high accuracy, performance, and scalability for deployment in production environments
* Explore and integrate multi\-modal approaches, leveraging visual, textual, and other data modalities for robust solutions
* Collaborate with cross\-functional teams, including data engineers and software engineers to deliver end\-to\-end solutions
* Lead the design and implementation of scalable pipelines for data processing, model training, and model deployment
* Optimize models for performance on various hardware platforms, including CPUs, GPUs, and edge devices
* Conduct thorough experimentation and A/B testing to validate model effectiveness and ensure alignment with business objectives
* Mentor junior team members, providing technical guidance and fostering professional growth
* Write clean, efficient, and maintainable code while adhering to best practices in software engineering and machine learning
**What we're looking for**
* PhD in Computer Science, Engineering, or a related field, or equivalent work experience
* 5\+ years of hands\-on experience in machine learning and computer vision, with a strong track record of deploying models into production
* Proficiency in Python and ML frameworks (PyTorch/TensorFlow/ONNX/TensorRT)
* Strong experience with model optimization (e.g., quantization, pruning) and deployment on various platforms (cloud, edge, or mobile)
* Familiarity with cloud platforms (AWS, GCP, or Azure), containerization (Docker), and orchestration (ECS, Kubernetes)
* Proven experience in building and maintaining data pipelines (e.g., Airflow)
* Strong understanding of the agile development process and CI/CD pipelines and tools (e.g., Github Actions, Jenkins)
* Excellent communication skills, capable of presenting complex technical information clearly
**While not required, these are a plus:**
* Experience with C\+\+
* Experience in high\-growth, innovative environments
* Publications in top\-tier conferences (e.g., CVPR, ICCV, NeurIPS) are a strong plus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to $200,000\.00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85">
      <c r="A85" t="inlineStr">
        <is>
          <t>li-4331187671</t>
        </is>
      </c>
      <c r="B85" t="inlineStr">
        <is>
          <t>Senior Machine Learning Engineer, Computer Vision</t>
        </is>
      </c>
      <c r="C85" t="inlineStr">
        <is>
          <t>Metropolis Technologies</t>
        </is>
      </c>
      <c r="D85" t="inlineStr">
        <is>
          <t>linkedin</t>
        </is>
      </c>
      <c r="E85">
        <f>HYPERLINK("https://www.linkedin.com/jobs/view/4331187671", "https://www.linkedin.com/jobs/view/4331187671")</f>
        <v/>
      </c>
      <c r="F85" t="inlineStr"/>
      <c r="G85" t="inlineStr">
        <is>
          <t>Seattle, WA</t>
        </is>
      </c>
      <c r="H85" t="inlineStr"/>
      <c r="I85" t="inlineStr">
        <is>
          <t>**Who We Are**
 The real world is the next frontier, and at Metropolis, we are creating the artificial intelligence to make it responsive. We are pioneering the Recognition Economy — a future where mundane repetition disappears and being known unlocks access, comfort and belonging everywhere you go. From transforming parking into a seamless drive\-in, drive\-out experience for millions of Members to expanding our intelligence layer across retail and hospitality, we are building a world that feels instinctive and magical. The future isn’t coming; it’s here, and we need builders, innovators and problem solvers to help us create it.
**Who You Are**
 We are seeking a Senior Machine Learning Engineer to play a key role to join our growing team. As a key member of the Advanced Technologies team, you will play a critical role in designing, developing, and deploying state\-of\-the\-art computer vision and recommendation models that power our core products and solutions. Your work will involve tackling challenging problems in object detection, tracking, OCR, video analytics, and multi\-modal systems. This role involves a unique blend of technical expertise in data and machine learning, innovative thinking, and a passion for data\-driven solutions.
**What You'll Do**
* Design, develop, and deploy advanced computer vision models for real\-world applications, including object detection, itracking, OCR, image search, and scene understanding
* Build and optimize deep learning models, ensuring high accuracy, performance, and scalability for deployment in production environments
* Explore and integrate multi\-modal approaches, leveraging visual, textual, and other data modalities for robust solutions
* Collaborate with cross\-functional teams, including data engineers and software engineers to deliver end\-to\-end solutions
* Lead the design and implementation of scalable pipelines for data processing, model training, and model deployment
* Optimize models for performance on various hardware platforms, including CPUs, GPUs, and edge devices
* Conduct thorough experimentation and A/B testing to validate model effectiveness and ensure alignment with business objectives
* Mentor junior team members, providing technical guidance and fostering professional growth
* Write clean, efficient, and maintainable code while adhering to best practices in software engineering and machine learning
**What we're looking for**
* PhD in Computer Science, Engineering, or a related field, or equivalent work experience
* 5\+ years of hands\-on experience in machine learning and computer vision, with a strong track record of deploying models into production
* Proficiency in Python and ML frameworks (PyTorch/TensorFlow/ONNX/TensorRT)
* Strong experience with model optimization (e.g., quantization, pruning) and deployment on various platforms (cloud, edge, or mobile)
* Familiarity with cloud platforms (AWS, GCP, or Azure), containerization (Docker), and orchestration (ECS, Kubernetes)
* Proven experience in building and maintaining data pipelines (e.g., Airflow)
* Strong understanding of the agile development process and CI/CD pipelines and tools (e.g., Github Actions, Jenkins)
* Excellent communication skills, capable of presenting complex technical information clearly
**While not required, these are a plus:**
* Experience with C\+\+
* Experience in high\-growth, innovative environments
* Publications in top\-tier conferences (e.g., CVPR, ICCV, NeurIPS) are a strong plus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to $200,000\.00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86">
      <c r="A86" t="inlineStr">
        <is>
          <t>li-4372713781</t>
        </is>
      </c>
      <c r="B86" t="inlineStr">
        <is>
          <t>AI Engineer</t>
        </is>
      </c>
      <c r="C86" t="inlineStr">
        <is>
          <t>Underdog.io -Apply to top tech jobs in 60 seconds. A place where companies apply to you</t>
        </is>
      </c>
      <c r="D86" t="inlineStr">
        <is>
          <t>linkedin</t>
        </is>
      </c>
      <c r="E86">
        <f>HYPERLINK("https://www.linkedin.com/jobs/view/4372713781", "https://www.linkedin.com/jobs/view/4372713781")</f>
        <v/>
      </c>
      <c r="F86">
        <f>HYPERLINK("https://underdog.io/candidates/apply&amp;urlHash=eOE4", "https://underdog.io/candidates/apply&amp;urlHash=eOE4")</f>
        <v/>
      </c>
      <c r="G86" t="inlineStr"/>
      <c r="H86" t="inlineStr"/>
      <c r="I86" t="inlineStr">
        <is>
          <t>**Senior AI Developer** 
**Location:** 
 New York City, NY
 Build AI That Actually Helps Humans
 We’re a fast\-growing automation startup backed by top\-tier investors. Our mission: transform how Managed Service Providers (MSPs) work by eliminating mundane tasks through intelligent tools. We’re seeking an AI engineer who cares about
 *why* 
 AI matters—not just
 *how* 
 to build it. If you’re tired of shipping LLM demos that never help real users, join us to build agentic AI that gives overwhelmed IT engineers their time back.
**What You’ll Do** 
* **Design and ship AI features** 
 that solve real MSP pain points: natural\-language workflow creation, autonomous agents, and context\-aware task automation.
* **Build agentic systems** 
 that act responsibly—knowing when to automate, ask for input, or escalate to humans.
* **Optimize production\-grade AI** 
 : Tune prompts, RAG pipelines, and inference stacks (OpenAI, Claude, open\-source LLMs) for speed, cost, and reliability.
* **Integrate AI into core workflows** 
 using tools like LangChain, LlamaIndex, and custom orchestration layers.
* **Collaborate cross\-functionally** 
 to transform prototypes into features that ship.
* **Solve hard problems** 
 : Balance autonomy with safety, reduce hallucinations, and embed empathy into AI interactions.
**Tech Stack You’ll Use** 
* **Core** 
 : Python, FastAPI, Celery, PostgreSQL, React
* **AI/ML** 
 : OpenAI, Anthropic, Mistral/LLaMA, LangChain, Pinecone
* **Infra** 
 : AWS/Azure, Kubernetes, Docker, Redis
* **Observability** 
 : LLM telemetry, cost optimization
**Who You Are** 
* 5\+ years in software engineering, including
 **2\+ years shipping production AI/ML systems** 
 (not just prototypes).
* **Proven expertise** 
 in:
* LLM integration (RAG, agentic architectures, prompt engineering)
* Designing human\-AI interaction patterns (escalation, guardrails)
* Building with frameworks like LangChain or custom orchestration
* **Builder mindset** 
 : You prioritize user impact over model hype.
* **MSP empathy** 
 : You intuitively grasp IT engineers’ pain points (bonus: RPA/automation experience).
* **Communication skills** 
 : Translate technical complexity into user value.
**Above \&amp; Beyond** 
* Experience fine\-tuning/hosting open\-source LLMs
* Contributions to AI open\-source projects (e.g., LangChain agents)
* Observability and cost optimization for AI inference
* Background in automation, agent\-based systems, or MSP workflows
**Why Join** 
* **Solve meaningful problems** 
 : Your AI features directly help overworked engineers.
* **Ownership \&amp; impact** 
 : Autonomy to shape high\-stakes AI decisions.
* **Competitive comp** 
 : Salary \+ equity \+ benefits in a scaling startup.
* **Remote\-first culture** 
 : Collaborate with execution\-obsessed builders.
* **No fluff, just shipping** 
 : We value clarity and results over demos.
**For AI Builders Who Hate Hallucinations** 
 If you want to build AI that
 *actually works* 
 —and see it change how thousands of IT professionals operate—apply now. Let’s create tools that augment humans, not replace them.
*Note: No visa sponsorship.*</t>
        </is>
      </c>
    </row>
    <row r="87">
      <c r="A87" t="inlineStr">
        <is>
          <t>li-4379294290</t>
        </is>
      </c>
      <c r="B87" t="inlineStr">
        <is>
          <t>Lead Machine Learning Engineer – Agentic AI, Vice President</t>
        </is>
      </c>
      <c r="C87" t="inlineStr">
        <is>
          <t>JPMorganChase</t>
        </is>
      </c>
      <c r="D87" t="inlineStr">
        <is>
          <t>linkedin</t>
        </is>
      </c>
      <c r="E87">
        <f>HYPERLINK("https://www.linkedin.com/jobs/view/4379294290", "https://www.linkedin.com/jobs/view/4379294290")</f>
        <v/>
      </c>
      <c r="F87" t="inlineStr"/>
      <c r="G87" t="inlineStr">
        <is>
          <t>Jersey City, NJ</t>
        </is>
      </c>
      <c r="H87" t="inlineStr"/>
      <c r="I87" t="inlineStr">
        <is>
          <t>**Job Description**
 Are you passionate about building the next generation of AI solutions? Join us to lead and mentor a team of talented engineers, drive innovation in generative and agentic AI, and deliver impactful, scalable technology for Risk Technology. You’ll collaborate with cross\-functional partners and play a key role in shaping the future of Asset and Wealth Management Risk.
 As a Lead Machine Learning Engineer – Agentic AI in Risk Technology, you will lead a specialized technical area, driving impact across teams, technologies, and projects. You will leverage your expertise in software engineering and multi\-agent system design to deliver complex, high\-impact initiatives. You will mentor and guide a team of engineers, foster best practices in ML engineering, and partner with data science, product, and business teams to deliver end\-to\-end solutions that drive value for the Risk business.
**Job Responsibilities**
* Lead the deployment and scaling of advanced generative AI, agentic AI, and classical ML solutions for the Risk business.
* Design and execute enterprise\-wide, reusable AI/ML frameworks and core infrastructure to accelerate AI solution development.
* Develop multi\-agent systems for orchestration, agent\-to\-agent communication, memory, telemetry, and guardrails.
* Guide research on context and prompt engineering techniques to improve prompt\-based model performance, utilizing libraries such as SmartSDK and LangGraph.
* Develop and maintain tools and frameworks for prompt\-based agent evaluation, monitoring, and optimization at enterprise scale.
* Build and maintain data pipelines and processing workflows for scalable, efficient data consumption.
* Write secure, high\-quality production code and conduct code reviews.
* Partner with Data Science, Product, and Business teams to identify requirements and develop solutions.
* Communicate technical concepts and results to both technical and non\-technical stakeholders, including senior leadership.
* Provide technical leadership, mentorship, and guidance to junior engineers, promoting a culture of excellence and continuous learning.
**Required Qualifications, Capabilities, And Skills**
* Bachelor’s or Master’s degree in Computer Science, Engineering, Data Science, or a related field.
* 10\+ years of experience in machine learning engineering.
* Strong proficiency in Python and experience deploying end\-to\-end pipelines on AWS.
* Hands\-on experience in system design, application development, testing, and operational stability.
* Experience using LangGraph or SmartSDK for multi\-agent orchestration.
* Experience with AWS and infrastructure\-as\-code tools such as Terraform.
**Preferred Qualifications, Capabilities, And Skills**
* Strategic thinker with the ability to drive technical vision for business impact.
* Demonstrated leadership working with engineers, data scientists, and ML practitioners.
* Familiarity with MLOps practices, including CI/CD for ML, model monitoring, automated deployment, and ML pipelines.
* Experience with agentic telemetry and evaluation services.
* Hands\-on experience building and maintaining user interfaces.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88">
      <c r="A88" t="inlineStr">
        <is>
          <t>li-4379906734</t>
        </is>
      </c>
      <c r="B88" t="inlineStr">
        <is>
          <t>Lead Machine Learning Engineer</t>
        </is>
      </c>
      <c r="C88" t="inlineStr">
        <is>
          <t>Capital One</t>
        </is>
      </c>
      <c r="D88" t="inlineStr">
        <is>
          <t>linkedin</t>
        </is>
      </c>
      <c r="E88">
        <f>HYPERLINK("https://www.linkedin.com/jobs/view/4379906734", "https://www.linkedin.com/jobs/view/4379906734")</f>
        <v/>
      </c>
      <c r="F88">
        <f>HYPERLINK("https://dsp.prng.co/964JyZb&amp;urlHash=vynF", "https://dsp.prng.co/964JyZb&amp;urlHash=vynF")</f>
        <v/>
      </c>
      <c r="G88" t="inlineStr">
        <is>
          <t>New York, NY</t>
        </is>
      </c>
      <c r="H88" t="inlineStr"/>
      <c r="I88" t="inlineStr">
        <is>
          <t>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Design, build, and/or deliver ML models and components that solve real\-world business problems, while working in collaboration with a cross\-functional team of engineers, research scientists, technical program managers, and product managers..
* Leverage or build cloud\-based architectures, technologies, and/or platforms to deliver optimized ML models at scale such as AWS Ultraclusters, Huggingface, VectorDBs, PyTorch, and more.
* Construct optimized data pipelines to feed ML models.
* Design, develop, test, deploy, and support AI software components including large language model inference, similarity search, model evaluation, experimentation, governance, and observability, etc.
* Invent and introduce state\-of\-the\-art LLM optimization techniques to improve the performance — scalability, cost, latency, throughput — of large scale production AI systems.
* Contribute to the technical vision and the long term roadmap of foundational AI systems at Capital One.
* Ensure all code is well\-managed to reduce vulnerabilities, models are well\-governed from a risk perspective, and the ML follows best practices in Responsible and Explainable AI.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 At least 6 years of experience designing and building data\-intensive solutions using distributed computing (Internship experience does not apply)
* At least 4 years of experience programming with Python, Scala, or Java
* At least 2 years of experience building, scaling, and optimizing ML systems
****Preferred Qualifications:****
* Master's or doctoral degree in computer science, electrical engineering, mathematics, or a similar field
* Experience developing, delivering, and supporting ML solutions in a public cloud such as AWS, Azure, or Google Cloud Platform
* 3\+ years of on\-the\-job experience with an industry recognized ML framework such as scikit\-learn, PyTorch, Dask, Spark, or TensorFlow
* 2\+ years of experience with data gathering and preparation for ML models
* ML industry impact through conference presentations, papers, blog posts, open source contributions, or patents
* Experience developing AI and ML algorithms or technologies (e.g. LLM Inference, Similarity Search and VectorDBs, Guardrails, Memory)
* Experience developing and applying state\-of\-the\-art techniques for optimizing training and inference software to improve hardware utilization, latency, throughput, and cost
* Ability to communicate complex technical concepts clearly to a variety of audiences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$197,300 \- $225,100 for Lead Machine Learning Engineer
 McLean, VA: $197,300 \- $225,100 for Lead Machine Learning Engineer
 New York, NY: $215,200 \- $245,600 for Lead Machine Learning Engineer
 San Francisco, CA: $215,200 \- $245,600 for Lead Machine Learning Engineer
 San Jose, CA: $215,200 \- $245,600 for Lead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89">
      <c r="A89" t="inlineStr">
        <is>
          <t>li-4375821022</t>
        </is>
      </c>
      <c r="B89" t="inlineStr">
        <is>
          <t>Sr Machine Learning Engineer</t>
        </is>
      </c>
      <c r="C89" t="inlineStr">
        <is>
          <t>Underdog.io -Apply to top tech jobs in 60 seconds. A place where companies apply to you</t>
        </is>
      </c>
      <c r="D89" t="inlineStr">
        <is>
          <t>linkedin</t>
        </is>
      </c>
      <c r="E89">
        <f>HYPERLINK("https://www.linkedin.com/jobs/view/4375821022", "https://www.linkedin.com/jobs/view/4375821022")</f>
        <v/>
      </c>
      <c r="F89">
        <f>HYPERLINK("https://underdog.io/candidates/apply&amp;urlHash=eOE4", "https://underdog.io/candidates/apply&amp;urlHash=eOE4")</f>
        <v/>
      </c>
      <c r="G89" t="inlineStr"/>
      <c r="H89" t="inlineStr"/>
      <c r="I89"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90">
      <c r="A90" t="inlineStr">
        <is>
          <t>li-4342456726</t>
        </is>
      </c>
      <c r="B90" t="inlineStr">
        <is>
          <t>Home Lending Data &amp; Analytics – Applied AI/ML Engineer - VP</t>
        </is>
      </c>
      <c r="C90" t="inlineStr">
        <is>
          <t>JPMorganChase</t>
        </is>
      </c>
      <c r="D90" t="inlineStr">
        <is>
          <t>linkedin</t>
        </is>
      </c>
      <c r="E90">
        <f>HYPERLINK("https://www.linkedin.com/jobs/view/4342456726", "https://www.linkedin.com/jobs/view/4342456726")</f>
        <v/>
      </c>
      <c r="F90">
        <f>HYPERLINK("https://JPMorganChase.contacthr.com/151214606&amp;urlHash=m94U", "https://JPMorganChase.contacthr.com/151214606&amp;urlHash=m94U")</f>
        <v/>
      </c>
      <c r="G90" t="inlineStr">
        <is>
          <t>Jacksonville, FL</t>
        </is>
      </c>
      <c r="H90" t="inlineStr"/>
      <c r="I90" t="inlineStr">
        <is>
          <t>**Job Description**
 Are you ready to play a pivotal role in shaping the future of Data \&amp; Analytics?
 As a valued member of our Home Lending Data \&amp; Analytics Applied AI/ML team, you will be at the forefront of our firm\-wide initiatives to innovate and enhance Data \&amp; Analytics functions. Your contributions will be instrumental in transforming the processes and tools for data, analysis, and modeling.
 As an Applied AI/ML Engineer within our Home Lending Data \&amp; Analytics team, you will work in close coordination with various teams in Data \&amp; Analytics, including Data Owners, Reporting, Analysis, and Modeling. Your role will involve designing and implementing AI\-powered solutions that boost operational efficiency, improve employee experience, and improve data quality. Leveraging your expertise in artificial intelligence and data analytics, you will develop state\-of\-the\-art applications that simplify processes and yield tangible business outcomes. Your valuable contributions will play a pivotal role in transforming our way of working, ensuring we remain at the cutting edge of the industry.
**Job Responsibilities**
* Write and deliver high\-quality code for AI\-driven Home Lending Data \&amp; Analytics initiatives, ensuring robust and efficient solutions that meet business objectives
* Work closely with Data Owners, Reporting, Analysis, and Modeling teams to address and solve complex problems including AI, ML, and advanced analytics, with a focus on generative AI technologies
* Deploy and scale AI models to production environments, ensuring robustness, reliability, security, and compliance
* Fine\-tune AI models for optimal performance and efficiency, addressing any issues that arise
* Work closely with data scientists, software engineers, and product teams to integrate AI solutions into existing systems and workflows
* Own and manage the entire code lifecycle, from development through production deployment and ongoing maintenance, adhering to best practices
* Develop and maintain comprehensive technical documentation for all AI solutions, ensuring clarity, accuracy, and accessibility for both technical and non\-technical stakeholders
* Continuously monitor AI performance, making necessary adjustments to maintain and improve accuracy and efficiency
* Engage with stakeholders to develop, demonstrate, and iterate on deliverables, ensuring alignment with analyst needs and regulatory requirement
**Required Qualifications, Capabilities, And Skills**
* 7\+ years of work experience.
* Masters degree in a quantitative field such as Data Science, Computer Science, Engineering, Math, Physics, etc
* Proven track record of delivering projects in the AI/ML and data analytics space
* Proficiency in Python.
* Experience with foundation LLMs (e.g., GPT\-5, Claude), RAG, Agents.
* Strong understanding of software engineering principles and practices, including version control, testing, and code optimization
* Technical documentation experience preferred.
**Preferred Qualifications, Capabilities And Skills**
* Experience with AWS Cloud Platform and Databricks for deploying and managing machine learning models preferred.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91">
      <c r="A91" t="inlineStr">
        <is>
          <t>li-4377284642</t>
        </is>
      </c>
      <c r="B91" t="inlineStr">
        <is>
          <t>AI Engineer</t>
        </is>
      </c>
      <c r="C91" t="inlineStr">
        <is>
          <t>Jobs via Dice</t>
        </is>
      </c>
      <c r="D91" t="inlineStr">
        <is>
          <t>linkedin</t>
        </is>
      </c>
      <c r="E91">
        <f>HYPERLINK("https://www.linkedin.com/jobs/view/4377284642", "https://www.linkedin.com/jobs/view/4377284642")</f>
        <v/>
      </c>
      <c r="F91" t="inlineStr"/>
      <c r="G91" t="inlineStr">
        <is>
          <t>Papillion, NE</t>
        </is>
      </c>
      <c r="H91" t="inlineStr"/>
      <c r="I91" t="inlineStr">
        <is>
          <t>**Description**
 What You Will Be Doing:
 The qualified candidate will work with experienced software engineers executing web development best practices, full\-stack design patterns, and secure software techniques in the Rogue Blue Software (RBS) Software environment as part of the Integrated Strategic Planning and Analysis Network (ISPAN) Mission Planning and Application System (MPAS) systems.
 Responsibilities will include software development and design for Artificial Intelligence and Machine Learning systems, model creation, data science / analytics, and interaction with systems engineers, architects, scrum masters, product owners, and end users to deliver mission capabilities.
 Basic Qualifications:
 Bachelors degree from an accredited college in a related discipline, or equivalent experience/combined education, with 9 years of professional experience; or 7 years of professional experience with a related Masters degree. Considered an emerging authority.
 This position is located at a facility that requires special access
 Experience with AI/ML: disciplines, domain programming languages (including Python), models, frameworks, and toolsets.
 Experience analyzing domain problems and selecting and designing AI solutions.
 Desired Skills:
 DevOps experience including CI/CD pipelines to build, test, deploy.
 Experience with training deep neural networks and other AI algorithms
 Experience with Java and JavaScript
 Familiarity with high\-performance computing
 Familiarity interfacing with databases (Oracle, MongoDB)
**Skills**
 Python, Machine learning, Artificial intelligence, Devops, Cloud, Data science, Data
**Top Skills Details**
 Python,Machine learning,Artificial intelligence,Devops,Cloud,Data science,Data
**Experience Level**
 Expert Level
**Job Type \&amp; Location**
 This is a Contract position based out of Papillion, NE.
**Pay And Benefits**
 The pay range for this position is $60\.00 \- $80\.00/hr.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fully onsite position in Papillion,NE.
**Application Deadline**
 This position is anticipated to close on Mar 11,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2026-03-02T16:57:11Z</dcterms:created>
  <dcterms:modified xsi:type="dcterms:W3CDTF">2026-03-02T16:57:12Z</dcterms:modified>
</cp:coreProperties>
</file>