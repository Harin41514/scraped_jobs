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9"/>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in-1d989c83ea8bed7b</t>
        </is>
      </c>
      <c r="B2" t="inlineStr">
        <is>
          <t>Sr. Applied Scientist, Amazon Ads</t>
        </is>
      </c>
      <c r="C2" t="inlineStr">
        <is>
          <t>Amazon.com</t>
        </is>
      </c>
      <c r="D2" t="inlineStr">
        <is>
          <t>indeed</t>
        </is>
      </c>
      <c r="E2" t="inlineStr"/>
      <c r="F2" t="inlineStr"/>
      <c r="G2" t="inlineStr">
        <is>
          <t>New York, NY, US</t>
        </is>
      </c>
      <c r="H2" s="1"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in-d3ddf8ca70a15f7b</t>
        </is>
      </c>
      <c r="B3" t="inlineStr">
        <is>
          <t>Sr. Applied Scientist, Amazon Ads</t>
        </is>
      </c>
      <c r="C3" t="inlineStr">
        <is>
          <t>Amazon.com</t>
        </is>
      </c>
      <c r="D3" t="inlineStr">
        <is>
          <t>indeed</t>
        </is>
      </c>
      <c r="E3" t="inlineStr"/>
      <c r="F3" t="inlineStr"/>
      <c r="G3" t="inlineStr">
        <is>
          <t>Seattle, WA, US</t>
        </is>
      </c>
      <c r="H3" s="1"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in-45c0d020352a78f4</t>
        </is>
      </c>
      <c r="B4" t="inlineStr">
        <is>
          <t>Sr. Applied Scientist, Amazon Ads</t>
        </is>
      </c>
      <c r="C4" t="inlineStr">
        <is>
          <t>Amazon.com</t>
        </is>
      </c>
      <c r="D4" t="inlineStr">
        <is>
          <t>indeed</t>
        </is>
      </c>
      <c r="E4" t="inlineStr"/>
      <c r="F4" t="inlineStr"/>
      <c r="G4" t="inlineStr">
        <is>
          <t>Santa Monica, CA, US</t>
        </is>
      </c>
      <c r="H4" s="1"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in-691b2da9910f81a6</t>
        </is>
      </c>
      <c r="B5" t="inlineStr">
        <is>
          <t>Sr. Applied Scientist, Amazon Ads</t>
        </is>
      </c>
      <c r="C5" t="inlineStr">
        <is>
          <t>Amazon.com</t>
        </is>
      </c>
      <c r="D5" t="inlineStr">
        <is>
          <t>indeed</t>
        </is>
      </c>
      <c r="E5" t="inlineStr"/>
      <c r="F5" t="inlineStr"/>
      <c r="G5" t="inlineStr">
        <is>
          <t>Brooklyn, NY, US</t>
        </is>
      </c>
      <c r="H5" s="1"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in-f1cdf0ce0116ef0b</t>
        </is>
      </c>
      <c r="B6" t="inlineStr">
        <is>
          <t>Sr. Applied Scientist, Amazon Ads</t>
        </is>
      </c>
      <c r="C6" t="inlineStr">
        <is>
          <t>Amazon.com</t>
        </is>
      </c>
      <c r="D6" t="inlineStr">
        <is>
          <t>indeed</t>
        </is>
      </c>
      <c r="E6" t="inlineStr"/>
      <c r="F6" t="inlineStr"/>
      <c r="G6" t="inlineStr">
        <is>
          <t>Palo Alto, CA, US</t>
        </is>
      </c>
      <c r="H6" s="1"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in-4ea4f1f73606c225</t>
        </is>
      </c>
      <c r="B7" t="inlineStr">
        <is>
          <t>Sr. Applied Scientist, Amazon Ads</t>
        </is>
      </c>
      <c r="C7" t="inlineStr">
        <is>
          <t>Amazon.com</t>
        </is>
      </c>
      <c r="D7" t="inlineStr">
        <is>
          <t>indeed</t>
        </is>
      </c>
      <c r="E7" t="inlineStr"/>
      <c r="F7" t="inlineStr"/>
      <c r="G7" t="inlineStr">
        <is>
          <t>Boston, MA, US</t>
        </is>
      </c>
      <c r="H7" s="1"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in-b6739fc8a93cf919</t>
        </is>
      </c>
      <c r="B8" t="inlineStr">
        <is>
          <t>Sr. Applied Scientist, Amazon Ads</t>
        </is>
      </c>
      <c r="C8" t="inlineStr">
        <is>
          <t>Amazon.com</t>
        </is>
      </c>
      <c r="D8" t="inlineStr">
        <is>
          <t>indeed</t>
        </is>
      </c>
      <c r="E8" t="inlineStr"/>
      <c r="F8" t="inlineStr"/>
      <c r="G8" t="inlineStr">
        <is>
          <t>Boulder, CO, US</t>
        </is>
      </c>
      <c r="H8" s="1"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in-2b8e63069540952c</t>
        </is>
      </c>
      <c r="B9" t="inlineStr">
        <is>
          <t>Sr. Applied Scientist, Amazon Ads</t>
        </is>
      </c>
      <c r="C9" t="inlineStr">
        <is>
          <t>Amazon.com</t>
        </is>
      </c>
      <c r="D9" t="inlineStr">
        <is>
          <t>indeed</t>
        </is>
      </c>
      <c r="E9" t="inlineStr"/>
      <c r="F9" t="inlineStr"/>
      <c r="G9" t="inlineStr">
        <is>
          <t>Corvallis, OR, US</t>
        </is>
      </c>
      <c r="H9" s="1"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in-07d76b28a5999c3d</t>
        </is>
      </c>
      <c r="B10" t="inlineStr">
        <is>
          <t>Sr. Applied Scientist, Amazon Ads</t>
        </is>
      </c>
      <c r="C10" t="inlineStr">
        <is>
          <t>Amazon.com</t>
        </is>
      </c>
      <c r="D10" t="inlineStr">
        <is>
          <t>indeed</t>
        </is>
      </c>
      <c r="E10" t="inlineStr"/>
      <c r="F10" t="inlineStr"/>
      <c r="G10" t="inlineStr">
        <is>
          <t>Sunnyvale, CA, US</t>
        </is>
      </c>
      <c r="H10" s="1"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in-1f95de8e7994f72a</t>
        </is>
      </c>
      <c r="B11" t="inlineStr">
        <is>
          <t>Sr. Applied Scientist, Amazon Ads</t>
        </is>
      </c>
      <c r="C11" t="inlineStr">
        <is>
          <t>Amazon.com</t>
        </is>
      </c>
      <c r="D11" t="inlineStr">
        <is>
          <t>indeed</t>
        </is>
      </c>
      <c r="E11" t="inlineStr"/>
      <c r="F11" t="inlineStr"/>
      <c r="G11" t="inlineStr">
        <is>
          <t>Tukwila, WA, US</t>
        </is>
      </c>
      <c r="H11" s="1"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in-31c8d362958311ea</t>
        </is>
      </c>
      <c r="B12" t="inlineStr">
        <is>
          <t>Applied Scientist II, Prime Video - Personalization and Discovery Science, Personalization and Discovery Science</t>
        </is>
      </c>
      <c r="C12" t="inlineStr">
        <is>
          <t>Amazon.com</t>
        </is>
      </c>
      <c r="D12" t="inlineStr">
        <is>
          <t>indeed</t>
        </is>
      </c>
      <c r="E12" t="inlineStr"/>
      <c r="F12" t="inlineStr"/>
      <c r="G12" t="inlineStr">
        <is>
          <t>New York, NY, US</t>
        </is>
      </c>
      <c r="H12" s="1" t="n">
        <v>45930</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in-7ba7ae5f289ee761</t>
        </is>
      </c>
      <c r="B13" t="inlineStr">
        <is>
          <t>Applied Scientist II, Prime Video - Personalization and Discovery Science, Personalization and Discovery Science</t>
        </is>
      </c>
      <c r="C13" t="inlineStr">
        <is>
          <t>Amazon.com</t>
        </is>
      </c>
      <c r="D13" t="inlineStr">
        <is>
          <t>indeed</t>
        </is>
      </c>
      <c r="E13" t="inlineStr"/>
      <c r="F13" t="inlineStr"/>
      <c r="G13" t="inlineStr">
        <is>
          <t>Seattle, WA, US</t>
        </is>
      </c>
      <c r="H13" s="1" t="n">
        <v>45930</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in-9623a5e9f201ef7d</t>
        </is>
      </c>
      <c r="B14" t="inlineStr">
        <is>
          <t>Applied Scientist II, Prime Video - Personalization and Discovery Science, Personalization and Discovery Science</t>
        </is>
      </c>
      <c r="C14" t="inlineStr">
        <is>
          <t>Amazon.com</t>
        </is>
      </c>
      <c r="D14" t="inlineStr">
        <is>
          <t>indeed</t>
        </is>
      </c>
      <c r="E14" t="inlineStr"/>
      <c r="F14" t="inlineStr"/>
      <c r="G14" t="inlineStr">
        <is>
          <t>Sunnyvale, CA, US</t>
        </is>
      </c>
      <c r="H14" s="1" t="n">
        <v>45930</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in-43d4dbf9d4cdc471</t>
        </is>
      </c>
      <c r="B15" t="inlineStr">
        <is>
          <t>Sr. Applied Scientist, Prime Video - Personalization and Discovery Science</t>
        </is>
      </c>
      <c r="C15" t="inlineStr">
        <is>
          <t>Amazon.com</t>
        </is>
      </c>
      <c r="D15" t="inlineStr">
        <is>
          <t>indeed</t>
        </is>
      </c>
      <c r="E15" t="inlineStr"/>
      <c r="F15" t="inlineStr"/>
      <c r="G15" t="inlineStr">
        <is>
          <t>New York, NY, US</t>
        </is>
      </c>
      <c r="H15" s="1" t="n">
        <v>45881</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in-5ed91f5b24dbfde8</t>
        </is>
      </c>
      <c r="B16" t="inlineStr">
        <is>
          <t>Sr. Applied Scientist, Prime Video - Personalization and Discovery Science</t>
        </is>
      </c>
      <c r="C16" t="inlineStr">
        <is>
          <t>Amazon.com</t>
        </is>
      </c>
      <c r="D16" t="inlineStr">
        <is>
          <t>indeed</t>
        </is>
      </c>
      <c r="E16" t="inlineStr"/>
      <c r="F16" t="inlineStr"/>
      <c r="G16" t="inlineStr">
        <is>
          <t>Seattle, WA, US</t>
        </is>
      </c>
      <c r="H16" s="1" t="n">
        <v>45881</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in-6f64b40ca4e7cee9</t>
        </is>
      </c>
      <c r="B17" t="inlineStr">
        <is>
          <t>Applied Scientist II, Prime Video - Personalization and Discovery Science</t>
        </is>
      </c>
      <c r="C17" t="inlineStr">
        <is>
          <t>Amazon.com</t>
        </is>
      </c>
      <c r="D17" t="inlineStr">
        <is>
          <t>indeed</t>
        </is>
      </c>
      <c r="E17" t="inlineStr"/>
      <c r="F17" t="inlineStr"/>
      <c r="G17" t="inlineStr">
        <is>
          <t>Seattle, WA, US</t>
        </is>
      </c>
      <c r="H17" s="1" t="n">
        <v>45881</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in-818c2bd3b064b0ea</t>
        </is>
      </c>
      <c r="B18" t="inlineStr">
        <is>
          <t>Applied Scientist II, Prime Video - Personalization and Discovery Science</t>
        </is>
      </c>
      <c r="C18" t="inlineStr">
        <is>
          <t>Amazon.com</t>
        </is>
      </c>
      <c r="D18" t="inlineStr">
        <is>
          <t>indeed</t>
        </is>
      </c>
      <c r="E18" t="inlineStr"/>
      <c r="F18" t="inlineStr"/>
      <c r="G18" t="inlineStr">
        <is>
          <t>New York, NY, US</t>
        </is>
      </c>
      <c r="H18" s="1" t="n">
        <v>45881</v>
      </c>
      <c r="I1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in-db2e36b3ff71c09c</t>
        </is>
      </c>
      <c r="B19" t="inlineStr">
        <is>
          <t>Applied Scientist II, Prime Video - Personalization and Discovery Science</t>
        </is>
      </c>
      <c r="C19" t="inlineStr">
        <is>
          <t>Amazon.com</t>
        </is>
      </c>
      <c r="D19" t="inlineStr">
        <is>
          <t>indeed</t>
        </is>
      </c>
      <c r="E19" t="inlineStr"/>
      <c r="F19" t="inlineStr"/>
      <c r="G19" t="inlineStr">
        <is>
          <t>Sunnyvale, CA, US</t>
        </is>
      </c>
      <c r="H19" s="1" t="n">
        <v>45881</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in-e31616afc6795c5e</t>
        </is>
      </c>
      <c r="B20" t="inlineStr">
        <is>
          <t>Sr. Applied Scientist, Prime Video - Personalization and Discovery Science</t>
        </is>
      </c>
      <c r="C20" t="inlineStr">
        <is>
          <t>Amazon.com</t>
        </is>
      </c>
      <c r="D20" t="inlineStr">
        <is>
          <t>indeed</t>
        </is>
      </c>
      <c r="E20" t="inlineStr"/>
      <c r="F20" t="inlineStr"/>
      <c r="G20" t="inlineStr">
        <is>
          <t>Sunnyvale, CA, US</t>
        </is>
      </c>
      <c r="H20" s="1" t="n">
        <v>45881</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in-b18a064afae83d8b</t>
        </is>
      </c>
      <c r="B21" t="inlineStr">
        <is>
          <t>Data Scientist - Marketing</t>
        </is>
      </c>
      <c r="C21" t="inlineStr">
        <is>
          <t>WebstaurantStore</t>
        </is>
      </c>
      <c r="D21" t="inlineStr">
        <is>
          <t>indeed</t>
        </is>
      </c>
      <c r="E21" t="inlineStr"/>
      <c r="F21" t="inlineStr"/>
      <c r="G21" t="inlineStr">
        <is>
          <t>Lititz, PA, US</t>
        </is>
      </c>
      <c r="H21" s="1" t="n">
        <v>46082</v>
      </c>
      <c r="I21"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Maintaining and updating our in\-house Media Mix Models (MMM) and Multi\-Touch Attribution (MTA) models to ensure they reflect the current state of marketing spend and value
* Designing, implementing, and analyzing lift / blackout / other experiments to continually improve our attribution models
* Partnering with business and technical stakeholders, including our Google account team, to translate complex retail challenges into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of professional experience in Data Science, or a PhD in mathematics, statistics, economics, or a related quantitative field.
* Advanced proficiency in Python and SQL, with strong foundation in statistical methods and advanced modeling techniques applied to marketing and growth problems.
* Hands\-on experience with experimentation and causal inference frameworks, including incrementality testing, geo experiments, holdout designs, or quasi\-experimental methods.
* Proven ability to partner with paid marketing teams to design, execute, and analyze experiments that inform budget allocation and channel strategy.
* Experience building, evaluating, or refining Media Mix Models (MMM) and/or Multi\-Touch Attribution (MTA) models to quantify marketing impact and reduce uncertainty.
* Ability to translate complex model outputs into clear, credible insights that drive stakeholder buy\-in and influence marketing decision\-making, even without direct ownership of spend.
* Comfortable navigating trade\-offs between model rigor, business timelines, and practical adoption by paid media stakeholders.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22">
      <c r="A22" t="inlineStr">
        <is>
          <t>in-0d8424973e93a047</t>
        </is>
      </c>
      <c r="B22" t="inlineStr">
        <is>
          <t>Sr Data Scientist</t>
        </is>
      </c>
      <c r="C22" t="inlineStr">
        <is>
          <t>WebstaurantStore</t>
        </is>
      </c>
      <c r="D22" t="inlineStr">
        <is>
          <t>indeed</t>
        </is>
      </c>
      <c r="E22" t="inlineStr"/>
      <c r="F22" t="inlineStr"/>
      <c r="G22" t="inlineStr">
        <is>
          <t>Lititz, PA, US</t>
        </is>
      </c>
      <c r="H22" s="1" t="n">
        <v>46082</v>
      </c>
      <c r="I22"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23">
      <c r="A23" t="inlineStr">
        <is>
          <t>in-b13935d71e5231ea</t>
        </is>
      </c>
      <c r="B23" t="inlineStr">
        <is>
          <t>Data Scientist - Pricing</t>
        </is>
      </c>
      <c r="C23" t="inlineStr">
        <is>
          <t>WebstaurantStore</t>
        </is>
      </c>
      <c r="D23" t="inlineStr">
        <is>
          <t>indeed</t>
        </is>
      </c>
      <c r="E23" t="inlineStr"/>
      <c r="F23" t="inlineStr"/>
      <c r="G23" t="inlineStr">
        <is>
          <t>Lititz, PA, US</t>
        </is>
      </c>
      <c r="H23" s="1" t="n">
        <v>46082</v>
      </c>
      <c r="I23"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experience applying data science to pricing and demand problems in ecommerce, retail, or foodservice environments.
* Proven ability to build and analyze price response curves or similar models to identify optimal pricing across a wide range of products.
* Experience using data to inform pricing strategy and day\-to\-day pricing decisions, even if not the final decision owner.
* Strong understanding of price elasticity, demand forecasting, and trade\-offs between margin, volume, and customer acquisition.
* Demonstrated ability to identify strategic low\-priced items that drive customer traffic, alongside optimizing prices for both low and high AOV products.
* Comfortable working with large SKU catalogs and messy real\-world data to deliver actionable pricing insights.
* Ability to partner closely with merchants, and other teams to translate model outputs into business decisions.
* Advanced Python and SQL skills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24">
      <c r="A24" t="inlineStr">
        <is>
          <t>in-aca88c2f9c730543</t>
        </is>
      </c>
      <c r="B24" t="inlineStr">
        <is>
          <t>Data Scientist, AWS Infrastructure Services Science</t>
        </is>
      </c>
      <c r="C24" t="inlineStr">
        <is>
          <t>Amazon.com</t>
        </is>
      </c>
      <c r="D24" t="inlineStr">
        <is>
          <t>indeed</t>
        </is>
      </c>
      <c r="E24" t="inlineStr"/>
      <c r="F24" t="inlineStr"/>
      <c r="G24" t="inlineStr">
        <is>
          <t>Herndon, VA, US</t>
        </is>
      </c>
      <c r="H24" s="1" t="n">
        <v>46065</v>
      </c>
      <c r="I2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5">
      <c r="A25" t="inlineStr">
        <is>
          <t>in-95c36bdec9037795</t>
        </is>
      </c>
      <c r="B25" t="inlineStr">
        <is>
          <t>Data Scientist, AWS Infrastructure Services Science</t>
        </is>
      </c>
      <c r="C25" t="inlineStr">
        <is>
          <t>Amazon.com</t>
        </is>
      </c>
      <c r="D25" t="inlineStr">
        <is>
          <t>indeed</t>
        </is>
      </c>
      <c r="E25" t="inlineStr"/>
      <c r="F25" t="inlineStr"/>
      <c r="G25" t="inlineStr">
        <is>
          <t>Seattle, WA, US</t>
        </is>
      </c>
      <c r="H25" s="1" t="n">
        <v>46065</v>
      </c>
      <c r="I25"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26">
      <c r="A26" t="inlineStr">
        <is>
          <t>in-ba11a9fc89ffdd32</t>
        </is>
      </c>
      <c r="B26" t="inlineStr">
        <is>
          <t>Data Scientist, Rapid &amp; Rural Logistics (R2L)</t>
        </is>
      </c>
      <c r="C26" t="inlineStr">
        <is>
          <t>Amazon.com</t>
        </is>
      </c>
      <c r="D26" t="inlineStr">
        <is>
          <t>indeed</t>
        </is>
      </c>
      <c r="E26" t="inlineStr"/>
      <c r="F26" t="inlineStr"/>
      <c r="G26" t="inlineStr">
        <is>
          <t>Bellevue, WA, US</t>
        </is>
      </c>
      <c r="H26" s="1" t="n">
        <v>46056</v>
      </c>
      <c r="I26"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7">
      <c r="A27" t="inlineStr">
        <is>
          <t>in-939a8a1d7fd78cdf</t>
        </is>
      </c>
      <c r="B27" t="inlineStr">
        <is>
          <t>Data Scientist, Rapid &amp; Rural Logistics (R2L)</t>
        </is>
      </c>
      <c r="C27" t="inlineStr">
        <is>
          <t>Amazon.com</t>
        </is>
      </c>
      <c r="D27" t="inlineStr">
        <is>
          <t>indeed</t>
        </is>
      </c>
      <c r="E27" t="inlineStr"/>
      <c r="F27" t="inlineStr"/>
      <c r="G27" t="inlineStr">
        <is>
          <t>New York, NY, US</t>
        </is>
      </c>
      <c r="H27" s="1" t="n">
        <v>46056</v>
      </c>
      <c r="I27"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28">
      <c r="A28" t="inlineStr">
        <is>
          <t>in-cfb157ea63e7d0b5</t>
        </is>
      </c>
      <c r="B28" t="inlineStr">
        <is>
          <t>Data Scientist</t>
        </is>
      </c>
      <c r="C28" t="inlineStr">
        <is>
          <t>Eventus Consulting Group</t>
        </is>
      </c>
      <c r="D28" t="inlineStr">
        <is>
          <t>indeed</t>
        </is>
      </c>
      <c r="E28" t="inlineStr"/>
      <c r="F28" t="inlineStr"/>
      <c r="G28" t="inlineStr">
        <is>
          <t>Denver, CO, US</t>
        </is>
      </c>
      <c r="H28" s="1" t="n">
        <v>46083</v>
      </c>
      <c r="I28" t="inlineStr">
        <is>
          <t>Data Scientist \-\- Should have good experience of \\:
· ML/AI – RAG, Prompt Eng. Etc.
· SQL, LLM
· PYTHON
**Sr. Data Scientist in AI and Lead Data Insight Analyst:** 
a. I need someone who's highly accountable and productive autonomously
b. This sort of person would need to be physically present in a lot of meetings. They would need to be very, very quick, like exceptionally quick on meeting pickups.
c. Be the type of person that they hear it once and they understand it and they don't need more clarity or direction. So truly looking for that senior communicator and that senior level of accountability, where they hear it once, they hit the direction
d. The technical bar on our team right now is not as critical of a concern, so as an example, I don't have work currently that would require a super seasoned data scientist to complete a lot of mathematic models
e. Someone that has a decent grasp of object\-oriented programming, someone that is very comfortable in the AI and prompting space and someone that is very comfortable with SQL, this would apply again to both roles and can complete asks very quickly
f. I need someone that is good at if they're given say a task or an assignment to complete A, B, and C They're really good about making sure that A and B and C were done
g. Applications but they will be using in house applications that are built\-in object\-oriented programming in Python specifically, but those programs aren't necessarily 100 % of the time fully robust releases
h. This person also needs to have a really fluid understanding of SQL. Someone that's really comfortable getting up to speed quickly In different SQL environments and doing the basics and has probably experienced working in different environments is helpful. SQL is mandatory. Python, some sort of object\-oriented programming is mandatory. It could be R, maybe if they've never used Python. Python is ideal. Do they have to have built applications in Python? No, but they should know the basics of how to navigate in Python
i. Prompting some experience using LLMs, knowing what their successes are, knowing what their pitfalls are, knowing how to design prompts
j. If someone has never ever touched an LLM before and is really good in all of these other areas, that would probably be fine. We can teach them and get them up to speed quickly on using it
k. Doing projects in 24 to 48 h, that's, that's mandatory. Someone that really has that experience of delivering projects fast
Pay: $65\.00 \- $75\.00 per hour
Expected hours: 40 per week
Work Location: In person</t>
        </is>
      </c>
    </row>
    <row r="29">
      <c r="A29" t="inlineStr">
        <is>
          <t>in-e8d5a5b6f3f8a723</t>
        </is>
      </c>
      <c r="B29" t="inlineStr">
        <is>
          <t>Data Scientist</t>
        </is>
      </c>
      <c r="C29" t="inlineStr"/>
      <c r="D29" t="inlineStr">
        <is>
          <t>indeed</t>
        </is>
      </c>
      <c r="E29" t="inlineStr"/>
      <c r="F29" t="inlineStr"/>
      <c r="G29" t="inlineStr">
        <is>
          <t>Washington, DC, US</t>
        </is>
      </c>
      <c r="H29" s="1" t="n">
        <v>46082</v>
      </c>
      <c r="I29" t="inlineStr">
        <is>
          <t>**Summary**
-----------
This position serves under the Nationwide Central Intake Facility as the Debt Collection Management authority in the identification, collection, analysis, measurement, documentation, reporting, and presentation of reliable debt collection and financial data for the purpose of improving the delivery of data\-driven policy and resource recommendations and decisions.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position is being filled using Direct\-Hire Authority.
**Duties**
----------
The duties and responsibilities for a Data Scientist, GS\-1560\-13/14 generally include, but are not limited to, the following:
* Use programming skills, statistics, data visualization and/or critical thinking skills to identify gaps in data and determine methods for closing such gaps.
* Perform the collection of relevant information from many varied sources and apply a broad range of data analyses techniques.
* Participate in the development of requirements, design and perform user acceptance testing to determine system readiness.
* Provide input to management regarding the enhancement of current processes and procedures and executing best practices.
* Serve as a recognized authority in transforming vast, complex, and unstructured data into actionable insights to solve complex problems and predict future outcomes.
* Serve as an authority in the design, development, test, and readiness of systems.
**Requirements**
----------------
### **Conditions of employment**
* You must be a United States Citizen or National.
* You must successfully pass a security/background investigation and a drug screening.
* Selective Service registration is required, see the "Additional Information" section for full details.
* Additional selections may be made from this announcement.
### **Qualifications**
To qualify for the position of Data Scientist, at GS\-1560\-13/14, you must meet the basic qualification requirements listed below.  
**BASIC QUALIFICATIONS****:**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**Specialized Experience:** For the GS\-13, you must have one year of specialized experience at the GS\-12 grade level or equivalent pay band in the Federal Service, which includes: Providing research and analyzing technical, financial or program issues; reviewing information and applying standard quantitative or qualitative analytical techniques.; Developing recommendations and providing guidance to resolve problems of work operations; Planning and conducting meetings, briefings and other activities in support of particular programs; and Performing legal research, conducting research of federal laws and regulations as it relates to debt collection  
**Specialized Experience:** For the GS\-14, you must have one year of specialized experience at the GS\-13 grade level or equivalent pay band in the Federal Service, which includes: Providing wide range of qualitative and quantitative methods for assessment and improvement of program; Planning, organizing, and directing team study work; developing and implementing recommendations and guidance to resolve problems of work operations; Planning and conducting meetings, briefings and other activities in support of particular programs; and Performing legal research, conducting research of federal laws and regulations as it relates to debt collection.  
You **MUST** meet all qualification requirements by 03/09/2026 of this announcement.  
Your resume must support your responses to the application questionnaire and the qualification requirements. Failure to do so may result in an ineligible rating.*See the Required Documents section for important notes about what must be included in your resume.*
### **Education**
If you are relying on your education to meet qualification requirements, please see the statements below.  
Education must be reviewed and certified by an accrediting institution recognized by the U.S. Department of Education, in order for it to be creditable towards your qualifications. Therefore, provide only the attendance and/or degrees from accredited institution.  
**FOREIGN EDUCATION:** Education completed in foreign colleges or universities may be used to meet the requirements. You must show proof the education credentials have been deemed to be at least equivalent to that gained in a conventional U.S. education program. It is your responsibility to provide such evidence when applying. For special instructions pertaining to foreign education and a list of organizations that can evaluate foreign education, see the Department of Education website. If you are qualifying on foreign education, you MUST submit proof of creditability of education as evaluated by a credentialing agency. Transcripts must be uploaded with your application to verify education. *All documentation must be in English or include an English translation.*
### **Additional information**
Candidates should be committed to improving the efficiency of the Federal government, passionate about the ideals of our American republic, and committed to upholding the rule of law and the United States Constitution. Candidates will not be hired based on their race, sex, color, religion, or national origin.  
This announcement is being advertised under an agency specific OR a government\-wide Direct\-Hire Authority approved by OPM for filling vacancies when a severe shortage or critical hiring need exists. Veterans Preference and other Category Rating procedures do not apply to this announcement. Applicants must meet all qualification requirements of the position. The hiring office may interview and select any qualified candidate of their choosing from the qualified pool. *See* *OPM, Direct Hire Authority* *for more information.*  
Career Transition Programs (CTAP or ICTAP): These programs apply to Federal and/or DOJ employees who meet the definition of surplus or displaced from a position in the competitive service. To receive selection priority for this position, you must:  
Be rated well\-qualified for the position based on the competencies listed above; and  
submit the appropriate documentation to support your CTAP or ICTAP eligibility. Well\-qualified is defined as having knowledge, skills, abilities, and/or competencies clearly exceeding the minimum qualification requirements for the vacancy.  
**EEO Statement/Policy**: The United States government does not discriminate in employment on the basis of race, color, religion, sex, pregnancy, national origin, political affiliation, sexual orientation, marital status, disability, genetic information, age, membership in an employee organization, retaliation, parental status, military service or other non\-merit factor. More information can be found here: https://www.justice.gov/jmd/media/1425556/dl?inlin.  
**DOJ Reasonable Accommodation Statement**: Federal agencies must provide reasonable accommodation to applicants with disabilities where appropriate. Applicants requiring reasonable accommodation for any part of the application and hiring process should contact the hiring agency directly. Determinations on requests for reasonable accommodation will be made on a case\-by\-case basis. The DOJ Reasonable Accommodation policy can be found here: https://www.justice.gov/jmd/reasonable\-accommodation\#policy  
**Selective Service**: If you were born male, on or after December 31, 1959, you must certify that you have registered with the Selective Service System, or are exempt from having to do so under the Selective Service Law. Additional information is found at: www.sss.gov.  
**Fair Chance to Compete for Jobs***:* The Fair Chance Act prohibits Federal agencies from requesting an applicant's criminal history information before the agency makes a conditional offer of employment. If you believe a DOJ employee or Federal contractor acting on its behalf has violated your rights under this Act, you may submit a written complaint within 30 days of the date of the alleged non\-compliance directly to the hiring office using the contact information listed in the announcement.**Note:** In accordance with 5 U.S. Code § 9202(c) and 5 C.F.R § 920\.201(b) certain positions are exempt from the provisions of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job opportunity announcement closes (at 11:59 pm ET on 03/09/2026, a review of your resume and supporting documentation will be conducted, the information will be compared against your responses to the application questionnaire to determine your eligibility for Federal employment, and then whether you are qualified for this particular position. Per Direct\-Hire Authority requirements, all qualified candidates will be referred to the hiring office for consideration. The hiring office may select any qualified candidate without regard to special eligibility considerations. Veterans' preference is not applicable.  
* Data Analysis
* Data Design/Data Programming/Data Visualization
* Interpersonal Skills
* Performs Systems Testing and Evaluation
**Debt Collection Management** **Office** will further evaluate your qualifications through a Structured Interview Process and Reference Checks.  
When addressing the specialized experience statement, applicants must present evidence of the experience in their resume. If the specialized experience statement is repeated, in the applicant's resume, Human Resources will deem the applicant as ineligible.  
*If you would like to preview the application questionnaire, please see:* https://apply.usastaffing.gov/ViewQuestionnaire/12893356\.
**Required Documents**
----------------------
It is your responsibility to carefully review the list of required documents below and submit the necessary documentation based on your eligibility. Resume and Transcript  
**Resume \- All Applicants:** *You must submit a resume (a two page or less resume is required) containing the following pieces of information for each job entry listed in your employment history:*
* Official position title,
* Employer name and contact information,
* Start and end dates (including month and year),
* Indicate full\-time or number of hours worked per week if part\-time,
* A list of duties performed and accomplishments.
**CTAP/ICTAP eligibility documentation** \- If you are a displaced Federal employee claiming eligibility under CTAP or ICTAP, you must submit:
* A copy of the agency notice (i.e., letter of intent to separate, separation notice, or agency RIF letter),
* Your most recent performance appraisal, and
* Most recent SF\-50 showing current/former position, grade, promotion potential, and duty location.
**How to Apply**
----------------
**To apply for this position, you must complete the online application questionnaire and submit your supporting documentation. Your complete application package must be submitted by 11:59 PM (EST) on** 03/09/2026 **to receive consideration.**  
The application process is as follows:
*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**Essay Questions**: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(**see the application questionnaire**). You will be asked to certify that you are using your own words and did not use a consultant or artificial intelligence (AI) such as a large language model (LLM) like ChatGPT or Copilot.
* + How has your commitment to the Constitution and the founding principles of the United States inspired you to pursue this role within the Federal government? Provide a concrete example from professional, academic, or personal experience.
* + In this role, how would you use your skills and experience to improve government efficiency and effectiveness? Provide specific examples where you improved processes, reduced costs, or improved outcomes.
* + How would you help advance the President's Executive Orders and policy priorities in this role? Identify one or two relevant Executive Orders or policy initiatives that are significant to you, and explain how you would help implement them if hired.
* + How has a strong work ethic contributed to your professional, academic or personal achievements? Provide one or two specific examples, and explain how those qualities would enable you to serve effectively in this position.
**NEED HELP?**  
If you need help with USAJOBs or the application process, please see the USAJOBS Help or Application Manager Online Help websites which includes information on managing your account, creating an application, uploading documents, etc.  
**Reasonable Accommodation:** To request reasonable accommodation for any part of the application and hiring process, please contact the hiring office using the contact information listed in the announcement for assistance.  
### **Agency contact information**
Tamara Shelton
Phone
202\-286\-6440
Email
tamara.d.shelton@usdoj.gov
Address
*Justice Management Division \- Debt Collection Management Staff*  
*2 Constitution Square*  
*145 N Street NE*  
*Room 9W.300*  
*Washington, DC 20530*  
*US*### **Next steps**
You will receive e\-mail notifications as your application status is updated by DOJ. However, you can also see your application status any time by logging in to your USAJOBS account and looking on the "Applications" page. Click the position title to expand the display for each application in the list.  
*We strive to extend a final offer of employment within 90 days from the close of this announcement. Additional selections may be made from this announcement within 90 days.*
**Overview**
------------
Accepting applications
Open \&amp; closing dates
03/02/2026 to 03/09/2026
Salary
$121,785 to \- $187,093 per year
Pay scale \&amp; grade
GS 13 \- 14
Location
1 vacancy in the following location:
Washington, DC
Remote job
No
Telework eligible
Yes—as determined by the agency policy.
Travel Required
Not required
Relocation expenses reimbursed
No
Appointment type
Permanent
Work schedule
Full\-time
Service
Competitive
Promotion potential
14
Job family (Series)
* 1560 Data Science Series
Supervisory status
No
Security clearance
Not Required
Drug test
Yes
Position sensitivity and risk
Moderate Risk (MR)
Trust determination process
* Credentialing
* Suitability/Fitness
Financial disclosure
No
Bargaining unit status
No
Announcement number
JMD\-DCM\-26\-12893356\-DHA
Control number
859040500</t>
        </is>
      </c>
    </row>
    <row r="30">
      <c r="A30" t="inlineStr">
        <is>
          <t>in-50a94a97664ee39c</t>
        </is>
      </c>
      <c r="B30" t="inlineStr">
        <is>
          <t>Sr Data Scientist</t>
        </is>
      </c>
      <c r="C30" t="inlineStr">
        <is>
          <t>PayPal</t>
        </is>
      </c>
      <c r="D30" t="inlineStr">
        <is>
          <t>indeed</t>
        </is>
      </c>
      <c r="E30" t="inlineStr"/>
      <c r="F30" t="inlineStr"/>
      <c r="G30" t="inlineStr">
        <is>
          <t>Chicago, IL, US</t>
        </is>
      </c>
      <c r="H30" s="1" t="n">
        <v>46082</v>
      </c>
      <c r="I30"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lead the development and implementation of advanced data science models and algorithms. You will work with stakeholders to understand requirements and deliver solutions. Your role involves driving best practices in data science, ensuring data quality, and mentoring junior scientists.**Job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**Minimum Qualifications:**
* 3\+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Chicago, Illinois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31">
      <c r="A31" t="inlineStr">
        <is>
          <t>in-3045afb2edee1a7c</t>
        </is>
      </c>
      <c r="B31" t="inlineStr">
        <is>
          <t>Data Scientist II, ADSP Product Operations &amp; Analytics</t>
        </is>
      </c>
      <c r="C31" t="inlineStr">
        <is>
          <t>Amazon.com</t>
        </is>
      </c>
      <c r="D31" t="inlineStr">
        <is>
          <t>indeed</t>
        </is>
      </c>
      <c r="E31" t="inlineStr"/>
      <c r="F31" t="inlineStr"/>
      <c r="G31" t="inlineStr">
        <is>
          <t>New York, NY, US</t>
        </is>
      </c>
      <c r="H31" s="1" t="n">
        <v>46062</v>
      </c>
      <c r="I31"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32">
      <c r="A32" t="inlineStr">
        <is>
          <t>in-2d1c6b795dce81ec</t>
        </is>
      </c>
      <c r="B32" t="inlineStr">
        <is>
          <t>Data Scientist II, ADSP Product Operations &amp; Analytics</t>
        </is>
      </c>
      <c r="C32" t="inlineStr">
        <is>
          <t>Amazon.com</t>
        </is>
      </c>
      <c r="D32" t="inlineStr">
        <is>
          <t>indeed</t>
        </is>
      </c>
      <c r="E32" t="inlineStr"/>
      <c r="F32" t="inlineStr"/>
      <c r="G32" t="inlineStr">
        <is>
          <t>Seattle, WA, US</t>
        </is>
      </c>
      <c r="H32" s="1" t="n">
        <v>46062</v>
      </c>
      <c r="I32"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33">
      <c r="A33" t="inlineStr">
        <is>
          <t>in-26ed5cc26d16989d</t>
        </is>
      </c>
      <c r="B33" t="inlineStr">
        <is>
          <t>Principal Applied Scientist, AWS Marketplace &amp; Partner Services</t>
        </is>
      </c>
      <c r="C33" t="inlineStr">
        <is>
          <t>Amazon Web Services</t>
        </is>
      </c>
      <c r="D33" t="inlineStr">
        <is>
          <t>indeed</t>
        </is>
      </c>
      <c r="E33" t="inlineStr"/>
      <c r="F33" t="inlineStr"/>
      <c r="G33" t="inlineStr">
        <is>
          <t>New York, NY, US</t>
        </is>
      </c>
      <c r="H33" s="1" t="n">
        <v>46056</v>
      </c>
      <c r="I3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4">
      <c r="A34" t="inlineStr">
        <is>
          <t>in-8c5c95acd20cddf2</t>
        </is>
      </c>
      <c r="B34" t="inlineStr">
        <is>
          <t>Principal Applied Scientist, AWS Marketplace &amp; Partner Services</t>
        </is>
      </c>
      <c r="C34" t="inlineStr">
        <is>
          <t>Amazon Web Services</t>
        </is>
      </c>
      <c r="D34" t="inlineStr">
        <is>
          <t>indeed</t>
        </is>
      </c>
      <c r="E34" t="inlineStr"/>
      <c r="F34" t="inlineStr"/>
      <c r="G34" t="inlineStr">
        <is>
          <t>San Diego, CA, US</t>
        </is>
      </c>
      <c r="H34" s="1" t="n">
        <v>46056</v>
      </c>
      <c r="I3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5">
      <c r="A35" t="inlineStr">
        <is>
          <t>in-c37bb3a3c52b8624</t>
        </is>
      </c>
      <c r="B35" t="inlineStr">
        <is>
          <t>Principal Applied Scientist, AWS Marketplace &amp; Partner Services</t>
        </is>
      </c>
      <c r="C35" t="inlineStr">
        <is>
          <t>Amazon Web Services</t>
        </is>
      </c>
      <c r="D35" t="inlineStr">
        <is>
          <t>indeed</t>
        </is>
      </c>
      <c r="E35" t="inlineStr"/>
      <c r="F35" t="inlineStr"/>
      <c r="G35" t="inlineStr">
        <is>
          <t>Seattle, WA, US</t>
        </is>
      </c>
      <c r="H35" s="1" t="n">
        <v>46056</v>
      </c>
      <c r="I3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6">
      <c r="A36" t="inlineStr">
        <is>
          <t>in-a6d1fb7ce2f406bc</t>
        </is>
      </c>
      <c r="B36" t="inlineStr">
        <is>
          <t>Principal Applied Scientist, AWS Marketplace &amp; Partner Services</t>
        </is>
      </c>
      <c r="C36" t="inlineStr">
        <is>
          <t>Amazon Web Services</t>
        </is>
      </c>
      <c r="D36" t="inlineStr">
        <is>
          <t>indeed</t>
        </is>
      </c>
      <c r="E36" t="inlineStr"/>
      <c r="F36" t="inlineStr"/>
      <c r="G36" t="inlineStr">
        <is>
          <t>Austin, TX, US</t>
        </is>
      </c>
      <c r="H36" s="1" t="n">
        <v>46056</v>
      </c>
      <c r="I36"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37">
      <c r="A37" t="inlineStr">
        <is>
          <t>in-6ff80acacd311fec</t>
        </is>
      </c>
      <c r="B37" t="inlineStr">
        <is>
          <t>Sr. Applied Scientist, AWS Healthcare-AI</t>
        </is>
      </c>
      <c r="C37" t="inlineStr">
        <is>
          <t>Amazon.com</t>
        </is>
      </c>
      <c r="D37" t="inlineStr">
        <is>
          <t>indeed</t>
        </is>
      </c>
      <c r="E37" t="inlineStr"/>
      <c r="F37" t="inlineStr"/>
      <c r="G37" t="inlineStr">
        <is>
          <t>Seattle, WA, US</t>
        </is>
      </c>
      <c r="H37" s="1" t="n">
        <v>46055</v>
      </c>
      <c r="I3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8">
      <c r="A38" t="inlineStr">
        <is>
          <t>in-3fadd62e4c8a4311</t>
        </is>
      </c>
      <c r="B38" t="inlineStr">
        <is>
          <t>Sr. Applied Scientist, AWS Healthcare-AI</t>
        </is>
      </c>
      <c r="C38" t="inlineStr">
        <is>
          <t>Amazon.com</t>
        </is>
      </c>
      <c r="D38" t="inlineStr">
        <is>
          <t>indeed</t>
        </is>
      </c>
      <c r="E38" t="inlineStr"/>
      <c r="F38" t="inlineStr"/>
      <c r="G38" t="inlineStr">
        <is>
          <t>Mountain View, CA, US</t>
        </is>
      </c>
      <c r="H38" s="1" t="n">
        <v>46055</v>
      </c>
      <c r="I38"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39">
      <c r="A39" t="inlineStr">
        <is>
          <t>in-b007ba9d8924248d</t>
        </is>
      </c>
      <c r="B39" t="inlineStr">
        <is>
          <t>Applied Scientist (Contract), Artificial General Intelligence</t>
        </is>
      </c>
      <c r="C39" t="inlineStr">
        <is>
          <t>Amazon.com</t>
        </is>
      </c>
      <c r="D39" t="inlineStr">
        <is>
          <t>indeed</t>
        </is>
      </c>
      <c r="E39" t="inlineStr"/>
      <c r="F39" t="inlineStr"/>
      <c r="G39" t="inlineStr">
        <is>
          <t>Bellevue, WA, US</t>
        </is>
      </c>
      <c r="H39" s="1" t="n">
        <v>46055</v>
      </c>
      <c r="I3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0">
      <c r="A40" t="inlineStr">
        <is>
          <t>in-fc51d5129d39197a</t>
        </is>
      </c>
      <c r="B40" t="inlineStr">
        <is>
          <t>Applied Scientist (Contract), Artificial General Intelligence</t>
        </is>
      </c>
      <c r="C40" t="inlineStr">
        <is>
          <t>Amazon.com</t>
        </is>
      </c>
      <c r="D40" t="inlineStr">
        <is>
          <t>indeed</t>
        </is>
      </c>
      <c r="E40" t="inlineStr"/>
      <c r="F40" t="inlineStr"/>
      <c r="G40" t="inlineStr">
        <is>
          <t>Boston, MA, US</t>
        </is>
      </c>
      <c r="H40" s="1" t="n">
        <v>46055</v>
      </c>
      <c r="I4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1">
      <c r="A41" t="inlineStr">
        <is>
          <t>in-669c95af656b620b</t>
        </is>
      </c>
      <c r="B41" t="inlineStr">
        <is>
          <t>Applied Scientist (Contract), Artificial General Intelligence</t>
        </is>
      </c>
      <c r="C41" t="inlineStr">
        <is>
          <t>Amazon.com</t>
        </is>
      </c>
      <c r="D41" t="inlineStr">
        <is>
          <t>indeed</t>
        </is>
      </c>
      <c r="E41" t="inlineStr"/>
      <c r="F41" t="inlineStr"/>
      <c r="G41" t="inlineStr">
        <is>
          <t>Bellevue, WA, US</t>
        </is>
      </c>
      <c r="H41" s="1" t="n">
        <v>46055</v>
      </c>
      <c r="I4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2">
      <c r="A42" t="inlineStr">
        <is>
          <t>in-b3027dc0dea11285</t>
        </is>
      </c>
      <c r="B42" t="inlineStr">
        <is>
          <t>Applied Scientist (Contract), Artificial General Intelligence</t>
        </is>
      </c>
      <c r="C42" t="inlineStr">
        <is>
          <t>Amazon.com</t>
        </is>
      </c>
      <c r="D42" t="inlineStr">
        <is>
          <t>indeed</t>
        </is>
      </c>
      <c r="E42" t="inlineStr"/>
      <c r="F42" t="inlineStr"/>
      <c r="G42" t="inlineStr">
        <is>
          <t>Boston, MA, US</t>
        </is>
      </c>
      <c r="H42" s="1" t="n">
        <v>46055</v>
      </c>
      <c r="I4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3">
      <c r="A43" t="inlineStr">
        <is>
          <t>in-de3773624c00b426</t>
        </is>
      </c>
      <c r="B43" t="inlineStr">
        <is>
          <t>Applied Scientist (Contract), Artificial General Intelligence</t>
        </is>
      </c>
      <c r="C43" t="inlineStr">
        <is>
          <t>Amazon.com</t>
        </is>
      </c>
      <c r="D43" t="inlineStr">
        <is>
          <t>indeed</t>
        </is>
      </c>
      <c r="E43" t="inlineStr"/>
      <c r="F43" t="inlineStr"/>
      <c r="G43" t="inlineStr">
        <is>
          <t>Bellevue, WA, US</t>
        </is>
      </c>
      <c r="H43" s="1" t="n">
        <v>46055</v>
      </c>
      <c r="I4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4">
      <c r="A44" t="inlineStr">
        <is>
          <t>in-32e589cdb86b9486</t>
        </is>
      </c>
      <c r="B44" t="inlineStr">
        <is>
          <t>Applied Scientist (Contract), Artificial General Intelligence</t>
        </is>
      </c>
      <c r="C44" t="inlineStr">
        <is>
          <t>Amazon.com</t>
        </is>
      </c>
      <c r="D44" t="inlineStr">
        <is>
          <t>indeed</t>
        </is>
      </c>
      <c r="E44" t="inlineStr"/>
      <c r="F44" t="inlineStr"/>
      <c r="G44" t="inlineStr">
        <is>
          <t>Boston, MA, US</t>
        </is>
      </c>
      <c r="H44" s="1" t="n">
        <v>46055</v>
      </c>
      <c r="I4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5">
      <c r="A45" t="inlineStr">
        <is>
          <t>in-511804f23cb04778</t>
        </is>
      </c>
      <c r="B45" t="inlineStr">
        <is>
          <t>Applied Scientist (Contract), Artificial General Intelligence</t>
        </is>
      </c>
      <c r="C45" t="inlineStr">
        <is>
          <t>Amazon.com</t>
        </is>
      </c>
      <c r="D45" t="inlineStr">
        <is>
          <t>indeed</t>
        </is>
      </c>
      <c r="E45" t="inlineStr"/>
      <c r="F45" t="inlineStr"/>
      <c r="G45" t="inlineStr">
        <is>
          <t>Bellevue, WA, US</t>
        </is>
      </c>
      <c r="H45" s="1" t="n">
        <v>46051</v>
      </c>
      <c r="I4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6">
      <c r="A46" t="inlineStr">
        <is>
          <t>in-0232655db24c3d4d</t>
        </is>
      </c>
      <c r="B46" t="inlineStr">
        <is>
          <t>Applied Scientist (Contract), Artificial General Intelligence</t>
        </is>
      </c>
      <c r="C46" t="inlineStr">
        <is>
          <t>Amazon.com</t>
        </is>
      </c>
      <c r="D46" t="inlineStr">
        <is>
          <t>indeed</t>
        </is>
      </c>
      <c r="E46" t="inlineStr"/>
      <c r="F46" t="inlineStr"/>
      <c r="G46" t="inlineStr">
        <is>
          <t>Boston, MA, US</t>
        </is>
      </c>
      <c r="H46" s="1" t="n">
        <v>46051</v>
      </c>
      <c r="I46"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47">
      <c r="A47" t="inlineStr">
        <is>
          <t>in-3526360bd6085c19</t>
        </is>
      </c>
      <c r="B47" t="inlineStr">
        <is>
          <t>Sr. Applied Scientist - SLAM, Amazon Industrial Robotics</t>
        </is>
      </c>
      <c r="C47" t="inlineStr">
        <is>
          <t>Amazon.com</t>
        </is>
      </c>
      <c r="D47" t="inlineStr">
        <is>
          <t>indeed</t>
        </is>
      </c>
      <c r="E47" t="inlineStr"/>
      <c r="F47" t="inlineStr"/>
      <c r="G47" t="inlineStr">
        <is>
          <t>Reading, MA, US</t>
        </is>
      </c>
      <c r="H47" s="1" t="n">
        <v>46050</v>
      </c>
      <c r="I4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8">
      <c r="A48" t="inlineStr">
        <is>
          <t>in-eecd841cab804a8d</t>
        </is>
      </c>
      <c r="B48" t="inlineStr">
        <is>
          <t>Sr. Applied Scientist - SLAM, Amazon Industrial Robotics</t>
        </is>
      </c>
      <c r="C48" t="inlineStr">
        <is>
          <t>Amazon.com</t>
        </is>
      </c>
      <c r="D48" t="inlineStr">
        <is>
          <t>indeed</t>
        </is>
      </c>
      <c r="E48" t="inlineStr"/>
      <c r="F48" t="inlineStr"/>
      <c r="G48" t="inlineStr">
        <is>
          <t>Reading, MA, US</t>
        </is>
      </c>
      <c r="H48" s="1" t="n">
        <v>46050</v>
      </c>
      <c r="I48"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9">
      <c r="A49" t="inlineStr">
        <is>
          <t>in-252f29315c5d8f0a</t>
        </is>
      </c>
      <c r="B49" t="inlineStr">
        <is>
          <t>Principal Applied Scientist, Sensing, Industrial Robotics Group</t>
        </is>
      </c>
      <c r="C49" t="inlineStr">
        <is>
          <t>Amazon.com</t>
        </is>
      </c>
      <c r="D49" t="inlineStr">
        <is>
          <t>indeed</t>
        </is>
      </c>
      <c r="E49" t="inlineStr"/>
      <c r="F49" t="inlineStr"/>
      <c r="G49" t="inlineStr">
        <is>
          <t>Reading, MA, US</t>
        </is>
      </c>
      <c r="H49" s="1" t="n">
        <v>46050</v>
      </c>
      <c r="I4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0">
      <c r="A50" t="inlineStr">
        <is>
          <t>in-79995a34a66aa4e9</t>
        </is>
      </c>
      <c r="B50" t="inlineStr">
        <is>
          <t>Principal Applied Scientist, Sensing, Industrial Robotics Group</t>
        </is>
      </c>
      <c r="C50" t="inlineStr">
        <is>
          <t>Amazon.com</t>
        </is>
      </c>
      <c r="D50" t="inlineStr">
        <is>
          <t>indeed</t>
        </is>
      </c>
      <c r="E50" t="inlineStr"/>
      <c r="F50" t="inlineStr"/>
      <c r="G50" t="inlineStr">
        <is>
          <t>Reading, MA, US</t>
        </is>
      </c>
      <c r="H50" s="1" t="n">
        <v>46050</v>
      </c>
      <c r="I50"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51">
      <c r="A51" t="inlineStr">
        <is>
          <t>in-0ebd791dd06858d0</t>
        </is>
      </c>
      <c r="B51" t="inlineStr">
        <is>
          <t>Senior Applied Scientist, Amazon Industrial Robotics</t>
        </is>
      </c>
      <c r="C51" t="inlineStr">
        <is>
          <t>Amazon.com</t>
        </is>
      </c>
      <c r="D51" t="inlineStr">
        <is>
          <t>indeed</t>
        </is>
      </c>
      <c r="E51" t="inlineStr"/>
      <c r="F51" t="inlineStr"/>
      <c r="G51" t="inlineStr">
        <is>
          <t>Reading, MA, US</t>
        </is>
      </c>
      <c r="H51" s="1" t="n">
        <v>46048</v>
      </c>
      <c r="I5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2">
      <c r="A52" t="inlineStr">
        <is>
          <t>in-8d70cdd419713376</t>
        </is>
      </c>
      <c r="B52" t="inlineStr">
        <is>
          <t>Senior Applied Scientist, Amazon Industrial Robotics</t>
        </is>
      </c>
      <c r="C52" t="inlineStr">
        <is>
          <t>Amazon.com</t>
        </is>
      </c>
      <c r="D52" t="inlineStr">
        <is>
          <t>indeed</t>
        </is>
      </c>
      <c r="E52" t="inlineStr"/>
      <c r="F52" t="inlineStr"/>
      <c r="G52" t="inlineStr">
        <is>
          <t>Reading, MA, US</t>
        </is>
      </c>
      <c r="H52" s="1" t="n">
        <v>46048</v>
      </c>
      <c r="I5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53">
      <c r="A53" t="inlineStr">
        <is>
          <t>in-ec3dc54970e4b6e0</t>
        </is>
      </c>
      <c r="B53" t="inlineStr">
        <is>
          <t>Applied Scientist, Amazon Connect</t>
        </is>
      </c>
      <c r="C53" t="inlineStr">
        <is>
          <t>Amazon Web Services</t>
        </is>
      </c>
      <c r="D53" t="inlineStr">
        <is>
          <t>indeed</t>
        </is>
      </c>
      <c r="E53" t="inlineStr"/>
      <c r="F53" t="inlineStr"/>
      <c r="G53" t="inlineStr">
        <is>
          <t>New York, NY, US</t>
        </is>
      </c>
      <c r="H53" s="1" t="n">
        <v>46047</v>
      </c>
      <c r="I5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4">
      <c r="A54" t="inlineStr">
        <is>
          <t>in-f343c4792283410f</t>
        </is>
      </c>
      <c r="B54" t="inlineStr">
        <is>
          <t>Applied Scientist, Amazon Connect</t>
        </is>
      </c>
      <c r="C54" t="inlineStr">
        <is>
          <t>Amazon Web Services</t>
        </is>
      </c>
      <c r="D54" t="inlineStr">
        <is>
          <t>indeed</t>
        </is>
      </c>
      <c r="E54" t="inlineStr"/>
      <c r="F54" t="inlineStr"/>
      <c r="G54" t="inlineStr">
        <is>
          <t>Seattle, WA, US</t>
        </is>
      </c>
      <c r="H54" s="1" t="n">
        <v>46047</v>
      </c>
      <c r="I54"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55">
      <c r="A55" t="inlineStr">
        <is>
          <t>in-6a7ac3186de46f00</t>
        </is>
      </c>
      <c r="B55" t="inlineStr">
        <is>
          <t>Applied Scientist II, Prime Video Personalization and Discovery Science</t>
        </is>
      </c>
      <c r="C55" t="inlineStr">
        <is>
          <t>Amazon.com</t>
        </is>
      </c>
      <c r="D55" t="inlineStr">
        <is>
          <t>indeed</t>
        </is>
      </c>
      <c r="E55" t="inlineStr"/>
      <c r="F55" t="inlineStr"/>
      <c r="G55" t="inlineStr">
        <is>
          <t>Sunnyvale, CA, US</t>
        </is>
      </c>
      <c r="H55" s="1" t="n">
        <v>46047</v>
      </c>
      <c r="I5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6">
      <c r="A56" t="inlineStr">
        <is>
          <t>in-d699bee5484f7e42</t>
        </is>
      </c>
      <c r="B56" t="inlineStr">
        <is>
          <t>Applied Scientist II, Prime Video Personalization and Discovery Science</t>
        </is>
      </c>
      <c r="C56" t="inlineStr">
        <is>
          <t>Amazon.com</t>
        </is>
      </c>
      <c r="D56" t="inlineStr">
        <is>
          <t>indeed</t>
        </is>
      </c>
      <c r="E56" t="inlineStr"/>
      <c r="F56" t="inlineStr"/>
      <c r="G56" t="inlineStr">
        <is>
          <t>Seattle, WA, US</t>
        </is>
      </c>
      <c r="H56" s="1" t="n">
        <v>46047</v>
      </c>
      <c r="I5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7">
      <c r="A57" t="inlineStr">
        <is>
          <t>in-91b709770b8a9ed2</t>
        </is>
      </c>
      <c r="B57" t="inlineStr">
        <is>
          <t>Applied Scientist II, Prime Video Personalization and Discovery Science</t>
        </is>
      </c>
      <c r="C57" t="inlineStr">
        <is>
          <t>Amazon.com</t>
        </is>
      </c>
      <c r="D57" t="inlineStr">
        <is>
          <t>indeed</t>
        </is>
      </c>
      <c r="E57" t="inlineStr"/>
      <c r="F57" t="inlineStr"/>
      <c r="G57" t="inlineStr">
        <is>
          <t>New York, NY, US</t>
        </is>
      </c>
      <c r="H57" s="1" t="n">
        <v>46047</v>
      </c>
      <c r="I5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58">
      <c r="A58" t="inlineStr">
        <is>
          <t>in-6924ecb8904a4ae6</t>
        </is>
      </c>
      <c r="B58" t="inlineStr">
        <is>
          <t>Applied Scientist, Safety ML</t>
        </is>
      </c>
      <c r="C58" t="inlineStr">
        <is>
          <t>Amazon.com</t>
        </is>
      </c>
      <c r="D58" t="inlineStr">
        <is>
          <t>indeed</t>
        </is>
      </c>
      <c r="E58" t="inlineStr"/>
      <c r="F58" t="inlineStr"/>
      <c r="G58" t="inlineStr">
        <is>
          <t>San Francisco, CA, US</t>
        </is>
      </c>
      <c r="H58" s="1" t="n">
        <v>46037</v>
      </c>
      <c r="I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59">
      <c r="A59" t="inlineStr">
        <is>
          <t>in-f4b2b71b37a84c0c</t>
        </is>
      </c>
      <c r="B59" t="inlineStr">
        <is>
          <t>Applied Scientist, Safety ML</t>
        </is>
      </c>
      <c r="C59" t="inlineStr">
        <is>
          <t>Amazon.com</t>
        </is>
      </c>
      <c r="D59" t="inlineStr">
        <is>
          <t>indeed</t>
        </is>
      </c>
      <c r="E59" t="inlineStr"/>
      <c r="F59" t="inlineStr"/>
      <c r="G59" t="inlineStr">
        <is>
          <t>Seattle, WA, US</t>
        </is>
      </c>
      <c r="H59" s="1" t="n">
        <v>46037</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60">
      <c r="A60" t="inlineStr">
        <is>
          <t>in-38bce061137045dd</t>
        </is>
      </c>
      <c r="B60" t="inlineStr">
        <is>
          <t>Principal Applied Scientist, Measurement, AdTech and Data Science, Ads Performance Measurement</t>
        </is>
      </c>
      <c r="C60" t="inlineStr">
        <is>
          <t>Amazon.com</t>
        </is>
      </c>
      <c r="D60" t="inlineStr">
        <is>
          <t>indeed</t>
        </is>
      </c>
      <c r="E60" t="inlineStr"/>
      <c r="F60" t="inlineStr"/>
      <c r="G60" t="inlineStr">
        <is>
          <t>Palo Alto, CA, US</t>
        </is>
      </c>
      <c r="H60" s="1" t="n">
        <v>46037</v>
      </c>
      <c r="I6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1">
      <c r="A61" t="inlineStr">
        <is>
          <t>in-d4f36272cae852aa</t>
        </is>
      </c>
      <c r="B61" t="inlineStr">
        <is>
          <t>Principal Applied Scientist, Measurement, AdTech and Data Science, Ads Performance Measurement</t>
        </is>
      </c>
      <c r="C61" t="inlineStr">
        <is>
          <t>Amazon.com</t>
        </is>
      </c>
      <c r="D61" t="inlineStr">
        <is>
          <t>indeed</t>
        </is>
      </c>
      <c r="E61" t="inlineStr"/>
      <c r="F61" t="inlineStr"/>
      <c r="G61" t="inlineStr">
        <is>
          <t>Seattle, WA, US</t>
        </is>
      </c>
      <c r="H61" s="1" t="n">
        <v>46037</v>
      </c>
      <c r="I6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2">
      <c r="A62" t="inlineStr">
        <is>
          <t>in-7d894f7881494582</t>
        </is>
      </c>
      <c r="B62" t="inlineStr">
        <is>
          <t>Principal Applied Scientist, Measurement, AdTech and Data Science, Ads Performance Measurement</t>
        </is>
      </c>
      <c r="C62" t="inlineStr">
        <is>
          <t>Amazon.com</t>
        </is>
      </c>
      <c r="D62" t="inlineStr">
        <is>
          <t>indeed</t>
        </is>
      </c>
      <c r="E62" t="inlineStr"/>
      <c r="F62" t="inlineStr"/>
      <c r="G62" t="inlineStr">
        <is>
          <t>New York, NY, US</t>
        </is>
      </c>
      <c r="H62" s="1" t="n">
        <v>46037</v>
      </c>
      <c r="I62"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63">
      <c r="A63" t="inlineStr">
        <is>
          <t>in-3ec4b0e18dcbb3d7</t>
        </is>
      </c>
      <c r="B63" t="inlineStr">
        <is>
          <t>Applied Scientist, LLM Code Agents, Kiro Science</t>
        </is>
      </c>
      <c r="C63" t="inlineStr">
        <is>
          <t>Amazon.com</t>
        </is>
      </c>
      <c r="D63" t="inlineStr">
        <is>
          <t>indeed</t>
        </is>
      </c>
      <c r="E63" t="inlineStr"/>
      <c r="F63" t="inlineStr"/>
      <c r="G63" t="inlineStr">
        <is>
          <t>Seattle, WA, US</t>
        </is>
      </c>
      <c r="H63" s="1" t="n">
        <v>46035</v>
      </c>
      <c r="I6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4">
      <c r="A64" t="inlineStr">
        <is>
          <t>in-5070a1afe7cb224d</t>
        </is>
      </c>
      <c r="B64" t="inlineStr">
        <is>
          <t>Applied Scientist, LLM Code Agents, Kiro Science</t>
        </is>
      </c>
      <c r="C64" t="inlineStr">
        <is>
          <t>Amazon.com</t>
        </is>
      </c>
      <c r="D64" t="inlineStr">
        <is>
          <t>indeed</t>
        </is>
      </c>
      <c r="E64" t="inlineStr"/>
      <c r="F64" t="inlineStr"/>
      <c r="G64" t="inlineStr">
        <is>
          <t>Santa Clara, CA, US</t>
        </is>
      </c>
      <c r="H64" s="1" t="n">
        <v>46035</v>
      </c>
      <c r="I64"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65">
      <c r="A65" t="inlineStr">
        <is>
          <t>in-17ac7acce0b06289</t>
        </is>
      </c>
      <c r="B65" t="inlineStr">
        <is>
          <t>Applied Scientist II, Prime Video Personalization and Discovery Science</t>
        </is>
      </c>
      <c r="C65" t="inlineStr">
        <is>
          <t>Amazon.com</t>
        </is>
      </c>
      <c r="D65" t="inlineStr">
        <is>
          <t>indeed</t>
        </is>
      </c>
      <c r="E65" t="inlineStr"/>
      <c r="F65" t="inlineStr"/>
      <c r="G65" t="inlineStr">
        <is>
          <t>Seattle, WA, US</t>
        </is>
      </c>
      <c r="H65" s="1" t="n">
        <v>46034</v>
      </c>
      <c r="I6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6">
      <c r="A66" t="inlineStr">
        <is>
          <t>in-bf1146b0783a9756</t>
        </is>
      </c>
      <c r="B66" t="inlineStr">
        <is>
          <t>Applied Scientist II, Prime Video Personalization and Discovery Science</t>
        </is>
      </c>
      <c r="C66" t="inlineStr">
        <is>
          <t>Amazon.com</t>
        </is>
      </c>
      <c r="D66" t="inlineStr">
        <is>
          <t>indeed</t>
        </is>
      </c>
      <c r="E66" t="inlineStr"/>
      <c r="F66" t="inlineStr"/>
      <c r="G66" t="inlineStr">
        <is>
          <t>Sunnyvale, CA, US</t>
        </is>
      </c>
      <c r="H66" s="1" t="n">
        <v>46034</v>
      </c>
      <c r="I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7">
      <c r="A67" t="inlineStr">
        <is>
          <t>in-e4bf518a96cd7773</t>
        </is>
      </c>
      <c r="B67" t="inlineStr">
        <is>
          <t>Applied Scientist, Alexa Smart Home</t>
        </is>
      </c>
      <c r="C67" t="inlineStr">
        <is>
          <t>Amazon.com</t>
        </is>
      </c>
      <c r="D67" t="inlineStr">
        <is>
          <t>indeed</t>
        </is>
      </c>
      <c r="E67" t="inlineStr"/>
      <c r="F67" t="inlineStr"/>
      <c r="G67" t="inlineStr">
        <is>
          <t>Seattle, WA, US</t>
        </is>
      </c>
      <c r="H67" s="1" t="n">
        <v>46033</v>
      </c>
      <c r="I6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8">
      <c r="A68" t="inlineStr">
        <is>
          <t>in-9238ab478527772b</t>
        </is>
      </c>
      <c r="B68" t="inlineStr">
        <is>
          <t>Applied Scientist, Alexa Smart Home</t>
        </is>
      </c>
      <c r="C68" t="inlineStr">
        <is>
          <t>Amazon.com</t>
        </is>
      </c>
      <c r="D68" t="inlineStr">
        <is>
          <t>indeed</t>
        </is>
      </c>
      <c r="E68" t="inlineStr"/>
      <c r="F68" t="inlineStr"/>
      <c r="G68" t="inlineStr">
        <is>
          <t>Sunnyvale, CA, US</t>
        </is>
      </c>
      <c r="H68" s="1" t="n">
        <v>46033</v>
      </c>
      <c r="I68"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69">
      <c r="A69" t="inlineStr">
        <is>
          <t>in-f364739b754bb349</t>
        </is>
      </c>
      <c r="B69" t="inlineStr">
        <is>
          <t>Applied Scientist, AWS Applied AI Solutions</t>
        </is>
      </c>
      <c r="C69" t="inlineStr">
        <is>
          <t>Amazon Web Services</t>
        </is>
      </c>
      <c r="D69" t="inlineStr">
        <is>
          <t>indeed</t>
        </is>
      </c>
      <c r="E69" t="inlineStr"/>
      <c r="F69" t="inlineStr"/>
      <c r="G69" t="inlineStr">
        <is>
          <t>New York, NY, US</t>
        </is>
      </c>
      <c r="H69" s="1" t="n">
        <v>46030</v>
      </c>
      <c r="I6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0">
      <c r="A70" t="inlineStr">
        <is>
          <t>in-e46f93cf2ea70659</t>
        </is>
      </c>
      <c r="B70" t="inlineStr">
        <is>
          <t>Applied Scientist, AWS Applied AI Solutions</t>
        </is>
      </c>
      <c r="C70" t="inlineStr">
        <is>
          <t>Amazon Web Services</t>
        </is>
      </c>
      <c r="D70" t="inlineStr">
        <is>
          <t>indeed</t>
        </is>
      </c>
      <c r="E70" t="inlineStr"/>
      <c r="F70" t="inlineStr"/>
      <c r="G70" t="inlineStr">
        <is>
          <t>Seattle, WA, US</t>
        </is>
      </c>
      <c r="H70" s="1" t="n">
        <v>46030</v>
      </c>
      <c r="I70"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1">
      <c r="A71" t="inlineStr">
        <is>
          <t>in-415496577cc9804f</t>
        </is>
      </c>
      <c r="B71" t="inlineStr">
        <is>
          <t>Senior Data Scientist, Amazon Global Logistics</t>
        </is>
      </c>
      <c r="C71" t="inlineStr">
        <is>
          <t>Amazon.com</t>
        </is>
      </c>
      <c r="D71" t="inlineStr">
        <is>
          <t>indeed</t>
        </is>
      </c>
      <c r="E71" t="inlineStr"/>
      <c r="F71" t="inlineStr"/>
      <c r="G71" t="inlineStr">
        <is>
          <t>Boston, MA, US</t>
        </is>
      </c>
      <c r="H71" s="1" t="n">
        <v>46029</v>
      </c>
      <c r="I71"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2">
      <c r="A72" t="inlineStr">
        <is>
          <t>in-63fc8794c860f0d0</t>
        </is>
      </c>
      <c r="B72" t="inlineStr">
        <is>
          <t>Senior Data Scientist, Amazon Global Logistics</t>
        </is>
      </c>
      <c r="C72" t="inlineStr">
        <is>
          <t>Amazon.com</t>
        </is>
      </c>
      <c r="D72" t="inlineStr">
        <is>
          <t>indeed</t>
        </is>
      </c>
      <c r="E72" t="inlineStr"/>
      <c r="F72" t="inlineStr"/>
      <c r="G72" t="inlineStr">
        <is>
          <t>Bellevue, WA, US</t>
        </is>
      </c>
      <c r="H72" s="1" t="n">
        <v>46029</v>
      </c>
      <c r="I72"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73">
      <c r="A73" t="inlineStr">
        <is>
          <t>in-149f06b3dc99e4f3</t>
        </is>
      </c>
      <c r="B73" t="inlineStr">
        <is>
          <t>Applied Scientist II, Prime Video Personalization and Discovery Science</t>
        </is>
      </c>
      <c r="C73" t="inlineStr">
        <is>
          <t>Amazon.com</t>
        </is>
      </c>
      <c r="D73" t="inlineStr">
        <is>
          <t>indeed</t>
        </is>
      </c>
      <c r="E73" t="inlineStr"/>
      <c r="F73" t="inlineStr"/>
      <c r="G73" t="inlineStr">
        <is>
          <t>Seattle, WA, US</t>
        </is>
      </c>
      <c r="H73" s="1" t="n">
        <v>46028</v>
      </c>
      <c r="I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4">
      <c r="A74" t="inlineStr">
        <is>
          <t>in-c7b62150f4de5d6f</t>
        </is>
      </c>
      <c r="B74" t="inlineStr">
        <is>
          <t>Applied Scientist II, Prime Video Personalization and Discovery Science</t>
        </is>
      </c>
      <c r="C74" t="inlineStr">
        <is>
          <t>Amazon.com</t>
        </is>
      </c>
      <c r="D74" t="inlineStr">
        <is>
          <t>indeed</t>
        </is>
      </c>
      <c r="E74" t="inlineStr"/>
      <c r="F74" t="inlineStr"/>
      <c r="G74" t="inlineStr">
        <is>
          <t>New York, NY, US</t>
        </is>
      </c>
      <c r="H74" s="1" t="n">
        <v>46028</v>
      </c>
      <c r="I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5">
      <c r="A75" t="inlineStr">
        <is>
          <t>in-b0ae70c89b1ac6d7</t>
        </is>
      </c>
      <c r="B75" t="inlineStr">
        <is>
          <t>Applied Scientist II, Prime Video Personalization and Discovery Science</t>
        </is>
      </c>
      <c r="C75" t="inlineStr">
        <is>
          <t>Amazon.com</t>
        </is>
      </c>
      <c r="D75" t="inlineStr">
        <is>
          <t>indeed</t>
        </is>
      </c>
      <c r="E75" t="inlineStr"/>
      <c r="F75" t="inlineStr"/>
      <c r="G75" t="inlineStr">
        <is>
          <t>Sunnyvale, CA, US</t>
        </is>
      </c>
      <c r="H75" s="1" t="n">
        <v>46028</v>
      </c>
      <c r="I7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76">
      <c r="A76" t="inlineStr">
        <is>
          <t>in-d867af0004ab5273</t>
        </is>
      </c>
      <c r="B76" t="inlineStr">
        <is>
          <t>Senior Applied Scientist, Distributed SQL</t>
        </is>
      </c>
      <c r="C76" t="inlineStr">
        <is>
          <t>Amazon Web Services</t>
        </is>
      </c>
      <c r="D76" t="inlineStr">
        <is>
          <t>indeed</t>
        </is>
      </c>
      <c r="E76" t="inlineStr"/>
      <c r="F76" t="inlineStr"/>
      <c r="G76" t="inlineStr">
        <is>
          <t>Seattle, WA, US</t>
        </is>
      </c>
      <c r="H76" s="1" t="n">
        <v>46012</v>
      </c>
      <c r="I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7">
      <c r="A77" t="inlineStr">
        <is>
          <t>in-66b3d114f709ad3a</t>
        </is>
      </c>
      <c r="B77" t="inlineStr">
        <is>
          <t>Senior Applied Scientist, Distributed SQL</t>
        </is>
      </c>
      <c r="C77" t="inlineStr">
        <is>
          <t>Amazon Web Services</t>
        </is>
      </c>
      <c r="D77" t="inlineStr">
        <is>
          <t>indeed</t>
        </is>
      </c>
      <c r="E77" t="inlineStr"/>
      <c r="F77" t="inlineStr"/>
      <c r="G77" t="inlineStr">
        <is>
          <t>East Palo Alto, CA, US</t>
        </is>
      </c>
      <c r="H77" s="1" t="n">
        <v>46012</v>
      </c>
      <c r="I7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78">
      <c r="A78" t="inlineStr">
        <is>
          <t>in-5b096a2ee395e0a3</t>
        </is>
      </c>
      <c r="B78" t="inlineStr">
        <is>
          <t>Applied Scientist, Delivery Foundation Model</t>
        </is>
      </c>
      <c r="C78" t="inlineStr">
        <is>
          <t>Amazon.com</t>
        </is>
      </c>
      <c r="D78" t="inlineStr">
        <is>
          <t>indeed</t>
        </is>
      </c>
      <c r="E78" t="inlineStr"/>
      <c r="F78" t="inlineStr"/>
      <c r="G78" t="inlineStr">
        <is>
          <t>Santa Clara, CA, US</t>
        </is>
      </c>
      <c r="H78" s="1" t="n">
        <v>46009</v>
      </c>
      <c r="I7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79">
      <c r="A79" t="inlineStr">
        <is>
          <t>in-81cf09c2f8447f01</t>
        </is>
      </c>
      <c r="B79" t="inlineStr">
        <is>
          <t>Applied Scientist, Delivery Foundation Model</t>
        </is>
      </c>
      <c r="C79" t="inlineStr">
        <is>
          <t>Amazon.com</t>
        </is>
      </c>
      <c r="D79" t="inlineStr">
        <is>
          <t>indeed</t>
        </is>
      </c>
      <c r="E79" t="inlineStr"/>
      <c r="F79" t="inlineStr"/>
      <c r="G79" t="inlineStr">
        <is>
          <t>Bellevue, WA, US</t>
        </is>
      </c>
      <c r="H79" s="1" t="n">
        <v>46009</v>
      </c>
      <c r="I7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80">
      <c r="A80" t="inlineStr">
        <is>
          <t>in-333674c44915b314</t>
        </is>
      </c>
      <c r="B80" t="inlineStr">
        <is>
          <t>Principal Applied Scientist, Kiro Science</t>
        </is>
      </c>
      <c r="C80" t="inlineStr">
        <is>
          <t>Amazon Web Services</t>
        </is>
      </c>
      <c r="D80" t="inlineStr">
        <is>
          <t>indeed</t>
        </is>
      </c>
      <c r="E80" t="inlineStr"/>
      <c r="F80" t="inlineStr"/>
      <c r="G80" t="inlineStr">
        <is>
          <t>New York, NY, US</t>
        </is>
      </c>
      <c r="H80" s="1" t="n">
        <v>45999</v>
      </c>
      <c r="I8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1">
      <c r="A81" t="inlineStr">
        <is>
          <t>in-465995d61cbbf5cd</t>
        </is>
      </c>
      <c r="B81" t="inlineStr">
        <is>
          <t>Principal Applied Scientist, Kiro Science</t>
        </is>
      </c>
      <c r="C81" t="inlineStr">
        <is>
          <t>Amazon Web Services</t>
        </is>
      </c>
      <c r="D81" t="inlineStr">
        <is>
          <t>indeed</t>
        </is>
      </c>
      <c r="E81" t="inlineStr"/>
      <c r="F81" t="inlineStr"/>
      <c r="G81" t="inlineStr">
        <is>
          <t>Santa Clara, CA, US</t>
        </is>
      </c>
      <c r="H81" s="1" t="n">
        <v>45999</v>
      </c>
      <c r="I81"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82">
      <c r="A82" t="inlineStr">
        <is>
          <t>in-d10dd37b539f0b36</t>
        </is>
      </c>
      <c r="B82" t="inlineStr">
        <is>
          <t>Principal Applied Scientist, Sponsored Products and Brands</t>
        </is>
      </c>
      <c r="C82" t="inlineStr">
        <is>
          <t>Amazon.com</t>
        </is>
      </c>
      <c r="D82" t="inlineStr">
        <is>
          <t>indeed</t>
        </is>
      </c>
      <c r="E82" t="inlineStr"/>
      <c r="F82" t="inlineStr"/>
      <c r="G82" t="inlineStr">
        <is>
          <t>New York, NY, US</t>
        </is>
      </c>
      <c r="H82" s="1" t="n">
        <v>45979</v>
      </c>
      <c r="I8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in-6f506d4401d740b8</t>
        </is>
      </c>
      <c r="B83" t="inlineStr">
        <is>
          <t>Principal Applied Scientist, Sponsored Products and Brands</t>
        </is>
      </c>
      <c r="C83" t="inlineStr">
        <is>
          <t>Amazon.com</t>
        </is>
      </c>
      <c r="D83" t="inlineStr">
        <is>
          <t>indeed</t>
        </is>
      </c>
      <c r="E83" t="inlineStr"/>
      <c r="F83" t="inlineStr"/>
      <c r="G83" t="inlineStr">
        <is>
          <t>Seattle, WA, US</t>
        </is>
      </c>
      <c r="H83" s="1" t="n">
        <v>45979</v>
      </c>
      <c r="I83"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in-6ef3bef468ea8790</t>
        </is>
      </c>
      <c r="B84" t="inlineStr">
        <is>
          <t>Senior Applied Scientist, Sponsored Products and Brands</t>
        </is>
      </c>
      <c r="C84" t="inlineStr">
        <is>
          <t>Amazon.com</t>
        </is>
      </c>
      <c r="D84" t="inlineStr">
        <is>
          <t>indeed</t>
        </is>
      </c>
      <c r="E84" t="inlineStr"/>
      <c r="F84" t="inlineStr"/>
      <c r="G84" t="inlineStr">
        <is>
          <t>Seattle, WA, US</t>
        </is>
      </c>
      <c r="H84" s="1" t="n">
        <v>45979</v>
      </c>
      <c r="I8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5">
      <c r="A85" t="inlineStr">
        <is>
          <t>in-c810db7c9c1921e4</t>
        </is>
      </c>
      <c r="B85" t="inlineStr">
        <is>
          <t>Senior Applied Scientist, Sponsored Products and Brands</t>
        </is>
      </c>
      <c r="C85" t="inlineStr">
        <is>
          <t>Amazon.com</t>
        </is>
      </c>
      <c r="D85" t="inlineStr">
        <is>
          <t>indeed</t>
        </is>
      </c>
      <c r="E85" t="inlineStr"/>
      <c r="F85" t="inlineStr"/>
      <c r="G85" t="inlineStr">
        <is>
          <t>New York, NY, US</t>
        </is>
      </c>
      <c r="H85" s="1" t="n">
        <v>45979</v>
      </c>
      <c r="I85"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86">
      <c r="A86" t="inlineStr">
        <is>
          <t>in-15873d340e2bd97f</t>
        </is>
      </c>
      <c r="B86" t="inlineStr">
        <is>
          <t>Sr. Applied Scientist, Sponsored Products</t>
        </is>
      </c>
      <c r="C86" t="inlineStr">
        <is>
          <t>Amazon.com</t>
        </is>
      </c>
      <c r="D86" t="inlineStr">
        <is>
          <t>indeed</t>
        </is>
      </c>
      <c r="E86" t="inlineStr"/>
      <c r="F86" t="inlineStr"/>
      <c r="G86" t="inlineStr">
        <is>
          <t>New York, NY, US</t>
        </is>
      </c>
      <c r="H86" s="1" t="n">
        <v>45976</v>
      </c>
      <c r="I8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7">
      <c r="A87" t="inlineStr">
        <is>
          <t>in-da362cc70a708d66</t>
        </is>
      </c>
      <c r="B87" t="inlineStr">
        <is>
          <t>Sr. Applied Scientist, Sponsored Products</t>
        </is>
      </c>
      <c r="C87" t="inlineStr">
        <is>
          <t>Amazon.com</t>
        </is>
      </c>
      <c r="D87" t="inlineStr">
        <is>
          <t>indeed</t>
        </is>
      </c>
      <c r="E87" t="inlineStr"/>
      <c r="F87" t="inlineStr"/>
      <c r="G87" t="inlineStr">
        <is>
          <t>Seattle, WA, US</t>
        </is>
      </c>
      <c r="H87" s="1" t="n">
        <v>45976</v>
      </c>
      <c r="I8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8">
      <c r="A88" t="inlineStr">
        <is>
          <t>in-79452a79e841f8bc</t>
        </is>
      </c>
      <c r="B88" t="inlineStr">
        <is>
          <t>Sr. Applied Scientist, Sponsored Products</t>
        </is>
      </c>
      <c r="C88" t="inlineStr">
        <is>
          <t>Amazon.com</t>
        </is>
      </c>
      <c r="D88" t="inlineStr">
        <is>
          <t>indeed</t>
        </is>
      </c>
      <c r="E88" t="inlineStr"/>
      <c r="F88" t="inlineStr"/>
      <c r="G88" t="inlineStr">
        <is>
          <t>Arlington, VA, US</t>
        </is>
      </c>
      <c r="H88" s="1" t="n">
        <v>45976</v>
      </c>
      <c r="I88"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89">
      <c r="A89" t="inlineStr">
        <is>
          <t>in-69e5e9461218608a</t>
        </is>
      </c>
      <c r="B89" t="inlineStr">
        <is>
          <t>Applied Scientist, AWS Agentic AI</t>
        </is>
      </c>
      <c r="C89" t="inlineStr">
        <is>
          <t>Amazon Web Services</t>
        </is>
      </c>
      <c r="D89" t="inlineStr">
        <is>
          <t>indeed</t>
        </is>
      </c>
      <c r="E89" t="inlineStr"/>
      <c r="F89" t="inlineStr"/>
      <c r="G89" t="inlineStr">
        <is>
          <t>Seattle, WA, US</t>
        </is>
      </c>
      <c r="H89" s="1" t="n">
        <v>45962</v>
      </c>
      <c r="I8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in-64a560f1acebfb3d</t>
        </is>
      </c>
      <c r="B90" t="inlineStr">
        <is>
          <t>Applied Scientist, AWS Agentic AI</t>
        </is>
      </c>
      <c r="C90" t="inlineStr">
        <is>
          <t>Amazon Web Services</t>
        </is>
      </c>
      <c r="D90" t="inlineStr">
        <is>
          <t>indeed</t>
        </is>
      </c>
      <c r="E90" t="inlineStr"/>
      <c r="F90" t="inlineStr"/>
      <c r="G90" t="inlineStr">
        <is>
          <t>New York, NY, US</t>
        </is>
      </c>
      <c r="H90" s="1" t="n">
        <v>45962</v>
      </c>
      <c r="I9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in-166702d5c457327b</t>
        </is>
      </c>
      <c r="B91" t="inlineStr">
        <is>
          <t>Applied Scientist, AWS Agentic AI</t>
        </is>
      </c>
      <c r="C91" t="inlineStr">
        <is>
          <t>Amazon Web Services</t>
        </is>
      </c>
      <c r="D91" t="inlineStr">
        <is>
          <t>indeed</t>
        </is>
      </c>
      <c r="E91" t="inlineStr"/>
      <c r="F91" t="inlineStr"/>
      <c r="G91" t="inlineStr">
        <is>
          <t>Santa Clara, CA, US</t>
        </is>
      </c>
      <c r="H91" s="1" t="n">
        <v>45962</v>
      </c>
      <c r="I9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in-59b8572e22c01e86</t>
        </is>
      </c>
      <c r="B92" t="inlineStr">
        <is>
          <t>Applied Scientist, Prime Video - Content Understanding, Localization &amp; Enrichment Team</t>
        </is>
      </c>
      <c r="C92" t="inlineStr">
        <is>
          <t>Amazon.com</t>
        </is>
      </c>
      <c r="D92" t="inlineStr">
        <is>
          <t>indeed</t>
        </is>
      </c>
      <c r="E92" t="inlineStr"/>
      <c r="F92" t="inlineStr"/>
      <c r="G92" t="inlineStr">
        <is>
          <t>San Francisco, CA, US</t>
        </is>
      </c>
      <c r="H92" s="1" t="n">
        <v>45943</v>
      </c>
      <c r="I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3">
      <c r="A93" t="inlineStr">
        <is>
          <t>in-0c7962154a75f161</t>
        </is>
      </c>
      <c r="B93" t="inlineStr">
        <is>
          <t>Applied Scientist, Prime Video - Content Understanding, Localization &amp; Enrichment Team</t>
        </is>
      </c>
      <c r="C93" t="inlineStr">
        <is>
          <t>Amazon.com</t>
        </is>
      </c>
      <c r="D93" t="inlineStr">
        <is>
          <t>indeed</t>
        </is>
      </c>
      <c r="E93" t="inlineStr"/>
      <c r="F93" t="inlineStr"/>
      <c r="G93" t="inlineStr">
        <is>
          <t>Seattle, WA, US</t>
        </is>
      </c>
      <c r="H93" s="1" t="n">
        <v>45943</v>
      </c>
      <c r="I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94">
      <c r="A94" t="inlineStr">
        <is>
          <t>in-97cca4eaaf31caa8</t>
        </is>
      </c>
      <c r="B94" t="inlineStr">
        <is>
          <t>Principal Applied Scientist, Advertiser Growth, Amazon Sponsored Products &amp; Brands</t>
        </is>
      </c>
      <c r="C94" t="inlineStr">
        <is>
          <t>Amazon.com</t>
        </is>
      </c>
      <c r="D94" t="inlineStr">
        <is>
          <t>indeed</t>
        </is>
      </c>
      <c r="E94" t="inlineStr"/>
      <c r="F94" t="inlineStr"/>
      <c r="G94" t="inlineStr">
        <is>
          <t>New York, NY, US</t>
        </is>
      </c>
      <c r="H94" s="1" t="n">
        <v>45942</v>
      </c>
      <c r="I9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in-ccda40f654aaff55</t>
        </is>
      </c>
      <c r="B95" t="inlineStr">
        <is>
          <t>Principal Applied Scientist, Advertiser Growth, Amazon Sponsored Products &amp; Brands</t>
        </is>
      </c>
      <c r="C95" t="inlineStr">
        <is>
          <t>Amazon.com</t>
        </is>
      </c>
      <c r="D95" t="inlineStr">
        <is>
          <t>indeed</t>
        </is>
      </c>
      <c r="E95" t="inlineStr"/>
      <c r="F95" t="inlineStr"/>
      <c r="G95" t="inlineStr">
        <is>
          <t>Palo Alto, CA, US</t>
        </is>
      </c>
      <c r="H95" s="1" t="n">
        <v>45942</v>
      </c>
      <c r="I9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in-6cdecc2e4ae0ba3e</t>
        </is>
      </c>
      <c r="B96" t="inlineStr">
        <is>
          <t>Principal Applied Scientist, Advertiser Growth, Amazon Sponsored Products &amp; Brands</t>
        </is>
      </c>
      <c r="C96" t="inlineStr">
        <is>
          <t>Amazon.com</t>
        </is>
      </c>
      <c r="D96" t="inlineStr">
        <is>
          <t>indeed</t>
        </is>
      </c>
      <c r="E96" t="inlineStr"/>
      <c r="F96" t="inlineStr"/>
      <c r="G96" t="inlineStr">
        <is>
          <t>Seattle, WA, US</t>
        </is>
      </c>
      <c r="H96" s="1" t="n">
        <v>45942</v>
      </c>
      <c r="I9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in-a0f9481430b6d053</t>
        </is>
      </c>
      <c r="B97" t="inlineStr">
        <is>
          <t>Applied Scientist, Workplace Health &amp; Safety</t>
        </is>
      </c>
      <c r="C97" t="inlineStr">
        <is>
          <t>Amazon.com</t>
        </is>
      </c>
      <c r="D97" t="inlineStr">
        <is>
          <t>indeed</t>
        </is>
      </c>
      <c r="E97" t="inlineStr"/>
      <c r="F97" t="inlineStr"/>
      <c r="G97" t="inlineStr">
        <is>
          <t>Nashville, TN, US</t>
        </is>
      </c>
      <c r="H97" s="1" t="n">
        <v>45917</v>
      </c>
      <c r="I9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in-c0ee6820468d848b</t>
        </is>
      </c>
      <c r="B98" t="inlineStr">
        <is>
          <t>Applied Scientist, Workplace Health &amp; Safety</t>
        </is>
      </c>
      <c r="C98" t="inlineStr">
        <is>
          <t>Amazon.com</t>
        </is>
      </c>
      <c r="D98" t="inlineStr">
        <is>
          <t>indeed</t>
        </is>
      </c>
      <c r="E98" t="inlineStr"/>
      <c r="F98" t="inlineStr"/>
      <c r="G98" t="inlineStr">
        <is>
          <t>Bellevue, WA, US</t>
        </is>
      </c>
      <c r="H98" s="1" t="n">
        <v>45917</v>
      </c>
      <c r="I98"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in-bcafd26d72c6f278</t>
        </is>
      </c>
      <c r="B99" t="inlineStr">
        <is>
          <t>Sr. Applied Scientist, Prime Video - Personalization and Discovery Science</t>
        </is>
      </c>
      <c r="C99" t="inlineStr">
        <is>
          <t>Amazon.com</t>
        </is>
      </c>
      <c r="D99" t="inlineStr">
        <is>
          <t>indeed</t>
        </is>
      </c>
      <c r="E99" t="inlineStr"/>
      <c r="F99" t="inlineStr"/>
      <c r="G99" t="inlineStr">
        <is>
          <t>Sunnyvale, CA, US</t>
        </is>
      </c>
      <c r="H99" s="1" t="n">
        <v>45896</v>
      </c>
      <c r="I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0">
      <c r="A100" t="inlineStr">
        <is>
          <t>in-d37ca9c721158a7f</t>
        </is>
      </c>
      <c r="B100" t="inlineStr">
        <is>
          <t>Sr. Applied Scientist, Prime Video - Personalization and Discovery Science</t>
        </is>
      </c>
      <c r="C100" t="inlineStr">
        <is>
          <t>Amazon.com</t>
        </is>
      </c>
      <c r="D100" t="inlineStr">
        <is>
          <t>indeed</t>
        </is>
      </c>
      <c r="E100" t="inlineStr"/>
      <c r="F100" t="inlineStr"/>
      <c r="G100" t="inlineStr">
        <is>
          <t>Seattle, WA, US</t>
        </is>
      </c>
      <c r="H100" s="1" t="n">
        <v>45896</v>
      </c>
      <c r="I1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1">
      <c r="A101" t="inlineStr">
        <is>
          <t>in-3585fa6ec0670ff7</t>
        </is>
      </c>
      <c r="B101" t="inlineStr">
        <is>
          <t>Sr. Applied Scientist, Prime Video - Personalization and Discovery Science</t>
        </is>
      </c>
      <c r="C101" t="inlineStr">
        <is>
          <t>Amazon.com</t>
        </is>
      </c>
      <c r="D101" t="inlineStr">
        <is>
          <t>indeed</t>
        </is>
      </c>
      <c r="E101" t="inlineStr"/>
      <c r="F101" t="inlineStr"/>
      <c r="G101" t="inlineStr">
        <is>
          <t>New York, NY, US</t>
        </is>
      </c>
      <c r="H101" s="1" t="n">
        <v>45896</v>
      </c>
      <c r="I1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102">
      <c r="A102" t="inlineStr">
        <is>
          <t>in-18ab7b40fb5e558c</t>
        </is>
      </c>
      <c r="B102" t="inlineStr">
        <is>
          <t>Sr. Applied Scientist, Amazon Advertising</t>
        </is>
      </c>
      <c r="C102" t="inlineStr">
        <is>
          <t>Amazon.com</t>
        </is>
      </c>
      <c r="D102" t="inlineStr">
        <is>
          <t>indeed</t>
        </is>
      </c>
      <c r="E102" t="inlineStr"/>
      <c r="F102" t="inlineStr"/>
      <c r="G102" t="inlineStr">
        <is>
          <t>Los Angeles, CA, US</t>
        </is>
      </c>
      <c r="H102" s="1"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in-a606f8028c656a84</t>
        </is>
      </c>
      <c r="B103" t="inlineStr">
        <is>
          <t>Sr. Applied Scientist, Amazon Advertising</t>
        </is>
      </c>
      <c r="C103" t="inlineStr">
        <is>
          <t>Amazon.com</t>
        </is>
      </c>
      <c r="D103" t="inlineStr">
        <is>
          <t>indeed</t>
        </is>
      </c>
      <c r="E103" t="inlineStr"/>
      <c r="F103" t="inlineStr"/>
      <c r="G103" t="inlineStr">
        <is>
          <t>Simi Valley, CA, US</t>
        </is>
      </c>
      <c r="H103" s="1" t="n">
        <v>45851</v>
      </c>
      <c r="I10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in-fdcae11ab9facd90</t>
        </is>
      </c>
      <c r="B104" t="inlineStr">
        <is>
          <t>Sr. Applied Scientist, Amazon Advertising</t>
        </is>
      </c>
      <c r="C104" t="inlineStr">
        <is>
          <t>Amazon.com</t>
        </is>
      </c>
      <c r="D104" t="inlineStr">
        <is>
          <t>indeed</t>
        </is>
      </c>
      <c r="E104" t="inlineStr"/>
      <c r="F104" t="inlineStr"/>
      <c r="G104" t="inlineStr">
        <is>
          <t>Palo Alto, CA, US</t>
        </is>
      </c>
      <c r="H104" s="1" t="n">
        <v>45851</v>
      </c>
      <c r="I10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in-4dc4b0e5b5c795af</t>
        </is>
      </c>
      <c r="B105" t="inlineStr">
        <is>
          <t>Sr. Applied Scientist, Amazon Advertising</t>
        </is>
      </c>
      <c r="C105" t="inlineStr">
        <is>
          <t>Amazon.com</t>
        </is>
      </c>
      <c r="D105" t="inlineStr">
        <is>
          <t>indeed</t>
        </is>
      </c>
      <c r="E105" t="inlineStr"/>
      <c r="F105" t="inlineStr"/>
      <c r="G105" t="inlineStr">
        <is>
          <t>Arlington, VA, US</t>
        </is>
      </c>
      <c r="H105" s="1" t="n">
        <v>45851</v>
      </c>
      <c r="I10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in-c398c8a65b573832</t>
        </is>
      </c>
      <c r="B106" t="inlineStr">
        <is>
          <t>Sr. Applied Scientist, Amazon Advertising</t>
        </is>
      </c>
      <c r="C106" t="inlineStr">
        <is>
          <t>Amazon.com</t>
        </is>
      </c>
      <c r="D106" t="inlineStr">
        <is>
          <t>indeed</t>
        </is>
      </c>
      <c r="E106" t="inlineStr"/>
      <c r="F106" t="inlineStr"/>
      <c r="G106" t="inlineStr">
        <is>
          <t>Austin, TX, US</t>
        </is>
      </c>
      <c r="H106" s="1" t="n">
        <v>45851</v>
      </c>
      <c r="I10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in-28742812406b8d40</t>
        </is>
      </c>
      <c r="B107" t="inlineStr">
        <is>
          <t>Sr. Applied Scientist, Amazon Advertising</t>
        </is>
      </c>
      <c r="C107" t="inlineStr">
        <is>
          <t>Amazon.com</t>
        </is>
      </c>
      <c r="D107" t="inlineStr">
        <is>
          <t>indeed</t>
        </is>
      </c>
      <c r="E107" t="inlineStr"/>
      <c r="F107" t="inlineStr"/>
      <c r="G107" t="inlineStr">
        <is>
          <t>Seattle, WA, US</t>
        </is>
      </c>
      <c r="H107" s="1" t="n">
        <v>45851</v>
      </c>
      <c r="I10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in-f9755d26326b62bd</t>
        </is>
      </c>
      <c r="B108" t="inlineStr">
        <is>
          <t>Sr. Applied Scientist, Amazon Advertising</t>
        </is>
      </c>
      <c r="C108" t="inlineStr">
        <is>
          <t>Amazon.com</t>
        </is>
      </c>
      <c r="D108" t="inlineStr">
        <is>
          <t>indeed</t>
        </is>
      </c>
      <c r="E108" t="inlineStr"/>
      <c r="F108" t="inlineStr"/>
      <c r="G108" t="inlineStr">
        <is>
          <t>New York, NY, US</t>
        </is>
      </c>
      <c r="H108" s="1" t="n">
        <v>45851</v>
      </c>
      <c r="I10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in-b5ea756f53e3e8ae</t>
        </is>
      </c>
      <c r="B109" t="inlineStr">
        <is>
          <t>Sr. Applied Scientist, Amazon Advertising</t>
        </is>
      </c>
      <c r="C109" t="inlineStr">
        <is>
          <t>Amazon.com</t>
        </is>
      </c>
      <c r="D109" t="inlineStr">
        <is>
          <t>indeed</t>
        </is>
      </c>
      <c r="E109" t="inlineStr"/>
      <c r="F109" t="inlineStr"/>
      <c r="G109" t="inlineStr">
        <is>
          <t>West Hollywood, CA, US</t>
        </is>
      </c>
      <c r="H109" s="1" t="n">
        <v>45851</v>
      </c>
      <c r="I10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in-8abf5afe62b79168</t>
        </is>
      </c>
      <c r="B110" t="inlineStr">
        <is>
          <t>Applied Scientist, Prime Video - Personalization and Discovery Science</t>
        </is>
      </c>
      <c r="C110" t="inlineStr">
        <is>
          <t>Amazon.com</t>
        </is>
      </c>
      <c r="D110" t="inlineStr">
        <is>
          <t>indeed</t>
        </is>
      </c>
      <c r="E110" t="inlineStr"/>
      <c r="F110" t="inlineStr"/>
      <c r="G110" t="inlineStr">
        <is>
          <t>Sunnyvale, CA, US</t>
        </is>
      </c>
      <c r="H110" s="1" t="n">
        <v>45845</v>
      </c>
      <c r="I1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1">
      <c r="A111" t="inlineStr">
        <is>
          <t>in-de809d97c3f091c1</t>
        </is>
      </c>
      <c r="B111" t="inlineStr">
        <is>
          <t>Applied Scientist, Prime Video - Personalization and Discovery Science</t>
        </is>
      </c>
      <c r="C111" t="inlineStr">
        <is>
          <t>Amazon.com</t>
        </is>
      </c>
      <c r="D111" t="inlineStr">
        <is>
          <t>indeed</t>
        </is>
      </c>
      <c r="E111" t="inlineStr"/>
      <c r="F111" t="inlineStr"/>
      <c r="G111" t="inlineStr">
        <is>
          <t>New York, NY, US</t>
        </is>
      </c>
      <c r="H111" s="1" t="n">
        <v>45845</v>
      </c>
      <c r="I1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2">
      <c r="A112" t="inlineStr">
        <is>
          <t>in-569afb636643eb6a</t>
        </is>
      </c>
      <c r="B112" t="inlineStr">
        <is>
          <t>Applied Scientist, Prime Video - Personalization and Discovery Science</t>
        </is>
      </c>
      <c r="C112" t="inlineStr">
        <is>
          <t>Amazon.com</t>
        </is>
      </c>
      <c r="D112" t="inlineStr">
        <is>
          <t>indeed</t>
        </is>
      </c>
      <c r="E112" t="inlineStr"/>
      <c r="F112" t="inlineStr"/>
      <c r="G112" t="inlineStr">
        <is>
          <t>Seattle, WA, US</t>
        </is>
      </c>
      <c r="H112" s="1" t="n">
        <v>45845</v>
      </c>
      <c r="I1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13">
      <c r="A113" t="inlineStr">
        <is>
          <t>in-65155c1811982123</t>
        </is>
      </c>
      <c r="B113" t="inlineStr">
        <is>
          <t>Sr. Data Scientist, Amazon Leo Global Planning, Amazon Leo</t>
        </is>
      </c>
      <c r="C113" t="inlineStr">
        <is>
          <t>Amazon.com</t>
        </is>
      </c>
      <c r="D113" t="inlineStr">
        <is>
          <t>indeed</t>
        </is>
      </c>
      <c r="E113" t="inlineStr"/>
      <c r="F113" t="inlineStr"/>
      <c r="G113" t="inlineStr">
        <is>
          <t>Redmond, WA, US</t>
        </is>
      </c>
      <c r="H113" s="1" t="n">
        <v>45830</v>
      </c>
      <c r="I11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4">
      <c r="A114" t="inlineStr">
        <is>
          <t>in-481350a31f020381</t>
        </is>
      </c>
      <c r="B114" t="inlineStr">
        <is>
          <t>Sr. Data Scientist, Amazon Leo Global Planning, Amazon Leo</t>
        </is>
      </c>
      <c r="C114" t="inlineStr">
        <is>
          <t>Amazon.com</t>
        </is>
      </c>
      <c r="D114" t="inlineStr">
        <is>
          <t>indeed</t>
        </is>
      </c>
      <c r="E114" t="inlineStr"/>
      <c r="F114" t="inlineStr"/>
      <c r="G114" t="inlineStr">
        <is>
          <t>Bellevue, WA, US</t>
        </is>
      </c>
      <c r="H114" s="1" t="n">
        <v>45830</v>
      </c>
      <c r="I114"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115">
      <c r="A115" t="inlineStr">
        <is>
          <t>in-c2a456a6f0ccea7e</t>
        </is>
      </c>
      <c r="B115" t="inlineStr">
        <is>
          <t>Sr. Applied Scientist, AGI Info</t>
        </is>
      </c>
      <c r="C115" t="inlineStr">
        <is>
          <t>Amazon.com</t>
        </is>
      </c>
      <c r="D115" t="inlineStr">
        <is>
          <t>indeed</t>
        </is>
      </c>
      <c r="E115" t="inlineStr"/>
      <c r="F115" t="inlineStr"/>
      <c r="G115" t="inlineStr">
        <is>
          <t>Sunnyvale, CA, US</t>
        </is>
      </c>
      <c r="H115" s="1" t="n">
        <v>45811</v>
      </c>
      <c r="I11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16">
      <c r="A116" t="inlineStr">
        <is>
          <t>in-c113fe7611c0be79</t>
        </is>
      </c>
      <c r="B116" t="inlineStr">
        <is>
          <t>Sr. Applied Scientist, AGI Info</t>
        </is>
      </c>
      <c r="C116" t="inlineStr">
        <is>
          <t>Amazon.com</t>
        </is>
      </c>
      <c r="D116" t="inlineStr">
        <is>
          <t>indeed</t>
        </is>
      </c>
      <c r="E116" t="inlineStr"/>
      <c r="F116" t="inlineStr"/>
      <c r="G116" t="inlineStr">
        <is>
          <t>Bellevue, WA, US</t>
        </is>
      </c>
      <c r="H116" s="1" t="n">
        <v>45811</v>
      </c>
      <c r="I116"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117">
      <c r="A117" t="inlineStr">
        <is>
          <t>in-eedce1c0f12df0fd</t>
        </is>
      </c>
      <c r="B117" t="inlineStr">
        <is>
          <t>Principal Applied Scientist, Delivery Foundation Model</t>
        </is>
      </c>
      <c r="C117" t="inlineStr">
        <is>
          <t>Amazon.com</t>
        </is>
      </c>
      <c r="D117" t="inlineStr">
        <is>
          <t>indeed</t>
        </is>
      </c>
      <c r="E117" t="inlineStr"/>
      <c r="F117" t="inlineStr"/>
      <c r="G117" t="inlineStr">
        <is>
          <t>Santa Clara, CA, US</t>
        </is>
      </c>
      <c r="H117" s="1" t="n">
        <v>45810</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8">
      <c r="A118" t="inlineStr">
        <is>
          <t>in-323e13a1ab7d762d</t>
        </is>
      </c>
      <c r="B118" t="inlineStr">
        <is>
          <t>Principal Applied Scientist, Delivery Foundation Model</t>
        </is>
      </c>
      <c r="C118" t="inlineStr">
        <is>
          <t>Amazon.com</t>
        </is>
      </c>
      <c r="D118" t="inlineStr">
        <is>
          <t>indeed</t>
        </is>
      </c>
      <c r="E118" t="inlineStr"/>
      <c r="F118" t="inlineStr"/>
      <c r="G118" t="inlineStr">
        <is>
          <t>Austin, TX, US</t>
        </is>
      </c>
      <c r="H118" s="1" t="n">
        <v>45810</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19">
      <c r="A119" t="inlineStr">
        <is>
          <t>in-a578a3d4db571614</t>
        </is>
      </c>
      <c r="B119" t="inlineStr">
        <is>
          <t>Principal Applied Scientist, Delivery Foundation Model</t>
        </is>
      </c>
      <c r="C119" t="inlineStr">
        <is>
          <t>Amazon.com</t>
        </is>
      </c>
      <c r="D119" t="inlineStr">
        <is>
          <t>indeed</t>
        </is>
      </c>
      <c r="E119" t="inlineStr"/>
      <c r="F119" t="inlineStr"/>
      <c r="G119" t="inlineStr">
        <is>
          <t>Bellevue, WA, US</t>
        </is>
      </c>
      <c r="H119" s="1" t="n">
        <v>45810</v>
      </c>
      <c r="I11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0">
      <c r="A120" t="inlineStr">
        <is>
          <t>in-0da3cc315b830a9b</t>
        </is>
      </c>
      <c r="B120" t="inlineStr">
        <is>
          <t>Principal Applied Scientist, Delivery Foundation Model</t>
        </is>
      </c>
      <c r="C120" t="inlineStr">
        <is>
          <t>Amazon.com</t>
        </is>
      </c>
      <c r="D120" t="inlineStr">
        <is>
          <t>indeed</t>
        </is>
      </c>
      <c r="E120" t="inlineStr"/>
      <c r="F120" t="inlineStr"/>
      <c r="G120" t="inlineStr">
        <is>
          <t>New York, NY, US</t>
        </is>
      </c>
      <c r="H120" s="1" t="n">
        <v>45810</v>
      </c>
      <c r="I12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121">
      <c r="A121" t="inlineStr">
        <is>
          <t>in-ece27f6b33ce4065</t>
        </is>
      </c>
      <c r="B121" t="inlineStr">
        <is>
          <t>Senior Applied Scientist, Delivery Foundation Model</t>
        </is>
      </c>
      <c r="C121" t="inlineStr">
        <is>
          <t>Amazon.com</t>
        </is>
      </c>
      <c r="D121" t="inlineStr">
        <is>
          <t>indeed</t>
        </is>
      </c>
      <c r="E121" t="inlineStr"/>
      <c r="F121" t="inlineStr"/>
      <c r="G121" t="inlineStr">
        <is>
          <t>New York, NY, US</t>
        </is>
      </c>
      <c r="H121" s="1" t="n">
        <v>45806</v>
      </c>
      <c r="I12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in-c1b116d922f1da42</t>
        </is>
      </c>
      <c r="B122" t="inlineStr">
        <is>
          <t>Senior Applied Scientist, Delivery Foundation Model</t>
        </is>
      </c>
      <c r="C122" t="inlineStr">
        <is>
          <t>Amazon.com</t>
        </is>
      </c>
      <c r="D122" t="inlineStr">
        <is>
          <t>indeed</t>
        </is>
      </c>
      <c r="E122" t="inlineStr"/>
      <c r="F122" t="inlineStr"/>
      <c r="G122" t="inlineStr">
        <is>
          <t>Bellevue, WA, US</t>
        </is>
      </c>
      <c r="H122" s="1" t="n">
        <v>45806</v>
      </c>
      <c r="I12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in-f245d2d0107ebfc6</t>
        </is>
      </c>
      <c r="B123" t="inlineStr">
        <is>
          <t>Senior Applied Scientist, Delivery Foundation Model</t>
        </is>
      </c>
      <c r="C123" t="inlineStr">
        <is>
          <t>Amazon.com</t>
        </is>
      </c>
      <c r="D123" t="inlineStr">
        <is>
          <t>indeed</t>
        </is>
      </c>
      <c r="E123" t="inlineStr"/>
      <c r="F123" t="inlineStr"/>
      <c r="G123" t="inlineStr">
        <is>
          <t>Santa Clara, CA, US</t>
        </is>
      </c>
      <c r="H123" s="1" t="n">
        <v>45806</v>
      </c>
      <c r="I12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in-a57a0e1ebce66ce4</t>
        </is>
      </c>
      <c r="B124" t="inlineStr">
        <is>
          <t>Sr. Applied Scientist - Privacy, Privacy Engineering</t>
        </is>
      </c>
      <c r="C124" t="inlineStr">
        <is>
          <t>Amazon.com</t>
        </is>
      </c>
      <c r="D124" t="inlineStr">
        <is>
          <t>indeed</t>
        </is>
      </c>
      <c r="E124" t="inlineStr"/>
      <c r="F124" t="inlineStr"/>
      <c r="G124" t="inlineStr">
        <is>
          <t>Seattle, WA, US</t>
        </is>
      </c>
      <c r="H124" s="1" t="n">
        <v>45787</v>
      </c>
      <c r="I12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in-53bfeb5f74cefa52</t>
        </is>
      </c>
      <c r="B125" t="inlineStr">
        <is>
          <t>Sr. Applied Scientist - Privacy, Privacy Engineering</t>
        </is>
      </c>
      <c r="C125" t="inlineStr">
        <is>
          <t>Amazon.com</t>
        </is>
      </c>
      <c r="D125" t="inlineStr">
        <is>
          <t>indeed</t>
        </is>
      </c>
      <c r="E125" t="inlineStr"/>
      <c r="F125" t="inlineStr"/>
      <c r="G125" t="inlineStr">
        <is>
          <t>Santa Clara, CA, US</t>
        </is>
      </c>
      <c r="H125" s="1" t="n">
        <v>45787</v>
      </c>
      <c r="I12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in-31bb2b3a5ef8657f</t>
        </is>
      </c>
      <c r="B126" t="inlineStr">
        <is>
          <t>Sr. Applied Scientist - Privacy, Privacy Engineering</t>
        </is>
      </c>
      <c r="C126" t="inlineStr">
        <is>
          <t>Amazon.com</t>
        </is>
      </c>
      <c r="D126" t="inlineStr">
        <is>
          <t>indeed</t>
        </is>
      </c>
      <c r="E126" t="inlineStr"/>
      <c r="F126" t="inlineStr"/>
      <c r="G126" t="inlineStr">
        <is>
          <t>San Francisco, CA, US</t>
        </is>
      </c>
      <c r="H126" s="1" t="n">
        <v>45787</v>
      </c>
      <c r="I12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in-c3593b7085d903ae</t>
        </is>
      </c>
      <c r="B127" t="inlineStr">
        <is>
          <t>Sr. Applied Scientist - Privacy, Privacy Engineering</t>
        </is>
      </c>
      <c r="C127" t="inlineStr">
        <is>
          <t>Amazon.com</t>
        </is>
      </c>
      <c r="D127" t="inlineStr">
        <is>
          <t>indeed</t>
        </is>
      </c>
      <c r="E127" t="inlineStr"/>
      <c r="F127" t="inlineStr"/>
      <c r="G127" t="inlineStr">
        <is>
          <t>Sunnyvale, CA, US</t>
        </is>
      </c>
      <c r="H127" s="1" t="n">
        <v>45787</v>
      </c>
      <c r="I127"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in-a155bbaf2c511596</t>
        </is>
      </c>
      <c r="B128" t="inlineStr">
        <is>
          <t>Principal Applied Scientist, Delivery Foundation Model</t>
        </is>
      </c>
      <c r="C128" t="inlineStr">
        <is>
          <t>Amazon.com</t>
        </is>
      </c>
      <c r="D128" t="inlineStr">
        <is>
          <t>indeed</t>
        </is>
      </c>
      <c r="E128" t="inlineStr"/>
      <c r="F128" t="inlineStr"/>
      <c r="G128" t="inlineStr">
        <is>
          <t>Bellevue, WA, US</t>
        </is>
      </c>
      <c r="H128" s="1" t="n">
        <v>45757</v>
      </c>
      <c r="I12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29">
      <c r="A129" t="inlineStr">
        <is>
          <t>in-97894ef1ca2fcb81</t>
        </is>
      </c>
      <c r="B129" t="inlineStr">
        <is>
          <t>Principal Applied Scientist, Delivery Foundation Model</t>
        </is>
      </c>
      <c r="C129" t="inlineStr">
        <is>
          <t>Amazon.com</t>
        </is>
      </c>
      <c r="D129" t="inlineStr">
        <is>
          <t>indeed</t>
        </is>
      </c>
      <c r="E129" t="inlineStr"/>
      <c r="F129" t="inlineStr"/>
      <c r="G129" t="inlineStr">
        <is>
          <t>New York, NY, US</t>
        </is>
      </c>
      <c r="H129" s="1" t="n">
        <v>45757</v>
      </c>
      <c r="I12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0">
      <c r="A130" t="inlineStr">
        <is>
          <t>in-7e2f05699cd630dc</t>
        </is>
      </c>
      <c r="B130" t="inlineStr">
        <is>
          <t>Principal Applied Scientist, Delivery Foundation Model</t>
        </is>
      </c>
      <c r="C130" t="inlineStr">
        <is>
          <t>Amazon.com</t>
        </is>
      </c>
      <c r="D130" t="inlineStr">
        <is>
          <t>indeed</t>
        </is>
      </c>
      <c r="E130" t="inlineStr"/>
      <c r="F130" t="inlineStr"/>
      <c r="G130" t="inlineStr">
        <is>
          <t>Santa Clara, CA, US</t>
        </is>
      </c>
      <c r="H130" s="1" t="n">
        <v>45757</v>
      </c>
      <c r="I13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131">
      <c r="A131" t="inlineStr">
        <is>
          <t>in-1d989c83ea8bed7b</t>
        </is>
      </c>
      <c r="B131" t="inlineStr">
        <is>
          <t>Sr. Applied Scientist, Amazon Ads</t>
        </is>
      </c>
      <c r="C131" t="inlineStr">
        <is>
          <t>Amazon.com</t>
        </is>
      </c>
      <c r="D131" t="inlineStr">
        <is>
          <t>indeed</t>
        </is>
      </c>
      <c r="E131">
        <f>HYPERLINK("https://www.indeed.com/viewjob?jk=1d989c83ea8bed7b", "https://www.indeed.com/viewjob?jk=1d989c83ea8bed7b")</f>
        <v/>
      </c>
      <c r="F131">
        <f>HYPERLINK("https://www.amazon.jobs/jobs/3139328/sr-applied-scientist-amazon-ads?cmpid=DA_INAD200785B", "https://www.amazon.jobs/jobs/3139328/sr-applied-scientist-amazon-ads?cmpid=DA_INAD200785B")</f>
        <v/>
      </c>
      <c r="G131" t="inlineStr">
        <is>
          <t>New York, NY, US</t>
        </is>
      </c>
      <c r="H131" s="2" t="n">
        <v>45998</v>
      </c>
      <c r="I13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2">
      <c r="A132" t="inlineStr">
        <is>
          <t>in-d3ddf8ca70a15f7b</t>
        </is>
      </c>
      <c r="B132" t="inlineStr">
        <is>
          <t>Sr. Applied Scientist, Amazon Ads</t>
        </is>
      </c>
      <c r="C132" t="inlineStr">
        <is>
          <t>Amazon.com</t>
        </is>
      </c>
      <c r="D132" t="inlineStr">
        <is>
          <t>indeed</t>
        </is>
      </c>
      <c r="E132">
        <f>HYPERLINK("https://www.indeed.com/viewjob?jk=d3ddf8ca70a15f7b", "https://www.indeed.com/viewjob?jk=d3ddf8ca70a15f7b")</f>
        <v/>
      </c>
      <c r="F132">
        <f>HYPERLINK("https://www.amazon.jobs/jobs/3139328/sr-applied-scientist-amazon-ads?cmpid=DA_INAD200785B", "https://www.amazon.jobs/jobs/3139328/sr-applied-scientist-amazon-ads?cmpid=DA_INAD200785B")</f>
        <v/>
      </c>
      <c r="G132" t="inlineStr">
        <is>
          <t>Seattle, WA, US</t>
        </is>
      </c>
      <c r="H132" s="2" t="n">
        <v>45998</v>
      </c>
      <c r="I13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3">
      <c r="A133" t="inlineStr">
        <is>
          <t>in-45c0d020352a78f4</t>
        </is>
      </c>
      <c r="B133" t="inlineStr">
        <is>
          <t>Sr. Applied Scientist, Amazon Ads</t>
        </is>
      </c>
      <c r="C133" t="inlineStr">
        <is>
          <t>Amazon.com</t>
        </is>
      </c>
      <c r="D133" t="inlineStr">
        <is>
          <t>indeed</t>
        </is>
      </c>
      <c r="E133">
        <f>HYPERLINK("https://www.indeed.com/viewjob?jk=45c0d020352a78f4", "https://www.indeed.com/viewjob?jk=45c0d020352a78f4")</f>
        <v/>
      </c>
      <c r="F133">
        <f>HYPERLINK("https://www.amazon.jobs/jobs/3139328/sr-applied-scientist-amazon-ads?cmpid=DA_INAD200785B", "https://www.amazon.jobs/jobs/3139328/sr-applied-scientist-amazon-ads?cmpid=DA_INAD200785B")</f>
        <v/>
      </c>
      <c r="G133" t="inlineStr">
        <is>
          <t>Santa Monica, CA, US</t>
        </is>
      </c>
      <c r="H133" s="2" t="n">
        <v>45998</v>
      </c>
      <c r="I13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4">
      <c r="A134" t="inlineStr">
        <is>
          <t>in-691b2da9910f81a6</t>
        </is>
      </c>
      <c r="B134" t="inlineStr">
        <is>
          <t>Sr. Applied Scientist, Amazon Ads</t>
        </is>
      </c>
      <c r="C134" t="inlineStr">
        <is>
          <t>Amazon.com</t>
        </is>
      </c>
      <c r="D134" t="inlineStr">
        <is>
          <t>indeed</t>
        </is>
      </c>
      <c r="E134">
        <f>HYPERLINK("https://www.indeed.com/viewjob?jk=691b2da9910f81a6", "https://www.indeed.com/viewjob?jk=691b2da9910f81a6")</f>
        <v/>
      </c>
      <c r="F134">
        <f>HYPERLINK("https://www.amazon.jobs/jobs/3139328/sr-applied-scientist-amazon-ads?cmpid=DA_INAD200785B", "https://www.amazon.jobs/jobs/3139328/sr-applied-scientist-amazon-ads?cmpid=DA_INAD200785B")</f>
        <v/>
      </c>
      <c r="G134" t="inlineStr">
        <is>
          <t>Brooklyn, NY, US</t>
        </is>
      </c>
      <c r="H134" s="2" t="n">
        <v>45998</v>
      </c>
      <c r="I13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5">
      <c r="A135" t="inlineStr">
        <is>
          <t>in-f1cdf0ce0116ef0b</t>
        </is>
      </c>
      <c r="B135" t="inlineStr">
        <is>
          <t>Sr. Applied Scientist, Amazon Ads</t>
        </is>
      </c>
      <c r="C135" t="inlineStr">
        <is>
          <t>Amazon.com</t>
        </is>
      </c>
      <c r="D135" t="inlineStr">
        <is>
          <t>indeed</t>
        </is>
      </c>
      <c r="E135">
        <f>HYPERLINK("https://www.indeed.com/viewjob?jk=f1cdf0ce0116ef0b", "https://www.indeed.com/viewjob?jk=f1cdf0ce0116ef0b")</f>
        <v/>
      </c>
      <c r="F135">
        <f>HYPERLINK("https://www.amazon.jobs/jobs/3139328/sr-applied-scientist-amazon-ads?cmpid=DA_INAD200785B", "https://www.amazon.jobs/jobs/3139328/sr-applied-scientist-amazon-ads?cmpid=DA_INAD200785B")</f>
        <v/>
      </c>
      <c r="G135" t="inlineStr">
        <is>
          <t>Palo Alto, CA, US</t>
        </is>
      </c>
      <c r="H135" s="2" t="n">
        <v>45998</v>
      </c>
      <c r="I13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6">
      <c r="A136" t="inlineStr">
        <is>
          <t>in-4ea4f1f73606c225</t>
        </is>
      </c>
      <c r="B136" t="inlineStr">
        <is>
          <t>Sr. Applied Scientist, Amazon Ads</t>
        </is>
      </c>
      <c r="C136" t="inlineStr">
        <is>
          <t>Amazon.com</t>
        </is>
      </c>
      <c r="D136" t="inlineStr">
        <is>
          <t>indeed</t>
        </is>
      </c>
      <c r="E136">
        <f>HYPERLINK("https://www.indeed.com/viewjob?jk=4ea4f1f73606c225", "https://www.indeed.com/viewjob?jk=4ea4f1f73606c225")</f>
        <v/>
      </c>
      <c r="F136">
        <f>HYPERLINK("https://www.amazon.jobs/jobs/3139328/sr-applied-scientist-amazon-ads?cmpid=DA_INAD200785B", "https://www.amazon.jobs/jobs/3139328/sr-applied-scientist-amazon-ads?cmpid=DA_INAD200785B")</f>
        <v/>
      </c>
      <c r="G136" t="inlineStr">
        <is>
          <t>Boston, MA, US</t>
        </is>
      </c>
      <c r="H136" s="2" t="n">
        <v>45998</v>
      </c>
      <c r="I13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7">
      <c r="A137" t="inlineStr">
        <is>
          <t>in-b6739fc8a93cf919</t>
        </is>
      </c>
      <c r="B137" t="inlineStr">
        <is>
          <t>Sr. Applied Scientist, Amazon Ads</t>
        </is>
      </c>
      <c r="C137" t="inlineStr">
        <is>
          <t>Amazon.com</t>
        </is>
      </c>
      <c r="D137" t="inlineStr">
        <is>
          <t>indeed</t>
        </is>
      </c>
      <c r="E137">
        <f>HYPERLINK("https://www.indeed.com/viewjob?jk=b6739fc8a93cf919", "https://www.indeed.com/viewjob?jk=b6739fc8a93cf919")</f>
        <v/>
      </c>
      <c r="F137">
        <f>HYPERLINK("https://www.amazon.jobs/jobs/3139328/sr-applied-scientist-amazon-ads?cmpid=DA_INAD200785B", "https://www.amazon.jobs/jobs/3139328/sr-applied-scientist-amazon-ads?cmpid=DA_INAD200785B")</f>
        <v/>
      </c>
      <c r="G137" t="inlineStr">
        <is>
          <t>Boulder, CO, US</t>
        </is>
      </c>
      <c r="H137" s="2" t="n">
        <v>45998</v>
      </c>
      <c r="I13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8">
      <c r="A138" t="inlineStr">
        <is>
          <t>in-2b8e63069540952c</t>
        </is>
      </c>
      <c r="B138" t="inlineStr">
        <is>
          <t>Sr. Applied Scientist, Amazon Ads</t>
        </is>
      </c>
      <c r="C138" t="inlineStr">
        <is>
          <t>Amazon.com</t>
        </is>
      </c>
      <c r="D138" t="inlineStr">
        <is>
          <t>indeed</t>
        </is>
      </c>
      <c r="E138">
        <f>HYPERLINK("https://www.indeed.com/viewjob?jk=2b8e63069540952c", "https://www.indeed.com/viewjob?jk=2b8e63069540952c")</f>
        <v/>
      </c>
      <c r="F138">
        <f>HYPERLINK("https://www.amazon.jobs/jobs/3139328/sr-applied-scientist-amazon-ads?cmpid=DA_INAD200785B", "https://www.amazon.jobs/jobs/3139328/sr-applied-scientist-amazon-ads?cmpid=DA_INAD200785B")</f>
        <v/>
      </c>
      <c r="G138" t="inlineStr">
        <is>
          <t>Corvallis, OR, US</t>
        </is>
      </c>
      <c r="H138" s="2" t="n">
        <v>45998</v>
      </c>
      <c r="I13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39">
      <c r="A139" t="inlineStr">
        <is>
          <t>in-07d76b28a5999c3d</t>
        </is>
      </c>
      <c r="B139" t="inlineStr">
        <is>
          <t>Sr. Applied Scientist, Amazon Ads</t>
        </is>
      </c>
      <c r="C139" t="inlineStr">
        <is>
          <t>Amazon.com</t>
        </is>
      </c>
      <c r="D139" t="inlineStr">
        <is>
          <t>indeed</t>
        </is>
      </c>
      <c r="E139">
        <f>HYPERLINK("https://www.indeed.com/viewjob?jk=07d76b28a5999c3d", "https://www.indeed.com/viewjob?jk=07d76b28a5999c3d")</f>
        <v/>
      </c>
      <c r="F139">
        <f>HYPERLINK("https://www.amazon.jobs/jobs/3139328/sr-applied-scientist-amazon-ads?cmpid=DA_INAD200785B", "https://www.amazon.jobs/jobs/3139328/sr-applied-scientist-amazon-ads?cmpid=DA_INAD200785B")</f>
        <v/>
      </c>
      <c r="G139" t="inlineStr">
        <is>
          <t>Sunnyvale, CA, US</t>
        </is>
      </c>
      <c r="H139" s="2" t="n">
        <v>45998</v>
      </c>
      <c r="I13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0">
      <c r="A140" t="inlineStr">
        <is>
          <t>in-1f95de8e7994f72a</t>
        </is>
      </c>
      <c r="B140" t="inlineStr">
        <is>
          <t>Sr. Applied Scientist, Amazon Ads</t>
        </is>
      </c>
      <c r="C140" t="inlineStr">
        <is>
          <t>Amazon.com</t>
        </is>
      </c>
      <c r="D140" t="inlineStr">
        <is>
          <t>indeed</t>
        </is>
      </c>
      <c r="E140">
        <f>HYPERLINK("https://www.indeed.com/viewjob?jk=1f95de8e7994f72a", "https://www.indeed.com/viewjob?jk=1f95de8e7994f72a")</f>
        <v/>
      </c>
      <c r="F140">
        <f>HYPERLINK("https://www.amazon.jobs/jobs/3139328/sr-applied-scientist-amazon-ads?cmpid=DA_INAD200785B", "https://www.amazon.jobs/jobs/3139328/sr-applied-scientist-amazon-ads?cmpid=DA_INAD200785B")</f>
        <v/>
      </c>
      <c r="G140" t="inlineStr">
        <is>
          <t>Tukwila, WA, US</t>
        </is>
      </c>
      <c r="H140" s="2" t="n">
        <v>45998</v>
      </c>
      <c r="I14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41">
      <c r="A141" t="inlineStr">
        <is>
          <t>in-31c8d362958311ea</t>
        </is>
      </c>
      <c r="B141" t="inlineStr">
        <is>
          <t>Applied Scientist II, Prime Video - Personalization and Discovery Science, Personalization and Discovery Science</t>
        </is>
      </c>
      <c r="C141" t="inlineStr">
        <is>
          <t>Amazon.com</t>
        </is>
      </c>
      <c r="D141" t="inlineStr">
        <is>
          <t>indeed</t>
        </is>
      </c>
      <c r="E141">
        <f>HYPERLINK("https://www.indeed.com/viewjob?jk=31c8d362958311ea", "https://www.indeed.com/viewjob?jk=31c8d362958311ea")</f>
        <v/>
      </c>
      <c r="F141">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1" t="inlineStr">
        <is>
          <t>New York, NY, US</t>
        </is>
      </c>
      <c r="H141" s="2" t="n">
        <v>45930</v>
      </c>
      <c r="I1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in-7ba7ae5f289ee761</t>
        </is>
      </c>
      <c r="B142" t="inlineStr">
        <is>
          <t>Applied Scientist II, Prime Video - Personalization and Discovery Science, Personalization and Discovery Science</t>
        </is>
      </c>
      <c r="C142" t="inlineStr">
        <is>
          <t>Amazon.com</t>
        </is>
      </c>
      <c r="D142" t="inlineStr">
        <is>
          <t>indeed</t>
        </is>
      </c>
      <c r="E142">
        <f>HYPERLINK("https://www.indeed.com/viewjob?jk=7ba7ae5f289ee761", "https://www.indeed.com/viewjob?jk=7ba7ae5f289ee761")</f>
        <v/>
      </c>
      <c r="F142">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2" t="inlineStr">
        <is>
          <t>Seattle, WA, US</t>
        </is>
      </c>
      <c r="H142" s="2" t="n">
        <v>45930</v>
      </c>
      <c r="I1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in-9623a5e9f201ef7d</t>
        </is>
      </c>
      <c r="B143" t="inlineStr">
        <is>
          <t>Applied Scientist II, Prime Video - Personalization and Discovery Science, Personalization and Discovery Science</t>
        </is>
      </c>
      <c r="C143" t="inlineStr">
        <is>
          <t>Amazon.com</t>
        </is>
      </c>
      <c r="D143" t="inlineStr">
        <is>
          <t>indeed</t>
        </is>
      </c>
      <c r="E143">
        <f>HYPERLINK("https://www.indeed.com/viewjob?jk=9623a5e9f201ef7d", "https://www.indeed.com/viewjob?jk=9623a5e9f201ef7d")</f>
        <v/>
      </c>
      <c r="F143">
        <f>HYPERLINK("https://www.amazon.jobs/jobs/3099334/applied-scientist-ii-prime-video--personalization-and-discovery-science-personalization-and-discovery-science?cmpid=DA_INAD200785B", "https://www.amazon.jobs/jobs/3099334/applied-scientist-ii-prime-video--personalization-and-discovery-science-personalization-and-discovery-science?cmpid=DA_INAD200785B")</f>
        <v/>
      </c>
      <c r="G143" t="inlineStr">
        <is>
          <t>Sunnyvale, CA, US</t>
        </is>
      </c>
      <c r="H143" s="2" t="n">
        <v>45930</v>
      </c>
      <c r="I1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in-43d4dbf9d4cdc471</t>
        </is>
      </c>
      <c r="B144" t="inlineStr">
        <is>
          <t>Sr. Applied Scientist, Prime Video - Personalization and Discovery Science</t>
        </is>
      </c>
      <c r="C144" t="inlineStr">
        <is>
          <t>Amazon.com</t>
        </is>
      </c>
      <c r="D144" t="inlineStr">
        <is>
          <t>indeed</t>
        </is>
      </c>
      <c r="E144">
        <f>HYPERLINK("https://www.indeed.com/viewjob?jk=43d4dbf9d4cdc471", "https://www.indeed.com/viewjob?jk=43d4dbf9d4cdc471")</f>
        <v/>
      </c>
      <c r="F144">
        <f>HYPERLINK("https://www.amazon.jobs/jobs/3059256/sr-applied-scientist-prime-video--personalization-and-discovery-science?cmpid=DA_INAD200785B", "https://www.amazon.jobs/jobs/3059256/sr-applied-scientist-prime-video--personalization-and-discovery-science?cmpid=DA_INAD200785B")</f>
        <v/>
      </c>
      <c r="G144" t="inlineStr">
        <is>
          <t>New York, NY, US</t>
        </is>
      </c>
      <c r="H144" s="2" t="n">
        <v>45881</v>
      </c>
      <c r="I1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in-5ed91f5b24dbfde8</t>
        </is>
      </c>
      <c r="B145" t="inlineStr">
        <is>
          <t>Sr. Applied Scientist, Prime Video - Personalization and Discovery Science</t>
        </is>
      </c>
      <c r="C145" t="inlineStr">
        <is>
          <t>Amazon.com</t>
        </is>
      </c>
      <c r="D145" t="inlineStr">
        <is>
          <t>indeed</t>
        </is>
      </c>
      <c r="E145">
        <f>HYPERLINK("https://www.indeed.com/viewjob?jk=5ed91f5b24dbfde8", "https://www.indeed.com/viewjob?jk=5ed91f5b24dbfde8")</f>
        <v/>
      </c>
      <c r="F145">
        <f>HYPERLINK("https://www.amazon.jobs/jobs/3059256/sr-applied-scientist-prime-video--personalization-and-discovery-science?cmpid=DA_INAD200785B", "https://www.amazon.jobs/jobs/3059256/sr-applied-scientist-prime-video--personalization-and-discovery-science?cmpid=DA_INAD200785B")</f>
        <v/>
      </c>
      <c r="G145" t="inlineStr">
        <is>
          <t>Seattle, WA, US</t>
        </is>
      </c>
      <c r="H145" s="2" t="n">
        <v>45881</v>
      </c>
      <c r="I1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in-6f64b40ca4e7cee9</t>
        </is>
      </c>
      <c r="B146" t="inlineStr">
        <is>
          <t>Applied Scientist II, Prime Video - Personalization and Discovery Science</t>
        </is>
      </c>
      <c r="C146" t="inlineStr">
        <is>
          <t>Amazon.com</t>
        </is>
      </c>
      <c r="D146" t="inlineStr">
        <is>
          <t>indeed</t>
        </is>
      </c>
      <c r="E146">
        <f>HYPERLINK("https://www.indeed.com/viewjob?jk=6f64b40ca4e7cee9", "https://www.indeed.com/viewjob?jk=6f64b40ca4e7cee9")</f>
        <v/>
      </c>
      <c r="F146">
        <f>HYPERLINK("https://www.amazon.jobs/jobs/3059253/applied-scientist-ii-prime-video--personalization-and-discovery-science?cmpid=DA_INAD200785B", "https://www.amazon.jobs/jobs/3059253/applied-scientist-ii-prime-video--personalization-and-discovery-science?cmpid=DA_INAD200785B")</f>
        <v/>
      </c>
      <c r="G146" t="inlineStr">
        <is>
          <t>Seattle, WA, US</t>
        </is>
      </c>
      <c r="H146" s="2" t="n">
        <v>45881</v>
      </c>
      <c r="I1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in-818c2bd3b064b0ea</t>
        </is>
      </c>
      <c r="B147" t="inlineStr">
        <is>
          <t>Applied Scientist II, Prime Video - Personalization and Discovery Science</t>
        </is>
      </c>
      <c r="C147" t="inlineStr">
        <is>
          <t>Amazon.com</t>
        </is>
      </c>
      <c r="D147" t="inlineStr">
        <is>
          <t>indeed</t>
        </is>
      </c>
      <c r="E147">
        <f>HYPERLINK("https://www.indeed.com/viewjob?jk=818c2bd3b064b0ea", "https://www.indeed.com/viewjob?jk=818c2bd3b064b0ea")</f>
        <v/>
      </c>
      <c r="F147">
        <f>HYPERLINK("https://www.amazon.jobs/jobs/3059253/applied-scientist-ii-prime-video--personalization-and-discovery-science?cmpid=DA_INAD200785B", "https://www.amazon.jobs/jobs/3059253/applied-scientist-ii-prime-video--personalization-and-discovery-science?cmpid=DA_INAD200785B")</f>
        <v/>
      </c>
      <c r="G147" t="inlineStr">
        <is>
          <t>New York, NY, US</t>
        </is>
      </c>
      <c r="H147" s="2" t="n">
        <v>45881</v>
      </c>
      <c r="I1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in-db2e36b3ff71c09c</t>
        </is>
      </c>
      <c r="B148" t="inlineStr">
        <is>
          <t>Applied Scientist II, Prime Video - Personalization and Discovery Science</t>
        </is>
      </c>
      <c r="C148" t="inlineStr">
        <is>
          <t>Amazon.com</t>
        </is>
      </c>
      <c r="D148" t="inlineStr">
        <is>
          <t>indeed</t>
        </is>
      </c>
      <c r="E148">
        <f>HYPERLINK("https://www.indeed.com/viewjob?jk=db2e36b3ff71c09c", "https://www.indeed.com/viewjob?jk=db2e36b3ff71c09c")</f>
        <v/>
      </c>
      <c r="F148">
        <f>HYPERLINK("https://www.amazon.jobs/jobs/3059253/applied-scientist-ii-prime-video--personalization-and-discovery-science?cmpid=DA_INAD200785B", "https://www.amazon.jobs/jobs/3059253/applied-scientist-ii-prime-video--personalization-and-discovery-science?cmpid=DA_INAD200785B")</f>
        <v/>
      </c>
      <c r="G148" t="inlineStr">
        <is>
          <t>Sunnyvale, CA, US</t>
        </is>
      </c>
      <c r="H148" s="2" t="n">
        <v>45881</v>
      </c>
      <c r="I1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in-e31616afc6795c5e</t>
        </is>
      </c>
      <c r="B149" t="inlineStr">
        <is>
          <t>Sr. Applied Scientist, Prime Video - Personalization and Discovery Science</t>
        </is>
      </c>
      <c r="C149" t="inlineStr">
        <is>
          <t>Amazon.com</t>
        </is>
      </c>
      <c r="D149" t="inlineStr">
        <is>
          <t>indeed</t>
        </is>
      </c>
      <c r="E149">
        <f>HYPERLINK("https://www.indeed.com/viewjob?jk=e31616afc6795c5e", "https://www.indeed.com/viewjob?jk=e31616afc6795c5e")</f>
        <v/>
      </c>
      <c r="F149">
        <f>HYPERLINK("https://www.amazon.jobs/jobs/3059256/sr-applied-scientist-prime-video--personalization-and-discovery-science?cmpid=DA_INAD200785B", "https://www.amazon.jobs/jobs/3059256/sr-applied-scientist-prime-video--personalization-and-discovery-science?cmpid=DA_INAD200785B")</f>
        <v/>
      </c>
      <c r="G149" t="inlineStr">
        <is>
          <t>Sunnyvale, CA, US</t>
        </is>
      </c>
      <c r="H149" s="2" t="n">
        <v>45881</v>
      </c>
      <c r="I1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in-b18a064afae83d8b</t>
        </is>
      </c>
      <c r="B150" t="inlineStr">
        <is>
          <t>Data Scientist - Marketing</t>
        </is>
      </c>
      <c r="C150" t="inlineStr">
        <is>
          <t>WebstaurantStore</t>
        </is>
      </c>
      <c r="D150" t="inlineStr">
        <is>
          <t>indeed</t>
        </is>
      </c>
      <c r="E150">
        <f>HYPERLINK("https://www.indeed.com/viewjob?jk=b18a064afae83d8b", "https://www.indeed.com/viewjob?jk=b18a064afae83d8b")</f>
        <v/>
      </c>
      <c r="F150">
        <f>HYPERLINK("https://careers.clarkassociatesinc.biz/careerdetail/?id=100084", "https://careers.clarkassociatesinc.biz/careerdetail/?id=100084")</f>
        <v/>
      </c>
      <c r="G150" t="inlineStr">
        <is>
          <t>Lititz, PA, US</t>
        </is>
      </c>
      <c r="H150" s="2" t="n">
        <v>46082</v>
      </c>
      <c r="I150"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Maintaining and updating our in\-house Media Mix Models (MMM) and Multi\-Touch Attribution (MTA) models to ensure they reflect the current state of marketing spend and value
* Designing, implementing, and analyzing lift / blackout / other experiments to continually improve our attribution models
* Partnering with business and technical stakeholders, including our Google account team, to translate complex retail challenges into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of professional experience in Data Science, or a PhD in mathematics, statistics, economics, or a related quantitative field.
* Advanced proficiency in Python and SQL, with strong foundation in statistical methods and advanced modeling techniques applied to marketing and growth problems.
* Hands\-on experience with experimentation and causal inference frameworks, including incrementality testing, geo experiments, holdout designs, or quasi\-experimental methods.
* Proven ability to partner with paid marketing teams to design, execute, and analyze experiments that inform budget allocation and channel strategy.
* Experience building, evaluating, or refining Media Mix Models (MMM) and/or Multi\-Touch Attribution (MTA) models to quantify marketing impact and reduce uncertainty.
* Ability to translate complex model outputs into clear, credible insights that drive stakeholder buy\-in and influence marketing decision\-making, even without direct ownership of spend.
* Comfortable navigating trade\-offs between model rigor, business timelines, and practical adoption by paid media stakeholders.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51">
      <c r="A151" t="inlineStr">
        <is>
          <t>in-0d8424973e93a047</t>
        </is>
      </c>
      <c r="B151" t="inlineStr">
        <is>
          <t>Sr Data Scientist</t>
        </is>
      </c>
      <c r="C151" t="inlineStr">
        <is>
          <t>WebstaurantStore</t>
        </is>
      </c>
      <c r="D151" t="inlineStr">
        <is>
          <t>indeed</t>
        </is>
      </c>
      <c r="E151">
        <f>HYPERLINK("https://www.indeed.com/viewjob?jk=0d8424973e93a047", "https://www.indeed.com/viewjob?jk=0d8424973e93a047")</f>
        <v/>
      </c>
      <c r="F151">
        <f>HYPERLINK("https://careers.clarkassociatesinc.biz/careerdetail/?id=100083", "https://careers.clarkassociatesinc.biz/careerdetail/?id=100083")</f>
        <v/>
      </c>
      <c r="G151" t="inlineStr">
        <is>
          <t>Lititz, PA, US</t>
        </is>
      </c>
      <c r="H151" s="2" t="n">
        <v>46082</v>
      </c>
      <c r="I151"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52">
      <c r="A152" t="inlineStr">
        <is>
          <t>in-b13935d71e5231ea</t>
        </is>
      </c>
      <c r="B152" t="inlineStr">
        <is>
          <t>Data Scientist - Pricing</t>
        </is>
      </c>
      <c r="C152" t="inlineStr">
        <is>
          <t>WebstaurantStore</t>
        </is>
      </c>
      <c r="D152" t="inlineStr">
        <is>
          <t>indeed</t>
        </is>
      </c>
      <c r="E152">
        <f>HYPERLINK("https://www.indeed.com/viewjob?jk=b13935d71e5231ea", "https://www.indeed.com/viewjob?jk=b13935d71e5231ea")</f>
        <v/>
      </c>
      <c r="F152">
        <f>HYPERLINK("https://careers.clarkassociatesinc.biz/careerdetail/?id=100085", "https://careers.clarkassociatesinc.biz/careerdetail/?id=100085")</f>
        <v/>
      </c>
      <c r="G152" t="inlineStr">
        <is>
          <t>Lititz, PA, US</t>
        </is>
      </c>
      <c r="H152" s="2" t="n">
        <v>46082</v>
      </c>
      <c r="I152" t="inlineStr">
        <is>
          <t>**Job Summary**
---------------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 Minimum 2 years experience applying data science to pricing and demand problems in ecommerce, retail, or foodservice environments.
* Proven ability to build and analyze price response curves or similar models to identify optimal pricing across a wide range of products.
* Experience using data to inform pricing strategy and day\-to\-day pricing decisions, even if not the final decision owner.
* Strong understanding of price elasticity, demand forecasting, and trade\-offs between margin, volume, and customer acquisition.
* Demonstrated ability to identify strategic low\-priced items that drive customer traffic, alongside optimizing prices for both low and high AOV products.
* Comfortable working with large SKU catalogs and messy real\-world data to deliver actionable pricing insights.
* Ability to partner closely with merchants, and other teams to translate model outputs into business decisions.
* Advanced Python and SQL skills
**Education**
-------------
This role does not require a degree. We value relevant skills and experience and alignment with our core values above all else.
**Desired Traits \&amp; Skills**
----------------------------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
The foodservice professional’s premier source for restaurant equipment, supplies, and knowledge online. Our purpose is to empower and equip people to run their businesses more profitably and efficiently.
**Benefits**
------------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 **Available at HQ Locations Only**
* On\-Site Fitness Centers
* Dog\-friendly Offices</t>
        </is>
      </c>
    </row>
    <row r="153">
      <c r="A153" t="inlineStr">
        <is>
          <t>in-aca88c2f9c730543</t>
        </is>
      </c>
      <c r="B153" t="inlineStr">
        <is>
          <t>Data Scientist, AWS Infrastructure Services Science</t>
        </is>
      </c>
      <c r="C153" t="inlineStr">
        <is>
          <t>Amazon.com</t>
        </is>
      </c>
      <c r="D153" t="inlineStr">
        <is>
          <t>indeed</t>
        </is>
      </c>
      <c r="E153">
        <f>HYPERLINK("https://www.indeed.com/viewjob?jk=aca88c2f9c730543", "https://www.indeed.com/viewjob?jk=aca88c2f9c730543")</f>
        <v/>
      </c>
      <c r="F153">
        <f>HYPERLINK("https://www.amazon.jobs/jobs/3181348/data-scientist-aws-infrastructure-services-science?cmpid=DA_INAD200785B", "https://www.amazon.jobs/jobs/3181348/data-scientist-aws-infrastructure-services-science?cmpid=DA_INAD200785B")</f>
        <v/>
      </c>
      <c r="G153" t="inlineStr">
        <is>
          <t>Herndon, VA, US</t>
        </is>
      </c>
      <c r="H153" s="2" t="n">
        <v>46065</v>
      </c>
      <c r="I15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54">
      <c r="A154" t="inlineStr">
        <is>
          <t>in-95c36bdec9037795</t>
        </is>
      </c>
      <c r="B154" t="inlineStr">
        <is>
          <t>Data Scientist, AWS Infrastructure Services Science</t>
        </is>
      </c>
      <c r="C154" t="inlineStr">
        <is>
          <t>Amazon.com</t>
        </is>
      </c>
      <c r="D154" t="inlineStr">
        <is>
          <t>indeed</t>
        </is>
      </c>
      <c r="E154">
        <f>HYPERLINK("https://www.indeed.com/viewjob?jk=95c36bdec9037795", "https://www.indeed.com/viewjob?jk=95c36bdec9037795")</f>
        <v/>
      </c>
      <c r="F154">
        <f>HYPERLINK("https://www.amazon.jobs/jobs/3181348/data-scientist-aws-infrastructure-services-science?cmpid=DA_INAD200785B", "https://www.amazon.jobs/jobs/3181348/data-scientist-aws-infrastructure-services-science?cmpid=DA_INAD200785B")</f>
        <v/>
      </c>
      <c r="G154" t="inlineStr">
        <is>
          <t>Seattle, WA, US</t>
        </is>
      </c>
      <c r="H154" s="2" t="n">
        <v>46065</v>
      </c>
      <c r="I15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AWS Infrastructure Services Science (AISS) researches and builds machine learning models that influence the power utilization at our data centers to ensure the health of our thermal and electrical infrastructure at high infrastructure utilization.  
As a Data Scientist, you will work on our Science team and partner closely with other scientists and data engineers as well as Business Intelligence, Technical Program Management, and Software teams to accurately model and optimize our power infrastructure. Outputs from your models will directly influence our data center topology and will drive exceptional cost savings. You will be responsible for building data science prototypes that optimize our power and thermal infrastructure, working across AWS to solve data mapping and quality issues (e.g. predicting when we might have bad sensor readings), and contribute to our Science team vision.  
You are skeptical. When someone gives you a data source, you pepper them with questions about sampling biases, accuracy, and coverage. When you’re told a model can make assumptions, you actively try to break those assumptions.  
You have passion for excellence. The wrong choice of data could cost the business dearly. You maintain rigorous standards and take ownership of the outcome of your data pipelines and code.  
You do whatever it takes to add value. You don’t care whether you’re building complex ML models, writing blazing fast code, integrating multiple disparate data\-sets, or creating baseline models \- you care passionately about stakeholders and know that as a curator of data insight you can unlock massive cost savings and preserve customer availability.  
You have a limitless curiosity. You constantly ask questions about the technologies and approaches we are taking and are constantly learning about industry best practices you can bring to our team.  
You have excellent business and communication skills to be able to work with product owners to understand key business questions and earn the trust of senior leaders. You will need to learn Data Center architecture and components of electrical engineering to build your models.  
You are comfortable juggling competing priorities and handling ambiguity. You thrive in an agile and fast\-paced environment on highly visible projects and initiatives. The tradeoffs of cost savings and customer availability are constantly up for debate among senior leadership \- you will help drive this conversation.  
Key job responsibilities  
* Proactively seek to identify opportunities and insights through analysis and provide solutions to automate and optimize power utilization based on a broad and deep knowledge of AWS data center systems and infrastructure.
* Apply a range of data science techniques and tools combined with subject matter expertise to solve difficult customer or business problems and cases in which the solution approach is unclear.
* Collaborate with Engineering teams to obtain useful data by accessing data sources and building the necessary SQL/ETL queries or scripts.
* Build models and automated tools using statistical modeling, econometric modeling, network modeling, machine learning algorithms and neural networks.
* Validate these models against alternative approaches, expected and observed outcome, and other business defined key performance indicators.
* Collaborate with Engineering teams to implement these models in a manner which complies with evaluations of the computational demands, accuracy, and reliability of the relevant ETL processes at various stages of production.
About the team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Master's degree in Operations Research, Statistics, Applied Mathematics, Engineering, Computer Science or related field, or Bachelor's degree and 3\+ years of data scientist or similar role involving data extraction, analysis, statistical modeling and communication experience
* Experience with data scripting languages (e.g., SQL, Python, R, or equivalent) or statistical/mathematical software (e.g., R, SAS, Matlab, or equivalent)
**PREFERRED QUALIFICATIONS**
----------------------------
* Master's degree in Operations Research, Statistics, Applied Mathematics, Engineering, Computer Science or related field
* 3\+ years of data/research scientist, statistician or quantitative analyst in an internet\-based company with complex and big data sources experience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VA, Herndon \- 108,300\.00 \- 160,000\.00 USD annually  
USA, WA, Seattle \- 108,300\.00 \- 160,000\.00 USD annually</t>
        </is>
      </c>
    </row>
    <row r="155">
      <c r="A155" t="inlineStr">
        <is>
          <t>in-ba11a9fc89ffdd32</t>
        </is>
      </c>
      <c r="B155" t="inlineStr">
        <is>
          <t>Data Scientist, Rapid &amp; Rural Logistics (R2L)</t>
        </is>
      </c>
      <c r="C155" t="inlineStr">
        <is>
          <t>Amazon.com</t>
        </is>
      </c>
      <c r="D155" t="inlineStr">
        <is>
          <t>indeed</t>
        </is>
      </c>
      <c r="E155">
        <f>HYPERLINK("https://www.indeed.com/viewjob?jk=ba11a9fc89ffdd32", "https://www.indeed.com/viewjob?jk=ba11a9fc89ffdd32")</f>
        <v/>
      </c>
      <c r="F155">
        <f>HYPERLINK("https://www.amazon.jobs/jobs/3187361/data-scientist-rapid--rural-logistics-rl?cmpid=DA_INAD200785B", "https://www.amazon.jobs/jobs/3187361/data-scientist-rapid--rural-logistics-rl?cmpid=DA_INAD200785B")</f>
        <v/>
      </c>
      <c r="G155" t="inlineStr">
        <is>
          <t>Bellevue, WA, US</t>
        </is>
      </c>
      <c r="H155" s="2" t="n">
        <v>46056</v>
      </c>
      <c r="I155"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6">
      <c r="A156" t="inlineStr">
        <is>
          <t>in-939a8a1d7fd78cdf</t>
        </is>
      </c>
      <c r="B156" t="inlineStr">
        <is>
          <t>Data Scientist, Rapid &amp; Rural Logistics (R2L)</t>
        </is>
      </c>
      <c r="C156" t="inlineStr">
        <is>
          <t>Amazon.com</t>
        </is>
      </c>
      <c r="D156" t="inlineStr">
        <is>
          <t>indeed</t>
        </is>
      </c>
      <c r="E156">
        <f>HYPERLINK("https://www.indeed.com/viewjob?jk=939a8a1d7fd78cdf", "https://www.indeed.com/viewjob?jk=939a8a1d7fd78cdf")</f>
        <v/>
      </c>
      <c r="F156">
        <f>HYPERLINK("https://www.amazon.jobs/jobs/3187361/data-scientist-rapid--rural-logistics-rl?cmpid=DA_INAD200785B", "https://www.amazon.jobs/jobs/3187361/data-scientist-rapid--rural-logistics-rl?cmpid=DA_INAD200785B")</f>
        <v/>
      </c>
      <c r="G156" t="inlineStr">
        <is>
          <t>New York, NY, US</t>
        </is>
      </c>
      <c r="H156" s="2" t="n">
        <v>46056</v>
      </c>
      <c r="I156" t="inlineStr">
        <is>
          <t>**DESCRIPTION**
---------------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  
We are looking for a Data Scientist to join our team and solve some of the most complex business problems!  
Key job responsibilities  
* Work with product managers, engineers, other scientists, and leadership to identify and prioritize complex problems.
* Interview stakeholders to gather business requirements and translate business problems into data science or analytical problems
* Design, develop, and evaluate highly innovative statistics and ML models
* Guide and establish scalable, efficient, automated processes for large scale data analyses, model development, model validation and model implementation
* Proactively seek to identify business opportunities and insights and provide solutions to shape key business processes and policies based on a broad and deep knowledge of Amazon data, industry best\-practices, and work done by other teams.
A day in the life  
In this role, you will be a technical expert with significant scope and impact. You will work with Product and Supply Chain Managers, Business Intelligence Engineers, System Developers and other Scientists, to develop models that solve a wide range of complex and ambiguous business problems, with the main goal to improve customer experience, improve availability of products and reduce supply chain cost. A successful Data Scientist will have bias for action needed in a startup environment, with great leadership skills, proven ability to build and manage medium\-scale modeling projects, identify data requirements, build methodology and tools that are statistically grounded. It will be a person who enjoys diving deep into data, doing analysis, discovering root causes, and designing long\-term scientific solutions. We are seeking someone who can thrive in a fast\-paced, high\-energy and fun work environment where we deliver value incrementally and frequently. We look for individuals who know how to deliver results and show a desire to develop themselves, their colleagues, and their career.  
About the team  
The R2L team is responsible for building the next generation supply chain for Amazon’s world\-class ultra\-fast customer experiences including Amazon Fresh groceries, Sub\-Same Day, Amazon Now, and other soon\-to\-launch exciting new businesses. Join us and you'll be taking part in serving our customers in as fast as 30 minutes!**BASIC QUALIFICATIONS**
------------------------
* Master's degree in engineering, technology, computer science, machine learning, robotics, operations research, statistics, mathematics or equivalent quantitative field
* 5\+ years of data querying languages (e.g. SQL), scripting languages (e.g. Python) or statistical/mathematical software (e.g. R, SAS, Matlab, etc.) experience
* Master's degree in Operations Research, Statistics, Applied Mathematics, Engineering, Computer Science or related field, or PhD and 5\+ years of data scientist or similar role involving data extraction, analysis, statistical modeling and communication experience
* Experience as a data engineer or related specialty (e.g., software engineer, business intelligence engineer, data scientist) with a track record of manipulating, processing, and extracting value from large datasets
* Experience in written and verbal communication with the ability to present complex technical information in a clear and concise manner to executives and non\-technical leaders
* Experience working in a fast\-paced, team environment
\- \- Ability to dive deep into complex technical problems and drive change.  
* Excellent problem solving skills with a strong attention to detail.
**PREFERRED QUALIFICATIONS**
----------------------------
* Ph.D. in Science, Technology, Engineering, or Mathematics (STEM)
* Knowledge of statistical packages and business intelligence tools such as SPSS, SAS, S\-PLUS, or R
* Knowledge of machine learning concepts and their application to reasoning and problem\-solving
* Experience with clustered data processing (e.g., Hadoop, Spark, Map\-reduce, and Hive)
* Experience working with or evaluating AI systems
* Experience applying quantitative analysis to solve business problems and making data\-driven business decisions
* Experience effectively communicating complex concepts through written and verbal communication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\- 119,200\.00 \- 178,400\.00 USD annually  
USA, WA, Bellevue \- 108,300\.00 \- 160,000\.00 USD annually</t>
        </is>
      </c>
    </row>
    <row r="157">
      <c r="A157" t="inlineStr">
        <is>
          <t>in-cfb157ea63e7d0b5</t>
        </is>
      </c>
      <c r="B157" t="inlineStr">
        <is>
          <t>Data Scientist</t>
        </is>
      </c>
      <c r="C157" t="inlineStr">
        <is>
          <t>Eventus Consulting Group</t>
        </is>
      </c>
      <c r="D157" t="inlineStr">
        <is>
          <t>indeed</t>
        </is>
      </c>
      <c r="E157">
        <f>HYPERLINK("https://www.indeed.com/viewjob?jk=cfb157ea63e7d0b5", "https://www.indeed.com/viewjob?jk=cfb157ea63e7d0b5")</f>
        <v/>
      </c>
      <c r="F157">
        <f>HYPERLINK("http://www.indeed.com/job/data-scientist-cfb157ea63e7d0b5", "http://www.indeed.com/job/data-scientist-cfb157ea63e7d0b5")</f>
        <v/>
      </c>
      <c r="G157" t="inlineStr">
        <is>
          <t>Denver, CO, US</t>
        </is>
      </c>
      <c r="H157" s="2" t="n">
        <v>46083</v>
      </c>
      <c r="I157" t="inlineStr">
        <is>
          <t>Data Scientist \-\- Should have good experience of \\:
· ML/AI – RAG, Prompt Eng. Etc.
· SQL, LLM
· PYTHON
**Sr. Data Scientist in AI and Lead Data Insight Analyst:** 
a. I need someone who's highly accountable and productive autonomously
b. This sort of person would need to be physically present in a lot of meetings. They would need to be very, very quick, like exceptionally quick on meeting pickups.
c. Be the type of person that they hear it once and they understand it and they don't need more clarity or direction. So truly looking for that senior communicator and that senior level of accountability, where they hear it once, they hit the direction
d. The technical bar on our team right now is not as critical of a concern, so as an example, I don't have work currently that would require a super seasoned data scientist to complete a lot of mathematic models
e. Someone that has a decent grasp of object\-oriented programming, someone that is very comfortable in the AI and prompting space and someone that is very comfortable with SQL, this would apply again to both roles and can complete asks very quickly
f. I need someone that is good at if they're given say a task or an assignment to complete A, B, and C They're really good about making sure that A and B and C were done
g. Applications but they will be using in house applications that are built\-in object\-oriented programming in Python specifically, but those programs aren't necessarily 100 % of the time fully robust releases
h. This person also needs to have a really fluid understanding of SQL. Someone that's really comfortable getting up to speed quickly In different SQL environments and doing the basics and has probably experienced working in different environments is helpful. SQL is mandatory. Python, some sort of object\-oriented programming is mandatory. It could be R, maybe if they've never used Python. Python is ideal. Do they have to have built applications in Python? No, but they should know the basics of how to navigate in Python
i. Prompting some experience using LLMs, knowing what their successes are, knowing what their pitfalls are, knowing how to design prompts
j. If someone has never ever touched an LLM before and is really good in all of these other areas, that would probably be fine. We can teach them and get them up to speed quickly on using it
k. Doing projects in 24 to 48 h, that's, that's mandatory. Someone that really has that experience of delivering projects fast
Pay: $65\.00 \- $75\.00 per hour
Expected hours: 40 per week
Work Location: In person</t>
        </is>
      </c>
    </row>
    <row r="158">
      <c r="A158" t="inlineStr">
        <is>
          <t>in-e8d5a5b6f3f8a723</t>
        </is>
      </c>
      <c r="B158" t="inlineStr">
        <is>
          <t>Data Scientist</t>
        </is>
      </c>
      <c r="C158" t="inlineStr"/>
      <c r="D158" t="inlineStr">
        <is>
          <t>indeed</t>
        </is>
      </c>
      <c r="E158">
        <f>HYPERLINK("https://www.indeed.com/viewjob?jk=e8d5a5b6f3f8a723", "https://www.indeed.com/viewjob?jk=e8d5a5b6f3f8a723")</f>
        <v/>
      </c>
      <c r="F158">
        <f>HYPERLINK("https://www.usajobs.gov:443/job/859040500", "https://www.usajobs.gov:443/job/859040500")</f>
        <v/>
      </c>
      <c r="G158" t="inlineStr">
        <is>
          <t>Washington, DC, US</t>
        </is>
      </c>
      <c r="H158" s="2" t="n">
        <v>46082</v>
      </c>
      <c r="I158" t="inlineStr">
        <is>
          <t>**Summary**
-----------
This position serves under the Nationwide Central Intake Facility as the Debt Collection Management authority in the identification, collection, analysis, measurement, documentation, reporting, and presentation of reliable debt collection and financial data for the purpose of improving the delivery of data\-driven policy and resource recommendations and decisions.
**This job is open to**
-----------------------
### **The public**
U.S. Citizens, Nationals or those who owe allegiance to the U.S.
### **Career transition (CTAP, ICTAP, RPL)**
Federal employees whose job, agency or department was eliminated and are eligible for priority over other applicants.
### **Clarification from the agency**
This position is being filled using Direct\-Hire Authority.
**Duties**
----------
The duties and responsibilities for a Data Scientist, GS\-1560\-13/14 generally include, but are not limited to, the following:
* Use programming skills, statistics, data visualization and/or critical thinking skills to identify gaps in data and determine methods for closing such gaps.
* Perform the collection of relevant information from many varied sources and apply a broad range of data analyses techniques.
* Participate in the development of requirements, design and perform user acceptance testing to determine system readiness.
* Provide input to management regarding the enhancement of current processes and procedures and executing best practices.
* Serve as a recognized authority in transforming vast, complex, and unstructured data into actionable insights to solve complex problems and predict future outcomes.
* Serve as an authority in the design, development, test, and readiness of systems.
**Requirements**
----------------
### **Conditions of employment**
* You must be a United States Citizen or National.
* You must successfully pass a security/background investigation and a drug screening.
* Selective Service registration is required, see the "Additional Information" section for full details.
* Additional selections may be made from this announcement.
### **Qualifications**
To qualify for the position of Data Scientist, at GS\-1560\-13/14, you must meet the basic qualification requirements listed below.  
**BASIC QUALIFICATIONS****:**  
**A.** **Degree:** Mathematics, statistics, computer science, data science or field directly related to the position. The degree must be in a major field of study (at least at the baccalaureate level) that is appropriate for the position.  
**OR**  
**B.** **Combination of education and experience:** Courses equivalent to a major field of study (30 semester hours) as shown in paragraph A above, plus additional education or appropriate experience.  
**Specialized Experience:** For the GS\-13, you must have one year of specialized experience at the GS\-12 grade level or equivalent pay band in the Federal Service, which includes: Providing research and analyzing technical, financial or program issues; reviewing information and applying standard quantitative or qualitative analytical techniques.; Developing recommendations and providing guidance to resolve problems of work operations; Planning and conducting meetings, briefings and other activities in support of particular programs; and Performing legal research, conducting research of federal laws and regulations as it relates to debt collection  
**Specialized Experience:** For the GS\-14, you must have one year of specialized experience at the GS\-13 grade level or equivalent pay band in the Federal Service, which includes: Providing wide range of qualitative and quantitative methods for assessment and improvement of program; Planning, organizing, and directing team study work; developing and implementing recommendations and guidance to resolve problems of work operations; Planning and conducting meetings, briefings and other activities in support of particular programs; and Performing legal research, conducting research of federal laws and regulations as it relates to debt collection.  
You **MUST** meet all qualification requirements by 03/09/2026 of this announcement.  
Your resume must support your responses to the application questionnaire and the qualification requirements. Failure to do so may result in an ineligible rating.*See the Required Documents section for important notes about what must be included in your resume.*
### **Education**
If you are relying on your education to meet qualification requirements, please see the statements below.  
Education must be reviewed and certified by an accrediting institution recognized by the U.S. Department of Education, in order for it to be creditable towards your qualifications. Therefore, provide only the attendance and/or degrees from accredited institution.  
**FOREIGN EDUCATION:** Education completed in foreign colleges or universities may be used to meet the requirements. You must show proof the education credentials have been deemed to be at least equivalent to that gained in a conventional U.S. education program. It is your responsibility to provide such evidence when applying. For special instructions pertaining to foreign education and a list of organizations that can evaluate foreign education, see the Department of Education website. If you are qualifying on foreign education, you MUST submit proof of creditability of education as evaluated by a credentialing agency. Transcripts must be uploaded with your application to verify education. *All documentation must be in English or include an English translation.*
### **Additional information**
Candidates should be committed to improving the efficiency of the Federal government, passionate about the ideals of our American republic, and committed to upholding the rule of law and the United States Constitution. Candidates will not be hired based on their race, sex, color, religion, or national origin.  
This announcement is being advertised under an agency specific OR a government\-wide Direct\-Hire Authority approved by OPM for filling vacancies when a severe shortage or critical hiring need exists. Veterans Preference and other Category Rating procedures do not apply to this announcement. Applicants must meet all qualification requirements of the position. The hiring office may interview and select any qualified candidate of their choosing from the qualified pool. *See* *OPM, Direct Hire Authority* *for more information.*  
Career Transition Programs (CTAP or ICTAP): These programs apply to Federal and/or DOJ employees who meet the definition of surplus or displaced from a position in the competitive service. To receive selection priority for this position, you must:  
Be rated well\-qualified for the position based on the competencies listed above; and  
submit the appropriate documentation to support your CTAP or ICTAP eligibility. Well\-qualified is defined as having knowledge, skills, abilities, and/or competencies clearly exceeding the minimum qualification requirements for the vacancy.  
**EEO Statement/Policy**: The United States government does not discriminate in employment on the basis of race, color, religion, sex, pregnancy, national origin, political affiliation, sexual orientation, marital status, disability, genetic information, age, membership in an employee organization, retaliation, parental status, military service or other non\-merit factor. More information can be found here: https://www.justice.gov/jmd/media/1425556/dl?inlin.  
**DOJ Reasonable Accommodation Statement**: Federal agencies must provide reasonable accommodation to applicants with disabilities where appropriate. Applicants requiring reasonable accommodation for any part of the application and hiring process should contact the hiring agency directly. Determinations on requests for reasonable accommodation will be made on a case\-by\-case basis. The DOJ Reasonable Accommodation policy can be found here: https://www.justice.gov/jmd/reasonable\-accommodation\#policy  
**Selective Service**: If you were born male, on or after December 31, 1959, you must certify that you have registered with the Selective Service System, or are exempt from having to do so under the Selective Service Law. Additional information is found at: www.sss.gov.  
**Fair Chance to Compete for Jobs***:* The Fair Chance Act prohibits Federal agencies from requesting an applicant's criminal history information before the agency makes a conditional offer of employment. If you believe a DOJ employee or Federal contractor acting on its behalf has violated your rights under this Act, you may submit a written complaint within 30 days of the date of the alleged non\-compliance directly to the hiring office using the contact information listed in the announcement.**Note:** In accordance with 5 U.S. Code § 9202(c) and 5 C.F.R § 920\.201(b) certain positions are exempt from the provisions of the Fair Chance Act.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Review our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Once the job opportunity announcement closes (at 11:59 pm ET on 03/09/2026, a review of your resume and supporting documentation will be conducted, the information will be compared against your responses to the application questionnaire to determine your eligibility for Federal employment, and then whether you are qualified for this particular position. Per Direct\-Hire Authority requirements, all qualified candidates will be referred to the hiring office for consideration. The hiring office may select any qualified candidate without regard to special eligibility considerations. Veterans' preference is not applicable.  
* Data Analysis
* Data Design/Data Programming/Data Visualization
* Interpersonal Skills
* Performs Systems Testing and Evaluation
**Debt Collection Management** **Office** will further evaluate your qualifications through a Structured Interview Process and Reference Checks.  
When addressing the specialized experience statement, applicants must present evidence of the experience in their resume. If the specialized experience statement is repeated, in the applicant's resume, Human Resources will deem the applicant as ineligible.  
*If you would like to preview the application questionnaire, please see:* https://apply.usastaffing.gov/ViewQuestionnaire/12893356\.
**Required Documents**
----------------------
It is your responsibility to carefully review the list of required documents below and submit the necessary documentation based on your eligibility. Resume and Transcript  
**Resume \- All Applicants:** *You must submit a resume (a two page or less resume is required) containing the following pieces of information for each job entry listed in your employment history:*
* Official position title,
* Employer name and contact information,
* Start and end dates (including month and year),
* Indicate full\-time or number of hours worked per week if part\-time,
* A list of duties performed and accomplishments.
**CTAP/ICTAP eligibility documentation** \- If you are a displaced Federal employee claiming eligibility under CTAP or ICTAP, you must submit:
* A copy of the agency notice (i.e., letter of intent to separate, separation notice, or agency RIF letter),
* Your most recent performance appraisal, and
* Most recent SF\-50 showing current/former position, grade, promotion potential, and duty location.
**How to Apply**
----------------
**To apply for this position, you must complete the online application questionnaire and submit your supporting documentation. Your complete application package must be submitted by 11:59 PM (EST) on** 03/09/2026 **to receive consideration.**  
The application process is as follows:
* Click Apply to access the online application. You will need to be logged into your USAJOBS account to apply. If you do not have a USAJOBS account, you will need to create one before beginning the application.
* Follow the prompts to select your resume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**Essay Questions**: The following four narrative questions provide an opportunity for you to highlight your dedication to public service for the hiring manager and agency leadership (or designee(s)). While your responses are not required and will not be scored, we encourage you to thoughtfully address each question. Please provide a response of 200 words or less to each question (**see the application questionnaire**). You will be asked to certify that you are using your own words and did not use a consultant or artificial intelligence (AI) such as a large language model (LLM) like ChatGPT or Copilot.
* + How has your commitment to the Constitution and the founding principles of the United States inspired you to pursue this role within the Federal government? Provide a concrete example from professional, academic, or personal experience.
* + In this role, how would you use your skills and experience to improve government efficiency and effectiveness? Provide specific examples where you improved processes, reduced costs, or improved outcomes.
* + How would you help advance the President's Executive Orders and policy priorities in this role? Identify one or two relevant Executive Orders or policy initiatives that are significant to you, and explain how you would help implement them if hired.
* + How has a strong work ethic contributed to your professional, academic or personal achievements? Provide one or two specific examples, and explain how those qualities would enable you to serve effectively in this position.
**NEED HELP?**  
If you need help with USAJOBs or the application process, please see the USAJOBS Help or Application Manager Online Help websites which includes information on managing your account, creating an application, uploading documents, etc.  
**Reasonable Accommodation:** To request reasonable accommodation for any part of the application and hiring process, please contact the hiring office using the contact information listed in the announcement for assistance.  
### **Agency contact information**
Tamara Shelton
Phone
202\-286\-6440
Email
tamara.d.shelton@usdoj.gov
Address
*Justice Management Division \- Debt Collection Management Staff*  
*2 Constitution Square*  
*145 N Street NE*  
*Room 9W.300*  
*Washington, DC 20530*  
*US*### **Next steps**
You will receive e\-mail notifications as your application status is updated by DOJ. However, you can also see your application status any time by logging in to your USAJOBS account and looking on the "Applications" page. Click the position title to expand the display for each application in the list.  
*We strive to extend a final offer of employment within 90 days from the close of this announcement. Additional selections may be made from this announcement within 90 days.*
**Overview**
------------
Accepting applications
Open \&amp; closing dates
03/02/2026 to 03/09/2026
Salary
$121,785 to \- $187,093 per year
Pay scale \&amp; grade
GS 13 \- 14
Location
1 vacancy in the following location:
Washington, DC
Remote job
No
Telework eligible
Yes—as determined by the agency policy.
Travel Required
Not required
Relocation expenses reimbursed
No
Appointment type
Permanent
Work schedule
Full\-time
Service
Competitive
Promotion potential
14
Job family (Series)
* 1560 Data Science Series
Supervisory status
No
Security clearance
Not Required
Drug test
Yes
Position sensitivity and risk
Moderate Risk (MR)
Trust determination process
* Credentialing
* Suitability/Fitness
Financial disclosure
No
Bargaining unit status
No
Announcement number
JMD\-DCM\-26\-12893356\-DHA
Control number
859040500</t>
        </is>
      </c>
    </row>
    <row r="159">
      <c r="A159" t="inlineStr">
        <is>
          <t>in-50a94a97664ee39c</t>
        </is>
      </c>
      <c r="B159" t="inlineStr">
        <is>
          <t>Sr Data Scientist</t>
        </is>
      </c>
      <c r="C159" t="inlineStr">
        <is>
          <t>PayPal</t>
        </is>
      </c>
      <c r="D159" t="inlineStr">
        <is>
          <t>indeed</t>
        </is>
      </c>
      <c r="E159">
        <f>HYPERLINK("https://www.indeed.com/viewjob?jk=50a94a97664ee39c", "https://www.indeed.com/viewjob?jk=50a94a97664ee39c")</f>
        <v/>
      </c>
      <c r="F159">
        <f>HYPERLINK("https://paypal.eightfold.ai/careers/job/274918329523", "https://paypal.eightfold.ai/careers/job/274918329523")</f>
        <v/>
      </c>
      <c r="G159" t="inlineStr">
        <is>
          <t>Chicago, IL, US</t>
        </is>
      </c>
      <c r="H159" s="2" t="n">
        <v>46082</v>
      </c>
      <c r="I159"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Summary:**
This job will lead the development and implementation of advanced data science models and algorithms. You will work with stakeholders to understand requirements and deliver solutions. Your role involves driving best practices in data science, ensuring data quality, and mentoring junior scientists.**Job Description:**
**Essential Responsibilities:**
* Lead the development and implementation of advanced data science models.
* Collaborate with stakeholders to understand requirements.
* Drive best practices in data science.
* Ensure data quality and integrity in all processes.
* Mentor and guide junior data scientists.
* Stay updated with the latest trends in data science.
**Minimum Qualifications:**
* 3\+ years relevant experience and a Bachelor’s degree OR Any equivalent combination of education and experience.
**Additional Responsibilities \&amp; Preferred Qualifications****:**
**Subsidiary:**
PayPal**Travel Percent:**
0* 
The base pay for this role will depend on where you work and the relevant experience and expertise you bring. The expected range of pay for this role by location is:**Primary Location \| Pay Range:**
Chicago, Illinois \| ($130,500\.00 \- $193,600\.00 Annually)**Additional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comprehensive, choice\-based programs, to support all aspects of personal wellbeing—physical, emotional, and financial—delivering meaningful value where it matters most. We strive to create a flexible, balanced work culture with a holistic approach to benefits, including generous paid time off, healthcare coverage for you and your family, and resources to create financial security and support your mental health.
**Who We Are:**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t>
        </is>
      </c>
    </row>
    <row r="160">
      <c r="A160" t="inlineStr">
        <is>
          <t>in-3045afb2edee1a7c</t>
        </is>
      </c>
      <c r="B160" t="inlineStr">
        <is>
          <t>Data Scientist II, ADSP Product Operations &amp; Analytics</t>
        </is>
      </c>
      <c r="C160" t="inlineStr">
        <is>
          <t>Amazon.com</t>
        </is>
      </c>
      <c r="D160" t="inlineStr">
        <is>
          <t>indeed</t>
        </is>
      </c>
      <c r="E160">
        <f>HYPERLINK("https://www.indeed.com/viewjob?jk=3045afb2edee1a7c", "https://www.indeed.com/viewjob?jk=3045afb2edee1a7c")</f>
        <v/>
      </c>
      <c r="F160">
        <f>HYPERLINK("https://www.amazon.jobs/jobs/3180118/data-scientist-ii-adsp-product-operations--analytics?cmpid=DA_INAD200785B", "https://www.amazon.jobs/jobs/3180118/data-scientist-ii-adsp-product-operations--analytics?cmpid=DA_INAD200785B")</f>
        <v/>
      </c>
      <c r="G160" t="inlineStr">
        <is>
          <t>New York, NY, US</t>
        </is>
      </c>
      <c r="H160" s="2" t="n">
        <v>46062</v>
      </c>
      <c r="I160"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161">
      <c r="A161" t="inlineStr">
        <is>
          <t>in-2d1c6b795dce81ec</t>
        </is>
      </c>
      <c r="B161" t="inlineStr">
        <is>
          <t>Data Scientist II, ADSP Product Operations &amp; Analytics</t>
        </is>
      </c>
      <c r="C161" t="inlineStr">
        <is>
          <t>Amazon.com</t>
        </is>
      </c>
      <c r="D161" t="inlineStr">
        <is>
          <t>indeed</t>
        </is>
      </c>
      <c r="E161">
        <f>HYPERLINK("https://www.indeed.com/viewjob?jk=2d1c6b795dce81ec", "https://www.indeed.com/viewjob?jk=2d1c6b795dce81ec")</f>
        <v/>
      </c>
      <c r="F161">
        <f>HYPERLINK("https://www.amazon.jobs/jobs/3180118/data-scientist-ii-adsp-product-operations--analytics?cmpid=DA_INAD200785B", "https://www.amazon.jobs/jobs/3180118/data-scientist-ii-adsp-product-operations--analytics?cmpid=DA_INAD200785B")</f>
        <v/>
      </c>
      <c r="G161" t="inlineStr">
        <is>
          <t>Seattle, WA, US</t>
        </is>
      </c>
      <c r="H161" s="2" t="n">
        <v>46062</v>
      </c>
      <c r="I161" t="inlineStr">
        <is>
          <t>**DESCRIPTION**
---------------
In this role, you will build scalable solutions and sophisticated models that identify and drive growth opportunities for Amazon Ads teams, specifically within Amazon's Demand Side Platform (ADSP). You will leverage machine learning, simulation, and advanced statistical techniques to explain complex patterns, quantify business impact, predict future trends, and prescribe actionable strategies that inform critical business decisions at the highest levels of the organization. You will work with various stakeholders to align on priorities, with the understanding that scope and direction may evolve based on organizational needs. You will translate business goals into agile, insightful analytics that create tangible value for both stakeholders and customers, and communicate your findings clearly and actionably to managers and senior leaders so they can quickly understand insights and take decisive action.  
You will set the strategy for ads delivery and quality and establish the measurement and decision frameworks. A core mandate for this role is to identify, instrument, and operationalize the input metrics that most directly drive ads delivery, quality, and performance, ensuring we optimize the levers that move outcomes rather than simply reporting on lagging KPIs.  
Key job responsibilities  
* You will define and execute in\-depth data analysis that drives data\-informed decision making for product, sales, and finance teams who speak on behalf of advertisers.
* You will establish and drive data hygiene best practices to ensure coherence and integrity of data feeding into production ML/AI solutions.
* You will identify, instrument, and operationalize the input metrics that most directly drive ads delivery, quality, and performance, creating robust measurement frameworks.
* You will collaborate with colleagues across science and engineering disciplines for fast turnaround proof\-of\-concept prototyping at scale.
* You will partner with product managers and stakeholders to define forward\-looking product visions and prospective business use cases.
* You will set the strategy for ads delivery and quality, establishing decision frameworks that enable teams to move from reactive reporting to proactive optimization.
* You will drive and lead a culture of data\-driven innovations within the Amazon AdTech org.
**BASIC QUALIFICATIONS**
------------------------
* 3\+ years of data querying languages (e.g. SQL), scripting languages (e.g. Python) or statistical/mathematical software (e.g. R, SAS, Matlab, etc.) experience
* 2\+ years of data scientist experience
* Bachelor's degree
* Experience applying theoretical models in an applied environment
* 3\+ years of machine learning/statistical modeling data analysis tools and techniques, and parameters that affect their performance experience
**PREFERRED QUALIFICATIONS**
----------------------------
* Experience in Python, Perl, or another scripting language
* Experience in a ML or data scientist role with a large technology company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\- 153,400\.00 \- 207,500\.00 USD annually  
USA, WA, Seattle \- 136,000\.00 \- 184,000\.00 USD annually</t>
        </is>
      </c>
    </row>
    <row r="162">
      <c r="A162" t="inlineStr">
        <is>
          <t>in-26ed5cc26d16989d</t>
        </is>
      </c>
      <c r="B162" t="inlineStr">
        <is>
          <t>Principal Applied Scientist, AWS Marketplace &amp; Partner Services</t>
        </is>
      </c>
      <c r="C162" t="inlineStr">
        <is>
          <t>Amazon Web Services</t>
        </is>
      </c>
      <c r="D162" t="inlineStr">
        <is>
          <t>indeed</t>
        </is>
      </c>
      <c r="E162">
        <f>HYPERLINK("https://www.indeed.com/viewjob?jk=26ed5cc26d16989d", "https://www.indeed.com/viewjob?jk=26ed5cc26d16989d")</f>
        <v/>
      </c>
      <c r="F162">
        <f>HYPERLINK("https://www.amazon.jobs/jobs/3177084/principal-applied-scientist-aws-marketplace--partner-services?cmpid=DA_INAD200785B", "https://www.amazon.jobs/jobs/3177084/principal-applied-scientist-aws-marketplace--partner-services?cmpid=DA_INAD200785B")</f>
        <v/>
      </c>
      <c r="G162" t="inlineStr">
        <is>
          <t>New York, NY, US</t>
        </is>
      </c>
      <c r="H162" s="2" t="n">
        <v>46056</v>
      </c>
      <c r="I162"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3">
      <c r="A163" t="inlineStr">
        <is>
          <t>in-8c5c95acd20cddf2</t>
        </is>
      </c>
      <c r="B163" t="inlineStr">
        <is>
          <t>Principal Applied Scientist, AWS Marketplace &amp; Partner Services</t>
        </is>
      </c>
      <c r="C163" t="inlineStr">
        <is>
          <t>Amazon Web Services</t>
        </is>
      </c>
      <c r="D163" t="inlineStr">
        <is>
          <t>indeed</t>
        </is>
      </c>
      <c r="E163">
        <f>HYPERLINK("https://www.indeed.com/viewjob?jk=8c5c95acd20cddf2", "https://www.indeed.com/viewjob?jk=8c5c95acd20cddf2")</f>
        <v/>
      </c>
      <c r="F163">
        <f>HYPERLINK("https://www.amazon.jobs/jobs/3177084/principal-applied-scientist-aws-marketplace--partner-services?cmpid=DA_INAD200785B", "https://www.amazon.jobs/jobs/3177084/principal-applied-scientist-aws-marketplace--partner-services?cmpid=DA_INAD200785B")</f>
        <v/>
      </c>
      <c r="G163" t="inlineStr">
        <is>
          <t>San Diego, CA, US</t>
        </is>
      </c>
      <c r="H163" s="2" t="n">
        <v>46056</v>
      </c>
      <c r="I163"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4">
      <c r="A164" t="inlineStr">
        <is>
          <t>in-c37bb3a3c52b8624</t>
        </is>
      </c>
      <c r="B164" t="inlineStr">
        <is>
          <t>Principal Applied Scientist, AWS Marketplace &amp; Partner Services</t>
        </is>
      </c>
      <c r="C164" t="inlineStr">
        <is>
          <t>Amazon Web Services</t>
        </is>
      </c>
      <c r="D164" t="inlineStr">
        <is>
          <t>indeed</t>
        </is>
      </c>
      <c r="E164">
        <f>HYPERLINK("https://www.indeed.com/viewjob?jk=c37bb3a3c52b8624", "https://www.indeed.com/viewjob?jk=c37bb3a3c52b8624")</f>
        <v/>
      </c>
      <c r="F164">
        <f>HYPERLINK("https://www.amazon.jobs/jobs/3177084/principal-applied-scientist-aws-marketplace--partner-services?cmpid=DA_INAD200785B", "https://www.amazon.jobs/jobs/3177084/principal-applied-scientist-aws-marketplace--partner-services?cmpid=DA_INAD200785B")</f>
        <v/>
      </c>
      <c r="G164" t="inlineStr">
        <is>
          <t>Seattle, WA, US</t>
        </is>
      </c>
      <c r="H164" s="2" t="n">
        <v>46056</v>
      </c>
      <c r="I164"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5">
      <c r="A165" t="inlineStr">
        <is>
          <t>in-a6d1fb7ce2f406bc</t>
        </is>
      </c>
      <c r="B165" t="inlineStr">
        <is>
          <t>Principal Applied Scientist, AWS Marketplace &amp; Partner Services</t>
        </is>
      </c>
      <c r="C165" t="inlineStr">
        <is>
          <t>Amazon Web Services</t>
        </is>
      </c>
      <c r="D165" t="inlineStr">
        <is>
          <t>indeed</t>
        </is>
      </c>
      <c r="E165">
        <f>HYPERLINK("https://www.indeed.com/viewjob?jk=a6d1fb7ce2f406bc", "https://www.indeed.com/viewjob?jk=a6d1fb7ce2f406bc")</f>
        <v/>
      </c>
      <c r="F165">
        <f>HYPERLINK("https://www.amazon.jobs/jobs/3177084/principal-applied-scientist-aws-marketplace--partner-services?cmpid=DA_INAD200785B", "https://www.amazon.jobs/jobs/3177084/principal-applied-scientist-aws-marketplace--partner-services?cmpid=DA_INAD200785B")</f>
        <v/>
      </c>
      <c r="G165" t="inlineStr">
        <is>
          <t>Austin, TX, US</t>
        </is>
      </c>
      <c r="H165" s="2" t="n">
        <v>46056</v>
      </c>
      <c r="I165" t="inlineStr">
        <is>
          <t>**DESCRIPTION**
---------------
The AWS Marketplace \&amp; Partner Services (AMPS) Science team is at the forefront of driving AWS's AI\-powered growth through developing and evaluating the next generation search, recommendations, and agentic systems. As a Principal Applied Scientist on our team, you'll own the technical strategy and execution for our most ambitious AI\-driven initiatives that directly accelerate AWS revenue growth through both customer discovery experiences and partner co\-selling capabilities.
Your work will establish Marketplace as customers' primary solution discovery and transaction platform while simultaneously transforming how AWS partners scale their business through insights and agentic workflow automation.  
You will be a trusted technical leader who tackles intrinsically complex scientific problems by leveraging deep expertise in information retrieval, recommendation systems, LLMs, and agentic systems. You'll innovate and set the standard for scientific excellence, making decisions that affect how products are built and integrated across AMPS. You'll align teams toward coherent strategies, guide peers in adopting the latest scientific trends, and force\-multiply by decomposing hard problems and executing through collaboration.  
Key job responsibilities  
* Define direction for next\-generation recommendation systems, including deep personalization, agentic architecture, and primitives that integrate customer usage patterns, infrastructure requirements, and business objectives to deliver personalized, outcome\-oriented guidance
* Lead information retrieval innovations, multi\-objective ranking, and reasoning over heterogeneous solution types
* Architect, implement, and design agentic AI systems that orchestrate complex workflows
* Bridge theoretical innovations with practical solutions, making critical judgments to select the best technical approaches for both short and long\-term objectives
* Mentor and guide applied scientists, holding the team to high standards of technical rigor and scientific excellence
* Contribute to the broader scientific community through patents, publications at conferences, and engagement with academic partners
About the team  
The AWS Marketplace \&amp; Partner Services Science team is at the forefront of developing and deploying AI/ML systems that serve multiple critical stakeholders:  
* AWS Customers: Through the AWS Marketplace, we support discovery experiences that streamline cloud adoption and innovation.
* AWS Partners: Via Partner Central, we offer advanced tools and insights to enhance collaboration and drive mutual growth.
* Internal AWS Sellers: We equip our sales teams with data\-driven recommendations to better serve our customers and partners.
**BASIC QUALIFICATIONS**
------------------------
* 5\+ years of practical work applying ML to solve complex problems experience
* Experience working in predictive modeling and analysis
* Experience programming in Java, C\+\+, Python or related language
* Experience in several of the following areas: machine learning, statistics, deep learning, natural language processing, or information retrieval
**PREFERRED QUALIFICATIONS**
----------------------------
* 10\+ years of relevant work in industry or academia experience
* Experience with leading experienced scientists as well as having a record of developing junior members from academia or industry to a career track in a business environment
* Experience creating novel algorithms and advancing the state of the art
* Have peer\-reviewed scientific contributions in premier journals and conferences
* PhD in Electrical Engineering, Computer Science, Mathematics, or a related technical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Diego \- 198,900\.00 \- 269,000\.00 USD annually  
USA, NY, New York \- 218,800\.00 \- 295,900\.00 USD annually  
USA, TX, Austin \- 198,900\.00 \- 269,000\.00 USD annually  
USA, WA, Seattle \- 198,900\.00 \- 269,000\.00 USD annually</t>
        </is>
      </c>
    </row>
    <row r="166">
      <c r="A166" t="inlineStr">
        <is>
          <t>in-6ff80acacd311fec</t>
        </is>
      </c>
      <c r="B166" t="inlineStr">
        <is>
          <t>Sr. Applied Scientist, AWS Healthcare-AI</t>
        </is>
      </c>
      <c r="C166" t="inlineStr">
        <is>
          <t>Amazon.com</t>
        </is>
      </c>
      <c r="D166" t="inlineStr">
        <is>
          <t>indeed</t>
        </is>
      </c>
      <c r="E166">
        <f>HYPERLINK("https://www.indeed.com/viewjob?jk=6ff80acacd311fec", "https://www.indeed.com/viewjob?jk=6ff80acacd311fec")</f>
        <v/>
      </c>
      <c r="F166">
        <f>HYPERLINK("https://www.amazon.jobs/jobs/3179064/sr-applied-scientist-aws-healthcareai?cmpid=DA_INAD200785B", "https://www.amazon.jobs/jobs/3179064/sr-applied-scientist-aws-healthcareai?cmpid=DA_INAD200785B")</f>
        <v/>
      </c>
      <c r="G166" t="inlineStr">
        <is>
          <t>Seattle, WA, US</t>
        </is>
      </c>
      <c r="H166" s="2" t="n">
        <v>46055</v>
      </c>
      <c r="I166"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7">
      <c r="A167" t="inlineStr">
        <is>
          <t>in-3fadd62e4c8a4311</t>
        </is>
      </c>
      <c r="B167" t="inlineStr">
        <is>
          <t>Sr. Applied Scientist, AWS Healthcare-AI</t>
        </is>
      </c>
      <c r="C167" t="inlineStr">
        <is>
          <t>Amazon.com</t>
        </is>
      </c>
      <c r="D167" t="inlineStr">
        <is>
          <t>indeed</t>
        </is>
      </c>
      <c r="E167">
        <f>HYPERLINK("https://www.indeed.com/viewjob?jk=3fadd62e4c8a4311", "https://www.indeed.com/viewjob?jk=3fadd62e4c8a4311")</f>
        <v/>
      </c>
      <c r="F167">
        <f>HYPERLINK("https://www.amazon.jobs/jobs/3179064/sr-applied-scientist-aws-healthcareai?cmpid=DA_INAD200785B", "https://www.amazon.jobs/jobs/3179064/sr-applied-scientist-aws-healthcareai?cmpid=DA_INAD200785B")</f>
        <v/>
      </c>
      <c r="G167" t="inlineStr">
        <is>
          <t>Mountain View, CA, US</t>
        </is>
      </c>
      <c r="H167" s="2" t="n">
        <v>46055</v>
      </c>
      <c r="I167" t="inlineStr">
        <is>
          <t>**DESCRIPTION**
---------------
At AWS Healthcare AI, we're revolutionizing healthcare delivery through AI solutions that serve millions globally. As a pioneer in healthcare technology, we're building next\-generation services that combine Amazon's world\-class AI infrastructure with deep healthcare expertise. Our mission is to accelerate our healthcare businesses by delivering intuitive and differentiated technology solutions that solve enduring business challenges. The AWS Healthcare AI organization includes services such as HealthScribe, Comprehend Medical, HealthLake, and more.  
We're seeking a Senior Applied Scientist to join our team working on our AI driven clinical solutions that are transforming how clinicians interact with patients and document care.  
Key Job Responsibilities
To be successful in this mission, we are seeking an experienced Applied Scientist to lead pioneering research and development of new, highly confidential AI applications that re\-imagine experiences for end\-customers (e.g., consumers, patients), frontline workers (e.g., customer service agents, clinicians), and back\-office staff (e.g., claims processing, medical coding). As a leading subject matter expert in NLU, deep learning, knowledge representation, foundation models, and reinforcement learning, you will guide a team of scientists to invent novel, generative AI\-powered experiences. This role involves defining research directions, developing new ML techniques, conducting rigorous experiments, and ensuring research translates to impactful products. You will be a hands\-on technical innovator who is passionate about building scalable scientific solutions. You will set the standard for excellence, invent scalable, scientifically sound solutions across teams, define evaluation methods, and lead complex reviews. This role wields significant influence across AWS, Amazon, and the global research community.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Mountain View \- 192,200\.00 \- 260,000\.00 USD annually  
USA, WA, Seattle \- 167,100\.00 \- 226,100\.00 USD annually</t>
        </is>
      </c>
    </row>
    <row r="168">
      <c r="A168" t="inlineStr">
        <is>
          <t>in-b007ba9d8924248d</t>
        </is>
      </c>
      <c r="B168" t="inlineStr">
        <is>
          <t>Applied Scientist (Contract), Artificial General Intelligence</t>
        </is>
      </c>
      <c r="C168" t="inlineStr">
        <is>
          <t>Amazon.com</t>
        </is>
      </c>
      <c r="D168" t="inlineStr">
        <is>
          <t>indeed</t>
        </is>
      </c>
      <c r="E168">
        <f>HYPERLINK("https://www.indeed.com/viewjob?jk=b007ba9d8924248d", "https://www.indeed.com/viewjob?jk=b007ba9d8924248d")</f>
        <v/>
      </c>
      <c r="F168">
        <f>HYPERLINK("https://www.amazon.jobs/jobs/3179168/applied-scientist-contract-artificial-general-intelligence?cmpid=DA_INAD200785B", "https://www.amazon.jobs/jobs/3179168/applied-scientist-contract-artificial-general-intelligence?cmpid=DA_INAD200785B")</f>
        <v/>
      </c>
      <c r="G168" t="inlineStr">
        <is>
          <t>Bellevue, WA, US</t>
        </is>
      </c>
      <c r="H168" s="2" t="n">
        <v>46055</v>
      </c>
      <c r="I168"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69">
      <c r="A169" t="inlineStr">
        <is>
          <t>in-fc51d5129d39197a</t>
        </is>
      </c>
      <c r="B169" t="inlineStr">
        <is>
          <t>Applied Scientist (Contract), Artificial General Intelligence</t>
        </is>
      </c>
      <c r="C169" t="inlineStr">
        <is>
          <t>Amazon.com</t>
        </is>
      </c>
      <c r="D169" t="inlineStr">
        <is>
          <t>indeed</t>
        </is>
      </c>
      <c r="E169">
        <f>HYPERLINK("https://www.indeed.com/viewjob?jk=fc51d5129d39197a", "https://www.indeed.com/viewjob?jk=fc51d5129d39197a")</f>
        <v/>
      </c>
      <c r="F169">
        <f>HYPERLINK("https://www.amazon.jobs/jobs/3179168/applied-scientist-contract-artificial-general-intelligence?cmpid=DA_INAD200785B", "https://www.amazon.jobs/jobs/3179168/applied-scientist-contract-artificial-general-intelligence?cmpid=DA_INAD200785B")</f>
        <v/>
      </c>
      <c r="G169" t="inlineStr">
        <is>
          <t>Boston, MA, US</t>
        </is>
      </c>
      <c r="H169" s="2" t="n">
        <v>46055</v>
      </c>
      <c r="I169"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0">
      <c r="A170" t="inlineStr">
        <is>
          <t>in-669c95af656b620b</t>
        </is>
      </c>
      <c r="B170" t="inlineStr">
        <is>
          <t>Applied Scientist (Contract), Artificial General Intelligence</t>
        </is>
      </c>
      <c r="C170" t="inlineStr">
        <is>
          <t>Amazon.com</t>
        </is>
      </c>
      <c r="D170" t="inlineStr">
        <is>
          <t>indeed</t>
        </is>
      </c>
      <c r="E170">
        <f>HYPERLINK("https://www.indeed.com/viewjob?jk=669c95af656b620b", "https://www.indeed.com/viewjob?jk=669c95af656b620b")</f>
        <v/>
      </c>
      <c r="F170">
        <f>HYPERLINK("https://www.amazon.jobs/jobs/3179188/applied-scientist-contract-artificial-general-intelligence?cmpid=DA_INAD200785B", "https://www.amazon.jobs/jobs/3179188/applied-scientist-contract-artificial-general-intelligence?cmpid=DA_INAD200785B")</f>
        <v/>
      </c>
      <c r="G170" t="inlineStr">
        <is>
          <t>Bellevue, WA, US</t>
        </is>
      </c>
      <c r="H170" s="2" t="n">
        <v>46055</v>
      </c>
      <c r="I170"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1">
      <c r="A171" t="inlineStr">
        <is>
          <t>in-b3027dc0dea11285</t>
        </is>
      </c>
      <c r="B171" t="inlineStr">
        <is>
          <t>Applied Scientist (Contract), Artificial General Intelligence</t>
        </is>
      </c>
      <c r="C171" t="inlineStr">
        <is>
          <t>Amazon.com</t>
        </is>
      </c>
      <c r="D171" t="inlineStr">
        <is>
          <t>indeed</t>
        </is>
      </c>
      <c r="E171">
        <f>HYPERLINK("https://www.indeed.com/viewjob?jk=b3027dc0dea11285", "https://www.indeed.com/viewjob?jk=b3027dc0dea11285")</f>
        <v/>
      </c>
      <c r="F171">
        <f>HYPERLINK("https://www.amazon.jobs/jobs/3179188/applied-scientist-contract-artificial-general-intelligence?cmpid=DA_INAD200785B", "https://www.amazon.jobs/jobs/3179188/applied-scientist-contract-artificial-general-intelligence?cmpid=DA_INAD200785B")</f>
        <v/>
      </c>
      <c r="G171" t="inlineStr">
        <is>
          <t>Boston, MA, US</t>
        </is>
      </c>
      <c r="H171" s="2" t="n">
        <v>46055</v>
      </c>
      <c r="I171"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2">
      <c r="A172" t="inlineStr">
        <is>
          <t>in-de3773624c00b426</t>
        </is>
      </c>
      <c r="B172" t="inlineStr">
        <is>
          <t>Applied Scientist (Contract), Artificial General Intelligence</t>
        </is>
      </c>
      <c r="C172" t="inlineStr">
        <is>
          <t>Amazon.com</t>
        </is>
      </c>
      <c r="D172" t="inlineStr">
        <is>
          <t>indeed</t>
        </is>
      </c>
      <c r="E172">
        <f>HYPERLINK("https://www.indeed.com/viewjob?jk=de3773624c00b426", "https://www.indeed.com/viewjob?jk=de3773624c00b426")</f>
        <v/>
      </c>
      <c r="F172">
        <f>HYPERLINK("https://www.amazon.jobs/jobs/3179169/applied-scientist-contract-artificial-general-intelligence?cmpid=DA_INAD200785B", "https://www.amazon.jobs/jobs/3179169/applied-scientist-contract-artificial-general-intelligence?cmpid=DA_INAD200785B")</f>
        <v/>
      </c>
      <c r="G172" t="inlineStr">
        <is>
          <t>Bellevue, WA, US</t>
        </is>
      </c>
      <c r="H172" s="2" t="n">
        <v>46055</v>
      </c>
      <c r="I172"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3">
      <c r="A173" t="inlineStr">
        <is>
          <t>in-32e589cdb86b9486</t>
        </is>
      </c>
      <c r="B173" t="inlineStr">
        <is>
          <t>Applied Scientist (Contract), Artificial General Intelligence</t>
        </is>
      </c>
      <c r="C173" t="inlineStr">
        <is>
          <t>Amazon.com</t>
        </is>
      </c>
      <c r="D173" t="inlineStr">
        <is>
          <t>indeed</t>
        </is>
      </c>
      <c r="E173">
        <f>HYPERLINK("https://www.indeed.com/viewjob?jk=32e589cdb86b9486", "https://www.indeed.com/viewjob?jk=32e589cdb86b9486")</f>
        <v/>
      </c>
      <c r="F173">
        <f>HYPERLINK("https://www.amazon.jobs/jobs/3179169/applied-scientist-contract-artificial-general-intelligence?cmpid=DA_INAD200785B", "https://www.amazon.jobs/jobs/3179169/applied-scientist-contract-artificial-general-intelligence?cmpid=DA_INAD200785B")</f>
        <v/>
      </c>
      <c r="G173" t="inlineStr">
        <is>
          <t>Boston, MA, US</t>
        </is>
      </c>
      <c r="H173" s="2" t="n">
        <v>46055</v>
      </c>
      <c r="I173"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4">
      <c r="A174" t="inlineStr">
        <is>
          <t>in-511804f23cb04778</t>
        </is>
      </c>
      <c r="B174" t="inlineStr">
        <is>
          <t>Applied Scientist (Contract), Artificial General Intelligence</t>
        </is>
      </c>
      <c r="C174" t="inlineStr">
        <is>
          <t>Amazon.com</t>
        </is>
      </c>
      <c r="D174" t="inlineStr">
        <is>
          <t>indeed</t>
        </is>
      </c>
      <c r="E174">
        <f>HYPERLINK("https://www.indeed.com/viewjob?jk=511804f23cb04778", "https://www.indeed.com/viewjob?jk=511804f23cb04778")</f>
        <v/>
      </c>
      <c r="F174">
        <f>HYPERLINK("https://www.amazon.jobs/jobs/3179187/applied-scientist-contract-artificial-general-intelligence?cmpid=DA_INAD200785B", "https://www.amazon.jobs/jobs/3179187/applied-scientist-contract-artificial-general-intelligence?cmpid=DA_INAD200785B")</f>
        <v/>
      </c>
      <c r="G174" t="inlineStr">
        <is>
          <t>Bellevue, WA, US</t>
        </is>
      </c>
      <c r="H174" s="2" t="n">
        <v>46051</v>
      </c>
      <c r="I174"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5">
      <c r="A175" t="inlineStr">
        <is>
          <t>in-0232655db24c3d4d</t>
        </is>
      </c>
      <c r="B175" t="inlineStr">
        <is>
          <t>Applied Scientist (Contract), Artificial General Intelligence</t>
        </is>
      </c>
      <c r="C175" t="inlineStr">
        <is>
          <t>Amazon.com</t>
        </is>
      </c>
      <c r="D175" t="inlineStr">
        <is>
          <t>indeed</t>
        </is>
      </c>
      <c r="E175">
        <f>HYPERLINK("https://www.indeed.com/viewjob?jk=0232655db24c3d4d", "https://www.indeed.com/viewjob?jk=0232655db24c3d4d")</f>
        <v/>
      </c>
      <c r="F175">
        <f>HYPERLINK("https://www.amazon.jobs/jobs/3179187/applied-scientist-contract-artificial-general-intelligence?cmpid=DA_INAD200785B", "https://www.amazon.jobs/jobs/3179187/applied-scientist-contract-artificial-general-intelligence?cmpid=DA_INAD200785B")</f>
        <v/>
      </c>
      <c r="G175" t="inlineStr">
        <is>
          <t>Boston, MA, US</t>
        </is>
      </c>
      <c r="H175" s="2" t="n">
        <v>46051</v>
      </c>
      <c r="I175" t="inlineStr">
        <is>
          <t>**DESCRIPTION**
---------------
This is currently a 12 month temporary contract opportunity with the possibility to extend to 24 months based on business needs.  
The Artificial General Intelligence (AGI) team is seeking a dedicated, skilled, and innovative Applied Scientist with a robust background in machine learning, statistics, quality assurance, auditing methodologies, and automated evaluation systems to ensure the highest standards of data quality, to build industry\-leading technology with Large Language Models (LLMs) and multimodal systems.  
Key job responsibilities  
As part of the AGI team, an Applied Scientist will collaborate closely with core scientist team developing Amazon Nova models. They will lead the development of comprehensive quality strategies and auditing frameworks that safeguard the integrity of data collection workflows. This includes designing auditing strategies with detailed SOPs, quality metrics, and sampling methodologies that help Nova improve performances on benchmarks. The Applied Scientist will perform expert\-level manual audits, conduct meta\-audits to evaluate auditor performance, and provide targeted coaching to uplift overall quality capabilities. A critical aspect of this role involves developing and maintaining LLM\-as\-a\-Judge systems, including designing judge architectures, creating evaluation rubrics, and building machine learning models for automated quality assessment. The Applied Scientist will also set up the configuration of data collection workflows and communicate quality feedback to stakeholders. An Applied Scientist will also have a direct impact on enhancing customer experiences through high\-quality training and evaluation data that powers state\-of\-the\-art LLM products and services.  
A day in the life  
An Applied Scientist with the AGI team will support quality solution design, conduct root cause analysis on data quality issues, research new auditing methodologies, and find innovative ways of optimizing data quality while setting examples for the team on quality assurance best practices and standards. Besides theoretical analysis and quality framework development, an Applied Scientist will also work closely with talented engineers, domain experts, and vendor teams to put quality strategies and automated judging systems into practice.
**BASIC QUALIFICATIONS**
------------------------
* Master's degree in engineering, statistics, computer science, mathematics, or a related quantitative field
* 2\+ years of machine learning, statistical modeling, data mining, and analytics techniques experience
* 3\+ years of programming in Java, C\+\+, Python or related language experience
* 2\+ years of building machine learning models or developing algorithms for business application experience
**PREFERRED QUALIFICATIONS**
----------------------------
* Ph.D. in engineering, technology, computer science, machine learning, robotics, operations research, statistics, mathematics or equivalent quantitative field
* Have publications at top\-tier peer\-reviewed conferences or journals
* 4\+ years of solving business problems through machine learning, data mining and statistical algorithms experience
* Experience with Machine Learning and Large Language Model fundamentals, including architecture, training/inference lifecycles, and optimization of model execution, or experience debugging, profiling, and implementing best software engineering practices in large\-scale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starting pay for this position is listed below. Final starting pay will be based on factors including experience, qualifications, and location. Starting Day 1 of employment, Amazon offers EAP, Mental Health Support, Medical Advice Line, 401(k) matching. Learn more about our benefits at https://hiring.amazon.com/why\-amazon/benefits.
USA, MA, Boston \- 136,000\.00 \- 184,000\.00 USD annually  
USA, WA, BELLEVUE \- 136,000\.00 \- 184,000\.00 USD annually</t>
        </is>
      </c>
    </row>
    <row r="176">
      <c r="A176" t="inlineStr">
        <is>
          <t>in-3526360bd6085c19</t>
        </is>
      </c>
      <c r="B176" t="inlineStr">
        <is>
          <t>Sr. Applied Scientist - SLAM, Amazon Industrial Robotics</t>
        </is>
      </c>
      <c r="C176" t="inlineStr">
        <is>
          <t>Amazon.com</t>
        </is>
      </c>
      <c r="D176" t="inlineStr">
        <is>
          <t>indeed</t>
        </is>
      </c>
      <c r="E176">
        <f>HYPERLINK("https://www.indeed.com/viewjob?jk=3526360bd6085c19", "https://www.indeed.com/viewjob?jk=3526360bd6085c19")</f>
        <v/>
      </c>
      <c r="F176">
        <f>HYPERLINK("https://www.amazon.jobs/jobs/3172078/sr-applied-scientist--slam-amazon-industrial-robotics?cmpid=DA_INAD200785B", "https://www.amazon.jobs/jobs/3172078/sr-applied-scientist--slam-amazon-industrial-robotics?cmpid=DA_INAD200785B")</f>
        <v/>
      </c>
      <c r="G176" t="inlineStr">
        <is>
          <t>Reading, MA, US</t>
        </is>
      </c>
      <c r="H176" s="2" t="n">
        <v>46050</v>
      </c>
      <c r="I176"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7">
      <c r="A177" t="inlineStr">
        <is>
          <t>in-eecd841cab804a8d</t>
        </is>
      </c>
      <c r="B177" t="inlineStr">
        <is>
          <t>Sr. Applied Scientist - SLAM, Amazon Industrial Robotics</t>
        </is>
      </c>
      <c r="C177" t="inlineStr">
        <is>
          <t>Amazon.com</t>
        </is>
      </c>
      <c r="D177" t="inlineStr">
        <is>
          <t>indeed</t>
        </is>
      </c>
      <c r="E177">
        <f>HYPERLINK("https://www.indeed.com/viewjob?jk=eecd841cab804a8d", "https://www.indeed.com/viewjob?jk=eecd841cab804a8d")</f>
        <v/>
      </c>
      <c r="F177">
        <f>HYPERLINK("https://www.amazon.jobs/jobs/3172078/sr-applied-scientist--slam-amazon-industrial-robotics?cmpid=DA_INAD200785B", "https://www.amazon.jobs/jobs/3172078/sr-applied-scientist--slam-amazon-industrial-robotics?cmpid=DA_INAD200785B")</f>
        <v/>
      </c>
      <c r="G177" t="inlineStr">
        <is>
          <t>Reading, MA, US</t>
        </is>
      </c>
      <c r="H177" s="2" t="n">
        <v>46050</v>
      </c>
      <c r="I177" t="inlineStr">
        <is>
          <t>**DESCRIPTION**
---------------
Amazon Industrial Robotics (AIR)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the latest software and AI tools for robots.
We are seeking an expert to lead the development of our SLAM and Spatial AI module. In this role, you will create methods that will enable our robot to perceive the environment and navigate with unrivaled vision and fidelity. The system will combine an array of diverse sensors with simultaneous localization and mapping software that continuously updates the map in real\-time automatically. It will have the capability to ‘see’ and identify different objects, people, vehicles, and places as it moves and react to moving people and vehicles in an intelligent way.  
The system combines a mix of high\-performance sensors with simultaneous localization and mapping software that builds and continuously updates maps in real\-time, completely automatically. It has the capability to ‘see’ and identify different objects, people, vehicles, and places as it moves and react to moving people and vehicles in an intelligent way.  
Key job responsibilities  
* Analyze, design, develop, and test existing and new perception capabilities using cameras and LIDAR sensor inputs for obstacle detection and semantic understanding.
* Research, design, implement and evaluate scientific approaches to a variety of autonomy challenges..
* Create experiments and prototype implementations of new perception algorithms.
* Deliver high quality production level code (C\+\+ or Python) and support systems in production.
* Collaborate with other functional teams in a robotics organization.
* Collaborate closely with hardware engineering team members on developing systems from prototyping to production level.
* Represent Amazon in academia community through publications and scientific presentations.
* Work with stakeholders across hardware, science, and operations teams to iterate on systems design and implementation.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78">
      <c r="A178" t="inlineStr">
        <is>
          <t>in-252f29315c5d8f0a</t>
        </is>
      </c>
      <c r="B178" t="inlineStr">
        <is>
          <t>Principal Applied Scientist, Sensing, Industrial Robotics Group</t>
        </is>
      </c>
      <c r="C178" t="inlineStr">
        <is>
          <t>Amazon.com</t>
        </is>
      </c>
      <c r="D178" t="inlineStr">
        <is>
          <t>indeed</t>
        </is>
      </c>
      <c r="E178">
        <f>HYPERLINK("https://www.indeed.com/viewjob?jk=252f29315c5d8f0a", "https://www.indeed.com/viewjob?jk=252f29315c5d8f0a")</f>
        <v/>
      </c>
      <c r="F178">
        <f>HYPERLINK("https://www.amazon.jobs/jobs/3170953/principal-applied-scientist-sensing-industrial-robotics-group-?cmpid=DA_INAD200785B", "https://www.amazon.jobs/jobs/3170953/principal-applied-scientist-sensing-industrial-robotics-group-?cmpid=DA_INAD200785B")</f>
        <v/>
      </c>
      <c r="G178" t="inlineStr">
        <is>
          <t>Reading, MA, US</t>
        </is>
      </c>
      <c r="H178" s="2" t="n">
        <v>46050</v>
      </c>
      <c r="I178"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79">
      <c r="A179" t="inlineStr">
        <is>
          <t>in-79995a34a66aa4e9</t>
        </is>
      </c>
      <c r="B179" t="inlineStr">
        <is>
          <t>Principal Applied Scientist, Sensing, Industrial Robotics Group</t>
        </is>
      </c>
      <c r="C179" t="inlineStr">
        <is>
          <t>Amazon.com</t>
        </is>
      </c>
      <c r="D179" t="inlineStr">
        <is>
          <t>indeed</t>
        </is>
      </c>
      <c r="E179">
        <f>HYPERLINK("https://www.indeed.com/viewjob?jk=79995a34a66aa4e9", "https://www.indeed.com/viewjob?jk=79995a34a66aa4e9")</f>
        <v/>
      </c>
      <c r="F179">
        <f>HYPERLINK("https://www.amazon.jobs/jobs/3170953/principal-applied-scientist-sensing-industrial-robotics-group-?cmpid=DA_INAD200785B", "https://www.amazon.jobs/jobs/3170953/principal-applied-scientist-sensing-industrial-robotics-group-?cmpid=DA_INAD200785B")</f>
        <v/>
      </c>
      <c r="G179" t="inlineStr">
        <is>
          <t>Reading, MA, US</t>
        </is>
      </c>
      <c r="H179" s="2" t="n">
        <v>46050</v>
      </c>
      <c r="I179" t="inlineStr">
        <is>
          <t>**DESCRIPTION**
---------------
Amazon's Industrial Robotics Group (IRG)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As a Principal Scientist, you will lead the research and development of complex sensing systems that help our robots perceive the world around them. You will explore and guide the exploration of novel sensing modalities, refining the existing ones, and imagine the future of robot–based perception, safety, and navigation. You will formulate a robust sensing architecture, lead the experimentation and prototyping, and take part in creating future robots that are fully aware of their surroundings.
Key job responsibilities  
* Build and lead teams focused on hardware, firmware, and embedded systems
* Drive technical roadmaps for next\-generation robotics platforms
* Drive architecture decisions for complex robotics perception systems
* Bring the latest trends and scientific developments in robotic perception to the technical team
* Create technical standards for robotics sensing platforms
* Drive innovation in real\-time perception and control systems
**BASIC QUALIFICATIONS**
------------------------
* PhD in computer science, machine learning, engineering, or related fields
* 10\+ years experience in sensing and perception research
* 5\+ years technical leadership in perception systems and learning
* Strong background in real\-time multimodal sensing
* Proven track record in robotics computing platforms
**PREFERRED QUALIFICATIONS**
----------------------------
* Experience with robotics perception\-driven control systems and sensor integration
* Background in real\-time operating systems and deterministic computing
* Experience developing complex perception\-driven robotic architectures
* Track record of innovation in robotics sensing platforms
* Experience with safety applications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\- 198,900\.00 \- 269,000\.00 USD annually</t>
        </is>
      </c>
    </row>
    <row r="180">
      <c r="A180" t="inlineStr">
        <is>
          <t>in-0ebd791dd06858d0</t>
        </is>
      </c>
      <c r="B180" t="inlineStr">
        <is>
          <t>Senior Applied Scientist, Amazon Industrial Robotics</t>
        </is>
      </c>
      <c r="C180" t="inlineStr">
        <is>
          <t>Amazon.com</t>
        </is>
      </c>
      <c r="D180" t="inlineStr">
        <is>
          <t>indeed</t>
        </is>
      </c>
      <c r="E180">
        <f>HYPERLINK("https://www.indeed.com/viewjob?jk=0ebd791dd06858d0", "https://www.indeed.com/viewjob?jk=0ebd791dd06858d0")</f>
        <v/>
      </c>
      <c r="F180">
        <f>HYPERLINK("https://www.amazon.jobs/jobs/3168941/senior-applied-scientist-amazon-industrial-robotics?cmpid=DA_INAD200785B", "https://www.amazon.jobs/jobs/3168941/senior-applied-scientist-amazon-industrial-robotics?cmpid=DA_INAD200785B")</f>
        <v/>
      </c>
      <c r="G180" t="inlineStr">
        <is>
          <t>Reading, MA, US</t>
        </is>
      </c>
      <c r="H180" s="2" t="n">
        <v>46048</v>
      </c>
      <c r="I180"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1">
      <c r="A181" t="inlineStr">
        <is>
          <t>in-8d70cdd419713376</t>
        </is>
      </c>
      <c r="B181" t="inlineStr">
        <is>
          <t>Senior Applied Scientist, Amazon Industrial Robotics</t>
        </is>
      </c>
      <c r="C181" t="inlineStr">
        <is>
          <t>Amazon.com</t>
        </is>
      </c>
      <c r="D181" t="inlineStr">
        <is>
          <t>indeed</t>
        </is>
      </c>
      <c r="E181">
        <f>HYPERLINK("https://www.indeed.com/viewjob?jk=8d70cdd419713376", "https://www.indeed.com/viewjob?jk=8d70cdd419713376")</f>
        <v/>
      </c>
      <c r="F181">
        <f>HYPERLINK("https://www.amazon.jobs/jobs/3168941/senior-applied-scientist-amazon-industrial-robotics?cmpid=DA_INAD200785B", "https://www.amazon.jobs/jobs/3168941/senior-applied-scientist-amazon-industrial-robotics?cmpid=DA_INAD200785B")</f>
        <v/>
      </c>
      <c r="G181" t="inlineStr">
        <is>
          <t>Reading, MA, US</t>
        </is>
      </c>
      <c r="H181" s="2" t="n">
        <v>46048</v>
      </c>
      <c r="I18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Collaborate with simulation and robotics experts to translate physical modeling needs into robust, scalable, and maintainable simulation solutions.
* Design and implement high\-performance simulation modeling and tools for rigid and deformable body simulation.
* Identify and optimize performance bottlenecks in simulation pipelines to support real\-time and batch simulation workflows.
* Help build validation and unit testing pipelines to ensure correctness and physical fidelity of simulation results.
* Identify potential sources of sim\-to\-real gaps and propose modeling and numerical approximations to reduce them.
* Stay current with the latest advances in numerical methods, parallel computing, and GPU architectures, and incorporate them into our tools.
**BASIC QUALIFICATIONS**
------------------------
* PhD, or PhD and 4\+ years of CS, CE, ML or related field experience
* Strong programming skills in modern Python and/or C\+\+ and experience with GPU programming (CUDA, Warp, or similar).
* Experience with robotics simulation environments such as MuJoCo, Newton, Drake and/or Isaac Lab.
* Expertise in one or more of the following: Solid foundation in numerical methods for multibody dynamics, frictional contact, Finite Element Method (FEM), Material Point Method (MPM) or other approaches for physics\-based simulation.
* Experience implementing scientific or simulation software in a collaborative, production\-quality codebase.
* Proficiency in linear algebra, differential equations, and numerical analysis.
**PREFERRED QUALIFICATIONS**
----------------------------
* Experience programming in Java, C\+\+, Python or related language
* Experience working effectively across cross\-functional teams and partnering well with people at all levels within an organization
* PhD in simulation
* Experience in one or more of the following: bimanual manipulation, imitation learning for dexterous manipulation, reinforcement learning for locomotion, teleoperation systems for data collection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182">
      <c r="A182" t="inlineStr">
        <is>
          <t>in-ec3dc54970e4b6e0</t>
        </is>
      </c>
      <c r="B182" t="inlineStr">
        <is>
          <t>Applied Scientist, Amazon Connect</t>
        </is>
      </c>
      <c r="C182" t="inlineStr">
        <is>
          <t>Amazon Web Services</t>
        </is>
      </c>
      <c r="D182" t="inlineStr">
        <is>
          <t>indeed</t>
        </is>
      </c>
      <c r="E182">
        <f>HYPERLINK("https://www.indeed.com/viewjob?jk=ec3dc54970e4b6e0", "https://www.indeed.com/viewjob?jk=ec3dc54970e4b6e0")</f>
        <v/>
      </c>
      <c r="F182">
        <f>HYPERLINK("https://www.amazon.jobs/jobs/3168981/applied-scientist-amazon-connect?cmpid=DA_INAD200785B", "https://www.amazon.jobs/jobs/3168981/applied-scientist-amazon-connect?cmpid=DA_INAD200785B")</f>
        <v/>
      </c>
      <c r="G182" t="inlineStr">
        <is>
          <t>New York, NY, US</t>
        </is>
      </c>
      <c r="H182" s="2" t="n">
        <v>46047</v>
      </c>
      <c r="I182"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3">
      <c r="A183" t="inlineStr">
        <is>
          <t>in-f343c4792283410f</t>
        </is>
      </c>
      <c r="B183" t="inlineStr">
        <is>
          <t>Applied Scientist, Amazon Connect</t>
        </is>
      </c>
      <c r="C183" t="inlineStr">
        <is>
          <t>Amazon Web Services</t>
        </is>
      </c>
      <c r="D183" t="inlineStr">
        <is>
          <t>indeed</t>
        </is>
      </c>
      <c r="E183">
        <f>HYPERLINK("https://www.indeed.com/viewjob?jk=f343c4792283410f", "https://www.indeed.com/viewjob?jk=f343c4792283410f")</f>
        <v/>
      </c>
      <c r="F183">
        <f>HYPERLINK("https://www.amazon.jobs/jobs/3168981/applied-scientist-amazon-connect?cmpid=DA_INAD200785B", "https://www.amazon.jobs/jobs/3168981/applied-scientist-amazon-connect?cmpid=DA_INAD200785B")</f>
        <v/>
      </c>
      <c r="G183" t="inlineStr">
        <is>
          <t>Seattle, WA, US</t>
        </is>
      </c>
      <c r="H183" s="2" t="n">
        <v>46047</v>
      </c>
      <c r="I183" t="inlineStr">
        <is>
          <t>**DESCRIPTION**
---------------
As part of the AWS Applied AI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II will contribute to the development of AI systems. The role requires extending existing scientific techniques and inventing new ones to address specific customer needs at a project level.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at the project level
* Deliver components into production that meet high quality standards (efficient, reproducible, testable code)
* Produce research reports demonstrating correctness, scholarship, and scientific rigor
* Work with product and science teams to deliver impactful AI features
* Contribute to operational excellence in the team's deliverables
About the team  
Amazon Connect is a highly disruptive cloud\-based contact center that enables businesses to deliver engaging, dynamic, and personal customer service experiences. Amazon Connect is the result of the ten years of development that went into building the tools Amazon uses to provide its award winning customer service at massive scale and launching it as a publicly available AWS service. With Amazon Connect, you can create your own cloud\-based contact center and be taking calls in minutes. Amazon Connect leverages the power of Artificial Intelligence and the large ecosystem of AWS services such as Amazon Lex, Amazon Polly, AWS Lambda, Amazon S3 and Amazon Kinesis to provide a truly frustration free, easy\-to\-use, extensible, and natural customer experience. With this technology, we are transforming an industry and the way customers interact with businesses and how agents service them.**BASIC QUALIFICATIONS**
------------------------
* PhD, or Master's degree and 4\+ years of CS, CE, ML or related field experience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with large scale machine learning systems such as profiling and debugging and understanding of system performance and scalability
* Experience working with engineering and product teams to define a product and bring it to market
* Knowledge of AWS or cloud computing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84">
      <c r="A184" t="inlineStr">
        <is>
          <t>in-6a7ac3186de46f00</t>
        </is>
      </c>
      <c r="B184" t="inlineStr">
        <is>
          <t>Applied Scientist II, Prime Video Personalization and Discovery Science</t>
        </is>
      </c>
      <c r="C184" t="inlineStr">
        <is>
          <t>Amazon.com</t>
        </is>
      </c>
      <c r="D184" t="inlineStr">
        <is>
          <t>indeed</t>
        </is>
      </c>
      <c r="E184">
        <f>HYPERLINK("https://www.indeed.com/viewjob?jk=6a7ac3186de46f00", "https://www.indeed.com/viewjob?jk=6a7ac3186de46f00")</f>
        <v/>
      </c>
      <c r="F184">
        <f>HYPERLINK("https://www.amazon.jobs/jobs/3168905/applied-scientist-ii-prime-video-personalization-and-discovery-science?cmpid=DA_INAD200785B", "https://www.amazon.jobs/jobs/3168905/applied-scientist-ii-prime-video-personalization-and-discovery-science?cmpid=DA_INAD200785B")</f>
        <v/>
      </c>
      <c r="G184" t="inlineStr">
        <is>
          <t>Sunnyvale, CA, US</t>
        </is>
      </c>
      <c r="H184" s="2" t="n">
        <v>46047</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5">
      <c r="A185" t="inlineStr">
        <is>
          <t>in-d699bee5484f7e42</t>
        </is>
      </c>
      <c r="B185" t="inlineStr">
        <is>
          <t>Applied Scientist II, Prime Video Personalization and Discovery Science</t>
        </is>
      </c>
      <c r="C185" t="inlineStr">
        <is>
          <t>Amazon.com</t>
        </is>
      </c>
      <c r="D185" t="inlineStr">
        <is>
          <t>indeed</t>
        </is>
      </c>
      <c r="E185">
        <f>HYPERLINK("https://www.indeed.com/viewjob?jk=d699bee5484f7e42", "https://www.indeed.com/viewjob?jk=d699bee5484f7e42")</f>
        <v/>
      </c>
      <c r="F185">
        <f>HYPERLINK("https://www.amazon.jobs/jobs/3168905/applied-scientist-ii-prime-video-personalization-and-discovery-science?cmpid=DA_INAD200785B", "https://www.amazon.jobs/jobs/3168905/applied-scientist-ii-prime-video-personalization-and-discovery-science?cmpid=DA_INAD200785B")</f>
        <v/>
      </c>
      <c r="G185" t="inlineStr">
        <is>
          <t>Seattle, WA, US</t>
        </is>
      </c>
      <c r="H185" s="2" t="n">
        <v>46047</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6">
      <c r="A186" t="inlineStr">
        <is>
          <t>in-91b709770b8a9ed2</t>
        </is>
      </c>
      <c r="B186" t="inlineStr">
        <is>
          <t>Applied Scientist II, Prime Video Personalization and Discovery Science</t>
        </is>
      </c>
      <c r="C186" t="inlineStr">
        <is>
          <t>Amazon.com</t>
        </is>
      </c>
      <c r="D186" t="inlineStr">
        <is>
          <t>indeed</t>
        </is>
      </c>
      <c r="E186">
        <f>HYPERLINK("https://www.indeed.com/viewjob?jk=91b709770b8a9ed2", "https://www.indeed.com/viewjob?jk=91b709770b8a9ed2")</f>
        <v/>
      </c>
      <c r="F186">
        <f>HYPERLINK("https://www.amazon.jobs/jobs/3168905/applied-scientist-ii-prime-video-personalization-and-discovery-science?cmpid=DA_INAD200785B", "https://www.amazon.jobs/jobs/3168905/applied-scientist-ii-prime-video-personalization-and-discovery-science?cmpid=DA_INAD200785B")</f>
        <v/>
      </c>
      <c r="G186" t="inlineStr">
        <is>
          <t>New York, NY, US</t>
        </is>
      </c>
      <c r="H186" s="2" t="n">
        <v>46047</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exclusive access to coverage of live sports. All customers regardless of whether they have a Prime membership or not, can access programming from subscriptions such as Apple TV, Peacock Premium Plus, HBO Max, FOX One, Crunchyroll and MGM\+, as well as more than 900 free ad\-support (FAST) Channels, rent or buy titles, and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187">
      <c r="A187" t="inlineStr">
        <is>
          <t>in-6924ecb8904a4ae6</t>
        </is>
      </c>
      <c r="B187" t="inlineStr">
        <is>
          <t>Applied Scientist, Safety ML</t>
        </is>
      </c>
      <c r="C187" t="inlineStr">
        <is>
          <t>Amazon.com</t>
        </is>
      </c>
      <c r="D187" t="inlineStr">
        <is>
          <t>indeed</t>
        </is>
      </c>
      <c r="E187">
        <f>HYPERLINK("https://www.indeed.com/viewjob?jk=6924ecb8904a4ae6", "https://www.indeed.com/viewjob?jk=6924ecb8904a4ae6")</f>
        <v/>
      </c>
      <c r="F187">
        <f>HYPERLINK("https://www.amazon.jobs/jobs/3161224/applied-scientist-safety-ml?cmpid=DA_INAD200785B", "https://www.amazon.jobs/jobs/3161224/applied-scientist-safety-ml?cmpid=DA_INAD200785B")</f>
        <v/>
      </c>
      <c r="G187" t="inlineStr">
        <is>
          <t>San Francisco, CA, US</t>
        </is>
      </c>
      <c r="H187" s="2" t="n">
        <v>46037</v>
      </c>
      <c r="I18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8">
      <c r="A188" t="inlineStr">
        <is>
          <t>in-f4b2b71b37a84c0c</t>
        </is>
      </c>
      <c r="B188" t="inlineStr">
        <is>
          <t>Applied Scientist, Safety ML</t>
        </is>
      </c>
      <c r="C188" t="inlineStr">
        <is>
          <t>Amazon.com</t>
        </is>
      </c>
      <c r="D188" t="inlineStr">
        <is>
          <t>indeed</t>
        </is>
      </c>
      <c r="E188">
        <f>HYPERLINK("https://www.indeed.com/viewjob?jk=f4b2b71b37a84c0c", "https://www.indeed.com/viewjob?jk=f4b2b71b37a84c0c")</f>
        <v/>
      </c>
      <c r="F188">
        <f>HYPERLINK("https://www.amazon.jobs/jobs/3161224/applied-scientist-safety-ml?cmpid=DA_INAD200785B", "https://www.amazon.jobs/jobs/3161224/applied-scientist-safety-ml?cmpid=DA_INAD200785B")</f>
        <v/>
      </c>
      <c r="G188" t="inlineStr">
        <is>
          <t>Seattle, WA, US</t>
        </is>
      </c>
      <c r="H188" s="2" t="n">
        <v>46037</v>
      </c>
      <c r="I18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looking for applied scientists to solve challenging and open\-ended problems in the domain of user and content safety. As an applied scientist on Twitch's Community team, you will use machine learning to develop data products tackling problems such as harassment, spam, and illegal content. You will use a wide toolbox of ML tools to handle multiple types of data, including user behavior, metadata, and user generated content such as text and video. You will collaborate with a team of passionate scientists and engineers to develop these models and put them into production, where they can help Twitch's creators and viewers succeed and build communities.  
You will report to our Senior Applied Science Manager in San Francisco, CA. You can work from San Francisco, CA or Seattle, WA.  
You Will  
* Build machine learning products to protect Twitch and its users from abusive behavior such as harassment, spam, and violent or illegal content.
* Work backwards from customer problems to develop the right solution for the job, whether a classical ML model or a state\-of\-the\-art one.
* Collaborate with Community Health's engineering and product management team to productionize your models into flexible data pipelines and ML\-based services.
* Continue to learn and experiment with new techniques in ML, software engineering, or safety so that we can better help communities on Twitch grow and stay safe.
Perks  
* Medical, Dental, Vision \&amp; Disability Insurance
* 401(k)
* Maternity \&amp; Parental Leave
* Flexible PTO
* Amazon Employee Discount
**BASIC QUALIFICATIONS**
------------------------
* 2\+ years of building production software experience
* 2\+ years of hands\-on industry experience building models for NLP, deep learning, bot detection, anomaly detection or in another practical ML domain.
* PhD / MSc Degree in Computer Science, Mathematics, Statistics, Physics, Engineering, or similar quantitative field OR equivalent hands on experience.
* Expertise with: Python and SQL, modern open source ML libraries (Pytorch, Tensorflow, etc.).
* Familiarity with operating in AWS or similar cloud\-computing services.
**PREFERRED QUALIFICATIONS**
----------------------------
* PhD with a specialization in Machine Learning.
* 1\+ years of experience working in the safety or fraud prevention domain (not necessarily as a scientist).
* Experience communicating with both technical and non\-technical partners and stakeholders.
* Familiarity with Twitch, its business, and its community.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  
USA, WA, Seattle \- 142,800\.00 \- 193,200\.00 USD annually</t>
        </is>
      </c>
    </row>
    <row r="189">
      <c r="A189" t="inlineStr">
        <is>
          <t>in-38bce061137045dd</t>
        </is>
      </c>
      <c r="B189" t="inlineStr">
        <is>
          <t>Principal Applied Scientist, Measurement, AdTech and Data Science, Ads Performance Measurement</t>
        </is>
      </c>
      <c r="C189" t="inlineStr">
        <is>
          <t>Amazon.com</t>
        </is>
      </c>
      <c r="D189" t="inlineStr">
        <is>
          <t>indeed</t>
        </is>
      </c>
      <c r="E189">
        <f>HYPERLINK("https://www.indeed.com/viewjob?jk=38bce061137045dd", "https://www.indeed.com/viewjob?jk=38bce061137045dd")</f>
        <v/>
      </c>
      <c r="F189">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89" t="inlineStr">
        <is>
          <t>Palo Alto, CA, US</t>
        </is>
      </c>
      <c r="H189" s="2" t="n">
        <v>46037</v>
      </c>
      <c r="I189"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90">
      <c r="A190" t="inlineStr">
        <is>
          <t>in-d4f36272cae852aa</t>
        </is>
      </c>
      <c r="B190" t="inlineStr">
        <is>
          <t>Principal Applied Scientist, Measurement, AdTech and Data Science, Ads Performance Measurement</t>
        </is>
      </c>
      <c r="C190" t="inlineStr">
        <is>
          <t>Amazon.com</t>
        </is>
      </c>
      <c r="D190" t="inlineStr">
        <is>
          <t>indeed</t>
        </is>
      </c>
      <c r="E190">
        <f>HYPERLINK("https://www.indeed.com/viewjob?jk=d4f36272cae852aa", "https://www.indeed.com/viewjob?jk=d4f36272cae852aa")</f>
        <v/>
      </c>
      <c r="F190">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90" t="inlineStr">
        <is>
          <t>Seattle, WA, US</t>
        </is>
      </c>
      <c r="H190" s="2" t="n">
        <v>46037</v>
      </c>
      <c r="I190"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91">
      <c r="A191" t="inlineStr">
        <is>
          <t>in-7d894f7881494582</t>
        </is>
      </c>
      <c r="B191" t="inlineStr">
        <is>
          <t>Principal Applied Scientist, Measurement, AdTech and Data Science, Ads Performance Measurement</t>
        </is>
      </c>
      <c r="C191" t="inlineStr">
        <is>
          <t>Amazon.com</t>
        </is>
      </c>
      <c r="D191" t="inlineStr">
        <is>
          <t>indeed</t>
        </is>
      </c>
      <c r="E191">
        <f>HYPERLINK("https://www.indeed.com/viewjob?jk=7d894f7881494582", "https://www.indeed.com/viewjob?jk=7d894f7881494582")</f>
        <v/>
      </c>
      <c r="F191">
        <f>HYPERLINK("https://www.amazon.jobs/jobs/3179997/principal-applied-scientist-measurement-adtech-and-data-science-ads-performance-measurement?cmpid=DA_INAD200785B", "https://www.amazon.jobs/jobs/3179997/principal-applied-scientist-measurement-adtech-and-data-science-ads-performance-measurement?cmpid=DA_INAD200785B")</f>
        <v/>
      </c>
      <c r="G191" t="inlineStr">
        <is>
          <t>New York, NY, US</t>
        </is>
      </c>
      <c r="H191" s="2" t="n">
        <v>46037</v>
      </c>
      <c r="I191" t="inlineStr">
        <is>
          <t>**DESCRIPTION**
---------------
The Principal Applied Scientist in Performance Measurement in the Measurement, Ad Tech, and Data Science (MADS) team leads the technical vision and execution for Amazon Advertising's performance measurement. Our measurement products and tools help customers understand the holistic impact of their spend on Amazon Ads and optimize their portfolios. This is a complex, multi\-disciplinary scientific space spanning machine learning, causal inference, statistics and experimentation, natural language processing, and generative AI. As a GenAI\-first organization, we build foundational and agentic models that power advertiser use cases across Ads, while empowering our Applied Scientists to directly build and ship products. You will guide a team of scientists with expertise across different domains to come together and innovate on some of the hardest problems in advertising, made more challenging by evolving privacy regulations and technological changes. In measuring the comprehensive impact of advertising, key challenges you will tackle include capturing impact: 1\) both for identified and increasing unidentified web traffic in light of an evolving global privacy landscape; 2\) for outcomes across retailers, including both within and beyond Amazon; and 3\) for both short\- and long\-term impacts of advertising.  
The ideal candidate will have deep expertise in ad serving, measurement, and application of advanced machine learning and innovate on measurement solutions that comply with complex privacy policies and regulatory requirements maintaining Amazon Advertising’s competitive edge.
Key job responsibilities  
Key job responsibilities include:  
* Driving the scientific vision of the teams in your organization and you advise and influence its technical leadership on performance measurement models and products.
* Identifying, tackling, and proposing innovative solutions to intrinsically hard, previously unsolved problems. You solve problems pragmatically, applying judgment and experience to balance trade\-offs between competing interests.
* Bringing clarity to complex problems, probe assumptions, illuminate pitfalls, foster shared understanding, and guide towards effective solutions.
* Serving and being recognized by internal and external peers as a thought leader in modeled measurement in Ads. You will engage routinely with the broader scientific community, e.g. as a reviewer, program committee member, workshop organizer, or chair at peer\-reviewed internal/external conferences.
* Leading by example, with your papers, analyses, and code setting the standard in your organization for scientific engineering excellence.
* Leading science and design reviews, aligning teams across your organization around coherent algorithmic strategies.
* Influencing your team’s science and business strategy by driving one or more team roadmaps contributing to the organization’s roadmap and taking responsibility for some organizational goals. You drive multiple new product features from inception to production launch.
* Guiding the career development of others, actively mentoring and educating the larger applied science community on trends, technologies, and best practices. You drive the documentation of scientific innovation. You attract bar\-raising talent from academia and industry.
* Staying abreast of academic and industry trends, knowing the state of the art, and building on top of existing solutions instead of reinventing when possible
**BASIC QUALIFICATIONS**
------------------------
* PhD in Computer Science, Statistics or related field.
* 10\+ years of applied ML experience in building complex, real\-time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 Experience with advertising systems and applications.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Palo Alto \- 228,700\.00 \- 309,400\.00 USD annually  
USA, NY, New York \- 218,800\.00 \- 295,900\.00 USD annually  
USA, WA, Seattle \- 198,900\.00 \- 269,000\.00 USD annually</t>
        </is>
      </c>
    </row>
    <row r="192">
      <c r="A192" t="inlineStr">
        <is>
          <t>in-3ec4b0e18dcbb3d7</t>
        </is>
      </c>
      <c r="B192" t="inlineStr">
        <is>
          <t>Applied Scientist, LLM Code Agents, Kiro Science</t>
        </is>
      </c>
      <c r="C192" t="inlineStr">
        <is>
          <t>Amazon.com</t>
        </is>
      </c>
      <c r="D192" t="inlineStr">
        <is>
          <t>indeed</t>
        </is>
      </c>
      <c r="E192">
        <f>HYPERLINK("https://www.indeed.com/viewjob?jk=3ec4b0e18dcbb3d7", "https://www.indeed.com/viewjob?jk=3ec4b0e18dcbb3d7")</f>
        <v/>
      </c>
      <c r="F192">
        <f>HYPERLINK("https://www.amazon.jobs/jobs/3161363/applied-scientist-llm-code-agents-kiro-science?cmpid=DA_INAD200785B", "https://www.amazon.jobs/jobs/3161363/applied-scientist-llm-code-agents-kiro-science?cmpid=DA_INAD200785B")</f>
        <v/>
      </c>
      <c r="G192" t="inlineStr">
        <is>
          <t>Seattle, WA, US</t>
        </is>
      </c>
      <c r="H192" s="2" t="n">
        <v>46035</v>
      </c>
      <c r="I192"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3">
      <c r="A193" t="inlineStr">
        <is>
          <t>in-5070a1afe7cb224d</t>
        </is>
      </c>
      <c r="B193" t="inlineStr">
        <is>
          <t>Applied Scientist, LLM Code Agents, Kiro Science</t>
        </is>
      </c>
      <c r="C193" t="inlineStr">
        <is>
          <t>Amazon.com</t>
        </is>
      </c>
      <c r="D193" t="inlineStr">
        <is>
          <t>indeed</t>
        </is>
      </c>
      <c r="E193">
        <f>HYPERLINK("https://www.indeed.com/viewjob?jk=5070a1afe7cb224d", "https://www.indeed.com/viewjob?jk=5070a1afe7cb224d")</f>
        <v/>
      </c>
      <c r="F193">
        <f>HYPERLINK("https://www.amazon.jobs/jobs/3161363/applied-scientist-llm-code-agents-kiro-science?cmpid=DA_INAD200785B", "https://www.amazon.jobs/jobs/3161363/applied-scientist-llm-code-agents-kiro-science?cmpid=DA_INAD200785B")</f>
        <v/>
      </c>
      <c r="G193" t="inlineStr">
        <is>
          <t>Santa Clara, CA, US</t>
        </is>
      </c>
      <c r="H193" s="2" t="n">
        <v>46035</v>
      </c>
      <c r="I193" t="inlineStr">
        <is>
          <t>**DESCRIPTION**
---------------
Amazon Web Services (AWS) is assembling an elite team of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Seattle \- 142,800\.00 \- 193,200\.00 USD annually</t>
        </is>
      </c>
    </row>
    <row r="194">
      <c r="A194" t="inlineStr">
        <is>
          <t>in-17ac7acce0b06289</t>
        </is>
      </c>
      <c r="B194" t="inlineStr">
        <is>
          <t>Applied Scientist II, Prime Video Personalization and Discovery Science</t>
        </is>
      </c>
      <c r="C194" t="inlineStr">
        <is>
          <t>Amazon.com</t>
        </is>
      </c>
      <c r="D194" t="inlineStr">
        <is>
          <t>indeed</t>
        </is>
      </c>
      <c r="E194">
        <f>HYPERLINK("https://www.indeed.com/viewjob?jk=17ac7acce0b06289", "https://www.indeed.com/viewjob?jk=17ac7acce0b06289")</f>
        <v/>
      </c>
      <c r="F194">
        <f>HYPERLINK("https://www.amazon.jobs/jobs/3165157/applied-scientist-ii-prime-video-personalization-and-discovery-science?cmpid=DA_INAD200785B", "https://www.amazon.jobs/jobs/3165157/applied-scientist-ii-prime-video-personalization-and-discovery-science?cmpid=DA_INAD200785B")</f>
        <v/>
      </c>
      <c r="G194" t="inlineStr">
        <is>
          <t>Seattle, WA, US</t>
        </is>
      </c>
      <c r="H194" s="2" t="n">
        <v>46034</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5">
      <c r="A195" t="inlineStr">
        <is>
          <t>in-bf1146b0783a9756</t>
        </is>
      </c>
      <c r="B195" t="inlineStr">
        <is>
          <t>Applied Scientist II, Prime Video Personalization and Discovery Science</t>
        </is>
      </c>
      <c r="C195" t="inlineStr">
        <is>
          <t>Amazon.com</t>
        </is>
      </c>
      <c r="D195" t="inlineStr">
        <is>
          <t>indeed</t>
        </is>
      </c>
      <c r="E195">
        <f>HYPERLINK("https://www.indeed.com/viewjob?jk=bf1146b0783a9756", "https://www.indeed.com/viewjob?jk=bf1146b0783a9756")</f>
        <v/>
      </c>
      <c r="F195">
        <f>HYPERLINK("https://www.amazon.jobs/jobs/3165157/applied-scientist-ii-prime-video-personalization-and-discovery-science?cmpid=DA_INAD200785B", "https://www.amazon.jobs/jobs/3165157/applied-scientist-ii-prime-video-personalization-and-discovery-science?cmpid=DA_INAD200785B")</f>
        <v/>
      </c>
      <c r="G195" t="inlineStr">
        <is>
          <t>Sunnyvale, CA, US</t>
        </is>
      </c>
      <c r="H195" s="2" t="n">
        <v>46034</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foundation models for content understanding using state\-of\-the\-art deep learning and multimodal learning techniques to analyze video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6">
      <c r="A196" t="inlineStr">
        <is>
          <t>in-e4bf518a96cd7773</t>
        </is>
      </c>
      <c r="B196" t="inlineStr">
        <is>
          <t>Applied Scientist, Alexa Smart Home</t>
        </is>
      </c>
      <c r="C196" t="inlineStr">
        <is>
          <t>Amazon.com</t>
        </is>
      </c>
      <c r="D196" t="inlineStr">
        <is>
          <t>indeed</t>
        </is>
      </c>
      <c r="E196">
        <f>HYPERLINK("https://www.indeed.com/viewjob?jk=e4bf518a96cd7773", "https://www.indeed.com/viewjob?jk=e4bf518a96cd7773")</f>
        <v/>
      </c>
      <c r="F196">
        <f>HYPERLINK("https://www.amazon.jobs/jobs/3169205/applied-scientist-alexa-smart-home?cmpid=DA_INAD200785B", "https://www.amazon.jobs/jobs/3169205/applied-scientist-alexa-smart-home?cmpid=DA_INAD200785B")</f>
        <v/>
      </c>
      <c r="G196" t="inlineStr">
        <is>
          <t>Seattle, WA, US</t>
        </is>
      </c>
      <c r="H196" s="2" t="n">
        <v>46033</v>
      </c>
      <c r="I196"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7">
      <c r="A197" t="inlineStr">
        <is>
          <t>in-9238ab478527772b</t>
        </is>
      </c>
      <c r="B197" t="inlineStr">
        <is>
          <t>Applied Scientist, Alexa Smart Home</t>
        </is>
      </c>
      <c r="C197" t="inlineStr">
        <is>
          <t>Amazon.com</t>
        </is>
      </c>
      <c r="D197" t="inlineStr">
        <is>
          <t>indeed</t>
        </is>
      </c>
      <c r="E197">
        <f>HYPERLINK("https://www.indeed.com/viewjob?jk=9238ab478527772b", "https://www.indeed.com/viewjob?jk=9238ab478527772b")</f>
        <v/>
      </c>
      <c r="F197">
        <f>HYPERLINK("https://www.amazon.jobs/jobs/3169205/applied-scientist-alexa-smart-home?cmpid=DA_INAD200785B", "https://www.amazon.jobs/jobs/3169205/applied-scientist-alexa-smart-home?cmpid=DA_INAD200785B")</f>
        <v/>
      </c>
      <c r="G197" t="inlineStr">
        <is>
          <t>Sunnyvale, CA, US</t>
        </is>
      </c>
      <c r="H197" s="2" t="n">
        <v>46033</v>
      </c>
      <c r="I197"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98">
      <c r="A198" t="inlineStr">
        <is>
          <t>in-f364739b754bb349</t>
        </is>
      </c>
      <c r="B198" t="inlineStr">
        <is>
          <t>Applied Scientist, AWS Applied AI Solutions</t>
        </is>
      </c>
      <c r="C198" t="inlineStr">
        <is>
          <t>Amazon Web Services</t>
        </is>
      </c>
      <c r="D198" t="inlineStr">
        <is>
          <t>indeed</t>
        </is>
      </c>
      <c r="E198">
        <f>HYPERLINK("https://www.indeed.com/viewjob?jk=f364739b754bb349", "https://www.indeed.com/viewjob?jk=f364739b754bb349")</f>
        <v/>
      </c>
      <c r="F198">
        <f>HYPERLINK("https://www.amazon.jobs/jobs/3166907/applied-scientist-aws-applied-ai-solutions?cmpid=DA_INAD200785B", "https://www.amazon.jobs/jobs/3166907/applied-scientist-aws-applied-ai-solutions?cmpid=DA_INAD200785B")</f>
        <v/>
      </c>
      <c r="G198" t="inlineStr">
        <is>
          <t>New York, NY, US</t>
        </is>
      </c>
      <c r="H198" s="2" t="n">
        <v>46030</v>
      </c>
      <c r="I198"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199">
      <c r="A199" t="inlineStr">
        <is>
          <t>in-e46f93cf2ea70659</t>
        </is>
      </c>
      <c r="B199" t="inlineStr">
        <is>
          <t>Applied Scientist, AWS Applied AI Solutions</t>
        </is>
      </c>
      <c r="C199" t="inlineStr">
        <is>
          <t>Amazon Web Services</t>
        </is>
      </c>
      <c r="D199" t="inlineStr">
        <is>
          <t>indeed</t>
        </is>
      </c>
      <c r="E199">
        <f>HYPERLINK("https://www.indeed.com/viewjob?jk=e46f93cf2ea70659", "https://www.indeed.com/viewjob?jk=e46f93cf2ea70659")</f>
        <v/>
      </c>
      <c r="F199">
        <f>HYPERLINK("https://www.amazon.jobs/jobs/3166907/applied-scientist-aws-applied-ai-solutions?cmpid=DA_INAD200785B", "https://www.amazon.jobs/jobs/3166907/applied-scientist-aws-applied-ai-solutions?cmpid=DA_INAD200785B")</f>
        <v/>
      </c>
      <c r="G199" t="inlineStr">
        <is>
          <t>Seattle, WA, US</t>
        </is>
      </c>
      <c r="H199" s="2" t="n">
        <v>46030</v>
      </c>
      <c r="I199" t="inlineStr">
        <is>
          <t>**DESCRIPTION**
---------------
As part of the AWS Applied AI Solutions organization, we have a mission to build delightful AI solutions that improve human capabilities and business outcomes. We will accomplish this by accelerating our customers' businesses through delivery of intuitive and differentiated AI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  
The Applied Scientist will contribute to the development of Agentic AI solutions leveraging Gen AI. The role requires extending existing scientific techniques and inventing new ones to address specific customer needs. You should be comfortable working semi\-autonomously on difficult problems with visible risks or roadblocks. You'll work closely with technical leaders within the team. We're looking for scientists who can maintain high standards while moving quickly, prioritizing both rapid experimentation and responsible AI development to deliver measurable customer impact.  
Key job responsibilities  
* Design and implement solutions that extend or adapt scientific approaches for customer needs
* Deliver components into production that meet high quality standards (efficient, reproducible, testable code)
* Produce science outputs demonstrating correctness, scholarship, and scientific rigor
* Work with product, engineering, and science teams to deliver impactful AI features
* Contribute to operational excellence in the team's deliverables
About the team  
AWS Solutions  
As part of the AWS solutions organization, we have a vision to provide business applications, leveraging Amazon's unique experience and expertise, that are used by millions of companies worldwide to manage day\-to\-day operations. We will accomplish this by accelerating our customers' businesses through delivery of intuitive and differentiated technology solutions that solve enduring business challenges. We blend vision with curiosity and Amazon's real\-world experience to build opinionated, turnkey solutions. Where customers prefer to buy over build, we become their trusted partner with solutions that are no\-brainers to buy and easy to use.**BASIC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building machine learning models or developing algorithms for business application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200">
      <c r="A200" t="inlineStr">
        <is>
          <t>in-415496577cc9804f</t>
        </is>
      </c>
      <c r="B200" t="inlineStr">
        <is>
          <t>Senior Data Scientist, Amazon Global Logistics</t>
        </is>
      </c>
      <c r="C200" t="inlineStr">
        <is>
          <t>Amazon.com</t>
        </is>
      </c>
      <c r="D200" t="inlineStr">
        <is>
          <t>indeed</t>
        </is>
      </c>
      <c r="E200">
        <f>HYPERLINK("https://www.indeed.com/viewjob?jk=415496577cc9804f", "https://www.indeed.com/viewjob?jk=415496577cc9804f")</f>
        <v/>
      </c>
      <c r="F200">
        <f>HYPERLINK("https://www.amazon.jobs/jobs/3166902/senior-data-scientist-amazon-global-logistics?cmpid=DA_INAD200785B", "https://www.amazon.jobs/jobs/3166902/senior-data-scientist-amazon-global-logistics?cmpid=DA_INAD200785B")</f>
        <v/>
      </c>
      <c r="G200" t="inlineStr">
        <is>
          <t>Boston, MA, US</t>
        </is>
      </c>
      <c r="H200" s="2" t="n">
        <v>46029</v>
      </c>
      <c r="I200"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201">
      <c r="A201" t="inlineStr">
        <is>
          <t>in-63fc8794c860f0d0</t>
        </is>
      </c>
      <c r="B201" t="inlineStr">
        <is>
          <t>Senior Data Scientist, Amazon Global Logistics</t>
        </is>
      </c>
      <c r="C201" t="inlineStr">
        <is>
          <t>Amazon.com</t>
        </is>
      </c>
      <c r="D201" t="inlineStr">
        <is>
          <t>indeed</t>
        </is>
      </c>
      <c r="E201">
        <f>HYPERLINK("https://www.indeed.com/viewjob?jk=63fc8794c860f0d0", "https://www.indeed.com/viewjob?jk=63fc8794c860f0d0")</f>
        <v/>
      </c>
      <c r="F201">
        <f>HYPERLINK("https://www.amazon.jobs/jobs/3166902/senior-data-scientist-amazon-global-logistics?cmpid=DA_INAD200785B", "https://www.amazon.jobs/jobs/3166902/senior-data-scientist-amazon-global-logistics?cmpid=DA_INAD200785B")</f>
        <v/>
      </c>
      <c r="G201" t="inlineStr">
        <is>
          <t>Bellevue, WA, US</t>
        </is>
      </c>
      <c r="H201" s="2" t="n">
        <v>46029</v>
      </c>
      <c r="I201" t="inlineStr">
        <is>
          <t>**DESCRIPTION**
---------------
Join Amazon Global Logistics (AGL) as a Senior Data Scientist on our Pricing \&amp; Science team. You'll develop machine learning models, AI agents, and optimization systems that serve businesses of all sizes in cross\-border logistics. This role combines advanced machine learning with hands\-on execution to establish AGL as a leading global freight provider.  
You'll work on high\-impact initiatives including agentic AI systems that drive marketing effectiveness and enable data\-driven sales decisions, ML\-powered fraud and theft detection models to protect Amazon's supply chain, revenue management systems incorporating real\-time market signals and capacity constraints, and economic value models to quantify the business impact of logistics capabilities.  
Key job responsibilities  
* Collaborate with product, engineering, operations, and security teams to translate business problems into production\-ready solutions
* Own end\-to\-end model development from exploratory analysis to deployment and monitoring
* Define, track, and explain success metrics to measure model impact and inform decision\-making
* Build business cases to support science initiatives and model prioritization
* Develop ML\-powered systems for marketing effectiveness, fraud detection, revenue management, and economic value modeling
* Write technical papers and submit work to internal and external conferences and publications
A day in the life  
Your day might start with improving theft detection model accuracy. You'll collaborate with scientists to enhance features for pricing models. You'll connect with stakeholders in international markets to evaluate new agentic marketing solutions.  
You'll sync with applied scientists and engineering teams on productionizing models. You'll meet with operations to understand capacity forecasts and routing constraints. You'll work with security teams on theft detection workflows. You'll design new modeling approaches, run experiments, and present recommendations to stakeholders.  
The role offers strategic thinking, hands\-on model development, and tactical analysis in a fast\-paced environment where you'll own significant technical initiatives.  
About the team  
The AGL Pricing \&amp; Science team operates at the intersection of science, logistics, and business strategy. We're a diverse group of problem\-solvers working to transform international freight forwarding.  
Our team builds intelligent pricing systems, predicts and prevents seller churn, develops GenAI applications for operational intelligence, creates ML\-powered fraud detection systems, builds routing optimization models, and prioritizes seller experience. We value data\-driven decision making and innovation.  
Our work protects millions in GMS and drives hundreds of millions in cost savings annually. We offer opportunities to make significant impact while working with AI technologies and systems at Amazon scale.**BASIC QUALIFICATIONS**
------------------------
* 5\+ years of data querying languages (e.g. SQL), scripting languages (e.g. Python) or statistical/mathematical software (e.g. R, SAS, Matlab, etc.) experience
* Master's degree in computer science, engineering, mathematics or equivalent
* 5\+ years of data scientist experience
* Experience with Machine Learning and Large Language Model fundamentals, including architecture, training/inference lifecycles, and optimization of model execution, or experience in machine learning, data mining, information retrieval, statistics or natural language processing
* Experience working with cross\-functional teams across business development, marketing, operations, product development, legal, etc.
* Comfort navigating between strategic work and exploratory analysis
**PREFERRED QUALIFICATIONS**
----------------------------
* Knowledge of AWS tech stack (e.g., AWS Redshift, S3, EC2, Glue)
* Experience as a leader and mentor on a data science team
* 2\+ years of data visualization using AWS QuickSight, Tableau, R Shiny, etc. experience
* Experience documenting modeling for technical and business leaders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Boston \- 159,200\.00 \- 215,300\.00 USD annually  
USA, WA, Bellevue \- 159,200\.00 \- 215,300\.00 USD annually</t>
        </is>
      </c>
    </row>
    <row r="202">
      <c r="A202" t="inlineStr">
        <is>
          <t>in-149f06b3dc99e4f3</t>
        </is>
      </c>
      <c r="B202" t="inlineStr">
        <is>
          <t>Applied Scientist II, Prime Video Personalization and Discovery Science</t>
        </is>
      </c>
      <c r="C202" t="inlineStr">
        <is>
          <t>Amazon.com</t>
        </is>
      </c>
      <c r="D202" t="inlineStr">
        <is>
          <t>indeed</t>
        </is>
      </c>
      <c r="E202">
        <f>HYPERLINK("https://www.indeed.com/viewjob?jk=149f06b3dc99e4f3", "https://www.indeed.com/viewjob?jk=149f06b3dc99e4f3")</f>
        <v/>
      </c>
      <c r="F202">
        <f>HYPERLINK("https://www.amazon.jobs/jobs/3155448/applied-scientist-ii-prime-video-personalization-and-discovery-science?cmpid=DA_INAD200785B", "https://www.amazon.jobs/jobs/3155448/applied-scientist-ii-prime-video-personalization-and-discovery-science?cmpid=DA_INAD200785B")</f>
        <v/>
      </c>
      <c r="G202" t="inlineStr">
        <is>
          <t>Seattle, WA, US</t>
        </is>
      </c>
      <c r="H202" s="2" t="n">
        <v>46028</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3">
      <c r="A203" t="inlineStr">
        <is>
          <t>in-c7b62150f4de5d6f</t>
        </is>
      </c>
      <c r="B203" t="inlineStr">
        <is>
          <t>Applied Scientist II, Prime Video Personalization and Discovery Science</t>
        </is>
      </c>
      <c r="C203" t="inlineStr">
        <is>
          <t>Amazon.com</t>
        </is>
      </c>
      <c r="D203" t="inlineStr">
        <is>
          <t>indeed</t>
        </is>
      </c>
      <c r="E203">
        <f>HYPERLINK("https://www.indeed.com/viewjob?jk=c7b62150f4de5d6f", "https://www.indeed.com/viewjob?jk=c7b62150f4de5d6f")</f>
        <v/>
      </c>
      <c r="F203">
        <f>HYPERLINK("https://www.amazon.jobs/jobs/3155448/applied-scientist-ii-prime-video-personalization-and-discovery-science?cmpid=DA_INAD200785B", "https://www.amazon.jobs/jobs/3155448/applied-scientist-ii-prime-video-personalization-and-discovery-science?cmpid=DA_INAD200785B")</f>
        <v/>
      </c>
      <c r="G203" t="inlineStr">
        <is>
          <t>New York, NY, US</t>
        </is>
      </c>
      <c r="H203" s="2" t="n">
        <v>46028</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4">
      <c r="A204" t="inlineStr">
        <is>
          <t>in-b0ae70c89b1ac6d7</t>
        </is>
      </c>
      <c r="B204" t="inlineStr">
        <is>
          <t>Applied Scientist II, Prime Video Personalization and Discovery Science</t>
        </is>
      </c>
      <c r="C204" t="inlineStr">
        <is>
          <t>Amazon.com</t>
        </is>
      </c>
      <c r="D204" t="inlineStr">
        <is>
          <t>indeed</t>
        </is>
      </c>
      <c r="E204">
        <f>HYPERLINK("https://www.indeed.com/viewjob?jk=b0ae70c89b1ac6d7", "https://www.indeed.com/viewjob?jk=b0ae70c89b1ac6d7")</f>
        <v/>
      </c>
      <c r="F204">
        <f>HYPERLINK("https://www.amazon.jobs/jobs/3155448/applied-scientist-ii-prime-video-personalization-and-discovery-science?cmpid=DA_INAD200785B", "https://www.amazon.jobs/jobs/3155448/applied-scientist-ii-prime-video-personalization-and-discovery-science?cmpid=DA_INAD200785B")</f>
        <v/>
      </c>
      <c r="G204" t="inlineStr">
        <is>
          <t>Sunnyvale, CA, US</t>
        </is>
      </c>
      <c r="H204" s="2" t="n">
        <v>46028</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05">
      <c r="A205" t="inlineStr">
        <is>
          <t>in-d867af0004ab5273</t>
        </is>
      </c>
      <c r="B205" t="inlineStr">
        <is>
          <t>Senior Applied Scientist, Distributed SQL</t>
        </is>
      </c>
      <c r="C205" t="inlineStr">
        <is>
          <t>Amazon Web Services</t>
        </is>
      </c>
      <c r="D205" t="inlineStr">
        <is>
          <t>indeed</t>
        </is>
      </c>
      <c r="E205">
        <f>HYPERLINK("https://www.indeed.com/viewjob?jk=d867af0004ab5273", "https://www.indeed.com/viewjob?jk=d867af0004ab5273")</f>
        <v/>
      </c>
      <c r="F205">
        <f>HYPERLINK("https://www.amazon.jobs/jobs/3148444/senior-applied-scientist-distributed-sql?cmpid=DA_INAD200785B", "https://www.amazon.jobs/jobs/3148444/senior-applied-scientist-distributed-sql?cmpid=DA_INAD200785B")</f>
        <v/>
      </c>
      <c r="G205" t="inlineStr">
        <is>
          <t>Seattle, WA, US</t>
        </is>
      </c>
      <c r="H205" s="2" t="n">
        <v>46012</v>
      </c>
      <c r="I2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6">
      <c r="A206" t="inlineStr">
        <is>
          <t>in-66b3d114f709ad3a</t>
        </is>
      </c>
      <c r="B206" t="inlineStr">
        <is>
          <t>Senior Applied Scientist, Distributed SQL</t>
        </is>
      </c>
      <c r="C206" t="inlineStr">
        <is>
          <t>Amazon Web Services</t>
        </is>
      </c>
      <c r="D206" t="inlineStr">
        <is>
          <t>indeed</t>
        </is>
      </c>
      <c r="E206">
        <f>HYPERLINK("https://www.indeed.com/viewjob?jk=66b3d114f709ad3a", "https://www.indeed.com/viewjob?jk=66b3d114f709ad3a")</f>
        <v/>
      </c>
      <c r="F206">
        <f>HYPERLINK("https://www.amazon.jobs/jobs/3148444/senior-applied-scientist-distributed-sql?cmpid=DA_INAD200785B", "https://www.amazon.jobs/jobs/3148444/senior-applied-scientist-distributed-sql?cmpid=DA_INAD200785B")</f>
        <v/>
      </c>
      <c r="G206" t="inlineStr">
        <is>
          <t>East Palo Alto, CA, US</t>
        </is>
      </c>
      <c r="H206" s="2" t="n">
        <v>46012</v>
      </c>
      <c r="I20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207">
      <c r="A207" t="inlineStr">
        <is>
          <t>in-5b096a2ee395e0a3</t>
        </is>
      </c>
      <c r="B207" t="inlineStr">
        <is>
          <t>Applied Scientist, Delivery Foundation Model</t>
        </is>
      </c>
      <c r="C207" t="inlineStr">
        <is>
          <t>Amazon.com</t>
        </is>
      </c>
      <c r="D207" t="inlineStr">
        <is>
          <t>indeed</t>
        </is>
      </c>
      <c r="E207">
        <f>HYPERLINK("https://www.indeed.com/viewjob?jk=5b096a2ee395e0a3", "https://www.indeed.com/viewjob?jk=5b096a2ee395e0a3")</f>
        <v/>
      </c>
      <c r="F207">
        <f>HYPERLINK("https://www.amazon.jobs/jobs/3169077/applied-scientist-delivery-foundation-model-?cmpid=DA_INAD200785B", "https://www.amazon.jobs/jobs/3169077/applied-scientist-delivery-foundation-model-?cmpid=DA_INAD200785B")</f>
        <v/>
      </c>
      <c r="G207" t="inlineStr">
        <is>
          <t>Santa Clara, CA, US</t>
        </is>
      </c>
      <c r="H207" s="2" t="n">
        <v>46009</v>
      </c>
      <c r="I20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8">
      <c r="A208" t="inlineStr">
        <is>
          <t>in-81cf09c2f8447f01</t>
        </is>
      </c>
      <c r="B208" t="inlineStr">
        <is>
          <t>Applied Scientist, Delivery Foundation Model</t>
        </is>
      </c>
      <c r="C208" t="inlineStr">
        <is>
          <t>Amazon.com</t>
        </is>
      </c>
      <c r="D208" t="inlineStr">
        <is>
          <t>indeed</t>
        </is>
      </c>
      <c r="E208">
        <f>HYPERLINK("https://www.indeed.com/viewjob?jk=81cf09c2f8447f01", "https://www.indeed.com/viewjob?jk=81cf09c2f8447f01")</f>
        <v/>
      </c>
      <c r="F208">
        <f>HYPERLINK("https://www.amazon.jobs/jobs/3169077/applied-scientist-delivery-foundation-model-?cmpid=DA_INAD200785B", "https://www.amazon.jobs/jobs/3169077/applied-scientist-delivery-foundation-model-?cmpid=DA_INAD200785B")</f>
        <v/>
      </c>
      <c r="G208" t="inlineStr">
        <is>
          <t>Bellevue, WA, US</t>
        </is>
      </c>
      <c r="H208" s="2" t="n">
        <v>46009</v>
      </c>
      <c r="I20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Drive technical direction for specific research initiatives, ensuring robust performance in production environments.
A day in the life  
As a member of the Delivery Foundation Model team, you’ll spend your day on the following:  
* Develop and implement novel foundation model architectures, working hands\-on with data and our extensive training and evaluation infrastructure
* Collaborate with fellow scientists in solving complex technical challenges, from trajectory planning to efficient multi\-task learning
* Collaborate with fellow engineers in building scalable and reusable infra to support model training, evaluation, and inference
* Contribute to focused technical initiatives from conception through deployment, ensuring successful integration with production systems
* Drive technical discussions within the team and and key stakeholders
* Conduct experiments and prototype new ideas
* Make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1\+ years of CS, CE, ML or related field experience
* 4\+ years of programming in Java, C\+\+, Python or related language experience
* Experience building machine learning models or developing algorithms for business application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\- 171,600\.00 \- 222,200\.00 USD annually  
USA, WA, Bellevue \- 142,800\.00 \- 193,200\.00 USD annually</t>
        </is>
      </c>
    </row>
    <row r="209">
      <c r="A209" t="inlineStr">
        <is>
          <t>in-333674c44915b314</t>
        </is>
      </c>
      <c r="B209" t="inlineStr">
        <is>
          <t>Principal Applied Scientist, Kiro Science</t>
        </is>
      </c>
      <c r="C209" t="inlineStr">
        <is>
          <t>Amazon Web Services</t>
        </is>
      </c>
      <c r="D209" t="inlineStr">
        <is>
          <t>indeed</t>
        </is>
      </c>
      <c r="E209">
        <f>HYPERLINK("https://www.indeed.com/viewjob?jk=333674c44915b314", "https://www.indeed.com/viewjob?jk=333674c44915b314")</f>
        <v/>
      </c>
      <c r="F209">
        <f>HYPERLINK("https://www.amazon.jobs/jobs/3161064/principal-applied-scientist-kiro-science?cmpid=DA_INAD200785B", "https://www.amazon.jobs/jobs/3161064/principal-applied-scientist-kiro-science?cmpid=DA_INAD200785B")</f>
        <v/>
      </c>
      <c r="G209" t="inlineStr">
        <is>
          <t>New York, NY, US</t>
        </is>
      </c>
      <c r="H209" s="2" t="n">
        <v>45999</v>
      </c>
      <c r="I209"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0">
      <c r="A210" t="inlineStr">
        <is>
          <t>in-465995d61cbbf5cd</t>
        </is>
      </c>
      <c r="B210" t="inlineStr">
        <is>
          <t>Principal Applied Scientist, Kiro Science</t>
        </is>
      </c>
      <c r="C210" t="inlineStr">
        <is>
          <t>Amazon Web Services</t>
        </is>
      </c>
      <c r="D210" t="inlineStr">
        <is>
          <t>indeed</t>
        </is>
      </c>
      <c r="E210">
        <f>HYPERLINK("https://www.indeed.com/viewjob?jk=465995d61cbbf5cd", "https://www.indeed.com/viewjob?jk=465995d61cbbf5cd")</f>
        <v/>
      </c>
      <c r="F210">
        <f>HYPERLINK("https://www.amazon.jobs/jobs/3161064/principal-applied-scientist-kiro-science?cmpid=DA_INAD200785B", "https://www.amazon.jobs/jobs/3161064/principal-applied-scientist-kiro-science?cmpid=DA_INAD200785B")</f>
        <v/>
      </c>
      <c r="G210" t="inlineStr">
        <is>
          <t>Santa Clara, CA, US</t>
        </is>
      </c>
      <c r="H210" s="2" t="n">
        <v>45999</v>
      </c>
      <c r="I210" t="inlineStr">
        <is>
          <t>**DESCRIPTION**
---------------
AWS Agentic AI is looking for a Principal Applied Scientist who will partner with world\-class scientists and engineers to pioneer the next generation of AI\-driven development tools. Join the Amazon Kiro LLM\-Training team and help create groundbreaking generative AI technologies including Kiro IDE and Amazon Q Developer that are transforming the software development landscape.  
Key job responsibilities  
As a key member of our team, you'll be at the forefront of innovation, where cutting\-edge research meets real\-world application:  
* Push the boundaries of reinforcement learning and post\-training methodologies for large language models specialized in code intelligence
* Invent and implement state\-of\-the\-art machine learning solutions that operate at unprecedented Amazon scale
* Deploy revolutionary products that directly impact the daily workflows of millions of developers worldwide
* Break new ground in AI and machine learning, challenging what's possible in intelligent code assistance
* Publish and present your pioneering work at premier ML and NLP conferences (NeurIPS, ICML, ICLR , ACL, EMNLP)
* Accelerate innovation by working directly with customers to rapidly transition research breakthroughs into production systems
About the team  
The AWS Developer Agents and Experiences (DAE) team is reimagining the builder experience through generative AI and foundation models. We're leveraging the latest advances in AI to transform how engineers work from IDE environments to web\-based tools and services, empowering developers to tackle projects of any scale with unprecedented efficiency.  
Broadly,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Within AWS UC, Amazon Dedicated Cloud (ADC) roles engage with AWS customers who require specialized security solutions for their cloud services.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Hybrid Work  
We value innovation and recognize this sometimes requires uninterrupted time to focus on a build. We also value in\-person collaboration and time spent face\-to\-face. Our team affords employees options to work in the office every day or in a flexible, hybrid work model near one of our U.S. Amazon offices.**BASIC QUALIFICATIONS**
------------------------
* PhD, or Master's degree and 10\+ years of CS, CE, ML or related field experience
* 8\+ years of building models for business application experience
* Experience in patents or publications at top\-tier peer\-reviewed conferences or journals
* Experience programming in Java, C\+\+, Python or related language
* Experience in any of the following areas: AI (NLP or multi\-modality models), Deep Learning, LLM model training, graph learning, software engineering.
**PREFERRED QUALIFICATIONS**
----------------------------
* First author publications at Tier\-1 ML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t>
        </is>
      </c>
    </row>
    <row r="211">
      <c r="A211" t="inlineStr">
        <is>
          <t>in-d10dd37b539f0b36</t>
        </is>
      </c>
      <c r="B211" t="inlineStr">
        <is>
          <t>Principal Applied Scientist, Sponsored Products and Brands</t>
        </is>
      </c>
      <c r="C211" t="inlineStr">
        <is>
          <t>Amazon.com</t>
        </is>
      </c>
      <c r="D211" t="inlineStr">
        <is>
          <t>indeed</t>
        </is>
      </c>
      <c r="E211">
        <f>HYPERLINK("https://www.indeed.com/viewjob?jk=d10dd37b539f0b36", "https://www.indeed.com/viewjob?jk=d10dd37b539f0b36")</f>
        <v/>
      </c>
      <c r="F211">
        <f>HYPERLINK("https://www.amazon.jobs/jobs/3130855/principal-applied-scientist-sponsored-products-and-brands?cmpid=DA_INAD200785B", "https://www.amazon.jobs/jobs/3130855/principal-applied-scientist-sponsored-products-and-brands?cmpid=DA_INAD200785B")</f>
        <v/>
      </c>
      <c r="G211" t="inlineStr">
        <is>
          <t>New York, NY, US</t>
        </is>
      </c>
      <c r="H211" s="2" t="n">
        <v>45979</v>
      </c>
      <c r="I21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in-6f506d4401d740b8</t>
        </is>
      </c>
      <c r="B212" t="inlineStr">
        <is>
          <t>Principal Applied Scientist, Sponsored Products and Brands</t>
        </is>
      </c>
      <c r="C212" t="inlineStr">
        <is>
          <t>Amazon.com</t>
        </is>
      </c>
      <c r="D212" t="inlineStr">
        <is>
          <t>indeed</t>
        </is>
      </c>
      <c r="E212">
        <f>HYPERLINK("https://www.indeed.com/viewjob?jk=6f506d4401d740b8", "https://www.indeed.com/viewjob?jk=6f506d4401d740b8")</f>
        <v/>
      </c>
      <c r="F212">
        <f>HYPERLINK("https://www.amazon.jobs/jobs/3130855/principal-applied-scientist-sponsored-products-and-brands?cmpid=DA_INAD200785B", "https://www.amazon.jobs/jobs/3130855/principal-applied-scientist-sponsored-products-and-brands?cmpid=DA_INAD200785B")</f>
        <v/>
      </c>
      <c r="G212" t="inlineStr">
        <is>
          <t>Seattle, WA, US</t>
        </is>
      </c>
      <c r="H212" s="2" t="n">
        <v>45979</v>
      </c>
      <c r="I21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in-6ef3bef468ea8790</t>
        </is>
      </c>
      <c r="B213" t="inlineStr">
        <is>
          <t>Senior Applied Scientist, Sponsored Products and Brands</t>
        </is>
      </c>
      <c r="C213" t="inlineStr">
        <is>
          <t>Amazon.com</t>
        </is>
      </c>
      <c r="D213" t="inlineStr">
        <is>
          <t>indeed</t>
        </is>
      </c>
      <c r="E213">
        <f>HYPERLINK("https://www.indeed.com/viewjob?jk=6ef3bef468ea8790", "https://www.indeed.com/viewjob?jk=6ef3bef468ea8790")</f>
        <v/>
      </c>
      <c r="F213">
        <f>HYPERLINK("https://www.amazon.jobs/jobs/3130062/senior-applied-scientist-sponsored-products-and-brands?cmpid=DA_INAD200785B", "https://www.amazon.jobs/jobs/3130062/senior-applied-scientist-sponsored-products-and-brands?cmpid=DA_INAD200785B")</f>
        <v/>
      </c>
      <c r="G213" t="inlineStr">
        <is>
          <t>Seattle, WA, US</t>
        </is>
      </c>
      <c r="H213" s="2" t="n">
        <v>45979</v>
      </c>
      <c r="I213"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4">
      <c r="A214" t="inlineStr">
        <is>
          <t>in-c810db7c9c1921e4</t>
        </is>
      </c>
      <c r="B214" t="inlineStr">
        <is>
          <t>Senior Applied Scientist, Sponsored Products and Brands</t>
        </is>
      </c>
      <c r="C214" t="inlineStr">
        <is>
          <t>Amazon.com</t>
        </is>
      </c>
      <c r="D214" t="inlineStr">
        <is>
          <t>indeed</t>
        </is>
      </c>
      <c r="E214">
        <f>HYPERLINK("https://www.indeed.com/viewjob?jk=c810db7c9c1921e4", "https://www.indeed.com/viewjob?jk=c810db7c9c1921e4")</f>
        <v/>
      </c>
      <c r="F214">
        <f>HYPERLINK("https://www.amazon.jobs/jobs/3130062/senior-applied-scientist-sponsored-products-and-brands?cmpid=DA_INAD200785B", "https://www.amazon.jobs/jobs/3130062/senior-applied-scientist-sponsored-products-and-brands?cmpid=DA_INAD200785B")</f>
        <v/>
      </c>
      <c r="G214" t="inlineStr">
        <is>
          <t>New York, NY, US</t>
        </is>
      </c>
      <c r="H214" s="2" t="n">
        <v>45979</v>
      </c>
      <c r="I214"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\#GenAI**BASIC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WA, Seattle \- 167,100\.00 \- 226,100\.00 USD annually</t>
        </is>
      </c>
    </row>
    <row r="215">
      <c r="A215" t="inlineStr">
        <is>
          <t>in-15873d340e2bd97f</t>
        </is>
      </c>
      <c r="B215" t="inlineStr">
        <is>
          <t>Sr. Applied Scientist, Sponsored Products</t>
        </is>
      </c>
      <c r="C215" t="inlineStr">
        <is>
          <t>Amazon.com</t>
        </is>
      </c>
      <c r="D215" t="inlineStr">
        <is>
          <t>indeed</t>
        </is>
      </c>
      <c r="E215">
        <f>HYPERLINK("https://www.indeed.com/viewjob?jk=15873d340e2bd97f", "https://www.indeed.com/viewjob?jk=15873d340e2bd97f")</f>
        <v/>
      </c>
      <c r="F215">
        <f>HYPERLINK("https://www.amazon.jobs/jobs/3136156/sr-applied-scientist-sponsored-products?cmpid=DA_INAD200785B", "https://www.amazon.jobs/jobs/3136156/sr-applied-scientist-sponsored-products?cmpid=DA_INAD200785B")</f>
        <v/>
      </c>
      <c r="G215" t="inlineStr">
        <is>
          <t>New York, NY, US</t>
        </is>
      </c>
      <c r="H215" s="2" t="n">
        <v>45976</v>
      </c>
      <c r="I215"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6">
      <c r="A216" t="inlineStr">
        <is>
          <t>in-da362cc70a708d66</t>
        </is>
      </c>
      <c r="B216" t="inlineStr">
        <is>
          <t>Sr. Applied Scientist, Sponsored Products</t>
        </is>
      </c>
      <c r="C216" t="inlineStr">
        <is>
          <t>Amazon.com</t>
        </is>
      </c>
      <c r="D216" t="inlineStr">
        <is>
          <t>indeed</t>
        </is>
      </c>
      <c r="E216">
        <f>HYPERLINK("https://www.indeed.com/viewjob?jk=da362cc70a708d66", "https://www.indeed.com/viewjob?jk=da362cc70a708d66")</f>
        <v/>
      </c>
      <c r="F216">
        <f>HYPERLINK("https://www.amazon.jobs/jobs/3136156/sr-applied-scientist-sponsored-products?cmpid=DA_INAD200785B", "https://www.amazon.jobs/jobs/3136156/sr-applied-scientist-sponsored-products?cmpid=DA_INAD200785B")</f>
        <v/>
      </c>
      <c r="G216" t="inlineStr">
        <is>
          <t>Seattle, WA, US</t>
        </is>
      </c>
      <c r="H216" s="2" t="n">
        <v>45976</v>
      </c>
      <c r="I21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7">
      <c r="A217" t="inlineStr">
        <is>
          <t>in-79452a79e841f8bc</t>
        </is>
      </c>
      <c r="B217" t="inlineStr">
        <is>
          <t>Sr. Applied Scientist, Sponsored Products</t>
        </is>
      </c>
      <c r="C217" t="inlineStr">
        <is>
          <t>Amazon.com</t>
        </is>
      </c>
      <c r="D217" t="inlineStr">
        <is>
          <t>indeed</t>
        </is>
      </c>
      <c r="E217">
        <f>HYPERLINK("https://www.indeed.com/viewjob?jk=79452a79e841f8bc", "https://www.indeed.com/viewjob?jk=79452a79e841f8bc")</f>
        <v/>
      </c>
      <c r="F217">
        <f>HYPERLINK("https://www.amazon.jobs/jobs/3136156/sr-applied-scientist-sponsored-products?cmpid=DA_INAD200785B", "https://www.amazon.jobs/jobs/3136156/sr-applied-scientist-sponsored-products?cmpid=DA_INAD200785B")</f>
        <v/>
      </c>
      <c r="G217" t="inlineStr">
        <is>
          <t>Arlington, VA, US</t>
        </is>
      </c>
      <c r="H217" s="2" t="n">
        <v>45976</v>
      </c>
      <c r="I21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Key job responsibilities  
* Lead science and engineering needs across ad systems and models that power sponsored products ads for offsite shopping experiences.
* Collaborate with peers across engineering and product to bring scientific innovations into production.
* Surface qualitative and quantitative insights to shape product direction and ensure product\-market fit.
* Design and implement advanced model and agent optimization techniques, including supervised fine\-tuning, instruction tuning and preference optimization.
* Develop agentic architectures (e.g., CoT, ToT, ReAct) that integrate planning, tool use, and long\-horizon reasoning.
* Prototype and iterate on multi\-agent orchestration frameworks and workflows.
* Stay current with the latest research in LLMs, RL, and agent\-based AI, and translate findings into practical applications.
**BASIC QUALIFICATIONS**
------------------------
* 3\+ years of building machine learning models for business application experience
* PhD, or Master's degree and 6\+ years of applied research experience
* Knowledge of programming languages such as C/C\+\+, Python, Java or Perl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 Experience in search advertising, search marketing, performance advertising, or similar digital advertising
* Ph.D. in computer science, mathematics, statistics, machine learning or equivalent quantitative field
* Strong technical fluency in Generative AI
* Deep understanding of large language models (LLMs), model fine tuning and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\- 183,800\.00 \- 248,700\.00 USD annually  
USA, VA, Arlington \- 167,100\.00 \- 226,100\.00 USD annually  
USA, WA, Seattle \- 167,100\.00 \- 226,100\.00 USD annually</t>
        </is>
      </c>
    </row>
    <row r="218">
      <c r="A218" t="inlineStr">
        <is>
          <t>in-69e5e9461218608a</t>
        </is>
      </c>
      <c r="B218" t="inlineStr">
        <is>
          <t>Applied Scientist, AWS Agentic AI</t>
        </is>
      </c>
      <c r="C218" t="inlineStr">
        <is>
          <t>Amazon Web Services</t>
        </is>
      </c>
      <c r="D218" t="inlineStr">
        <is>
          <t>indeed</t>
        </is>
      </c>
      <c r="E218">
        <f>HYPERLINK("https://www.indeed.com/viewjob?jk=69e5e9461218608a", "https://www.indeed.com/viewjob?jk=69e5e9461218608a")</f>
        <v/>
      </c>
      <c r="F218">
        <f>HYPERLINK("https://www.amazon.jobs/jobs/3141517/applied-scientist-aws-agentic-ai-?cmpid=DA_INAD200785B", "https://www.amazon.jobs/jobs/3141517/applied-scientist-aws-agentic-ai-?cmpid=DA_INAD200785B")</f>
        <v/>
      </c>
      <c r="G218" t="inlineStr">
        <is>
          <t>Seattle, WA, US</t>
        </is>
      </c>
      <c r="H218" s="2" t="n">
        <v>45962</v>
      </c>
      <c r="I21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in-64a560f1acebfb3d</t>
        </is>
      </c>
      <c r="B219" t="inlineStr">
        <is>
          <t>Applied Scientist, AWS Agentic AI</t>
        </is>
      </c>
      <c r="C219" t="inlineStr">
        <is>
          <t>Amazon Web Services</t>
        </is>
      </c>
      <c r="D219" t="inlineStr">
        <is>
          <t>indeed</t>
        </is>
      </c>
      <c r="E219">
        <f>HYPERLINK("https://www.indeed.com/viewjob?jk=64a560f1acebfb3d", "https://www.indeed.com/viewjob?jk=64a560f1acebfb3d")</f>
        <v/>
      </c>
      <c r="F219">
        <f>HYPERLINK("https://www.amazon.jobs/jobs/3141517/applied-scientist-aws-agentic-ai-?cmpid=DA_INAD200785B", "https://www.amazon.jobs/jobs/3141517/applied-scientist-aws-agentic-ai-?cmpid=DA_INAD200785B")</f>
        <v/>
      </c>
      <c r="G219" t="inlineStr">
        <is>
          <t>New York, NY, US</t>
        </is>
      </c>
      <c r="H219" s="2" t="n">
        <v>45962</v>
      </c>
      <c r="I21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in-166702d5c457327b</t>
        </is>
      </c>
      <c r="B220" t="inlineStr">
        <is>
          <t>Applied Scientist, AWS Agentic AI</t>
        </is>
      </c>
      <c r="C220" t="inlineStr">
        <is>
          <t>Amazon Web Services</t>
        </is>
      </c>
      <c r="D220" t="inlineStr">
        <is>
          <t>indeed</t>
        </is>
      </c>
      <c r="E220">
        <f>HYPERLINK("https://www.indeed.com/viewjob?jk=166702d5c457327b", "https://www.indeed.com/viewjob?jk=166702d5c457327b")</f>
        <v/>
      </c>
      <c r="F220">
        <f>HYPERLINK("https://www.amazon.jobs/jobs/3141517/applied-scientist-aws-agentic-ai-?cmpid=DA_INAD200785B", "https://www.amazon.jobs/jobs/3141517/applied-scientist-aws-agentic-ai-?cmpid=DA_INAD200785B")</f>
        <v/>
      </c>
      <c r="G220" t="inlineStr">
        <is>
          <t>Santa Clara, CA, US</t>
        </is>
      </c>
      <c r="H220" s="2" t="n">
        <v>45962</v>
      </c>
      <c r="I22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in-59b8572e22c01e86</t>
        </is>
      </c>
      <c r="B221" t="inlineStr">
        <is>
          <t>Applied Scientist, Prime Video - Content Understanding, Localization &amp; Enrichment Team</t>
        </is>
      </c>
      <c r="C221" t="inlineStr">
        <is>
          <t>Amazon.com</t>
        </is>
      </c>
      <c r="D221" t="inlineStr">
        <is>
          <t>indeed</t>
        </is>
      </c>
      <c r="E221">
        <f>HYPERLINK("https://www.indeed.com/viewjob?jk=59b8572e22c01e86", "https://www.indeed.com/viewjob?jk=59b8572e22c01e86")</f>
        <v/>
      </c>
      <c r="F221">
        <f>HYPERLINK("https://www.amazon.jobs/jobs/3111928/applied-scientist-prime-video--content-understanding-localization--enrichment-team?cmpid=DA_INAD200785B", "https://www.amazon.jobs/jobs/3111928/applied-scientist-prime-video--content-understanding-localization--enrichment-team?cmpid=DA_INAD200785B")</f>
        <v/>
      </c>
      <c r="G221" t="inlineStr">
        <is>
          <t>San Francisco, CA, US</t>
        </is>
      </c>
      <c r="H221" s="2" t="n">
        <v>45943</v>
      </c>
      <c r="I2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2">
      <c r="A222" t="inlineStr">
        <is>
          <t>in-0c7962154a75f161</t>
        </is>
      </c>
      <c r="B222" t="inlineStr">
        <is>
          <t>Applied Scientist, Prime Video - Content Understanding, Localization &amp; Enrichment Team</t>
        </is>
      </c>
      <c r="C222" t="inlineStr">
        <is>
          <t>Amazon.com</t>
        </is>
      </c>
      <c r="D222" t="inlineStr">
        <is>
          <t>indeed</t>
        </is>
      </c>
      <c r="E222">
        <f>HYPERLINK("https://www.indeed.com/viewjob?jk=0c7962154a75f161", "https://www.indeed.com/viewjob?jk=0c7962154a75f161")</f>
        <v/>
      </c>
      <c r="F222">
        <f>HYPERLINK("https://www.amazon.jobs/jobs/3111928/applied-scientist-prime-video--content-understanding-localization--enrichment-team?cmpid=DA_INAD200785B", "https://www.amazon.jobs/jobs/3111928/applied-scientist-prime-video--content-understanding-localization--enrichment-team?cmpid=DA_INAD200785B")</f>
        <v/>
      </c>
      <c r="G222" t="inlineStr">
        <is>
          <t>Seattle, WA, US</t>
        </is>
      </c>
      <c r="H222" s="2" t="n">
        <v>45943</v>
      </c>
      <c r="I2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223">
      <c r="A223" t="inlineStr">
        <is>
          <t>in-97cca4eaaf31caa8</t>
        </is>
      </c>
      <c r="B223" t="inlineStr">
        <is>
          <t>Principal Applied Scientist, Advertiser Growth, Amazon Sponsored Products &amp; Brands</t>
        </is>
      </c>
      <c r="C223" t="inlineStr">
        <is>
          <t>Amazon.com</t>
        </is>
      </c>
      <c r="D223" t="inlineStr">
        <is>
          <t>indeed</t>
        </is>
      </c>
      <c r="E223">
        <f>HYPERLINK("https://www.indeed.com/viewjob?jk=97cca4eaaf31caa8", "https://www.indeed.com/viewjob?jk=97cca4eaaf31caa8")</f>
        <v/>
      </c>
      <c r="F223">
        <f>HYPERLINK("https://www.amazon.jobs/jobs/3115279/principal-applied-scientist-advertiser-growth-amazon-sponsored-products--brands?cmpid=DA_INAD200785B", "https://www.amazon.jobs/jobs/3115279/principal-applied-scientist-advertiser-growth-amazon-sponsored-products--brands?cmpid=DA_INAD200785B")</f>
        <v/>
      </c>
      <c r="G223" t="inlineStr">
        <is>
          <t>New York, NY, US</t>
        </is>
      </c>
      <c r="H223" s="2" t="n">
        <v>45942</v>
      </c>
      <c r="I223"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in-ccda40f654aaff55</t>
        </is>
      </c>
      <c r="B224" t="inlineStr">
        <is>
          <t>Principal Applied Scientist, Advertiser Growth, Amazon Sponsored Products &amp; Brands</t>
        </is>
      </c>
      <c r="C224" t="inlineStr">
        <is>
          <t>Amazon.com</t>
        </is>
      </c>
      <c r="D224" t="inlineStr">
        <is>
          <t>indeed</t>
        </is>
      </c>
      <c r="E224">
        <f>HYPERLINK("https://www.indeed.com/viewjob?jk=ccda40f654aaff55", "https://www.indeed.com/viewjob?jk=ccda40f654aaff55")</f>
        <v/>
      </c>
      <c r="F224">
        <f>HYPERLINK("https://www.amazon.jobs/jobs/3115279/principal-applied-scientist-advertiser-growth-amazon-sponsored-products--brands?cmpid=DA_INAD200785B", "https://www.amazon.jobs/jobs/3115279/principal-applied-scientist-advertiser-growth-amazon-sponsored-products--brands?cmpid=DA_INAD200785B")</f>
        <v/>
      </c>
      <c r="G224" t="inlineStr">
        <is>
          <t>Palo Alto, CA, US</t>
        </is>
      </c>
      <c r="H224" s="2" t="n">
        <v>45942</v>
      </c>
      <c r="I22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in-6cdecc2e4ae0ba3e</t>
        </is>
      </c>
      <c r="B225" t="inlineStr">
        <is>
          <t>Principal Applied Scientist, Advertiser Growth, Amazon Sponsored Products &amp; Brands</t>
        </is>
      </c>
      <c r="C225" t="inlineStr">
        <is>
          <t>Amazon.com</t>
        </is>
      </c>
      <c r="D225" t="inlineStr">
        <is>
          <t>indeed</t>
        </is>
      </c>
      <c r="E225">
        <f>HYPERLINK("https://www.indeed.com/viewjob?jk=6cdecc2e4ae0ba3e", "https://www.indeed.com/viewjob?jk=6cdecc2e4ae0ba3e")</f>
        <v/>
      </c>
      <c r="F225">
        <f>HYPERLINK("https://www.amazon.jobs/jobs/3115279/principal-applied-scientist-advertiser-growth-amazon-sponsored-products--brands?cmpid=DA_INAD200785B", "https://www.amazon.jobs/jobs/3115279/principal-applied-scientist-advertiser-growth-amazon-sponsored-products--brands?cmpid=DA_INAD200785B")</f>
        <v/>
      </c>
      <c r="G225" t="inlineStr">
        <is>
          <t>Seattle, WA, US</t>
        </is>
      </c>
      <c r="H225" s="2" t="n">
        <v>45942</v>
      </c>
      <c r="I22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in-a0f9481430b6d053</t>
        </is>
      </c>
      <c r="B226" t="inlineStr">
        <is>
          <t>Applied Scientist, Workplace Health &amp; Safety</t>
        </is>
      </c>
      <c r="C226" t="inlineStr">
        <is>
          <t>Amazon.com</t>
        </is>
      </c>
      <c r="D226" t="inlineStr">
        <is>
          <t>indeed</t>
        </is>
      </c>
      <c r="E226">
        <f>HYPERLINK("https://www.indeed.com/viewjob?jk=a0f9481430b6d053", "https://www.indeed.com/viewjob?jk=a0f9481430b6d053")</f>
        <v/>
      </c>
      <c r="F226">
        <f>HYPERLINK("https://www.amazon.jobs/jobs/3144886/applied-scientist-workplace-health--safety-?cmpid=DA_INAD200785B", "https://www.amazon.jobs/jobs/3144886/applied-scientist-workplace-health--safety-?cmpid=DA_INAD200785B")</f>
        <v/>
      </c>
      <c r="G226" t="inlineStr">
        <is>
          <t>Nashville, TN, US</t>
        </is>
      </c>
      <c r="H226" s="2" t="n">
        <v>45917</v>
      </c>
      <c r="I226"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in-c0ee6820468d848b</t>
        </is>
      </c>
      <c r="B227" t="inlineStr">
        <is>
          <t>Applied Scientist, Workplace Health &amp; Safety</t>
        </is>
      </c>
      <c r="C227" t="inlineStr">
        <is>
          <t>Amazon.com</t>
        </is>
      </c>
      <c r="D227" t="inlineStr">
        <is>
          <t>indeed</t>
        </is>
      </c>
      <c r="E227">
        <f>HYPERLINK("https://www.indeed.com/viewjob?jk=c0ee6820468d848b", "https://www.indeed.com/viewjob?jk=c0ee6820468d848b")</f>
        <v/>
      </c>
      <c r="F227">
        <f>HYPERLINK("https://www.amazon.jobs/jobs/3144886/applied-scientist-workplace-health--safety-?cmpid=DA_INAD200785B", "https://www.amazon.jobs/jobs/3144886/applied-scientist-workplace-health--safety-?cmpid=DA_INAD200785B")</f>
        <v/>
      </c>
      <c r="G227" t="inlineStr">
        <is>
          <t>Bellevue, WA, US</t>
        </is>
      </c>
      <c r="H227" s="2" t="n">
        <v>45917</v>
      </c>
      <c r="I227"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in-bcafd26d72c6f278</t>
        </is>
      </c>
      <c r="B228" t="inlineStr">
        <is>
          <t>Sr. Applied Scientist, Prime Video - Personalization and Discovery Science</t>
        </is>
      </c>
      <c r="C228" t="inlineStr">
        <is>
          <t>Amazon.com</t>
        </is>
      </c>
      <c r="D228" t="inlineStr">
        <is>
          <t>indeed</t>
        </is>
      </c>
      <c r="E228">
        <f>HYPERLINK("https://www.indeed.com/viewjob?jk=bcafd26d72c6f278", "https://www.indeed.com/viewjob?jk=bcafd26d72c6f278")</f>
        <v/>
      </c>
      <c r="F228">
        <f>HYPERLINK("https://www.amazon.jobs/jobs/3084479/sr-applied-scientist-prime-video--personalization-and-discovery-science?cmpid=DA_INAD200785B", "https://www.amazon.jobs/jobs/3084479/sr-applied-scientist-prime-video--personalization-and-discovery-science?cmpid=DA_INAD200785B")</f>
        <v/>
      </c>
      <c r="G228" t="inlineStr">
        <is>
          <t>Sunnyvale, CA, US</t>
        </is>
      </c>
      <c r="H228" s="2" t="n">
        <v>45896</v>
      </c>
      <c r="I2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29">
      <c r="A229" t="inlineStr">
        <is>
          <t>in-d37ca9c721158a7f</t>
        </is>
      </c>
      <c r="B229" t="inlineStr">
        <is>
          <t>Sr. Applied Scientist, Prime Video - Personalization and Discovery Science</t>
        </is>
      </c>
      <c r="C229" t="inlineStr">
        <is>
          <t>Amazon.com</t>
        </is>
      </c>
      <c r="D229" t="inlineStr">
        <is>
          <t>indeed</t>
        </is>
      </c>
      <c r="E229">
        <f>HYPERLINK("https://www.indeed.com/viewjob?jk=d37ca9c721158a7f", "https://www.indeed.com/viewjob?jk=d37ca9c721158a7f")</f>
        <v/>
      </c>
      <c r="F229">
        <f>HYPERLINK("https://www.amazon.jobs/jobs/3084479/sr-applied-scientist-prime-video--personalization-and-discovery-science?cmpid=DA_INAD200785B", "https://www.amazon.jobs/jobs/3084479/sr-applied-scientist-prime-video--personalization-and-discovery-science?cmpid=DA_INAD200785B")</f>
        <v/>
      </c>
      <c r="G229" t="inlineStr">
        <is>
          <t>Seattle, WA, US</t>
        </is>
      </c>
      <c r="H229" s="2" t="n">
        <v>45896</v>
      </c>
      <c r="I2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30">
      <c r="A230" t="inlineStr">
        <is>
          <t>in-3585fa6ec0670ff7</t>
        </is>
      </c>
      <c r="B230" t="inlineStr">
        <is>
          <t>Sr. Applied Scientist, Prime Video - Personalization and Discovery Science</t>
        </is>
      </c>
      <c r="C230" t="inlineStr">
        <is>
          <t>Amazon.com</t>
        </is>
      </c>
      <c r="D230" t="inlineStr">
        <is>
          <t>indeed</t>
        </is>
      </c>
      <c r="E230">
        <f>HYPERLINK("https://www.indeed.com/viewjob?jk=3585fa6ec0670ff7", "https://www.indeed.com/viewjob?jk=3585fa6ec0670ff7")</f>
        <v/>
      </c>
      <c r="F230">
        <f>HYPERLINK("https://www.amazon.jobs/jobs/3084479/sr-applied-scientist-prime-video--personalization-and-discovery-science?cmpid=DA_INAD200785B", "https://www.amazon.jobs/jobs/3084479/sr-applied-scientist-prime-video--personalization-and-discovery-science?cmpid=DA_INAD200785B")</f>
        <v/>
      </c>
      <c r="G230" t="inlineStr">
        <is>
          <t>New York, NY, US</t>
        </is>
      </c>
      <c r="H230" s="2" t="n">
        <v>45896</v>
      </c>
      <c r="I2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foundation models for content understanding using state\-of\-the\-art deep learning and multimodal learning techniques to analyze video, audio, and text.
* Build time sequence foundation models to understand and predict customer behavior patterns and viewing trajectories.
* Work closely with engineers and product managers to design, implement and launch solutions end\-to\-end across various Prime Video experiences.
* Design and conduct offline and online (A/B) experiments to evaluate proposed solutions based on in\-depth data analyses.
* Effectively communicate technical and non\-technical ideas with teammates and stakeholders.
* Stay up\-to\-date with advancements and the latest modeling techniques in foundation models, multimodal learning, and time series analysis.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t>
        </is>
      </c>
    </row>
    <row r="231">
      <c r="A231" t="inlineStr">
        <is>
          <t>in-18ab7b40fb5e558c</t>
        </is>
      </c>
      <c r="B231" t="inlineStr">
        <is>
          <t>Sr. Applied Scientist, Amazon Advertising</t>
        </is>
      </c>
      <c r="C231" t="inlineStr">
        <is>
          <t>Amazon.com</t>
        </is>
      </c>
      <c r="D231" t="inlineStr">
        <is>
          <t>indeed</t>
        </is>
      </c>
      <c r="E231">
        <f>HYPERLINK("https://www.indeed.com/viewjob?jk=18ab7b40fb5e558c", "https://www.indeed.com/viewjob?jk=18ab7b40fb5e558c")</f>
        <v/>
      </c>
      <c r="F231">
        <f>HYPERLINK("https://www.amazon.jobs/jobs/3035686/sr-applied-scientist-amazon-advertising?cmpid=DA_INAD200785B", "https://www.amazon.jobs/jobs/3035686/sr-applied-scientist-amazon-advertising?cmpid=DA_INAD200785B")</f>
        <v/>
      </c>
      <c r="G231" t="inlineStr">
        <is>
          <t>Los Angeles, CA, US</t>
        </is>
      </c>
      <c r="H231" s="2" t="n">
        <v>45851</v>
      </c>
      <c r="I23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in-a606f8028c656a84</t>
        </is>
      </c>
      <c r="B232" t="inlineStr">
        <is>
          <t>Sr. Applied Scientist, Amazon Advertising</t>
        </is>
      </c>
      <c r="C232" t="inlineStr">
        <is>
          <t>Amazon.com</t>
        </is>
      </c>
      <c r="D232" t="inlineStr">
        <is>
          <t>indeed</t>
        </is>
      </c>
      <c r="E232">
        <f>HYPERLINK("https://www.indeed.com/viewjob?jk=a606f8028c656a84", "https://www.indeed.com/viewjob?jk=a606f8028c656a84")</f>
        <v/>
      </c>
      <c r="F232">
        <f>HYPERLINK("https://www.amazon.jobs/jobs/3035686/sr-applied-scientist-amazon-advertising?cmpid=DA_INAD200785B", "https://www.amazon.jobs/jobs/3035686/sr-applied-scientist-amazon-advertising?cmpid=DA_INAD200785B")</f>
        <v/>
      </c>
      <c r="G232" t="inlineStr">
        <is>
          <t>Simi Valley, CA, US</t>
        </is>
      </c>
      <c r="H232" s="2" t="n">
        <v>45851</v>
      </c>
      <c r="I23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in-fdcae11ab9facd90</t>
        </is>
      </c>
      <c r="B233" t="inlineStr">
        <is>
          <t>Sr. Applied Scientist, Amazon Advertising</t>
        </is>
      </c>
      <c r="C233" t="inlineStr">
        <is>
          <t>Amazon.com</t>
        </is>
      </c>
      <c r="D233" t="inlineStr">
        <is>
          <t>indeed</t>
        </is>
      </c>
      <c r="E233">
        <f>HYPERLINK("https://www.indeed.com/viewjob?jk=fdcae11ab9facd90", "https://www.indeed.com/viewjob?jk=fdcae11ab9facd90")</f>
        <v/>
      </c>
      <c r="F233">
        <f>HYPERLINK("https://www.amazon.jobs/jobs/3035686/sr-applied-scientist-amazon-advertising?cmpid=DA_INAD200785B", "https://www.amazon.jobs/jobs/3035686/sr-applied-scientist-amazon-advertising?cmpid=DA_INAD200785B")</f>
        <v/>
      </c>
      <c r="G233" t="inlineStr">
        <is>
          <t>Palo Alto, CA, US</t>
        </is>
      </c>
      <c r="H233" s="2" t="n">
        <v>45851</v>
      </c>
      <c r="I23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in-4dc4b0e5b5c795af</t>
        </is>
      </c>
      <c r="B234" t="inlineStr">
        <is>
          <t>Sr. Applied Scientist, Amazon Advertising</t>
        </is>
      </c>
      <c r="C234" t="inlineStr">
        <is>
          <t>Amazon.com</t>
        </is>
      </c>
      <c r="D234" t="inlineStr">
        <is>
          <t>indeed</t>
        </is>
      </c>
      <c r="E234">
        <f>HYPERLINK("https://www.indeed.com/viewjob?jk=4dc4b0e5b5c795af", "https://www.indeed.com/viewjob?jk=4dc4b0e5b5c795af")</f>
        <v/>
      </c>
      <c r="F234">
        <f>HYPERLINK("https://www.amazon.jobs/jobs/3035686/sr-applied-scientist-amazon-advertising?cmpid=DA_INAD200785B", "https://www.amazon.jobs/jobs/3035686/sr-applied-scientist-amazon-advertising?cmpid=DA_INAD200785B")</f>
        <v/>
      </c>
      <c r="G234" t="inlineStr">
        <is>
          <t>Arlington, VA, US</t>
        </is>
      </c>
      <c r="H234" s="2" t="n">
        <v>45851</v>
      </c>
      <c r="I23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in-c398c8a65b573832</t>
        </is>
      </c>
      <c r="B235" t="inlineStr">
        <is>
          <t>Sr. Applied Scientist, Amazon Advertising</t>
        </is>
      </c>
      <c r="C235" t="inlineStr">
        <is>
          <t>Amazon.com</t>
        </is>
      </c>
      <c r="D235" t="inlineStr">
        <is>
          <t>indeed</t>
        </is>
      </c>
      <c r="E235">
        <f>HYPERLINK("https://www.indeed.com/viewjob?jk=c398c8a65b573832", "https://www.indeed.com/viewjob?jk=c398c8a65b573832")</f>
        <v/>
      </c>
      <c r="F235">
        <f>HYPERLINK("https://www.amazon.jobs/jobs/3035686/sr-applied-scientist-amazon-advertising?cmpid=DA_INAD200785B", "https://www.amazon.jobs/jobs/3035686/sr-applied-scientist-amazon-advertising?cmpid=DA_INAD200785B")</f>
        <v/>
      </c>
      <c r="G235" t="inlineStr">
        <is>
          <t>Austin, TX, US</t>
        </is>
      </c>
      <c r="H235" s="2" t="n">
        <v>45851</v>
      </c>
      <c r="I23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in-28742812406b8d40</t>
        </is>
      </c>
      <c r="B236" t="inlineStr">
        <is>
          <t>Sr. Applied Scientist, Amazon Advertising</t>
        </is>
      </c>
      <c r="C236" t="inlineStr">
        <is>
          <t>Amazon.com</t>
        </is>
      </c>
      <c r="D236" t="inlineStr">
        <is>
          <t>indeed</t>
        </is>
      </c>
      <c r="E236">
        <f>HYPERLINK("https://www.indeed.com/viewjob?jk=28742812406b8d40", "https://www.indeed.com/viewjob?jk=28742812406b8d40")</f>
        <v/>
      </c>
      <c r="F236">
        <f>HYPERLINK("https://www.amazon.jobs/jobs/3035686/sr-applied-scientist-amazon-advertising?cmpid=DA_INAD200785B", "https://www.amazon.jobs/jobs/3035686/sr-applied-scientist-amazon-advertising?cmpid=DA_INAD200785B")</f>
        <v/>
      </c>
      <c r="G236" t="inlineStr">
        <is>
          <t>Seattle, WA, US</t>
        </is>
      </c>
      <c r="H236" s="2" t="n">
        <v>45851</v>
      </c>
      <c r="I23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in-f9755d26326b62bd</t>
        </is>
      </c>
      <c r="B237" t="inlineStr">
        <is>
          <t>Sr. Applied Scientist, Amazon Advertising</t>
        </is>
      </c>
      <c r="C237" t="inlineStr">
        <is>
          <t>Amazon.com</t>
        </is>
      </c>
      <c r="D237" t="inlineStr">
        <is>
          <t>indeed</t>
        </is>
      </c>
      <c r="E237">
        <f>HYPERLINK("https://www.indeed.com/viewjob?jk=f9755d26326b62bd", "https://www.indeed.com/viewjob?jk=f9755d26326b62bd")</f>
        <v/>
      </c>
      <c r="F237">
        <f>HYPERLINK("https://www.amazon.jobs/jobs/3035686/sr-applied-scientist-amazon-advertising?cmpid=DA_INAD200785B", "https://www.amazon.jobs/jobs/3035686/sr-applied-scientist-amazon-advertising?cmpid=DA_INAD200785B")</f>
        <v/>
      </c>
      <c r="G237" t="inlineStr">
        <is>
          <t>New York, NY, US</t>
        </is>
      </c>
      <c r="H237" s="2" t="n">
        <v>45851</v>
      </c>
      <c r="I23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in-b5ea756f53e3e8ae</t>
        </is>
      </c>
      <c r="B238" t="inlineStr">
        <is>
          <t>Sr. Applied Scientist, Amazon Advertising</t>
        </is>
      </c>
      <c r="C238" t="inlineStr">
        <is>
          <t>Amazon.com</t>
        </is>
      </c>
      <c r="D238" t="inlineStr">
        <is>
          <t>indeed</t>
        </is>
      </c>
      <c r="E238">
        <f>HYPERLINK("https://www.indeed.com/viewjob?jk=b5ea756f53e3e8ae", "https://www.indeed.com/viewjob?jk=b5ea756f53e3e8ae")</f>
        <v/>
      </c>
      <c r="F238">
        <f>HYPERLINK("https://www.amazon.jobs/jobs/3035686/sr-applied-scientist-amazon-advertising?cmpid=DA_INAD200785B", "https://www.amazon.jobs/jobs/3035686/sr-applied-scientist-amazon-advertising?cmpid=DA_INAD200785B")</f>
        <v/>
      </c>
      <c r="G238" t="inlineStr">
        <is>
          <t>West Hollywood, CA, US</t>
        </is>
      </c>
      <c r="H238" s="2" t="n">
        <v>45851</v>
      </c>
      <c r="I23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in-8abf5afe62b79168</t>
        </is>
      </c>
      <c r="B239" t="inlineStr">
        <is>
          <t>Applied Scientist, Prime Video - Personalization and Discovery Science</t>
        </is>
      </c>
      <c r="C239" t="inlineStr">
        <is>
          <t>Amazon.com</t>
        </is>
      </c>
      <c r="D239" t="inlineStr">
        <is>
          <t>indeed</t>
        </is>
      </c>
      <c r="E239">
        <f>HYPERLINK("https://www.indeed.com/viewjob?jk=8abf5afe62b79168", "https://www.indeed.com/viewjob?jk=8abf5afe62b79168")</f>
        <v/>
      </c>
      <c r="F239">
        <f>HYPERLINK("https://www.amazon.jobs/jobs/3033050/applied-scientist-prime-video--personalization-and-discovery-science?cmpid=DA_INAD200785B", "https://www.amazon.jobs/jobs/3033050/applied-scientist-prime-video--personalization-and-discovery-science?cmpid=DA_INAD200785B")</f>
        <v/>
      </c>
      <c r="G239" t="inlineStr">
        <is>
          <t>Sunnyvale, CA, US</t>
        </is>
      </c>
      <c r="H239" s="2" t="n">
        <v>45845</v>
      </c>
      <c r="I2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0">
      <c r="A240" t="inlineStr">
        <is>
          <t>in-de809d97c3f091c1</t>
        </is>
      </c>
      <c r="B240" t="inlineStr">
        <is>
          <t>Applied Scientist, Prime Video - Personalization and Discovery Science</t>
        </is>
      </c>
      <c r="C240" t="inlineStr">
        <is>
          <t>Amazon.com</t>
        </is>
      </c>
      <c r="D240" t="inlineStr">
        <is>
          <t>indeed</t>
        </is>
      </c>
      <c r="E240">
        <f>HYPERLINK("https://www.indeed.com/viewjob?jk=de809d97c3f091c1", "https://www.indeed.com/viewjob?jk=de809d97c3f091c1")</f>
        <v/>
      </c>
      <c r="F240">
        <f>HYPERLINK("https://www.amazon.jobs/jobs/3033050/applied-scientist-prime-video--personalization-and-discovery-science?cmpid=DA_INAD200785B", "https://www.amazon.jobs/jobs/3033050/applied-scientist-prime-video--personalization-and-discovery-science?cmpid=DA_INAD200785B")</f>
        <v/>
      </c>
      <c r="G240" t="inlineStr">
        <is>
          <t>New York, NY, US</t>
        </is>
      </c>
      <c r="H240" s="2" t="n">
        <v>45845</v>
      </c>
      <c r="I2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1">
      <c r="A241" t="inlineStr">
        <is>
          <t>in-569afb636643eb6a</t>
        </is>
      </c>
      <c r="B241" t="inlineStr">
        <is>
          <t>Applied Scientist, Prime Video - Personalization and Discovery Science</t>
        </is>
      </c>
      <c r="C241" t="inlineStr">
        <is>
          <t>Amazon.com</t>
        </is>
      </c>
      <c r="D241" t="inlineStr">
        <is>
          <t>indeed</t>
        </is>
      </c>
      <c r="E241">
        <f>HYPERLINK("https://www.indeed.com/viewjob?jk=569afb636643eb6a", "https://www.indeed.com/viewjob?jk=569afb636643eb6a")</f>
        <v/>
      </c>
      <c r="F241">
        <f>HYPERLINK("https://www.amazon.jobs/jobs/3033050/applied-scientist-prime-video--personalization-and-discovery-science?cmpid=DA_INAD200785B", "https://www.amazon.jobs/jobs/3033050/applied-scientist-prime-video--personalization-and-discovery-science?cmpid=DA_INAD200785B")</f>
        <v/>
      </c>
      <c r="G241" t="inlineStr">
        <is>
          <t>Seattle, WA, US</t>
        </is>
      </c>
      <c r="H241" s="2" t="n">
        <v>45845</v>
      </c>
      <c r="I2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NY, New York \- 172,400\.00 \- 223,400\.00 USD annually  
USA, WA, Seattle \- 142,800\.00 \- 193,200\.00 USD annually</t>
        </is>
      </c>
    </row>
    <row r="242">
      <c r="A242" t="inlineStr">
        <is>
          <t>in-65155c1811982123</t>
        </is>
      </c>
      <c r="B242" t="inlineStr">
        <is>
          <t>Sr. Data Scientist, Amazon Leo Global Planning, Amazon Leo</t>
        </is>
      </c>
      <c r="C242" t="inlineStr">
        <is>
          <t>Amazon.com</t>
        </is>
      </c>
      <c r="D242" t="inlineStr">
        <is>
          <t>indeed</t>
        </is>
      </c>
      <c r="E242">
        <f>HYPERLINK("https://www.indeed.com/viewjob?jk=65155c1811982123", "https://www.indeed.com/viewjob?jk=65155c1811982123")</f>
        <v/>
      </c>
      <c r="F242">
        <f>HYPERLINK("https://www.amazon.jobs/jobs/3016062/sr-data-scientist-amazon-leo-global-planning-amazon-leo?cmpid=DA_INAD200785B", "https://www.amazon.jobs/jobs/3016062/sr-data-scientist-amazon-leo-global-planning-amazon-leo?cmpid=DA_INAD200785B")</f>
        <v/>
      </c>
      <c r="G242" t="inlineStr">
        <is>
          <t>Redmond, WA, US</t>
        </is>
      </c>
      <c r="H242" s="2" t="n">
        <v>45830</v>
      </c>
      <c r="I242"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43">
      <c r="A243" t="inlineStr">
        <is>
          <t>in-481350a31f020381</t>
        </is>
      </c>
      <c r="B243" t="inlineStr">
        <is>
          <t>Sr. Data Scientist, Amazon Leo Global Planning, Amazon Leo</t>
        </is>
      </c>
      <c r="C243" t="inlineStr">
        <is>
          <t>Amazon.com</t>
        </is>
      </c>
      <c r="D243" t="inlineStr">
        <is>
          <t>indeed</t>
        </is>
      </c>
      <c r="E243">
        <f>HYPERLINK("https://www.indeed.com/viewjob?jk=481350a31f020381", "https://www.indeed.com/viewjob?jk=481350a31f020381")</f>
        <v/>
      </c>
      <c r="F243">
        <f>HYPERLINK("https://www.amazon.jobs/jobs/3016062/sr-data-scientist-amazon-leo-global-planning-amazon-leo?cmpid=DA_INAD200785B", "https://www.amazon.jobs/jobs/3016062/sr-data-scientist-amazon-leo-global-planning-amazon-leo?cmpid=DA_INAD200785B")</f>
        <v/>
      </c>
      <c r="G243" t="inlineStr">
        <is>
          <t>Bellevue, WA, US</t>
        </is>
      </c>
      <c r="H243" s="2" t="n">
        <v>45830</v>
      </c>
      <c r="I243" t="inlineStr">
        <is>
          <t>**DESCRIPTION**
---------------
Amazon Leo is an initiative to increase global broadband access through a constellation of 3,236 satellites in low Earth orbit (LEO). Its mission is to bring fast, affordable broadband to unserved and underserved communities around the world. Amazon Leo will help close the digital divide by delivering fast, affordable broadband to a wide range of customers, including consumers, businesses, government agencies, and other organizations operating in places without reliable connectivity.  
Do you get excited by aerospace, space exploration, and/or satellites? Do you want to help build solutions at Amazon Leo to transform the space industry? If so, then we would love to talk!  
Key job responsibilities  
Work cross\-functionally with product, business development, and various technical teams (engineering, science, simulations, etc.) to execute on the long\-term vision, strategy, and architecture for the science\-based global demand forecast.  
Design and deliver modern, flexible, scalable solutions to integrate data from a variety of sources and systems (both internal and external) and develop Bandwidth Usage models at granular temporal and geographic grains, deployable to Leo traffic management systems.  
Work closely with the capacity planning science team to ensure that demand forecasts feed seamlessly into their systems to deliver continuous optimization of resources.  
Lead short and long terms technical roadmap definition efforts to deliver solutions that meet business needs in pre\-launch, early\-launch, and mature business phases.  
Synthesize and communicate insights and recommendations to audiences of varying levels of technical sophistication to drive change across Amazon Leo.  
Export Control Requirement: Due to applicable export control laws and regulations, candidates must be a U.S. citizen or national, U.S. permanent resident (i.e., current Green Card holder), or lawfully admitted into the U.S. as a refugee or granted asylum.  
About the team  
The Amazon Leo Global Demand Planning team's mission is to map customer demand across space and time. We enable Amazon Leo's long\-term success by delivering actionable insights and scientific forecasts across geographies and customer segments to empower long range planning, capacity simulations, business strategy, and hardware manufacturing recommendations through scalable tools and durable mechanisms.
**BASIC QUALIFICATIONS**
------------------------
* 4\+ years of data scientist experience
* 5\+ years of data querying languages (e.g. SQL), scripting languages (e.g. Python) or statistical/mathematical software (e.g. R, SAS, Matlab, etc.) experience
* Experience with statistical models e.g. multinomial logistic regression
* Experience developing forecasting methodologies
**PREFERRED QUALIFICATIONS**
----------------------------
* Master's degree in a quantitative field such as statistics, mathematics, data science, business analytics, economics, finance, engineering, or computer science
* Experience managing data pipelines
* Experience working with scientists, economists, software developers, or product managers
* 3\+ years of data visualization using AWS QuickSight, Tableau, R Shiny, etc. experience
* Experience in data applications using large scale distributed systems (e.g., EMR, Spark, Elasticsearch, Hadoop, Pig, and Hive)
* Hands\-on experience in building machine learning or optimization models in a business environment using tools such as AWS SageMaker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WA, Bellevue \- 159,200\.00 \- 215,300\.00 USD annually  
USA, WA, Redmond \- 159,200\.00 \- 215,300\.00 USD annually</t>
        </is>
      </c>
    </row>
    <row r="244">
      <c r="A244" t="inlineStr">
        <is>
          <t>in-c2a456a6f0ccea7e</t>
        </is>
      </c>
      <c r="B244" t="inlineStr">
        <is>
          <t>Sr. Applied Scientist, AGI Info</t>
        </is>
      </c>
      <c r="C244" t="inlineStr">
        <is>
          <t>Amazon.com</t>
        </is>
      </c>
      <c r="D244" t="inlineStr">
        <is>
          <t>indeed</t>
        </is>
      </c>
      <c r="E244">
        <f>HYPERLINK("https://www.indeed.com/viewjob?jk=c2a456a6f0ccea7e", "https://www.indeed.com/viewjob?jk=c2a456a6f0ccea7e")</f>
        <v/>
      </c>
      <c r="F244">
        <f>HYPERLINK("https://www.amazon.jobs/jobs/2999351/sr-applied-scientist-agi-info?cmpid=DA_INAD200785B", "https://www.amazon.jobs/jobs/2999351/sr-applied-scientist-agi-info?cmpid=DA_INAD200785B")</f>
        <v/>
      </c>
      <c r="G244" t="inlineStr">
        <is>
          <t>Sunnyvale, CA, US</t>
        </is>
      </c>
      <c r="H244" s="2" t="n">
        <v>45811</v>
      </c>
      <c r="I244"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45">
      <c r="A245" t="inlineStr">
        <is>
          <t>in-c113fe7611c0be79</t>
        </is>
      </c>
      <c r="B245" t="inlineStr">
        <is>
          <t>Sr. Applied Scientist, AGI Info</t>
        </is>
      </c>
      <c r="C245" t="inlineStr">
        <is>
          <t>Amazon.com</t>
        </is>
      </c>
      <c r="D245" t="inlineStr">
        <is>
          <t>indeed</t>
        </is>
      </c>
      <c r="E245">
        <f>HYPERLINK("https://www.indeed.com/viewjob?jk=c113fe7611c0be79", "https://www.indeed.com/viewjob?jk=c113fe7611c0be79")</f>
        <v/>
      </c>
      <c r="F245">
        <f>HYPERLINK("https://www.amazon.jobs/jobs/2999351/sr-applied-scientist-agi-info?cmpid=DA_INAD200785B", "https://www.amazon.jobs/jobs/2999351/sr-applied-scientist-agi-info?cmpid=DA_INAD200785B")</f>
        <v/>
      </c>
      <c r="G245" t="inlineStr">
        <is>
          <t>Bellevue, WA, US</t>
        </is>
      </c>
      <c r="H245" s="2" t="n">
        <v>45811</v>
      </c>
      <c r="I245" t="inlineStr">
        <is>
          <t>**DESCRIPTION**
---------------
Amazon’s Artificial General Intelligence (AGI) organization is developing a next\-generation web\-scale information retrieval system to support RAG applications across Amazon. We are looking for a Sr. Applied Scientist with expertise in information retrieval (IR) and ranking to join the team!  
If you are looking for an opportunity to develop innovative solutions to deep technical problems in web\-scale IR, having a massive customer impact, this might be the role for you! As a Sr. Applied Scientist, you will work with smart, passionate colleagues in a fast\-paced environment. You will invent, develop, and help deploy novel, scalable algorithms to advance the state\-of\-the\-art in our IR stack. You will keep up with relevant research in the field of IR and publish your work in top\-tier conferences. You will develop and help lead the execution of multi\-year research roadmaps, enabling the team to focus on the right technical challenges to delight our customers.  
Key job responsibilities  
You will lead a team of scientists to improve our RAG applications. You will be responsible for: (i) developing novel retrieval and ranking models and partnering closely with engineering to improve model performance; (ii) improve content and query understanding models to deliver improved signal to retrieval and ranking models; (iii) partner closely with content acquisition and client teams to ensure our dependencies are met and we’re delivering value to the end customers, enhancing information grounding for LLMs; (iv) develop science roadmaps for critical web search components; (v) publish your work and remain active in the academic communities; (vi) coach and develop junior scientists.  
A day in the life  
A mix of (i) technical deep dives: working with the team to develop the right models, setup good experiments, debug models, etc. (ii) coaching and development: providing feedback, setting up mechanisms to ensure the team’s success, and (iii) working with customers and dependency teams to ensure delivery.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Experience with conducting research in a corporate setting
* Experience with large scale machine learning systems such as profiling and debugging and understanding of system performance and scalability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WA, BELLEVUE \- 167,100\.00 \- 226,100\.00 USD annually</t>
        </is>
      </c>
    </row>
    <row r="246">
      <c r="A246" t="inlineStr">
        <is>
          <t>in-eedce1c0f12df0fd</t>
        </is>
      </c>
      <c r="B246" t="inlineStr">
        <is>
          <t>Principal Applied Scientist, Delivery Foundation Model</t>
        </is>
      </c>
      <c r="C246" t="inlineStr">
        <is>
          <t>Amazon.com</t>
        </is>
      </c>
      <c r="D246" t="inlineStr">
        <is>
          <t>indeed</t>
        </is>
      </c>
      <c r="E246">
        <f>HYPERLINK("https://www.indeed.com/viewjob?jk=eedce1c0f12df0fd", "https://www.indeed.com/viewjob?jk=eedce1c0f12df0fd")</f>
        <v/>
      </c>
      <c r="F246">
        <f>HYPERLINK("https://www.amazon.jobs/jobs/3006938/principal-applied-scientist-delivery-foundation-model-?cmpid=DA_INAD200785B", "https://www.amazon.jobs/jobs/3006938/principal-applied-scientist-delivery-foundation-model-?cmpid=DA_INAD200785B")</f>
        <v/>
      </c>
      <c r="G246" t="inlineStr">
        <is>
          <t>Santa Clara, CA, US</t>
        </is>
      </c>
      <c r="H246" s="2" t="n">
        <v>45810</v>
      </c>
      <c r="I24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7">
      <c r="A247" t="inlineStr">
        <is>
          <t>in-323e13a1ab7d762d</t>
        </is>
      </c>
      <c r="B247" t="inlineStr">
        <is>
          <t>Principal Applied Scientist, Delivery Foundation Model</t>
        </is>
      </c>
      <c r="C247" t="inlineStr">
        <is>
          <t>Amazon.com</t>
        </is>
      </c>
      <c r="D247" t="inlineStr">
        <is>
          <t>indeed</t>
        </is>
      </c>
      <c r="E247">
        <f>HYPERLINK("https://www.indeed.com/viewjob?jk=323e13a1ab7d762d", "https://www.indeed.com/viewjob?jk=323e13a1ab7d762d")</f>
        <v/>
      </c>
      <c r="F247">
        <f>HYPERLINK("https://www.amazon.jobs/jobs/3006938/principal-applied-scientist-delivery-foundation-model-?cmpid=DA_INAD200785B", "https://www.amazon.jobs/jobs/3006938/principal-applied-scientist-delivery-foundation-model-?cmpid=DA_INAD200785B")</f>
        <v/>
      </c>
      <c r="G247" t="inlineStr">
        <is>
          <t>Austin, TX, US</t>
        </is>
      </c>
      <c r="H247" s="2" t="n">
        <v>45810</v>
      </c>
      <c r="I24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8">
      <c r="A248" t="inlineStr">
        <is>
          <t>in-a578a3d4db571614</t>
        </is>
      </c>
      <c r="B248" t="inlineStr">
        <is>
          <t>Principal Applied Scientist, Delivery Foundation Model</t>
        </is>
      </c>
      <c r="C248" t="inlineStr">
        <is>
          <t>Amazon.com</t>
        </is>
      </c>
      <c r="D248" t="inlineStr">
        <is>
          <t>indeed</t>
        </is>
      </c>
      <c r="E248">
        <f>HYPERLINK("https://www.indeed.com/viewjob?jk=a578a3d4db571614", "https://www.indeed.com/viewjob?jk=a578a3d4db571614")</f>
        <v/>
      </c>
      <c r="F248">
        <f>HYPERLINK("https://www.amazon.jobs/jobs/3006938/principal-applied-scientist-delivery-foundation-model-?cmpid=DA_INAD200785B", "https://www.amazon.jobs/jobs/3006938/principal-applied-scientist-delivery-foundation-model-?cmpid=DA_INAD200785B")</f>
        <v/>
      </c>
      <c r="G248" t="inlineStr">
        <is>
          <t>Bellevue, WA, US</t>
        </is>
      </c>
      <c r="H248" s="2" t="n">
        <v>45810</v>
      </c>
      <c r="I24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49">
      <c r="A249" t="inlineStr">
        <is>
          <t>in-0da3cc315b830a9b</t>
        </is>
      </c>
      <c r="B249" t="inlineStr">
        <is>
          <t>Principal Applied Scientist, Delivery Foundation Model</t>
        </is>
      </c>
      <c r="C249" t="inlineStr">
        <is>
          <t>Amazon.com</t>
        </is>
      </c>
      <c r="D249" t="inlineStr">
        <is>
          <t>indeed</t>
        </is>
      </c>
      <c r="E249">
        <f>HYPERLINK("https://www.indeed.com/viewjob?jk=0da3cc315b830a9b", "https://www.indeed.com/viewjob?jk=0da3cc315b830a9b")</f>
        <v/>
      </c>
      <c r="F249">
        <f>HYPERLINK("https://www.amazon.jobs/jobs/3006938/principal-applied-scientist-delivery-foundation-model-?cmpid=DA_INAD200785B", "https://www.amazon.jobs/jobs/3006938/principal-applied-scientist-delivery-foundation-model-?cmpid=DA_INAD200785B")</f>
        <v/>
      </c>
      <c r="G249" t="inlineStr">
        <is>
          <t>New York, NY, US</t>
        </is>
      </c>
      <c r="H249" s="2" t="n">
        <v>45810</v>
      </c>
      <c r="I24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TX, Austin \- 198,900\.00 \- 269,000\.00 USD annually  
USA, WA, Bellevue \- 198,900\.00 \- 269,000\.00 USD annually</t>
        </is>
      </c>
    </row>
    <row r="250">
      <c r="A250" t="inlineStr">
        <is>
          <t>in-ece27f6b33ce4065</t>
        </is>
      </c>
      <c r="B250" t="inlineStr">
        <is>
          <t>Senior Applied Scientist, Delivery Foundation Model</t>
        </is>
      </c>
      <c r="C250" t="inlineStr">
        <is>
          <t>Amazon.com</t>
        </is>
      </c>
      <c r="D250" t="inlineStr">
        <is>
          <t>indeed</t>
        </is>
      </c>
      <c r="E250">
        <f>HYPERLINK("https://www.indeed.com/viewjob?jk=ece27f6b33ce4065", "https://www.indeed.com/viewjob?jk=ece27f6b33ce4065")</f>
        <v/>
      </c>
      <c r="F250">
        <f>HYPERLINK("https://www.amazon.jobs/jobs/2998435/senior-applied-scientist-delivery-foundation-model-?cmpid=DA_INAD200785B", "https://www.amazon.jobs/jobs/2998435/senior-applied-scientist-delivery-foundation-model-?cmpid=DA_INAD200785B")</f>
        <v/>
      </c>
      <c r="G250" t="inlineStr">
        <is>
          <t>New York, NY, US</t>
        </is>
      </c>
      <c r="H250" s="2" t="n">
        <v>45806</v>
      </c>
      <c r="I25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in-c1b116d922f1da42</t>
        </is>
      </c>
      <c r="B251" t="inlineStr">
        <is>
          <t>Senior Applied Scientist, Delivery Foundation Model</t>
        </is>
      </c>
      <c r="C251" t="inlineStr">
        <is>
          <t>Amazon.com</t>
        </is>
      </c>
      <c r="D251" t="inlineStr">
        <is>
          <t>indeed</t>
        </is>
      </c>
      <c r="E251">
        <f>HYPERLINK("https://www.indeed.com/viewjob?jk=c1b116d922f1da42", "https://www.indeed.com/viewjob?jk=c1b116d922f1da42")</f>
        <v/>
      </c>
      <c r="F251">
        <f>HYPERLINK("https://www.amazon.jobs/jobs/2998435/senior-applied-scientist-delivery-foundation-model-?cmpid=DA_INAD200785B", "https://www.amazon.jobs/jobs/2998435/senior-applied-scientist-delivery-foundation-model-?cmpid=DA_INAD200785B")</f>
        <v/>
      </c>
      <c r="G251" t="inlineStr">
        <is>
          <t>Bellevue, WA, US</t>
        </is>
      </c>
      <c r="H251" s="2" t="n">
        <v>45806</v>
      </c>
      <c r="I25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in-f245d2d0107ebfc6</t>
        </is>
      </c>
      <c r="B252" t="inlineStr">
        <is>
          <t>Senior Applied Scientist, Delivery Foundation Model</t>
        </is>
      </c>
      <c r="C252" t="inlineStr">
        <is>
          <t>Amazon.com</t>
        </is>
      </c>
      <c r="D252" t="inlineStr">
        <is>
          <t>indeed</t>
        </is>
      </c>
      <c r="E252">
        <f>HYPERLINK("https://www.indeed.com/viewjob?jk=f245d2d0107ebfc6", "https://www.indeed.com/viewjob?jk=f245d2d0107ebfc6")</f>
        <v/>
      </c>
      <c r="F252">
        <f>HYPERLINK("https://www.amazon.jobs/jobs/2998435/senior-applied-scientist-delivery-foundation-model-?cmpid=DA_INAD200785B", "https://www.amazon.jobs/jobs/2998435/senior-applied-scientist-delivery-foundation-model-?cmpid=DA_INAD200785B")</f>
        <v/>
      </c>
      <c r="G252" t="inlineStr">
        <is>
          <t>Santa Clara, CA, US</t>
        </is>
      </c>
      <c r="H252" s="2" t="n">
        <v>45806</v>
      </c>
      <c r="I25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in-a57a0e1ebce66ce4</t>
        </is>
      </c>
      <c r="B253" t="inlineStr">
        <is>
          <t>Sr. Applied Scientist - Privacy, Privacy Engineering</t>
        </is>
      </c>
      <c r="C253" t="inlineStr">
        <is>
          <t>Amazon.com</t>
        </is>
      </c>
      <c r="D253" t="inlineStr">
        <is>
          <t>indeed</t>
        </is>
      </c>
      <c r="E253">
        <f>HYPERLINK("https://www.indeed.com/viewjob?jk=a57a0e1ebce66ce4", "https://www.indeed.com/viewjob?jk=a57a0e1ebce66ce4")</f>
        <v/>
      </c>
      <c r="F253">
        <f>HYPERLINK("https://www.amazon.jobs/jobs/2997657/sr-applied-scientist--privacy-privacy-engineering?cmpid=DA_INAD200785B", "https://www.amazon.jobs/jobs/2997657/sr-applied-scientist--privacy-privacy-engineering?cmpid=DA_INAD200785B")</f>
        <v/>
      </c>
      <c r="G253" t="inlineStr">
        <is>
          <t>Seattle, WA, US</t>
        </is>
      </c>
      <c r="H253" s="2" t="n">
        <v>45787</v>
      </c>
      <c r="I253"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in-53bfeb5f74cefa52</t>
        </is>
      </c>
      <c r="B254" t="inlineStr">
        <is>
          <t>Sr. Applied Scientist - Privacy, Privacy Engineering</t>
        </is>
      </c>
      <c r="C254" t="inlineStr">
        <is>
          <t>Amazon.com</t>
        </is>
      </c>
      <c r="D254" t="inlineStr">
        <is>
          <t>indeed</t>
        </is>
      </c>
      <c r="E254">
        <f>HYPERLINK("https://www.indeed.com/viewjob?jk=53bfeb5f74cefa52", "https://www.indeed.com/viewjob?jk=53bfeb5f74cefa52")</f>
        <v/>
      </c>
      <c r="F254">
        <f>HYPERLINK("https://www.amazon.jobs/jobs/2997657/sr-applied-scientist--privacy-privacy-engineering?cmpid=DA_INAD200785B", "https://www.amazon.jobs/jobs/2997657/sr-applied-scientist--privacy-privacy-engineering?cmpid=DA_INAD200785B")</f>
        <v/>
      </c>
      <c r="G254" t="inlineStr">
        <is>
          <t>Santa Clara, CA, US</t>
        </is>
      </c>
      <c r="H254" s="2" t="n">
        <v>45787</v>
      </c>
      <c r="I254"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in-31bb2b3a5ef8657f</t>
        </is>
      </c>
      <c r="B255" t="inlineStr">
        <is>
          <t>Sr. Applied Scientist - Privacy, Privacy Engineering</t>
        </is>
      </c>
      <c r="C255" t="inlineStr">
        <is>
          <t>Amazon.com</t>
        </is>
      </c>
      <c r="D255" t="inlineStr">
        <is>
          <t>indeed</t>
        </is>
      </c>
      <c r="E255">
        <f>HYPERLINK("https://www.indeed.com/viewjob?jk=31bb2b3a5ef8657f", "https://www.indeed.com/viewjob?jk=31bb2b3a5ef8657f")</f>
        <v/>
      </c>
      <c r="F255">
        <f>HYPERLINK("https://www.amazon.jobs/jobs/2997657/sr-applied-scientist--privacy-privacy-engineering?cmpid=DA_INAD200785B", "https://www.amazon.jobs/jobs/2997657/sr-applied-scientist--privacy-privacy-engineering?cmpid=DA_INAD200785B")</f>
        <v/>
      </c>
      <c r="G255" t="inlineStr">
        <is>
          <t>San Francisco, CA, US</t>
        </is>
      </c>
      <c r="H255" s="2" t="n">
        <v>45787</v>
      </c>
      <c r="I255"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in-c3593b7085d903ae</t>
        </is>
      </c>
      <c r="B256" t="inlineStr">
        <is>
          <t>Sr. Applied Scientist - Privacy, Privacy Engineering</t>
        </is>
      </c>
      <c r="C256" t="inlineStr">
        <is>
          <t>Amazon.com</t>
        </is>
      </c>
      <c r="D256" t="inlineStr">
        <is>
          <t>indeed</t>
        </is>
      </c>
      <c r="E256">
        <f>HYPERLINK("https://www.indeed.com/viewjob?jk=c3593b7085d903ae", "https://www.indeed.com/viewjob?jk=c3593b7085d903ae")</f>
        <v/>
      </c>
      <c r="F256">
        <f>HYPERLINK("https://www.amazon.jobs/jobs/2997657/sr-applied-scientist--privacy-privacy-engineering?cmpid=DA_INAD200785B", "https://www.amazon.jobs/jobs/2997657/sr-applied-scientist--privacy-privacy-engineering?cmpid=DA_INAD200785B")</f>
        <v/>
      </c>
      <c r="G256" t="inlineStr">
        <is>
          <t>Sunnyvale, CA, US</t>
        </is>
      </c>
      <c r="H256" s="2" t="n">
        <v>45787</v>
      </c>
      <c r="I256" t="inlineStr">
        <is>
          <t>**DESCRIPTION**
---------------
Amazon is seeking an innovative and high\-judgement Senior Applied Scientist to join the Privacy Engineering team in the Amazon Privacy Services org. We own products and programs that deliver technical innovation for ensuring compliance with high\-impact, urgent regulation across Amazon services worldwide.
The Senior Applied Scientist will contribute to the strategic direction for Amazon’s privacy practices while building/owning the compliance approach for individual regulations such as General Data Protection Regulation (GDPR), DMA, Quebec 25 etc. This will require helping to frame, and participating in, high judgment debates and decision making across senior business, technology, legal, and public policy leaders.
A great candidate will have a unique combination of experience with innovative data governance technology, high judgement in system architecture decisions and ability to set detailed technical design from ambiguous compliance requirements. You will drive foundational, cross\-service decisions, set technical requirements, oversee technical design, and have end to end accountability for delivering technical changes across dozens of different systems. You will have high engagement with WW senior leadership via quarterly reviews, annual organizational planning, and s\-team goal updates.
Key job responsibilities  
* Develop information retrieval benchmarks related to code analysis and invent algorithms to optimize identification of privacy requirements and controls.
* Develop semantic and syntactic code analysis tools to assess privacy implementations within application code, and automatic code replacement tools to enhance privacy implementations.
* Leverage Amazon’s heterogeneous data sources and large\-scale computing resources to accelerate advances in generative artificial intelligence for privacy compliance.
* Collaborate with other science and engineering teams as well as business stakeholders to maximize the velocity and impact of your contributions.
About the team  
Amazon Privacy Services own products and programs that deliver technical innovation for ensuring Privacy Amazon services worldwide. We are hiring an innovative and high\-judgement Senior Applied Scientist to develop AI solutions for builders across Amazon’s consumer and digital businesses including but not limited to Amazon.com, Amazon Ads, Amazon Go, Prime Video, Devices and more.
Our ideal candidate is creative, has excellent problem\-solving skills, a solid understanding of computer science fundamentals, deep learning and a customer\-focused mindset. The Senior Scientist will serve as the resident expert on the development of AI agents for privacy. They build on their experiences to develop LLMs to develop AI implementations across privacy workflows. They will have responsibilities to mentor junior scientists and engineers develop AI skills.
**BASIC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in-a155bbaf2c511596</t>
        </is>
      </c>
      <c r="B257" t="inlineStr">
        <is>
          <t>Principal Applied Scientist, Delivery Foundation Model</t>
        </is>
      </c>
      <c r="C257" t="inlineStr">
        <is>
          <t>Amazon.com</t>
        </is>
      </c>
      <c r="D257" t="inlineStr">
        <is>
          <t>indeed</t>
        </is>
      </c>
      <c r="E257">
        <f>HYPERLINK("https://www.indeed.com/viewjob?jk=a155bbaf2c511596", "https://www.indeed.com/viewjob?jk=a155bbaf2c511596")</f>
        <v/>
      </c>
      <c r="F257">
        <f>HYPERLINK("https://www.amazon.jobs/jobs/2998635/principal-applied-scientist-delivery-foundation-model-?cmpid=DA_INAD200785B", "https://www.amazon.jobs/jobs/2998635/principal-applied-scientist-delivery-foundation-model-?cmpid=DA_INAD200785B")</f>
        <v/>
      </c>
      <c r="G257" t="inlineStr">
        <is>
          <t>Bellevue, WA, US</t>
        </is>
      </c>
      <c r="H257" s="2" t="n">
        <v>45757</v>
      </c>
      <c r="I25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8">
      <c r="A258" t="inlineStr">
        <is>
          <t>in-97894ef1ca2fcb81</t>
        </is>
      </c>
      <c r="B258" t="inlineStr">
        <is>
          <t>Principal Applied Scientist, Delivery Foundation Model</t>
        </is>
      </c>
      <c r="C258" t="inlineStr">
        <is>
          <t>Amazon.com</t>
        </is>
      </c>
      <c r="D258" t="inlineStr">
        <is>
          <t>indeed</t>
        </is>
      </c>
      <c r="E258">
        <f>HYPERLINK("https://www.indeed.com/viewjob?jk=97894ef1ca2fcb81", "https://www.indeed.com/viewjob?jk=97894ef1ca2fcb81")</f>
        <v/>
      </c>
      <c r="F258">
        <f>HYPERLINK("https://www.amazon.jobs/jobs/2998635/principal-applied-scientist-delivery-foundation-model-?cmpid=DA_INAD200785B", "https://www.amazon.jobs/jobs/2998635/principal-applied-scientist-delivery-foundation-model-?cmpid=DA_INAD200785B")</f>
        <v/>
      </c>
      <c r="G258" t="inlineStr">
        <is>
          <t>New York, NY, US</t>
        </is>
      </c>
      <c r="H258" s="2" t="n">
        <v>45757</v>
      </c>
      <c r="I25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row r="259">
      <c r="A259" t="inlineStr">
        <is>
          <t>in-7e2f05699cd630dc</t>
        </is>
      </c>
      <c r="B259" t="inlineStr">
        <is>
          <t>Principal Applied Scientist, Delivery Foundation Model</t>
        </is>
      </c>
      <c r="C259" t="inlineStr">
        <is>
          <t>Amazon.com</t>
        </is>
      </c>
      <c r="D259" t="inlineStr">
        <is>
          <t>indeed</t>
        </is>
      </c>
      <c r="E259">
        <f>HYPERLINK("https://www.indeed.com/viewjob?jk=7e2f05699cd630dc", "https://www.indeed.com/viewjob?jk=7e2f05699cd630dc")</f>
        <v/>
      </c>
      <c r="F259">
        <f>HYPERLINK("https://www.amazon.jobs/jobs/2998635/principal-applied-scientist-delivery-foundation-model-?cmpid=DA_INAD200785B", "https://www.amazon.jobs/jobs/2998635/principal-applied-scientist-delivery-foundation-model-?cmpid=DA_INAD200785B")</f>
        <v/>
      </c>
      <c r="G259" t="inlineStr">
        <is>
          <t>Santa Clara, CA, US</t>
        </is>
      </c>
      <c r="H259" s="2" t="n">
        <v>45757</v>
      </c>
      <c r="I25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USA, NY, New York \- 218,800\.00 \- 295,900\.00 USD annually  
USA, WA, Bellevue \- 198,900\.00 \- 269,000\.00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1"/>
  <sheetViews>
    <sheetView workbookViewId="0">
      <selection activeCell="A1" sqref="A1"/>
    </sheetView>
  </sheetViews>
  <sheetFormatPr baseColWidth="8" defaultRowHeight="15"/>
  <sheetData>
    <row r="1">
      <c r="A1" t="inlineStr">
        <is>
          <t>job id</t>
        </is>
      </c>
      <c r="B1" t="inlineStr">
        <is>
          <t>title</t>
        </is>
      </c>
      <c r="C1" t="inlineStr">
        <is>
          <t>company</t>
        </is>
      </c>
      <c r="D1" t="inlineStr">
        <is>
          <t>site</t>
        </is>
      </c>
      <c r="E1" t="inlineStr">
        <is>
          <t>job_url</t>
        </is>
      </c>
      <c r="F1" t="inlineStr">
        <is>
          <t>job_url_direct</t>
        </is>
      </c>
      <c r="G1" t="inlineStr">
        <is>
          <t>location</t>
        </is>
      </c>
      <c r="H1" t="inlineStr">
        <is>
          <t>date posted</t>
        </is>
      </c>
      <c r="I1" t="inlineStr">
        <is>
          <t>description</t>
        </is>
      </c>
    </row>
    <row r="2">
      <c r="A2" t="inlineStr">
        <is>
          <t>li-4379583533</t>
        </is>
      </c>
      <c r="B2" t="inlineStr">
        <is>
          <t>Data Scientist</t>
        </is>
      </c>
      <c r="C2" t="inlineStr">
        <is>
          <t>Cushman &amp; Wakefield</t>
        </is>
      </c>
      <c r="D2" t="inlineStr">
        <is>
          <t>linkedin</t>
        </is>
      </c>
      <c r="E2" t="inlineStr"/>
      <c r="F2" t="inlineStr"/>
      <c r="G2" t="inlineStr">
        <is>
          <t>Creve Coeur, MO</t>
        </is>
      </c>
      <c r="H2" t="inlineStr"/>
      <c r="I2" t="inlineStr">
        <is>
          <t>**Job Title**
 Data Scientist
**Job Description Summary**
**Job Description**
 The Lead Data Engineer helps architect and lead the development of enterprise\-scale data platforms and advanced analytics solutions across multiple business units and subject areas. In addition, they assist the project delivery team with scoping and planning integration projects and contribute to the design, implementation, and support of the data artifacts in the data lakehouse and databases. This role combines deep technical expertise with leadership and mentoring responsibilities, driving innovation and best practices across the data engineering function.
**Key Responsibilities**
* Partner with business leadership to identify impactful areas for the application of AI and ML.
* Lead Data science and Data driven Analytics engagements across clients covering various sectors.
* Design and optimize ML models for predictive analytics and prescriptive analytics enabled solutions
* Explore cutting\-edge techniques in AI and ML to enhance model performance.
* Maintain generative AI models along with development and updating of code and process documentation
* Partner with data stewards to improve data availability and quality while ensuring compliance
* Partner with technology teams to deploy AI and ML solutions in scalable environments.
* Use business intelligence tools for better visualization and transparency of data driven insights
* Managing a team of data engineers, data scientists, and analytics professionals to deliver data\-driven insights and solutions to support business decision\-making]
* Track latest AI innovations and build relevant PoCs to further our capabilities
* Participate in organization building, hiring, partnerships, conferences etc.
**Essential Knowledge \&amp; Experience**
* Preferred: Experience in Databricks
* Advanced statistics \&amp; machine learning (e.g., causal inference, experimentation, forecasting, NLP, recommender systems, or deep learning—depending on the company)
* Strong programming skills
* Python or R (production\-quality code)
* SQL mastery (complex queries, performance tuning)
* Experience deploying models to production
* Model lifecycle, monitoring, retraining, data drift
* Solid data engineering awareness
* Data pipelines, feature stores, cloud platforms (Azure/ML flow)
**Desirable Knowledge \&amp; Experience**
* Hands\-on experience with machine learning pipelines or integrating data engineering with advanced analytics and AI workflows.
* Familiarity with data governance frameworks, including data lineage, cataloging, and compliance (e.g., GDPR, HIPAA).
* Background in delivering data\-driven solutions for commercial real estate applications
* Degree in IT, Engineering, computer sciences, business IT degree or in any quantitative discipline
**Skills \&amp; Personal Qualities**
* Strong communicator in English, both verbal and written, with the ability to engage effectively across global teams and all levels of the organisation.
* Analytical and curious mindset, driven to solve complex problems and understand intricate technical systems and architectures.
* Organised and detail\-oriented, with a diligent, quality\-focused approach and a strong sense of ownership.
* Collaborative and proactive, able to build relationships, resolve conflicts, and contribute meaningfully within cross\-functional teams.
* Adaptable and dependable, capable of managing multiple priorities, meeting deadlines, and working independently or as part of a team.
* Continuous learner, demonstrating initiative in technical self\-improvement and staying current with evolving tools and practices.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$ 72,165\.00 \- $84,900\.00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
 INCO: “Cushman \&amp; Wakefield”</t>
        </is>
      </c>
    </row>
    <row r="3">
      <c r="A3" t="inlineStr">
        <is>
          <t>li-4378472671</t>
        </is>
      </c>
      <c r="B3" t="inlineStr">
        <is>
          <t>Data Scientist (Big Data Engineer) 2 (C0022)</t>
        </is>
      </c>
      <c r="C3" t="inlineStr">
        <is>
          <t>Jobs via Dice</t>
        </is>
      </c>
      <c r="D3" t="inlineStr">
        <is>
          <t>linkedin</t>
        </is>
      </c>
      <c r="E3" t="inlineStr"/>
      <c r="F3" t="inlineStr"/>
      <c r="G3" t="inlineStr"/>
      <c r="H3" t="inlineStr"/>
      <c r="I3" t="inlineStr">
        <is>
          <t>Dice is the leading career destination for tech experts at every stage of their careers. Our client, Connect Tech\+Talent, is seeking the following. Apply via Dice today!
 Data Scientist (Big Data Engineer) 2 (C0022\)
 Telework
 5 Months Contract
**Required**
 4 Years \- Implement ETL/ELT workflows for both structured and unstructured data
 4 Years \- Automate deployments using CI/CD tools
 4 Years \- Collaborate with cross\-functional teams including data scientists, analysts, and stakeholders
 4 Years \- Design and maintain data models, schemas, and database structures to support analytical and operational use cases
 4 Years \- Evaluate and implement appropriate data storage solutions, including data lakes (Azure Data Lake Storage) and data warehouses
 4 Years \- Implement data validation and quality checks to ensure accuracy and consistency
 4 Years \- Contribute to data governance initiatives, including metadata management, data lineage, and data cataloging
 4 Years \- Implement data security measures, including encryption, access controls, and auditing; ensure compliance with regulations and best practices
 4 Years \- Proficiency in Python and R programming languages
 4 Years \- Strong SQL querying and data manipulation skills
 4 Years \- Experience with Azure cloud platform
 4 Years \- Experience with DevOps, CI/CD pipelines, and version control systems
 4 Years \- Working in agile, multicultural environments
 4 Years \- Strong troubleshooting and debugging capabilities
 3 Years \- Design and develop scalable data pipelines using Apache Spark on Databricks
 3 Years \- Optimize Spark jobs for performance and cost\-efficiency
 3 Years \- Integrate Databricks solutions with cloud services (Azure Data Factory)
 3 Years \- Ensure data quality, governance, and security using Unity Catalog or Delta Lake
 3 Years \- Deep understanding of Apache Spark architecture, RDDs, DataFrames, and Spark SQL
 3 Years \- Hands\-on experience with Databricks notebooks, clusters, jobs, and Delta Lake
**Preferred**
 1 Year \- Knowledge of ML libraries (MLflow, Scikit\-learn, TensorFlow)
 1 Year \- Databricks Certified Associate Developer for Apache Spark
 1 Year \- Azure Data Engineer Associate</t>
        </is>
      </c>
    </row>
    <row r="4">
      <c r="A4" t="inlineStr">
        <is>
          <t>li-4120391416</t>
        </is>
      </c>
      <c r="B4" t="inlineStr">
        <is>
          <t>Data Scientist, Product Analytics</t>
        </is>
      </c>
      <c r="C4" t="inlineStr">
        <is>
          <t>Meta</t>
        </is>
      </c>
      <c r="D4" t="inlineStr">
        <is>
          <t>linkedin</t>
        </is>
      </c>
      <c r="E4" t="inlineStr"/>
      <c r="F4" t="inlineStr"/>
      <c r="G4" t="inlineStr">
        <is>
          <t>San Francisco, CA</t>
        </is>
      </c>
      <c r="H4" t="inlineStr"/>
      <c r="I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
      <c r="A5" t="inlineStr">
        <is>
          <t>li-4120824565</t>
        </is>
      </c>
      <c r="B5" t="inlineStr">
        <is>
          <t>Data Scientist, Product Analytics</t>
        </is>
      </c>
      <c r="C5" t="inlineStr">
        <is>
          <t>Meta</t>
        </is>
      </c>
      <c r="D5" t="inlineStr">
        <is>
          <t>linkedin</t>
        </is>
      </c>
      <c r="E5" t="inlineStr"/>
      <c r="F5" t="inlineStr"/>
      <c r="G5" t="inlineStr">
        <is>
          <t>Burlingame, CA</t>
        </is>
      </c>
      <c r="H5" t="inlineStr"/>
      <c r="I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li-4166293040</t>
        </is>
      </c>
      <c r="B6" t="inlineStr">
        <is>
          <t>Data Scientist, Product Analytics</t>
        </is>
      </c>
      <c r="C6" t="inlineStr">
        <is>
          <t>Meta</t>
        </is>
      </c>
      <c r="D6" t="inlineStr">
        <is>
          <t>linkedin</t>
        </is>
      </c>
      <c r="E6" t="inlineStr"/>
      <c r="F6" t="inlineStr"/>
      <c r="G6" t="inlineStr">
        <is>
          <t>Mountain View, CA</t>
        </is>
      </c>
      <c r="H6" t="inlineStr"/>
      <c r="I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7">
      <c r="A7" t="inlineStr">
        <is>
          <t>li-4378803419</t>
        </is>
      </c>
      <c r="B7" t="inlineStr">
        <is>
          <t>Lead Data Scientist(CPG)- Data Science</t>
        </is>
      </c>
      <c r="C7" t="inlineStr">
        <is>
          <t>Tiger Analytics</t>
        </is>
      </c>
      <c r="D7" t="inlineStr">
        <is>
          <t>linkedin</t>
        </is>
      </c>
      <c r="E7" t="inlineStr"/>
      <c r="F7" t="inlineStr"/>
      <c r="G7" t="inlineStr">
        <is>
          <t>Los Angeles, CA</t>
        </is>
      </c>
      <c r="H7" t="inlineStr"/>
      <c r="I7"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Data Science modelling, within the CPG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**Responsibilities:**
* Work on the latest applications of data science to solve business problems
* Work directly with client stakeholders to translate business problems into high level analytics solution designs
* Present analytic solutions to business audiences highlighting robustness of the solution and how it could help generate business value
* Develop end\-to\-end solutions based on in\-depth understanding of business problems to ensure analytics solutions are delivered efficiently, predictably, and sustainably
* Responsible for managing analytics projects, collaborating with client stakeholders and Tiger's team situated globally
* Participate in discussions with team members to select and apply relevant analytic techniques and create actionable business insights
* Responsible for making presentations to senior management, communicating results to business teams, and develop plans to help operationalize analytic solution
**Requirements**
* 8 \- 13 years of professional work experience with at least 5 years in Data Science
* Ability to engage with executive/VP\-level stakeholders from client's team to translate business problems to high level analytics solution approach
* Solid understanding of statistical and machine learning algorithms
* Strong project management and team management skills and ability to work with global teams
* Strong SQL skills and hands\-on experience with analytic tools like R \&amp; Python
* Exposure to cloud platforms and big data systems such as Hadoop, HDFS, Hive is a plus
* Experience working with CPG Domain companies
* Ability to work with IT and Data Engineering teams to help embed analytic outputs in business processes
* Bachelor's in Business Analytics or equivalent work experience
**Benefits**
 Significant career development opportunities exist as the company grows. The position offers a unique opportunity to be part of a small, fast\-growing, challenging and entrepreneurial environment, with a high degree of individual responsibility.</t>
        </is>
      </c>
    </row>
    <row r="8">
      <c r="A8" t="inlineStr">
        <is>
          <t>li-4308316149</t>
        </is>
      </c>
      <c r="B8" t="inlineStr">
        <is>
          <t>Data Scientist, Strategic Intelligence &amp; Risk</t>
        </is>
      </c>
      <c r="C8" t="inlineStr">
        <is>
          <t>OpenAI</t>
        </is>
      </c>
      <c r="D8" t="inlineStr">
        <is>
          <t>linkedin</t>
        </is>
      </c>
      <c r="E8" t="inlineStr"/>
      <c r="F8" t="inlineStr"/>
      <c r="G8" t="inlineStr">
        <is>
          <t>San Francisco, CA</t>
        </is>
      </c>
      <c r="H8" t="inlineStr"/>
      <c r="I8"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 Data Scientist, you will lead econometric and experimental analysis to understand how risk changes in complex human–AI systems. Your work will focus on measuring the magnitude and impact of risk shifts in a fast\-paced, rapidly evolving operational environment. You will design experiments and observational studies to identify causal drivers and analyze changes in risk across a wide range of surfaces and sources. Your analyses will directly inform prioritization and strategic risk management across the company.
 This role is based in San Francisco, CA (hybrid, 3 days/week). Relocation support is available
**In This Role, You Will**
* Own the design and execution of experimental and observational analyses used to assess strategic risk
* Develop econometric approaches to estimate the impact of product, policy, and external developments on key risk vectors
* Translate strategic risk questions into testable hypotheses and sound study designs
* Design and deploy A/B tests, as well as pseudo\-experimental studies, to measure changes in risks and understand underlying mechanisms
* Identify, test, and explain product\-driven, event\-driven, or signal\-driven changes in risk
* Establish baselines and statistical confidence around core metrics to size these problems
* Partner across teams to track strategic risks, identify opportunities for intervention, and develop analyses to evaluate those interventions
**You Might Thrive In This Role If You**
* Have 3–6\+ years in econometrics, causal inference, or experimental research
* Are comfortable owning ambiguous analyses with large\-scale influence
* Are strong in experimental design, observational methods, and statistical reasoning
* Write solid Python and SQL
* Experience delivering zero\-to\-one analyses and scaling them from concept through deployment
* Communicate data\-driven findings clearly, including uncertainty and trade\-offs, to non\-technical partners and leadership
* Nice to have: experience in trust and safety, integrity, operational security, intelligence analysis or other quantitative risk\-focused domains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$325K</t>
        </is>
      </c>
    </row>
    <row r="9">
      <c r="A9" t="inlineStr">
        <is>
          <t>li-4364044356</t>
        </is>
      </c>
      <c r="B9" t="inlineStr">
        <is>
          <t>Data Scientist, Customer Analytics</t>
        </is>
      </c>
      <c r="C9" t="inlineStr">
        <is>
          <t>Cresta</t>
        </is>
      </c>
      <c r="D9" t="inlineStr">
        <is>
          <t>linkedin</t>
        </is>
      </c>
      <c r="E9" t="inlineStr"/>
      <c r="F9" t="inlineStr"/>
      <c r="G9" t="inlineStr"/>
      <c r="H9" t="inlineStr"/>
      <c r="I9"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\&amp;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**Role Overview**
 Cresta is expanding its Customer Success organization with a dedicated analytics function focused on customer value realization. As a
 **Data Scientist, Customer Analytics** 
 , you’ll be the technical engine behind measuring and storytelling customer impact—designing experiments, analyzing conversational and operational data, and building dashboards that quantify Cresta’s value.
 You’ll sit within the Customer Success organization and partner closely with
 **Business Value, Customer Success Managers, Sales, Product, and Engineering** 
 . Your work will power ROI discussions, QBRs, pilots, and renewal conversations.
 This role is ideal for someone early in their data science career who enjoys hands\-on analytics, problem\-solving, and turning ambiguous business questions into clear, actionable insights.
**Key Responsibilities**
**Customer Analytics \&amp; Insight Generation**
* Conduct exploratory data analysis (EDA) across conversational, operational, and performance datasets
* Translate ambiguous business questions into structured analytical problems
* Analyze how workflow, behavior, and product usage changes translate into business value
* Partner with Business Value consultants on customer\-facing insights
**Experimentation \&amp; Pilot Measurement**
* Design and analyze A/B tests and quasi\-experiments to measure Cresta’s impact
* Establish baselines, metrics, and measurement plans for pilots
* Ensure results are statistically rigorous and easy for non\-technical stakeholders to understand
* Build reusable templates and frameworks for consistent experimentation
**Dashboards, Reporting \&amp; Automation**
* Build and maintain dashboards for Customer Success, Business Value, and Sales
* Develop Python and SQL tools to improve repeatability, accuracy, and scalability
* Create standardized reporting packages for pilots, QBRs, and renewals
**Modeling \&amp; Advanced Analytics**
* Develop custom statistical or ML models (e.g., segmentation, predictive scoring, lightweight NLP)
* Maintain reusable modeling pipelines for value insights and roadmap analysis
* Partner with Engineering when guidance or productionization support is needed
**Cross\-Functional Collaboration**
* Translate analyses into clear business and financial narratives
* Support CSMs with data and insights for strategic QBRs
* Partner with Product and Engineering on metrics, data availability, and analytics enhancements
**Required Qualifications**
* 1–3 years of experience in a data\-focused role or relevant academic experience
* Strong proficiency in SQL and experience working with large datasets
* Proficiency in Python (Pandas, NumPy, scikit\-learn)
* Solid understanding of statistics, hypothesis testing, and experimental design
* Experience building dashboards in tools such as Hex, Looker, Tableau, or similar
* Strong communication skills with non\-technical stakeholders
* Comfort working in a fast\-paced, cross\-functional environment
**Preferred Qualifications**
* Experience with conversational data (call transcripts, chats) or text analytics
* Familiarity with causal inference, uplift modeling, or A/B testing frameworks
* Exposure to customer\-facing analytics or support roles
* Experience with cloud data stacks (Snowflake, Redshift, etc.)
* Basic NLP or classification experience related to agent behavior or customer intent
**Success Criteria**
 Within 6–9 months, a successful hire will have:
* Built dashboards and reporting foundations used across Customer Success
* Implemented standardized pilot measurement and experimentation approaches
* Supported strategic customer analyses that improved renewals or expansion confidence
* Created scripts and automations that significantly reduce manual analysis
* Earned trust as the go\-to analytics partner for Customer Success
**Compensation At Cresta**
 Cresta’s approach to compensation is simple: recognize impact, reward excellence, and invest in our people. We offer competitive, location\-based pay that reflects the market and what each individual brings to the table.
**Compensation for this position includes a Base salary \+ Bonus \+ Equity**
 Actual base salaries will be based on candidate\-specific factors, including experience, skillset, and location, and local minimum pay requirements as applicable. Your recruiter can provide further details. In addition, total compensation includes a comprehensive benefits package for you and your family.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10">
      <c r="A10" t="inlineStr">
        <is>
          <t>li-4377738296</t>
        </is>
      </c>
      <c r="B10" t="inlineStr">
        <is>
          <t>Data Scientist</t>
        </is>
      </c>
      <c r="C10" t="inlineStr">
        <is>
          <t>AutoZone</t>
        </is>
      </c>
      <c r="D10" t="inlineStr">
        <is>
          <t>linkedin</t>
        </is>
      </c>
      <c r="E10" t="inlineStr"/>
      <c r="F10" t="inlineStr"/>
      <c r="G10" t="inlineStr">
        <is>
          <t>Memphis, TN</t>
        </is>
      </c>
      <c r="H10" t="inlineStr"/>
      <c r="I10" t="inlineStr">
        <is>
          <t>**Job Description**
 As a Data Scientist at AutoZone, you’ll be the analytical powerhouse behind our business solutions. You’ll dig deep into data, build models, and deliver insights that shape everything from marketing strategies to customer experiences. Your work will help us connect the dots and unlock opportunities hidden within our data—ultimately driving growth and innovation across the organization.
**Responsibilities**
**RESPONSIBILITIES**
* Partner with senior data scientists and leadership to understand business needs.
* Research and design innovative statistical models for data analysis.
* Communicate insights clearly to stakeholders across the organization.
* Mine and analyze data to optimize product development, marketing, and business strategies.
* Develop predictive models to improve customer experience and revenue generation.
* Build and maintain A/B testing frameworks and monitor model performance.
* Stay current with industry trends and emerging technologies.
* Collaborate with cross\-functional teams to implement models and track outcomes.
**Qualifications**
**What We Are Looking For**
* Bachelor’s degree in Statistics, Applied Mathematics, Economics, or related field ( Master’s preferred).
* 5\-7 years of experience in statistical analysis and data modeling.
* Proficiency in SQL, SAS, and programming languages such as R or Python.
* Strong knowledge of statistical techniques (e.g., regression, cluster analysis , time series modeling).
* Ability to communicate complex findings in a clear, actionable way.
* A collaborative mindset and a passion for problem\-solving.
**You’ll Go the Extra Mile If You Have**
* Advanced experience in predictive modeling and pattern recognition.
* Expertise in developing custom algorithms and data models.
* Familiarity with A/B testing frameworks and model quality assessment.
* A track record of leveraging data to drive measurable business outcomes.
**About Us**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11">
      <c r="A11" t="inlineStr">
        <is>
          <t>li-4378841475</t>
        </is>
      </c>
      <c r="B11" t="inlineStr">
        <is>
          <t>Machine Learning/ Data Scientist (hybrid)</t>
        </is>
      </c>
      <c r="C11" t="inlineStr">
        <is>
          <t>Donnelly &amp; Moore Corporation</t>
        </is>
      </c>
      <c r="D11" t="inlineStr">
        <is>
          <t>linkedin</t>
        </is>
      </c>
      <c r="E11" t="inlineStr"/>
      <c r="F11" t="inlineStr"/>
      <c r="G11" t="inlineStr">
        <is>
          <t>New York, NY</t>
        </is>
      </c>
      <c r="H11" t="inlineStr"/>
      <c r="I11" t="inlineStr">
        <is>
          <t>**Our Utility Client in NYC is looing for a strong ML/Data Science Consultant who has solid experience with Python and SQL. This role is Hybrid for 12\+months.**
 Designing and maintaining data systems and databases; this includes fixing coding errors and other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**Technical Skills**
**Must Have**
* A Bachelor’s Degree in Computer Science or related field with at least 3\-5 years’ work experience in an enterprise IT environment.
* Advanced SQL
* Azure Databricks Data Engineer Associate Certificate
* full\-stack Python
* Generative AI
* Knowledge of statistical modeling and machine learning concepts
* Machine Learning Operations
* Power BI Dashboards
* python Pyspark programming
**Nice To Have**
* Google Cloud BigQuery, Google Cloud Experience
**Required Skills/Experience (Skills That The Successful Candidate(s) Must Have)**
* Bachelor’s or Master’s degree in Computer Science, Data Science, Machine Learning, Statistics, Mathematics, or related field.
* Strong experience in machine learning algorithms, predictive modeling, and data mining.
* Proficiency in Python (required) for data science workloads.
* Strong SQL (required) knowledge and experience with relational databases.
* Proficiency in PySpark(required) for data science workloads.
* Minimum 3 years of experience with data visualization tools such as Power BI, Dax Queries, and best practices.
* Experience with Azure Databricks, Oracle, and modern data science libraries (e.g., scikit\-learn, pandas, NumPy).
* Experience with GenAI and large language models.
* Ability to interpret complex datasets and produce actionable insights.
* Must know how to analyze the root cause of dashboard errors.
* Have experience in ML Ops and have strong coding background.
* Have experience with Natural Language Processing (NLP).
* Knowledge or experience with A/B Testing.
* Working knowledge of designing, training, and implementing machine learning models.
* Familiarity with cloud\-based infrastructure
* Excellent communication and problem\-solving skills.
* 7 or more years of experience in data science and machine learning engineering
**Additional Skills (Skills that are a plus, but not required)**
* Knowledge of statistical methods and experimental design.
**Key Responsibilities**
**Advanced Analytics \&amp; Machine Learning**
* Design, develop, and optimize machine learning models (forecasting, classification, clustering).
* Apply data mining techniques to uncover patterns and insights in large datasets.
* Perform feature engineering, model validation, and performance tuning.
* Explore and deploy modern AI and ML approaches to enhance automation and analytics.
**Data Preparation \&amp; Quality**
* Prepare structured and unstructured data for modeling and advanced analysis.
* Develop scripts and tools for data cleansing, validation, and enrichment.
* Collaborate with Data Engineering to maintain efficient data pipelines.
* Identify data quality issues and propose remediation.
**Analytics, Insights \&amp; Reporting**
* Conduct deep\-dive analyses to identify trends and improvement opportunities.
* Communicate complex findings in clear, concise ways to technical and non\-technical stakeholders.
* Support the development of dashboards, metrics, and analytical solutions.
**Cross\-Team Collaboration**
* Work with architects, engineers, and analysts to define analytical requirements.
* Contribute to conceptual data model design and workflow optimization.
* Promote best practices in machine learning, analytics, and data governance.</t>
        </is>
      </c>
    </row>
    <row r="12">
      <c r="A12" t="inlineStr">
        <is>
          <t>li-4336181823</t>
        </is>
      </c>
      <c r="B12" t="inlineStr">
        <is>
          <t>Data Scientist</t>
        </is>
      </c>
      <c r="C12" t="inlineStr">
        <is>
          <t>Amplify</t>
        </is>
      </c>
      <c r="D12" t="inlineStr">
        <is>
          <t>linkedin</t>
        </is>
      </c>
      <c r="E12" t="inlineStr"/>
      <c r="F12" t="inlineStr"/>
      <c r="G12" t="inlineStr"/>
      <c r="H12" t="inlineStr"/>
      <c r="I1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We seek an experienced Data Scientist to join our Supply Chain Analytics team, developing Machine Learning models to forecast demand, optimize inventory, and reduce costs across our educational product portfolio. This role will drive data science best practices and introduce advanced analytics capabilities to support strategic supply chain decisions affecting tens\-of\-thousands of ISBNs and hundreds of millions in revenue every year. To accomplish this, the Data Scientist will work with a cross functional scrum team of Analytics Engineers and Data Analysts to build state of the art data products.
 This Data Science role will report to our Data Science manager who leads Data Science for Amplify’s Sales, Marketing and Finance departments. As such, they will be empowered to innovate and participate in important decisions across the entire data stack.
**Essential Responsibilities**
* Train, test, and deploy Machine Learning models: Drive the development of new Machine Learning capabilities by contributing at every stage of the Machine Learning delivery pipeline including research, evaluation, deployment and monitoring.
* Seek the why behind every observation: Use advanced data analysis techniques to construct compelling narratives and recommend actions and strategies that our Supply Chain team can make to improve operations.
* Work cross functionally to deliver superior data products: Contribute to development efforts from data ingestion, to data transformation, through to data analysis and machine learning in order to deliver high quality, impactful data products.
* Give back to the broader Data Science team: Help our Data Science team continuously improve by leading team learning sessions and proposing novel tooling or architectures.
**Required Qualifications**
* 2\+ years of experience in a data science role working on Supply Chain forecasting or logistics optimization problems.
* Proficiency with statistical methods and especially time series forecasting methodologies (eg. SARIMA, prophet, xGBoost)
* Expert user of Python for data analysis tasks (data cleaning, manipulation, analysis).
* Expert user of SQL, especially its use in data analysis tasks.
* Experience training and evaluating the performance of machine learning models leveraging industry standard libraries like PyTorch, scikit\-learn, tidymodels, xGBoost.
* Experience deploying machine learning models from research environments into production environments like AWS Sagemaker, Databricks or Snowpark ML.
* Demonstrated application of software development methodology and protocols, including using git for version control and testing.
* Excellent communication skills in writing and conversation, especially with non\-technical partners.
* Experience driving self\-directed projects and working cross\-functionally.
**Preferred Qualifications**
* Experience working with Snowflake.
* Experience with container technologies, e.g. Docker and Kubernetes.
* Background in education or in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$100,000 \- $132,000\.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13">
      <c r="A13" t="inlineStr">
        <is>
          <t>li-4377748662</t>
        </is>
      </c>
      <c r="B13" t="inlineStr">
        <is>
          <t>Data Scientist</t>
        </is>
      </c>
      <c r="C13" t="inlineStr">
        <is>
          <t>SoTalent</t>
        </is>
      </c>
      <c r="D13" t="inlineStr">
        <is>
          <t>linkedin</t>
        </is>
      </c>
      <c r="E13" t="inlineStr"/>
      <c r="F13" t="inlineStr"/>
      <c r="G13" t="inlineStr">
        <is>
          <t>New York, NY</t>
        </is>
      </c>
      <c r="H13" t="inlineStr"/>
      <c r="I13" t="inlineStr">
        <is>
          <t>**Job Title: Data Scientist** 
**Location: New York, NY** 
**Type: Full Time** 
 Our Client is seeking a talented Data Scientist / Machine Learning Engineer to join their team and help shape the future of data\-driven products.
**What You’ll Do** 
* Build machine learning models end\-to\-end: design, training, evaluation, validation, and implementation.
* Work with a broad stack of technologies — Python, Conda, AWS, Spark, Kubeflow Pipelines, and more — to uncover insights from massive datasets.
* Collaborate with data scientists, engineers, and product managers to deliver solutions customers love.
* Translate complex technical work into clear, actionable business goals.
**The Ideal Candidate** 
* **Data Guru** 
 : Skilled at retrieving, combining, and analyzing data from diverse sources.
* **Statistically\-Minded** 
 : Experienced with clustering, classification, sentiment analysis, time series, deep learning, and model validation techniques (confusion matrices, ROC curves, backtesting).
* **Technical** 
 : Hands\-on with open\-source languages and cloud platforms, passionate about building scalable solutions.
* **Customer\-First** 
 : Driven by impact, ensuring every decision benefits the end user.
**Basic Qualifications** 
* Bachelor’s in a quantitative field (Statistics, Economics, Operations Research, Analytics, Mathematics, Computer Science, or related) \+ 5 years of analytics experience
* OR Master’s/MBA with quantitative concentration \+ 3 years of analytics experience
* OR PhD in a quantitative field
**Preferred Qualifications** 
* Master’s or PhD in STEM with 3\+ years of industry experience in data science
* 1\+ year of experience with AWS
* 3\+ years of Python experience
* 3\+ years of SQL experience
* 3\+ years of machine learning model development, including at least 1 year with GBM models</t>
        </is>
      </c>
    </row>
    <row r="14">
      <c r="A14" t="inlineStr">
        <is>
          <t>li-4286980133</t>
        </is>
      </c>
      <c r="B14" t="inlineStr">
        <is>
          <t>Data Scientist</t>
        </is>
      </c>
      <c r="C14" t="inlineStr">
        <is>
          <t>Agentio</t>
        </is>
      </c>
      <c r="D14" t="inlineStr">
        <is>
          <t>linkedin</t>
        </is>
      </c>
      <c r="E14" t="inlineStr"/>
      <c r="F14" t="inlineStr"/>
      <c r="G14" t="inlineStr">
        <is>
          <t>New York, NY</t>
        </is>
      </c>
      <c r="H14" t="inlineStr"/>
      <c r="I14"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t>
        </is>
      </c>
    </row>
    <row r="15">
      <c r="A15" t="inlineStr">
        <is>
          <t>li-4370384316</t>
        </is>
      </c>
      <c r="B15" t="inlineStr">
        <is>
          <t>Staff Product Data Scientist</t>
        </is>
      </c>
      <c r="C15" t="inlineStr">
        <is>
          <t>PandaDoc</t>
        </is>
      </c>
      <c r="D15" t="inlineStr">
        <is>
          <t>linkedin</t>
        </is>
      </c>
      <c r="E15" t="inlineStr"/>
      <c r="F15" t="inlineStr"/>
      <c r="G15" t="inlineStr"/>
      <c r="H15" t="inlineStr"/>
      <c r="I15" t="inlineStr">
        <is>
          <t>**The Opportunity** 
 As a Staff Data Scientist at PandaDoc, you will serve as a senior analytical leader, embedding yourself deeply in our product and business data to uncover non\-obvious insights and drive actionable recommendations. A primary focus of this strategic role is to champion and drive the organizational shift toward a data\-driven culture. You will own the advancement of our experimentation capabilities, train other analysts and data scientists on causal methodologies, and leverage your expertise to provide leadership with a clear, reliable understanding of true impact and causality.
 You will report to the Director of Product Data and act as a strategic thought partner to Product, Finance, Design, Engineering, Product Marketing, and executive leadership, ensuring alignment between data insights and critical business decisions.
**What You'll Do** 
**Experimentation \&amp; Causal Strategy** 
* ****Lead the Experimentation Roadmap:****
 Define, champion, and execute a strategic roadmap for measuring impact across PandaDoc, focusing on high\-leverage business questions related to customer workflows, churn risk, and long\-term value (LTV).
* ****Advanced Experiment Design:****
 Design, implement, and rigorously analyze complex A/B tests, multivariate experiments, and adaptive experimentation methods, including the application of Bayesian experimentation, to assess the effectiveness of proposed product changes and business levers.
* ****Causal Inference Beyond A/B:****
 Apply advanced causal inference techniques (e.g., difference\-in\-differences, synthetic control, propensity score matching, and instrumental variables) to scenarios where randomized controlled trials (RCTs) are infeasible.
* ****Deep Dive Analysis:****
 Conduct complex, proactive, and exploratory analysis to discover latent user behavior, emerging trends, and root causes of changes in key metrics, translating these findings into actionable product and business insights.
* ****Develop Measurement Frameworks:****
 Define, instrument, and govern a unified Key Performance Indicator (KPI) framework that maps low\-level product health metrics to high\-level business outcomes, ensuring consistent and scalable measurement across the organization.
**Technical Leadership \&amp; Influence** 
* ****Scaling Data Science:****
 Partner with Data Engineering to design and build scalable, self\-serve experimentation tooling and reusable analytical assets and frameworks (e.g., causal machine learning models) that empower other analysts and data consumers.
* ****Strategic Influence:****
 Act as a strategic thinker by translating complex statistical findings into clear, compelling, and actionable business narratives for cross\-functional partners and senior leadership (VP/C\-suite), driving strategic decisions and investment priorities.
* ****Mentorship and Training:****
 Serve as a technical subject matter expert, training and mentoring junior and mid\-level data scientists on best practices in statistical rigor, experimental design, and causal modeling.
**About You** 
**Qualifications** 
* ****Experience:****
 6\+ years of professional experience in an applied data science, economics, or product analytics role, with a proven track record of leveraging experimentation and causal inference methods to drive significant business impact.
* ****Education:****
 B.A. or B.S. in Mathematics, Statistics, Economics, Computer Science, or a related quantitative discipline. A Master’s degree in a quantitative field (e.g., Statistics, Data Science, Econometrics, Operations Research) is preferred, but not required.
**Required Technical Expertise** 
* ****Causal Inference:****
 Demonstrated expertise in applying a wide range of Causal Inference methods, e.g. Quasi\-Experimentation, Matching Methods (PSM), Difference\-in\-Differences, and/or Instrumental Variables.
* ****Experimentation Methodologies:****
 Expertise in advanced statistical methodologies for A/B testing, including sample size calculations, sequential testing, dealing with interference/network effects, variance reduction techniques (e.g., CUPED), etc.
* ****Deep Analytical Methods:****
 Mastery of advanced statistical modeling, time\-series analysis, and quantitative methods necessary to perform thorough exploratory data analysis, produce timely insights, and provide actionable recommendations.
* ****Programming:****
 Advanced proficiency in Python or R for statistical modeling, with experience using relevant data science packages (e.g., SciKit\-Learn, numpy, pandas).
* ****Data Tools:****
 Expert\-level proficiency in SQL and experience working with established data warehouses (e.g., Snowflake, Postgres).
* ****Data Pipelining:****
 Experience with data transformation and workflow management tools such as dbt, Airflow, or Databricks is a strong plus.
**Key Attributes** 
* ****Strategic Communication \&amp; Influence:****
 Possesses exceptional communication, presentation, and data storytelling skills with a consistent record of influencing cross\-functional partners and leadership at all levels, particularly in navigating and driving consensus in unstructured or ambiguous environments.
* ****Change Management:****
 Proven ability to drive organizational change management in environments where experimentation and data\-driven decision\-making are not yet widely adopted.
* ****Thrive in ambiguity:****
 Ability to navigate significant ambiguity, translate complex business questions into clear analytical frameworks, and manage multiple competing priorities in a fast\-paced environment.
* ****Relevant Experience:****
 Experience in a SaaS domain and a strong focus on Product Data Science are strongly preferred.
**Company Culture:** 
* We're known for our work\-life balance, kind co\-workers, \&amp; creative virtual team\-bonding events. And although our Pandas are located across the globe, we stay connected with the help of technology and ensure that everyone on our team feels, well, like a team.
* Pandas work best when they're happy. We retain our talent by upholding our values of integrity \&amp; transparency, and selling a product that changes the lives of our customers.
* Check out our LinkedIn to learn more.
**Benefits:** 
**The annual base salary for this role is up to $190,000\-$210,000\.** 
* *Our benefits include tremendous career growth opportunities, a competitive salary, health and commuter benefits, company paid life \&amp; disability, 20\+ PTO days, 401K and FSA plans,* 
 and of course, a fun team of Pandas to work with!
**PandaDoc is an Equal Opportunity Employer.** 
 We are committed to equal treatment of all employees without regard to race, national origin, religion, gender, age, sexual orientation, veteran status, physical or mental disability or other basis protected by law
 *.*</t>
        </is>
      </c>
    </row>
    <row r="16">
      <c r="A16" t="inlineStr">
        <is>
          <t>li-4379797702</t>
        </is>
      </c>
      <c r="B16" t="inlineStr">
        <is>
          <t>Junior Data Scientist &amp; AI</t>
        </is>
      </c>
      <c r="C16" t="inlineStr">
        <is>
          <t>Joinrs</t>
        </is>
      </c>
      <c r="D16" t="inlineStr">
        <is>
          <t>linkedin</t>
        </is>
      </c>
      <c r="E16" t="inlineStr"/>
      <c r="F16" t="inlineStr"/>
      <c r="G16" t="inlineStr"/>
      <c r="H16" t="inlineStr"/>
      <c r="I16"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17">
      <c r="A17" t="inlineStr">
        <is>
          <t>li-4368246323</t>
        </is>
      </c>
      <c r="B17" t="inlineStr">
        <is>
          <t>Generative AI Data Scientist</t>
        </is>
      </c>
      <c r="C17" t="inlineStr">
        <is>
          <t>Fractal</t>
        </is>
      </c>
      <c r="D17" t="inlineStr">
        <is>
          <t>linkedin</t>
        </is>
      </c>
      <c r="E17" t="inlineStr"/>
      <c r="F17" t="inlineStr"/>
      <c r="G17" t="inlineStr"/>
      <c r="H17" t="inlineStr"/>
      <c r="I17"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**Job Summary** 
 We are seeking a seasoned AI Data Scientist to lead our efforts in leveraging Generative AI and advanced analytics to optimize lead generation strategies. This role blends deep technical expertise in machine learning and AI with strategic leadership and business acumen. You will guide cross\-functional teams to build intelligent systems that enhance customer acquisition, personalize outreach, and improve conversion rates.
**Key Responsibilities** 
**Strategic Leadership** 
* Lead AI\-driven initiatives focused on lead generation, customer segmentation, and personalization.
* Translate business goals into data science strategies and scalable solutions.
* Mentor junior data scientists and foster a culture of innovation and experimentation.
**Technical Execution** 
* Design and deploy ML models for lead scoring, churn prediction, and campaign optimization.
* Develop GenAI\-powered tools (e.g., LLM\-based chatbots, content generators) to support marketing and sales.
* Build and maintain robust data pipelines and ML workflows using cloud platforms (AWS, Azure, GCP).
**Cross\-functional Collaboration** 
* Work closely with marketing, sales, and product teams to align AI solutions with business needs.
* Present insights and model outcomes to stakeholders in a clear, actionable manner.
* Ensure compliance with data governance, privacy, and ethical AI standards.
**Required Qualifications** 
* Master’s or Ph.D. in Computer Science, Data Science, Statistics, or related field.
* 10\+ years of experience in data science, with at least 3 years in a leadership role.
* Proven track record in deploying AI/ML solutions for lead generation or customer acquisition.
* Expertise in Python, R, SQL, and ML frameworks (TensorFlow, PyTorch, Scikit\-learn).
* Experience with GenAI technologies (LLMs, retrieval\-augmented generation, prompt engineering).
* Strong understanding of marketing funnels, CRM systems, and customer lifecycle analytics.
**Preferred Skills** 
* Familiarity with tools like Salesforce, HubSpot, Marketo, or similar.
* Experience with A/B testing, causal inference, and uplift modeling.
* Knowledge of data visualization tools (Tableau, Power BI).
* Excellent communication and stakeholder management skills.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$165,000 \- $198,000\.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18">
      <c r="A18" t="inlineStr">
        <is>
          <t>li-4280505182</t>
        </is>
      </c>
      <c r="B18" t="inlineStr">
        <is>
          <t>Data Scientist Graduate (TikTok Shop Business Product DS) - 2026 Start (BS/MS)</t>
        </is>
      </c>
      <c r="C18" t="inlineStr">
        <is>
          <t>TikTok</t>
        </is>
      </c>
      <c r="D18" t="inlineStr">
        <is>
          <t>linkedin</t>
        </is>
      </c>
      <c r="E18" t="inlineStr"/>
      <c r="F18" t="inlineStr"/>
      <c r="G18" t="inlineStr">
        <is>
          <t>Seattle, WA</t>
        </is>
      </c>
      <c r="H18" t="inlineStr"/>
      <c r="I18" t="inlineStr">
        <is>
          <t>**Responsibilities**
 TikTok Global E\-commerce Data Science team leverages rigorous data analysis and scientific methodologies to drive business growth, enhance operational efficiency, and improve the experience for users, merchants, and creators worldwide. The team conducts exploratory analyses and forward\-looking insights to identify market trends and user/merchant/creator behavioral patterns, uncovering opportunities for optimization. We design and interpret A/B tests, apply causal inference methodology to support product iterations for both to C and to B products. We also build foundational data infrastructure and develop dashboards to empower product, operations, engineering, and cross\-functional teams to monitor performance and identify areas for improvement. At TikTok, we champion a data science philosophy rooted in statistical rigor, data\-driven decision\-making, and scalable methodologies to support global e\-commerce expansion.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screening will be invited to participate in TikTok's technical online assessment.
**Responsibilities:**
* Conduct data analysis for TikTok’s global e\-commerce products, covering areas such as creators \&amp; merchants, content e\-commerce, promotion tools, ShopTab, and transaction flow;
* Design and analyze A/B tests, evaluate product optimizations, analyze campaign performance, monitor key metric fluctuations, and assess client\-side version updates;
* Analyze country\-specific factors influencing product optimization and business growth, and propose actionable product improvement solutions aligned with business direction;
* Collaborate closely with product managers, operations, engineering, and algorithm teams to implement data\-driven strategies and deliver measurable business impact;
* Build and maintain e\-commerce product metric systems, work with data engineering teams to construct foundational data pipelines and visual dashboards, and enable business stakeholders to gain actionable insights.
**Qualifications**
 Minimum Qualifications:
* Currently pursuing an Undergraduate/Master in Computer Science, Statistics, Econometrics, Mathematics or other quantitative disciplines;
* Proficient in data analysis tools and languages such as SQL, Python, or R;
* Solid foundation in statistics, with hands\-on experience in A/B testing, regression analysis, and causal inference; \- Strong data visualization skills and ability to clearly communicate analytical insights through dashboards and reports;
* Results\-driven, highly self\-motivated, and accountable; excellent team player with strong organizational and communication skills.
**Preferred Qualifications:**
* Currently pursuing an Advanced Degree (MS) in Computer Science, Statistics, Econometrics, Mathematics or other quantitative disciplines;
* Experience in cross\-border or international e\-commerce data analysis or modeling;
* Familiarity with machine learning frameworks or predictive modeling; hands\-on experience with tools such as Scikit\-learn, TensorFlow, or PyTorch;
* Experience working with big data technologies such as Hive, Spark, or Hadoop;
* Strong cross\-functional communication skills.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$108300 \- $168889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19">
      <c r="A19" t="inlineStr">
        <is>
          <t>li-4377723258</t>
        </is>
      </c>
      <c r="B19" t="inlineStr">
        <is>
          <t>Research Data Scientist, YouTube Creator</t>
        </is>
      </c>
      <c r="C19" t="inlineStr">
        <is>
          <t>Google</t>
        </is>
      </c>
      <c r="D19" t="inlineStr">
        <is>
          <t>linkedin</t>
        </is>
      </c>
      <c r="E19" t="inlineStr"/>
      <c r="F19" t="inlineStr"/>
      <c r="G19" t="inlineStr">
        <is>
          <t>Mountain View, CA</t>
        </is>
      </c>
      <c r="H19" t="inlineStr"/>
      <c r="I19" t="inlineStr">
        <is>
          <t>Note: By applying to this position you will have an opportunity to share your preferred working location from the following:
 **San Bruno, CA, USA; Mountain View,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YouTube Data Science team influences and informs YouTube’s product and engineering leadership. We have a long history of working on projects that are at the heart of the business and have a seat at the table when it comes to the decisions that drive YouTube's continued success. Our mission statement? Improving decisions at YouTube with science.
 The focus of the Creator Data Science team is to understand the growth and behavior of YouTube's creator ecosystem from traditional media companies to individual creators who are just getting started, and build tools, systems, and policies that help creators grow on the platform. In this role, you will be involved in collaborations across the Creator organization and format teams (e.g., Shorts, Live) as we build a holistic understanding of the creator ecosystem and business generation.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the engineering and product teams to create new metrics, maintain classifiers, enable insights, and drive data\-driven decision making.
* Work with data sets and solve investigative issues to understand how brand agreement performs and the impact of new features.
* Conduct end\-to\-end analysis, including data gathering and requirements specification, processing, analysis, ongoing deliverables and presentations.
* Make business recommendations with effective presentations of findings at multiple levels of stakeholders through visual displays of quantitative information.
* Support launch decisions through experimental design and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
      <c r="A20" t="inlineStr">
        <is>
          <t>li-4377753819</t>
        </is>
      </c>
      <c r="B20" t="inlineStr">
        <is>
          <t>Data Scientist</t>
        </is>
      </c>
      <c r="C20" t="inlineStr">
        <is>
          <t>SoTalent</t>
        </is>
      </c>
      <c r="D20" t="inlineStr">
        <is>
          <t>linkedin</t>
        </is>
      </c>
      <c r="E20" t="inlineStr"/>
      <c r="F20" t="inlineStr"/>
      <c r="G20" t="inlineStr">
        <is>
          <t>Chicago, IL</t>
        </is>
      </c>
      <c r="H20" t="inlineStr"/>
      <c r="I20" t="inlineStr">
        <is>
          <t>**Job Title: Data Scientist** 
**Location: Chicago, IL** 
**Type: Full Time** 
 Our client is looking for a skilled ML/Data Science professional to join our team and help build high‑impact, scalable models that drive meaningful results.
**What You’ll Do** 
* Develop machine learning models end‑to‑end—from design and experimentation to training, validation, and deployment
* Work with a modern tech stack including Python, Conda, Spark, cloud platforms, Kubeflow Pipelines, and more
* Collaborate with data scientists, engineers, and product teams to build solutions that make a real difference
* Translate technical insights into clear, actionable business recommendations
**Who You Are** 
* A data expert who thrives working with large, complex datasets
* Strong in statistics and machine learning concepts (e.g., model evaluation, clustering, classification, NLP, time‑series, deep learning)
* Technically driven, with hands‑on experience in open‑source tools and cloud environments
* Customer‑focused with a passion for building solutions that create impact
**Required Background** 
 One of the following:
* Bachelor’s in a quantitative field \+ 5 years of experience in data analytics
* Master’s in a quantitative field (or MBA with a quantitative focus) \+ 3 years of experience
* PhD in a quantitative discipline
**Preferred Qualifications** 
* Master’s or PhD in a STEM field
* 1\+ year of experience working with a major cloud platform
* 3\+ years of experience coding in Python
* 3\+ years of ML model development, including at least 1 year using gradient boosting techniques
* 3\+ years of SQL experience</t>
        </is>
      </c>
    </row>
    <row r="21">
      <c r="A21" t="inlineStr">
        <is>
          <t>li-4377754954</t>
        </is>
      </c>
      <c r="B21" t="inlineStr">
        <is>
          <t>Senior Data Scientist - GenAI</t>
        </is>
      </c>
      <c r="C21" t="inlineStr">
        <is>
          <t>Apollo Solutions</t>
        </is>
      </c>
      <c r="D21" t="inlineStr">
        <is>
          <t>linkedin</t>
        </is>
      </c>
      <c r="E21" t="inlineStr"/>
      <c r="F21" t="inlineStr"/>
      <c r="G21" t="inlineStr">
        <is>
          <t>New York, NY</t>
        </is>
      </c>
      <c r="H21" t="inlineStr"/>
      <c r="I21" t="inlineStr">
        <is>
          <t>**Senior Data Scientist / Applied AI Engineer** 
**Hybrid (3 days onsite per week)** 
**120\-177K base salary \+ bonus** 
 We’re partnering with a major enterprise organization undergoing significant investment in AI and data capabilities. This role sits within a central AI function focused on building production\-grade machine learning and generative AI solutions that improve customer experience, operational efficiency, and decision intelligence across the business.
 You’ll work on real, deployed AI systems \- collaborating closely with product, engineering, and business stakeholders to design, build, and scale intelligent applications.
 What You’ll Be Doing
* Deliver AI and machine learning solutions that solve real operational and customer\-facing challenges
* Contribute across the full model lifecycle — from data exploration and feature engineering through to deployment, monitoring, and iteration
* Build and productionize ML and GenAI solutions using modern cloud and data platforms
* Design and evaluate intelligent automation solutions using LLMs, retrieval systems, and agent\-style architectures
* Implement and optimize RAG pipelines, including embeddings, vector search, retrieval tuning, and prompt orchestration
* Expose AI capabilities through APIs, internal tools, and workflow applications used by business teams
* Build rapid prototypes and lightweight interfaces to support validation and adoption
* Follow best practices around model governance, testing, monitoring, and CI/CD in collaboration with platform and MLOps teams
 What We’re Looking For
* Advanced degree in Computer Science, Engineering, Mathematics, Statistics, or similar quantitative field
* 7\+ years applying data science, machine learning, or applied AI in production environments
* Strong Python and SQL skills
* Solid understanding of software engineering fundamentals (version control, testing, logging, deployment workflows)
* Experience working with modern cloud and data platforms (e.g. AWS\-based ML tooling, enterprise data warehouses, distributed compute platforms)
* Practical exposure to LLMs, RAG architectures, or agent\-based systems
* Strong grounding in core ML concepts including feature engineering, model evaluation, and classical ML approaches (e.g. tree\-based models, supervised/unsupervised learning)
* Ability to communicate technical work clearly to non\-technical stakeholders and influence decision making
 If you're interested, please apply now!</t>
        </is>
      </c>
    </row>
    <row r="22">
      <c r="A22" t="inlineStr">
        <is>
          <t>li-4378811812</t>
        </is>
      </c>
      <c r="B22" t="inlineStr">
        <is>
          <t>Data Scientist</t>
        </is>
      </c>
      <c r="C22" t="inlineStr">
        <is>
          <t>Wiraa</t>
        </is>
      </c>
      <c r="D22" t="inlineStr">
        <is>
          <t>linkedin</t>
        </is>
      </c>
      <c r="E22" t="inlineStr"/>
      <c r="F22" t="inlineStr"/>
      <c r="G22" t="inlineStr"/>
      <c r="H22" t="inlineStr"/>
      <c r="I22" t="inlineStr">
        <is>
          <t>About the Company
 Raen is a private collective of elite traders dedicated to shaping markets through excellence in execution and precision in performance. As a global proprietary trading firm, Raen leverages advanced data science techniques to gain a competitive edge in the futures markets. Our core philosophy revolves around combining sophisticated discretionary and systematic trading strategies to deliver superior returns. We foster a culture of innovation, collaboration, and integrity, attracting talented professionals who are passionate about leveraging data\-driven insights to influence the financial landscape.
 About the Role
 We are seeking a highly motivated Data Scientist to join our Proprietary Research team, also known as Market Intelligence. In this role, you will conduct deep fundamental research by mining large, unstructured datasets and applying advanced statistical and machine learning techniques. Your insights will directly influence investment decisions, helping our firm identify hidden market opportunities and generate alpha. You will collaborate with investment professionals, research teams, and external experts in a fast\-paced, dynamic environment. The ideal candidate will have a strong foundation in data science, programming, and statistical modeling, with a keen interest in financial markets and alternative data sets.
 Qualifications
* Bachelor’s or Master’s degree in a quantitative discipline such as Mathematics, Statistics, Computer Science, Data Science, or related fields
* Minimum of 1\+ year of professional experience in data science, research, or related roles
* Proficiency in programming languages such as Python (preferred), R, Spark, or SQL
* Strong understanding of statistical modeling, machine learning algorithms, and data mining techniques
* Experience working with large, unstructured data sets and alternative data sources
* Excellent communication skills, both verbal and written
* Detail\-oriented with strong organizational and project management skills
* Ability to collaborate effectively across cross\-functional teams
* High ethical standards and compliance awareness
 Responsibilities
* Conduct research through data mining and statistical modeling to extract actionable insights from big data
* Develop and implement machine learning models to analyze large, unstructured datasets
* Manage all aspects of research, including methodology selection, data collection, quality assurance, and performance monitoring
* Present research findings to investment teams, portfolio managers, and internal stakeholders
* Collaborate with research, investment, and compliance teams to drive technical innovation
* Stay current on trends and developments in alternative data markets and data science methodologies
* Engage with external experts and data providers to understand data offerings and needs
* Support the continuous improvement of research processes and analytical tools
* Participate in a team environment that emphasizes knowledge sharing, teaching, and learning
 Benefits
* Impactful work directly influencing investment strategies and market performance
* Access to cutting\-edge tools and technologies in machine learning and big data analysis
* Collaborative and innovative work environment with talented professionals
* Mentorship and opportunities for professional growth and development
* Competitive base salary and performance\-based bonuses
* Fully paid healthcare benefits
* Flexible remote work arrangements from anywhere in the world
* Generous parental and family leave policies
* Mental and physical wellness programs to support overall well\-being
* Ethical work environment committed to integrity and responsible data usage
 Equal Opportunity
 Raen is an equal opportunity employer. We are committed to fostering an inclusive environment where all employees are valued and treated with respect. We do not discriminate on the basis of race, ethnicity, gender, sexual orientation, age, disability, religion, or any other protected characteristic. We believe diversity enhances our team and drives innovation, and we are dedicated to providing equal employment opportunities to all qualified candidates.</t>
        </is>
      </c>
    </row>
    <row r="23">
      <c r="A23" t="inlineStr">
        <is>
          <t>li-4379041027</t>
        </is>
      </c>
      <c r="B23" t="inlineStr">
        <is>
          <t>Data Scientist</t>
        </is>
      </c>
      <c r="C23" t="inlineStr">
        <is>
          <t>NeerInfo Solutions</t>
        </is>
      </c>
      <c r="D23" t="inlineStr">
        <is>
          <t>linkedin</t>
        </is>
      </c>
      <c r="E23" t="inlineStr"/>
      <c r="F23" t="inlineStr"/>
      <c r="G23" t="inlineStr">
        <is>
          <t>Richardson, TX</t>
        </is>
      </c>
      <c r="H23" t="inlineStr"/>
      <c r="I23" t="inlineStr">
        <is>
          <t>**Role Data Scientist / Ai engineer** 
**Fulltime role with** 
**Location : Raliegh NC /Richardson Texas (Onsite)** 
**only US Citizen and Green Card holder**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24">
      <c r="A24" t="inlineStr">
        <is>
          <t>li-4379917856</t>
        </is>
      </c>
      <c r="B24" t="inlineStr">
        <is>
          <t>Data Scientist</t>
        </is>
      </c>
      <c r="C24" t="inlineStr">
        <is>
          <t>Hirenza</t>
        </is>
      </c>
      <c r="D24" t="inlineStr">
        <is>
          <t>linkedin</t>
        </is>
      </c>
      <c r="E24" t="inlineStr"/>
      <c r="F24" t="inlineStr"/>
      <c r="G24" t="inlineStr"/>
      <c r="H24" t="inlineStr"/>
      <c r="I24" t="inlineStr">
        <is>
          <t>**About The Company**
 Jobot is a leading employment platform dedicated to connecting talented professionals with innovative organizations across various industries. Committed to fostering an inclusive and dynamic work environment, Jobot emphasizes diversity, equity, and inclusion in all its hiring practices. The company leverages advanced technology and personalized recruitment strategies to ensure that both employers and candidates find the perfect match. With a focus on transparency, integrity, and excellence, Jobot strives to empower individuals to achieve their career aspirations while helping organizations build high\-performing teams. Its reputation as an industry leader is built on a foundation of trust, professionalism, and a deep understanding of the evolving job market.
**About The Role**
 We are urgently seeking a Senior Data Scientist to join our innovative team. In this pivotal role, you will be responsible for designing, building, and maintaining the data infrastructure that underpins our analytics, machine learning models, and operational reporting. This position requires a hands\-on professional who excels at working at the intersection of data engineering, modeling, and production systems. You will play a critical role in shaping our data strategy, ensuring the reliability and scalability of our data pipelines, and enabling data\-driven decision\-making across the organization. Your expertise will directly impact our ability to optimize processes, reduce costs, and deliver insights that drive strategic growth.
**Qualifications**
 The ideal candidate will possess over 8 years of experience in data science or data engineering, demonstrating a deep understanding of data management and analytics. Proficiency in Python and SQL is essential, with working knowledge of Scala or Java for Spark\-based projects. Candidates should have at least 3\-5 years of hands\-on experience with Apache Spark and Databricks, including Delta Lake and performance tuning. Cloud experience is vital, with familiarity in AWS services such as S3, EMR, Glue, Lambda, and Kinesis, or Azure equivalents like ADLS Gen2, ADF, Event Hubs, and Synapse. Experience with orchestration tools like Airflow or ADF, transformation frameworks such as dbt, and data warehouses like Snowflake, Redshift, or Databricks SQL is also required. A solid foundation in data modeling, CI/CD workflows, Docker/Linux environments, and version control with Git is necessary. Candidates should demonstrate the ability to translate complex business needs into scalable data solutions and lead projects end\-to\-end.
**Responsibilities**
* Design and evolve our lakehouse architecture on platforms such as Delta Lake on AWS or Azure, including storage layout, compute strategy, and performance SLAs.
* Build and maintain robust batch and streaming data pipelines utilizing Apache Spark (PySpark/Scala), Databricks Workflows, Azure Data Factory, and event\-driven systems like Kinesis, Event Hubs, or Kafka.
* Develop and sustain analytical, machine learning\-ready data models, semantic layers, and dimensional schemas tailored for BI and production environments.
* Implement observability and reliability features, including custom Spark metrics, anomaly detection, logging, and automated data quality checks to ensure system robustness.
* Optimize compute and storage performance through cluster tuning, caching, partitioning, and format selection, resulting in cost efficiencies.
* Enforce data governance policies, including role\-based access control, row\-level security, cataloging, lineage tracking, and compliance with regulations such as GDPR, HIPAA, FHIR, CCPA, and CDPA.
* Collaborate effectively with analytics, product, and platform teams to define service level agreements (SLAs), manage incident response, and establish data contract best practices.
* Mentor junior engineers, lead design reviews, and set standards for scalable and maintainable data systems that align with organizational goals.
**Benefits**
 We offer a comprehensive benefits package designed to support your health, well\-being, and professional growth. Compensation is competitive and commensurate with experience. Employees enjoy paid vacation, sick leave, holidays, and parental leave. Our health insurance options include medical, dental, and vision plans. Additionally, we provide an Employee Assistance Program to support mental health and wellness. Our 401(k) plan features a generous employer match to help you plan for the future. Life insurance coverage is also included. Employees benefit from employee discounts on our products and services, along with paid training opportunities to foster continuous learning. Our workplace culture emphasizes collaboration, innovation, and recognition, making it an ideal environment for ambitious professionals seeking to make a meaningful impact.
 Equal Opportunity
 Jobot is an Equal Opportunity Employer committed to fostering an inclusive and diverse workplace. We welcome applications from all qualified candidates regardless of race, color, sex, sexual orientation, gender identity, religion, national origin, age (40 and over), disability, military status, genetic information, or any other protected characteristic under applicable law. We prohibit harassment and discrimination in all employment practices and are dedicated to ensuring a respectful and equitable work environment. Jobot complies with all relevant federal, state, and local laws concerning employment and non\-discrimination. We also conduct background checks where required, and we consider qualified candidates with criminal histories in accordance with applicable laws. By applying, you agree to our privacy policies and consent to communication from Jobot and its partners regarding your application and employment process.</t>
        </is>
      </c>
    </row>
    <row r="25">
      <c r="A25" t="inlineStr">
        <is>
          <t>li-4289331895</t>
        </is>
      </c>
      <c r="B25" t="inlineStr">
        <is>
          <t>Data Scientist I/ II/ Sr</t>
        </is>
      </c>
      <c r="C25" t="inlineStr">
        <is>
          <t>Boardwalk Pipelines</t>
        </is>
      </c>
      <c r="D25" t="inlineStr">
        <is>
          <t>linkedin</t>
        </is>
      </c>
      <c r="E25" t="inlineStr"/>
      <c r="F25" t="inlineStr"/>
      <c r="G25" t="inlineStr">
        <is>
          <t>Houston, TX</t>
        </is>
      </c>
      <c r="H25" t="inlineStr"/>
      <c r="I25" t="inlineStr">
        <is>
          <t>\*To access Dayforce at its best, log in from the latest version of Chrome, Safari, Firefox, or Edge. \*
 Boardwalk is a limited partnership operating in the midstream portion of the natural gas and natural gas liquids industry, providing transportation and storage services for our customers. Our 14,000 miles of pipeline and storage assets provide diverse market connectivity to producers and end\-users who need reliable sources of natural gas for power generation, home heating or petrochemical feedstocks. We have the experience, knowledge, and flexibility to design service offerings and create system enhancements tailored to our customers’ needs throughout the 13 states in which we operate. As an organization focused on sustainability, we are committed to protecting the environment while delivering this energy source. This commitment is made to our customers, employees, and the communities in which we operate. We incorporate environmental stewardship, safety, and compliance into our day\-to\-day operations and seek to strengthen and support the communities we serve. Additional information about the company can be found online at www.bwpipelines.com.
 We are currently looking for a Data Scientist I/ II/ Sr for our Houston, TX office.
**Position Description**
 The Data Scientist plays a key role in advancing digital innovation by developing data\-driven models and insights that support operational efficiency, asset optimization, and strategic decision\-making. This role will work closely with data engineers, business stakeholders, and digital leadership to design and deploy machine learning (ML) models, predictive analytics, and advanced visualizations that drive measurable business outcomes.
 The ideal candidate combines strong analytical skills with deep technical expertise in cloud\-based data science tools, particularly within the Amazon Web Services (AWS) ecosystem. This role requires a passion for solving complex problems, a collaborative mindset, and the ability to translate data into actionable insights for a midstream energy environment.
**Key Responsibilities**
**Model Development \&amp; Advanced Analytics**
* Design, build, and deploy predictive models and machine learning (ML) algorithms to support asset performance, reliability, and commercial optimization.
* Conduct exploratory data analysis (EDA), feature engineering, and statistical modeling using Python, R, or similar tools.
* Develop time series forecasting, anomaly detection, and classification models for operational and business use cases.
* Apply geospatial and sensor data analytics to support pipeline monitoring, flow optimization, and risk assessment.
**Cloud \&amp; Platform Integration**
* Leverage Amazon Web Services (AWS) tools such as SageMaker, Redshift, Simple Storage Service (S3\), Lambda, and Glue for model training, deployment, and data access.
* Collaborate with data engineers to ensure models are integrated into production pipelines and dashboards.
* Use version control (e.g., Git) and continuous integration/continuous deployment (CI/CD) practices to manage model lifecycle and reproducibility.
**Business Collaboration \&amp; Impact**
* Partner with operations, engineering, and commercial teams to identify high\-impact use cases and translate business needs into analytical solutions.
* Present findings and recommendations through compelling data visualizations and storytelling using tools like Power BI or Tableau.
* Support the development of self\-service analytics and promote data literacy across the organization.
* Document model assumptions, limitations, and performance metrics to ensure transparency and trust.
**Model Governance \&amp; Continuous Improvement**
* Monitor model performance and retrain as needed to maintain accuracy and relevance.
* Implement MLOps practices to support scalable, automated model deployment and monitoring.
* Ensure compliance with data governance, privacy, and ethical AI standards.
* Stay current with industry trends and emerging technologies to continuously improve analytical capabilities.
**Required Skills, Knowledge, And Experience**
* Bachelor’s or Master’s degree in Data Science, Computer Science, Engineering, Statistics, or a related field.
* 3–5\+ years of experience in applied data science, preferably in the energy, utilities, or industrial sectors.
* Proficiency in Python, SQL, and data science libraries such as pandas, scikit\-learn, TensorFlow, or PyTorch.
* Experience working with AWS services including SageMaker, Redshift, S3, and Lambda.
* Strong understanding of statistical modeling, machine learning, and data visualization techniques.
* Ability to communicate complex technical concepts to non\-technical stakeholders.
* Experience working with large datasets and real\-time or near\-real\-time data environments.
**Preferred Skills, Knowledge, And Experience**
* Experience in the natural gas midstream or broader oil \&amp; gas industry.
* Familiarity with MLOps practices and tools for model monitoring and retraining.
* Exposure to geospatial data, sensor data, or SCADA systems.
* Experience with Power BI, Tableau, or similar BI tools.
* Knowledge of data governance, security, and compliance in cloud environments.
**Required Education**
* Bachelor’s degree in Computer Science, Engineering, Statistics, or related field
**Preferred Education**
* Master’s degree
**Additional Information**
 Boardwalk Pipelines, LP, maintains a drug\-free workplace and will require pre\-employment drug \&amp; substance abuse testing before hire.
 Boardwalk Pipelines, LP is an equal opportunity employer. All applicants will be considered for employment regardless of race, color, religion, age, sex, gender identity, national origin, veteran, or disability status.</t>
        </is>
      </c>
    </row>
    <row r="26">
      <c r="A26" t="inlineStr">
        <is>
          <t>li-4379949012</t>
        </is>
      </c>
      <c r="B26" t="inlineStr">
        <is>
          <t>Data Scientist</t>
        </is>
      </c>
      <c r="C26" t="inlineStr">
        <is>
          <t>Bank of America</t>
        </is>
      </c>
      <c r="D26" t="inlineStr">
        <is>
          <t>linkedin</t>
        </is>
      </c>
      <c r="E26" t="inlineStr"/>
      <c r="F26" t="inlineStr"/>
      <c r="G26" t="inlineStr">
        <is>
          <t>Charlotte, NC</t>
        </is>
      </c>
      <c r="H26" t="inlineStr"/>
      <c r="I26"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analyzing and interpreting large datasets to uncover potential revenue generation opportunities and develop effective risk management strategies. Key responsibilities include collaborating with key stakeholders to comprehend business problems, utilizing data gathering and analysis techniques to devise solutions, and presenting recommendations based on the findings. Job expectations include demonstrating flexibility, resilience, accountability, a disciplined approach, and a commitment to fostering responsible growth for the enterprise.
 This is a Data Scientist role in Bank of America Erica, Chat and Voice Technology team. The team builds next generation AI and Search platforms for the bank, enabling smart virtual assistants across multiple channels and platforms. This position requires candidate to be well versed with various machine learning algorithms and NLP techniques. Role offers an opportunity to work with seasoned architects, PhDs in Machine Learning and NLP. Several of the team members have been granted multiple patents in the space. Candidate should be able to work independently and take ownership of the delivery. Candidate must possess passion for clean code, producing defect free software, ready to jump in and solve complex problems, be able to collaborate with others in a matrixed organization to deliver.
**Responsibilities:**
* Performs business analytics, which includes data analysis, trend identification, and pattern recognition, using advanced techniques (e.g., machine learning, text mining, statistical analysis, etc.) to support decision\-making and drive data\-driven insights
* Applies agile practices for project management, solution development, deployment, and maintenance
* Creates and maintains technical documentation, capturing the business requirements and specifications related to the developed analytical solution and its implementation in production
* Manages multiple priorities and maintains quality and timeliness of work deliverables such as quantitative models, data science products, data analysis reports, or data visualizations, while exhibiting the ability to work independently and in a team environment
*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 Mitigates risk by identifying potential issues and developing controls
* Researches the latest advances in the fields of data science and artificial intelligence to support business analytics
**Required Qualifications:**
* 2 years Python development skills
* Knowledge of machine learning and related techniques
* Knowledge of recent developments in AI space including but not limited to transformers, LLMs, Generative AI
* Adept at leveraging ML/AI techniques to solve critical business problems with good understanding of Supervised, Unsupervised and Reinforcement Learning.
* Good interpersonal communication skills for tech and business conversations
* Good analytical skills to break down requirements, solve complex problems
**Desired Qualifications:**
* Background in mathematics or statistics
* Experience working on Java based applications
* Experience building restful web services
* Experience with NoSQL databases like Cassandra
* Experience with open source search engines like SOLR, elasticsearch
* Experience working in agile teams
**Skills:**
* Adaptability
* Attention to Detail
* Business Analytics
* Technical Documentation
* Written Communications
* Agile Practices
* Application Development
* Collaboration
* Data Visualization
* DevOps Practices
* Artificial Intelligence/Machine Learning
* Networking
* Policies, Procedures, and Guidelines Management
* Presentation Skills
* Risk Management
**Minimum Education Requirement:** 
 Bachelor’s degree in Computer Science, Data Science, Mathematics, or related field or equivalent experience
**Shift:**
 1st shift (United States of America)
**Hours Per Week:**
 40</t>
        </is>
      </c>
    </row>
    <row r="27">
      <c r="A27" t="inlineStr">
        <is>
          <t>li-4378833260</t>
        </is>
      </c>
      <c r="B27" t="inlineStr">
        <is>
          <t>Data Scientist</t>
        </is>
      </c>
      <c r="C27" t="inlineStr">
        <is>
          <t>Haystack</t>
        </is>
      </c>
      <c r="D27" t="inlineStr">
        <is>
          <t>linkedin</t>
        </is>
      </c>
      <c r="E27" t="inlineStr"/>
      <c r="F27" t="inlineStr"/>
      <c r="G27" t="inlineStr"/>
      <c r="H27" t="inlineStr"/>
      <c r="I27" t="inlineStr">
        <is>
          <t>**Principal, AI Data Scientist \| Remote U.S.** 
 We're working with a pioneering global biopharma innovator transforming patient lives through neuroscience and oncology on this exciting opportunity. We are looking for a visionary data scientist to lead the charge in integrating cutting\-edge GenAI and LLM frameworks into clinical trial execution and digital healthcare.
 This is a high\-impact role where you will bridge the gap between complex therapeutic research and advanced machine learning. You will build the intelligent systems that automate clinical documentation and optimize patient recruitment, directly accelerating the delivery of life\-changing medicines using Python, AWS, and modern MLOps practices.
**The Role** 
 • Lead the design and implementation of AI/ML and GenAI solutions to revolutionize clinical trial operations, focuses on patient recruitment, retention, and real\-time monitoring.
 • Architect LLM\-driven applications to automate the generation of critical clinical documentation, including medical reports, protocols, and patient narratives.
 • Develop innovative Digital Healthcare applications using RWE (Real World Evidence) and data from wearable devices and electronic health records.
 • Collaborate with cross\-functional R\&amp;D and Clinical Ops teams to translate complex healthcare challenges into scalable, predictive AI models.
 • Deploy and manage models using MLOps best practices on high\-compute AWS cloud platforms while ensuring strict data privacy and regulatory compliance.
**What You'll Need** 
 • Advanced degree (MS/PhD) in Data Science, Computer Science, or a related quantitative field with 3\-5 years of professional experience.
 • At least 1\+ year of hands\-on experience applying AI/ML specifically to healthcare, clinical research, or life sciences data.
 • Expert\-level programming in Python or R, with deep proficiency in modern ML frameworks such as PyTorch and TensorFlow.
 • Proven experience with Generative AI architectures, Large Language Models (LLMs), and Natural Language Processing (NLP) for medical text analysis.
 • Strong familiarity with the AWS ecosystem, code version control, and deploying models through standardized MLOps pipelines.
**What's On Offer** 
 • Competitive compensation ($62 \- $75/hr range) with a comprehensive benefits package including medical, dental, and vision.
 • Opportunity to work at the forefront of HealthTech innovation within a mission\-driven global R\&amp;D environment.
 • Flexible hybrid work model and a culture that prioritizes patient\-focused research and professional growth.
 • Retirement savings plan and flexible paid vacation to support your long\-term well\-being.
**Apply via Haystack today!**</t>
        </is>
      </c>
    </row>
    <row r="28">
      <c r="A28" t="inlineStr">
        <is>
          <t>li-4377745300</t>
        </is>
      </c>
      <c r="B28" t="inlineStr">
        <is>
          <t>Data Scientist - Pricing</t>
        </is>
      </c>
      <c r="C28" t="inlineStr">
        <is>
          <t>WebstaurantStore</t>
        </is>
      </c>
      <c r="D28" t="inlineStr">
        <is>
          <t>linkedin</t>
        </is>
      </c>
      <c r="E28" t="inlineStr"/>
      <c r="F28" t="inlineStr"/>
      <c r="G28" t="inlineStr">
        <is>
          <t>Lititz, PA</t>
        </is>
      </c>
      <c r="H28" t="inlineStr"/>
      <c r="I28"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experience applying data science to pricing and demand problems in ecommerce, retail, or foodservice environments.
* Proven ability to build and analyze price response curves or similar models to identify optimal pricing across a wide range of products.
* Experience using data to inform pricing strategy and day\-to\-day pricing decisions, even if not the final decision owner.
* Strong understanding of price elasticity, demand forecasting, and trade\-offs between margin, volume, and customer acquisition.
* Demonstrated ability to identify strategic low\-priced items that drive customer traffic, alongside optimizing prices for both low and high AOV products.
* Comfortable working with large SKU catalogs and messy real\-world data to deliver actionable pricing insights.
* Ability to partner closely with merchants, and other teams to translate model outputs into business decisions.
* Advanced Python and SQL skills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29">
      <c r="A29" t="inlineStr">
        <is>
          <t>li-4348705201</t>
        </is>
      </c>
      <c r="B29" t="inlineStr">
        <is>
          <t>Senior, Data Scientist</t>
        </is>
      </c>
      <c r="C29" t="inlineStr">
        <is>
          <t>Walmart</t>
        </is>
      </c>
      <c r="D29" t="inlineStr">
        <is>
          <t>linkedin</t>
        </is>
      </c>
      <c r="E29" t="inlineStr"/>
      <c r="F29" t="inlineStr"/>
      <c r="G29" t="inlineStr">
        <is>
          <t>Grapevine, TX</t>
        </is>
      </c>
      <c r="H29" t="inlineStr"/>
      <c r="I29" t="inlineStr">
        <is>
          <t>Position Summary...
 What you'll do...It’s an exciting time to join our Walmart journey, we are seeking a Senior Data Scientist. At Walmart, technology empowers us and people lead. We believe new technologies will enhance the associate and customer experience in our stores. You will be working on future looking initiatives that is targeted at improving in store customer experience for the 240\+ million Walmart customers that shop at our stores. The mission is to create step change in\-store experiences, leveraging emerging technology to help define and deliver on evolving customer expectations. Its success requires a cross\- functional, mission\-based team that is highly entrepreneurial, collaborative and passionate about solving the unsolved problems. As a Machine Learning Engineer, you will be designing, training and deploying state\-of\-art AI models in real\-world production environment. In conjunction with multiple product and technology groups, you will work to create a best\-in\-class consumer experience in the physical retail space. You’ll sweep us off our feet if….
* Experience solving complex problems and comparing alternative solutions, tradeoffs, and diverse points of view to determine a path forward.
* Demonstrated software engineer experience via an internship, work experience, coding competitions, or widely used contributions in open\-source repositories (e.g. GitHub).
* Experience with research and development of computer vision (object detection, tracking, scene understanding)
 You’ll make an impact by…
* Developing computer vision algorithms and machine learning models to enhance different customer facing application.
* Collaborate within projects within a mixed team of software engineer and computer vision engineer.
* Follow and apply engineering and computer vision best practices.
 What you'll do:
* Research, develop and analyze computer vision algorithms in areas related to object detection, tracking, product identification and verification, scene understanding.
* Ensure model robustness, model generalization, accuracy, testability, and efficiency.
* Write product or system development code.
 What you'll bring:
* Currently has, or is in the process of obtaining, a PhD degree in Computer Science, Computer Vision, relevant technical field, or equivalent practical experience. Or MS with 2 years industry experience
* Experience in one or more of the following areas: machine learning, deep learning, computer vision
* Experience in programming languages with a technical background
* You are a team player \- that is, you're a nice person \- see no ego.
* Highly motivated and independent; results oriented.
* A self\-learner: ability to effectively adapt to rapidly changing technology and apply it to business needs, integrate multiple tools together to solve business problems.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1701 W STATE HIGHWAY 114, GRAPEVINE, TX 76051\-8652,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0">
      <c r="A30" t="inlineStr">
        <is>
          <t>li-4378833918</t>
        </is>
      </c>
      <c r="B30" t="inlineStr">
        <is>
          <t>Data Scientist - 2620
            Brno,
            Czechia</t>
        </is>
      </c>
      <c r="C30" t="inlineStr">
        <is>
          <t>Energy Acuity</t>
        </is>
      </c>
      <c r="D30" t="inlineStr">
        <is>
          <t>linkedin</t>
        </is>
      </c>
      <c r="E30" t="inlineStr"/>
      <c r="F30" t="inlineStr"/>
      <c r="G30" t="inlineStr">
        <is>
          <t>Denver, CO</t>
        </is>
      </c>
      <c r="H30" t="inlineStr"/>
      <c r="I30" t="inlineStr">
        <is>
          <t>**Description**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**The Team**
 The Enverus Data Science team builds advanced data\-driven products that drive value across the energy value chain. We combine AI, machine learning, statistical methods, advanced algorithms, and deep domain expertise to tackle complex industry challenges. Our models are deployed on a robust internal data science platform, enabling scalable solutions.
 As a Data Scientist in Brno, you will play a key role in designing and developing high\-impact data products. You'll work closely with cross\-functional teams including Product Managers, Software Engineers, Data Engineers, QA Engineers, DevOps Engineers, and Domain Experts to deliver production\-ready solutions. We have a globally distributed, highly collaborative team, and Brno is a growing hub for our data science innovation.
**Performance Objectives**
* Design and develop data science product features and solutions.
* Create and maintain data products to solve key business problems in the energy sector.
* Write clean, production\-quality code and well\-documented experiments.
* Collaborate across functions to integrate models into scalable applications.
* Apply pragmatic, fit\-for\-purpose solutions and select the right tools for each job.
**Competitive Candidate Profile**
* Bachelor's degree in Computer Science, Software Engineering or related field.
* 3\+ years of Data Science experience.
* Experience with development tools \- Required: Python, Numpy, Pandas, Git. Preferred but not required: Kubernetes, Docker, modern CI/CD, Spark.
* Deep understanding of data structures and data science algorithms.
* Experience with Scrum, Agile, and collaboration practices.
* Strong communication skills, curiosity, and a collaborative mindset.
**Our Technology Stack**
 Python, Docker, Kubernetes, Spark, CI/CD, Git, Pandas, Numpy</t>
        </is>
      </c>
    </row>
    <row r="31">
      <c r="A31" t="inlineStr">
        <is>
          <t>li-4379923983</t>
        </is>
      </c>
      <c r="B31" t="inlineStr">
        <is>
          <t>Data Scientist</t>
        </is>
      </c>
      <c r="C31" t="inlineStr">
        <is>
          <t>Bank of America</t>
        </is>
      </c>
      <c r="D31" t="inlineStr">
        <is>
          <t>linkedin</t>
        </is>
      </c>
      <c r="E31" t="inlineStr"/>
      <c r="F31" t="inlineStr"/>
      <c r="G31" t="inlineStr">
        <is>
          <t>Plano, TX</t>
        </is>
      </c>
      <c r="H31" t="inlineStr"/>
      <c r="I31"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analyzing and interpreting large datasets to uncover potential revenue generation opportunities and develop effective risk management strategies. Key responsibilities include collaborating with key stakeholders to comprehend business problems, utilizing data gathering and analysis techniques to devise solutions, and presenting recommendations based on the findings. Job expectations include demonstrating flexibility, resilience, accountability, a disciplined approach, and a commitment to fostering responsible growth for the enterprise.
 This is a Data Scientist role in Bank of America Erica, Chat and Voice Technology team. The team builds next generation AI and Search platforms for the bank, enabling smart virtual assistants across multiple channels and platforms. This position requires candidate to be well versed with various machine learning algorithms and NLP techniques. Role offers an opportunity to work with seasoned architects, PhDs in Machine Learning and NLP. Several of the team members have been granted multiple patents in the space. Candidate should be able to work independently and take ownership of the delivery. Candidate must possess passion for clean code, producing defect free software, ready to jump in and solve complex problems, be able to collaborate with others in a matrixed organization to deliver.
**Responsibilities:**
* Performs business analytics, which includes data analysis, trend identification, and pattern recognition, using advanced techniques (e.g., machine learning, text mining, statistical analysis, etc.) to support decision\-making and drive data\-driven insights
* Applies agile practices for project management, solution development, deployment, and maintenance
* Creates and maintains technical documentation, capturing the business requirements and specifications related to the developed analytical solution and its implementation in production
* Manages multiple priorities and maintains quality and timeliness of work deliverables such as quantitative models, data science products, data analysis reports, or data visualizations, while exhibiting the ability to work independently and in a team environment
*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 Mitigates risk by identifying potential issues and developing controls
* Researches the latest advances in the fields of data science and artificial intelligence to support business analytics
**Required Qualifications:**
* 2 years Python development skills
* Knowledge of machine learning and related techniques
* Knowledge of recent developments in AI space including but not limited to transformers, LLMs, Generative AI
* Adept at leveraging ML/AI techniques to solve critical business problems with good understanding of Supervised, Unsupervised and Reinforcement Learning.
* Good interpersonal communication skills for tech and business conversations
* Good analytical skills to break down requirements, solve complex problems
**Desired Qualifications:**
* Background in mathematics or statistics
* Experience working on Java based applications
* Experience building restful web services
* Experience with NoSQL databases like Cassandra
* Experience with open source search engines like SOLR, elasticsearch
* Experience working in agile teams
**Skills:**
* Adaptability
* Attention to Detail
* Business Analytics
* Technical Documentation
* Written Communications
* Agile Practices
* Application Development
* Collaboration
* Data Visualization
* DevOps Practices
* Artificial Intelligence/Machine Learning
* Networking
* Policies, Procedures, and Guidelines Management
* Presentation Skills
* Risk Management
**Minimum Education Requirement:** 
 Bachelor’s degree in Computer Science, Data Science, Mathematics, or related field or equivalent experience
**Shift:**
 1st shift (United States of America)
**Hours Per Week:**
 40</t>
        </is>
      </c>
    </row>
    <row r="32">
      <c r="A32" t="inlineStr">
        <is>
          <t>li-4290049636</t>
        </is>
      </c>
      <c r="B32" t="inlineStr">
        <is>
          <t>Senior Data Scientist</t>
        </is>
      </c>
      <c r="C32" t="inlineStr">
        <is>
          <t>Ibotta</t>
        </is>
      </c>
      <c r="D32" t="inlineStr">
        <is>
          <t>linkedin</t>
        </is>
      </c>
      <c r="E32" t="inlineStr"/>
      <c r="F32" t="inlineStr"/>
      <c r="G32" t="inlineStr">
        <is>
          <t>Denver, CO</t>
        </is>
      </c>
      <c r="H32" t="inlineStr"/>
      <c r="I32" t="inlineStr">
        <is>
          <t>Ibotta is seeking a
 **Senior Data Scientist** 
 to join our fast growing Client Data \&amp; Measurement team and move forward our mission to Make Every Purchase Rewarding. We are a cross\-functional team that creates data and analytical solutions throughout the business. We seek to understand, and provide recommendations to spur business growth, serving as an expert within the company for delivering solutions that solve complex challenges.
 As a Senior Data Scientist, you will be responsible for using the latest developments in statistics, machine learning, and data visualizations. Using these skills, you will identify and build strategic opportunities to grow the business, support initiatives, and drive value. In addition, you will be expected to build trustworthy and robust datasets for use throughout the organization. This role will immediately drive impact through the support, guidance, and collaboration with multiple spokes as part of our Hub and Spoke organizational layout.
 This position is located in Denver, Colorado as a hybrid position requiring 3 days in office (Tuesday, Wednesday, and Thursday). Candidates must live in the United States.
**What you will be doing:**
* Initiate and drive collaboration with stakeholders, architects, and data engineers to discover, define, cleanse, and refine the data needed for analysis and modeling
* Establish strong cross departmental relationships with stakeholders and peers to understand business problems and opportunities for improvements
* Analyze, and at times build, large and novel datasets to extract actionable insights to inform model development and understand customer behavior and or product performance
* Ability to prioritize projects based on business impact and value; lead and manage large scale projects
* Build models using a variety of statistical and machine learning techniques, from selecting the best type of model for the problem to using advanced techniques to measure and optimize model performance
* Become an expert of the Ibotta Data Ecosystem and how various teams leverage Ibotta’s suite of data to answer domain specific business questions through advanced analytic techniques
* Inform experimental design to formulate solutions addressing major business challenges and innovation opportunities
* Provide data science mentoring and education to this team and others across the company
* Embrace and uphold Ibotta’s Core Values: Integrity, Boldness, Ownership, Teamwork, Transparency \&amp; A good idea can come from anywhere
**What we are looking for:**
* 5\+ years of experience making significant impacts in a professional data science or machine learning role
* Bachelor’s degree in Computer Science, Engineering, Analytics or a related field required
* A history of and passion for driving important decisions using data and data storytelling
*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 Applied machine learning and statistical algorithms to optimize processes, predict outcomes, forecast trends, and enhance decision\-making, driving improved efficiency and results
* Expert\-level Python knowledge, skills, and abilities. Spark or PySpark experience is a strong plus
* Excellent statistical analysis skills, with a solid understanding of experimental design and time series analysis a strong plus
* Superior analytical and problem solving skills
* Expert\-level knowledge, skills, and abilities in database manipulation, query languages, and graph data schemas
* Experience manipulating complex data to apply business rules for improved feature engineering within data lakes, distributed systems, and data streams
* Experience in MLOps a strong plus but not required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$130,000 \- $160,000\. Equity is included in overall compensation package. This compensation range is specific to the United States labor market and may be adjusted based on actual experience.
* For the security of our employees and the business, all employees are responsible for the secure handling of data in accordance with our security policies, identifying and reporting phishing attempts, as well as reporting security incidents to the proper channels.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\#BI\-Hybrid</t>
        </is>
      </c>
    </row>
    <row r="33">
      <c r="A33" t="inlineStr">
        <is>
          <t>li-4366035837</t>
        </is>
      </c>
      <c r="B33" t="inlineStr">
        <is>
          <t>Data Scientist - 957 (W2/EOR- Remote)</t>
        </is>
      </c>
      <c r="C33" t="inlineStr">
        <is>
          <t>Braintrust</t>
        </is>
      </c>
      <c r="D33" t="inlineStr">
        <is>
          <t>linkedin</t>
        </is>
      </c>
      <c r="E33" t="inlineStr"/>
      <c r="F33" t="inlineStr"/>
      <c r="G33" t="inlineStr"/>
      <c r="H33" t="inlineStr"/>
      <c r="I33" t="inlineStr">
        <is>
          <t>**Job Description**
 This is a THREE\-MONTH engagement, with the possibility for an extension.
 - Must have at least three hours of overlap with the Pacific Time Zone (PT)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targeting, relevance modeling, auction optimization, measurement, and user experience.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****Main job duties include:****
* Design, develop, and apply DS solutions to inform improvements in advertiser experience as well as Reddit's ad platform \&amp; marketplace performance
* Creating data assets (new tables, self\-serve dashboards, etc.) to enable partners to answer their own data questions
* Creating reporting dashboards for product and engineering partners to understand topline metrics movements and deep dive into specific areas of interest
* Analyze large\-scale datasets to identify trends, patterns, and insights that can be used to improve the effectiveness of our advertising platform
* Collaborate with product managers and engineers to define product requirements and translate them into data science solutions
* Uncovering strategic insights and sharing them with stakeholders to shape future product directions
* Develop ML models \&amp; DS methods to improve anomaly detection, prediction, \&amp; pattern recognition
* Communicate findings and recommendations to stakeholders across the organization
****Qualifications:****
* MS or PhD in Computer Science, Statistics, Mathematics, or a related field
* 5\+ years of experience in data science, machine learning, or a related field
* Strong understanding of statistical modeling, machine learning algorithms, causal inference and experimental design
* Experience with large\-scale data processing and analysis using tools such as Spark, Hadoop, or Hive; knowledge of BigQuery a plus
* Experience with SQL and relational databases
* Proficiency in Python or R and experience with machine learning libraries such as scikit\-learn, TensorFlow, or PyTorch
****Bonus Points:****
* Experience with online advertising and ad tech
* Experience with causal inference and A/B testing</t>
        </is>
      </c>
    </row>
    <row r="34">
      <c r="A34" t="inlineStr">
        <is>
          <t>li-4377760209</t>
        </is>
      </c>
      <c r="B34" t="inlineStr">
        <is>
          <t>Senior Data Scientist</t>
        </is>
      </c>
      <c r="C34" t="inlineStr">
        <is>
          <t>Visa</t>
        </is>
      </c>
      <c r="D34" t="inlineStr">
        <is>
          <t>linkedin</t>
        </is>
      </c>
      <c r="E34" t="inlineStr"/>
      <c r="F34" t="inlineStr"/>
      <c r="G34" t="inlineStr">
        <is>
          <t>Foster City, CA</t>
        </is>
      </c>
      <c r="H34" t="inlineStr"/>
      <c r="I34"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\&amp; retailers, digital products, marketing) with an opportunity for rotation within Data Science to gain broad exposure to Visa’s business.
 Essential Functions:
* Provide technical leadership in a team that generates business insights based on big data, identify actionable recommendations, and communicate the findings to clients
* Brainstorm innovative ways to use our unique data to answer business problems
* Communicate with clients to understand the challenges they face and convince them with data
* Extract and understand data to form an opinion on how to best help our clients and derive relevant insights
* Develop visualizations to make your complex analyses accessible to a broad audience
* Find opportunities to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and other business outcomes
* Partner with a variety of Visa teams to provide comprehensive solutions
* Synthesize ideas/proposals in writing and engage in productive discussions with external or internal stakeholders
* Provide guidance in modern analytic techniques and business applications to unlock the value of Visa’s unique data set, in keeping with market trends, client needs and emerging techniques
* Organize and manage multiple data science projects with diverse cross\-functional stakeholders
 This is a hybrid position. Expectation of days in the office will be confirmed by your Hiring Manager.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5\+ years of relevant work experience with a Bachelor’s Degree or at least 2 years of work experience with an Advanced degree (e.g. Masters, MBA, JD, MD) or 0 years of work experience with a PhD, OR 8\+ years of relevant work experience.
 4 years of work experience with a Bachelor’s Degree or at least 2 years of work experience with an Advanced degree (e.g. Master’s, MBA, JD, MD) or 0 years of work experience with a PhD degree
 6\-8 years of work experience with a Bachelor’s Degree or 4\-6 years of work experience with an
 Advanced Degree (e.g. Master’s, MBA, JD, MD) or 3 years of experience with a PhD
 4\+ years’ experience in data\-based decision\-making or quantitative analysis
 Master’s degree in Statistics, Operations Research, Applied Mathematics, Economics, Data Science, Business Analytics, Computer Science, or a related technical field
 Extracting and aggregating data from large data sets using SQL/Hive or Spark
 Analyzing large data sets using programming languages such as Python, R, SQL and/or Spark
 Generating and visualizing data\-based insights in software such as Tableau
 Communicating data\-driven insights and conveying actionable recommendations
 Managing and organizing work in Office software such as Word, Excel, PowerPoint and/or Teams
 Building predictive and descriptive statistical models using machine learning tool kit, Jupyter notebooks, Python, and/or SAS
 Data mining and statistical modeling (e.g., regression modeling, clustering techniques, decision trees, etc.)
 Previous exposure to financial services, credit cards or merchant analytics is a plus, but not required
 Managing analytics/data science projects from scoping to delivery, and engaging with internal/external stakeholders
 Knowledge of causal inference and experimentation, including A/B testing, Difference‑in‑Differences, and uplift modeling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35">
      <c r="A35" t="inlineStr">
        <is>
          <t>li-4318663121</t>
        </is>
      </c>
      <c r="B35" t="inlineStr">
        <is>
          <t>Senior Data Scientist / Machine Learning Engineer - Listing Quality</t>
        </is>
      </c>
      <c r="C35" t="inlineStr">
        <is>
          <t>Faire</t>
        </is>
      </c>
      <c r="D35" t="inlineStr">
        <is>
          <t>linkedin</t>
        </is>
      </c>
      <c r="E35" t="inlineStr"/>
      <c r="F35" t="inlineStr"/>
      <c r="G35" t="inlineStr">
        <is>
          <t>San Francisco, CA</t>
        </is>
      </c>
      <c r="H35" t="inlineStr"/>
      <c r="I35"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36">
      <c r="A36" t="inlineStr">
        <is>
          <t>li-4377750916</t>
        </is>
      </c>
      <c r="B36" t="inlineStr">
        <is>
          <t>Principal Data Scientist</t>
        </is>
      </c>
      <c r="C36" t="inlineStr">
        <is>
          <t>Ladders</t>
        </is>
      </c>
      <c r="D36" t="inlineStr">
        <is>
          <t>linkedin</t>
        </is>
      </c>
      <c r="E36" t="inlineStr"/>
      <c r="F36" t="inlineStr"/>
      <c r="G36" t="inlineStr"/>
      <c r="H36" t="inlineStr"/>
      <c r="I36" t="inlineStr">
        <is>
          <t>For our client, we are seeking a Principal Data Scientist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$163,300 – $303,300 annually.
**Responsibilities**
* Select, build, and optimize machine learning models using advanced techniques
* Utilize big data technologies on cloud platforms for scalable solutions
* Independently design and develop proof\-of\-concept projects from ideation to delivery
* Create applications powered by large language models for advanced automation
* Build and maintain automated data pipelines and performance tracking systems
* Collaborate with software engineers in an agile environment to deliver features
* Conduct analyses and present findings to both technical and non\-technical stakeholders
**Qualifications**
* Bachelor's degree with 12 years of experience in data science or an advanced degree with 5 years of relevant experience
* Expertise in writing production\-grade machine learning models in Python
* Deep knowledge of distributed systems and scalability architecture
* Proven track record of executing organization\-wide technical initiatives
* Experience with cloud platforms like AWS, Azure, or GCP
* Ability to communicate complex data science concepts to non\-technical audiences
* Self\-motivated, detail\-oriented, and capable of thriving in a collaborative environment
**Benefits**
* Medical, dental, and vision insurance
* Life and disability insurance
* 401(k) match
* Career development opportunities
* Employee perks that support personal and family health
 Our client is an equal opportunity employer. We encourage you to apply even if you don’t meet every qualification—your background could be exactly what this team needs.</t>
        </is>
      </c>
    </row>
    <row r="37">
      <c r="A37" t="inlineStr">
        <is>
          <t>li-4379929961</t>
        </is>
      </c>
      <c r="B37" t="inlineStr">
        <is>
          <t>Senior Data Scientist</t>
        </is>
      </c>
      <c r="C37" t="inlineStr">
        <is>
          <t>Harnham</t>
        </is>
      </c>
      <c r="D37" t="inlineStr">
        <is>
          <t>linkedin</t>
        </is>
      </c>
      <c r="E37" t="inlineStr"/>
      <c r="F37" t="inlineStr"/>
      <c r="G37" t="inlineStr"/>
      <c r="H37" t="inlineStr"/>
      <c r="I37" t="inlineStr">
        <is>
          <t>**Senior Data Scientist** 
 You will build, configure, and continuously improve the models that power our platform—from audience scoring and lookalike modeling to bid optimization and causal measurement—while owning their performance in production. This includes diagnosing model drift, running lift analyses, tuning configurations for client\-specific challenges, and feeding field learnings back into the modeling lifecycle. Contextual targeting and NLP\-driven modeling are key areas of focus and growth. You will partner closely with engineering, product, and client teams and must be equally comfortable investigating real\-world model behavior and prototyping the next iteration. The ideal candidate writes production\-grade code, thinks in experimentation frameworks, and understands how digital ad campaigns operate in practice.
 Key Responsibilities
 Modeling, Experimentation \&amp; Production Ownership
* Build, configure, and improve models across out client's core products and own end\-to\-end production performance
* Design and execute robust experimentation frameworks using real\-world campaign data
* Diagnose model drift, performance issues, and edge cases in live environments
* Develop and maintain data pipelines, feature engineering workflows, and model configurations using Python, PySpark, and MLflow on Databricks
* Prototype and deploy agentic AI systems that extend product capabilities
 Cross\-Functional Collaboration \&amp; Product Impact
* Serve as the data science subject matter expert across product and client teams
* Translate model outputs and campaign KPIs into clear, actionable recommendations
* Surface field learnings, feature gaps, and performance insights to inform the DS roadmap
* Contribute to research initiatives, internal tooling, and data science best practices
 Required Qualifications
* 5\+ years of experience in data science or machine learning roles (Master’s preferred)
* Experience with NLP, contextual modeling, and embedding\-based approaches
* Proven ability to write production\-grade, testable code beyond notebooks
* Strong proficiency in Python and large\-scale data processing (PySpark, SQL)
* Experience with modeling libraries such as PyTorch and scikit\-learn
* Hands\-on experience working in Databricks and/or AWS environments
* Excellent communication skills with the ability to explain technical concepts to non\-technical stakeholders
 Nice to Have
* Strong foundation in statistical analysis, causal inference, and experimentation design
* Familiarity with MLflow (experiment tracking and model registry)
* Experience in adtech or digital advertising environments
* Experience building agentic AI workflows, LLM\-based systems, or tool\-use orchestration
* Familiarity with CI/CD workflows (e.g., GitHub Actions) and software packaging best practices
 Our Tech Stack
* **ML Frameworks:** 
 PyTorch, scikit\-learn, Ray (Train, Tune, Datasets), PySpark ML
* **Data Platform:** 
 Databricks (Delta Lake, Unity Catalog), Snowflake, AWS (S3, EC2\)
* **MLOps:** 
 MLflow (experiment tracking, model registry), GitHub Actions
* **Languages:** 
 Python, SQL, JavaScript/TypeScript</t>
        </is>
      </c>
    </row>
    <row r="38">
      <c r="A38" t="inlineStr">
        <is>
          <t>li-4289453950</t>
        </is>
      </c>
      <c r="B38" t="inlineStr">
        <is>
          <t>Applied Scientist, Search and Recommender Systems- VenturaOS</t>
        </is>
      </c>
      <c r="C38" t="inlineStr">
        <is>
          <t>The Trade Desk</t>
        </is>
      </c>
      <c r="D38" t="inlineStr">
        <is>
          <t>linkedin</t>
        </is>
      </c>
      <c r="E38" t="inlineStr"/>
      <c r="F38" t="inlineStr"/>
      <c r="G38" t="inlineStr">
        <is>
          <t>San Jose, CA</t>
        </is>
      </c>
      <c r="H38" t="inlineStr"/>
      <c r="I38" t="inlineStr">
        <is>
          <t>**About VenturaOS**
 We're a small, high\-impact team building the next\-generation TV operating system. Our flexible structure gives engineers direct influence over product direction—an opportunity rarely found in larger companies.
 Our innovative approach to the CTV industry optimizes the advertising supply chain, creating better outcomes for advertisers, publishers, and TV viewers alike. As part of our
 **Ventura OS** 
 project, we're developing sophisticated backend infrastructure to power our platform, with a strong emphasis on quality at scale.
 We believe culture matters. We foster an environment where engineers thrive through collaboration, innovation, and continuous learning. Our teams build cutting\-edge streaming technology that enables advertisers to leverage data for more relevant and effective ad experiences—while improving efficiency across the entire supply chain ecosystem.
**Who we are looking for:**
 We are looking for an experienced Applied Scientist join Ventura OS who brings:
* Proven Expertise: You have a sustained track record of making significant, self\-directed, and end\-to\-end contributions to large and impactful AI\-based projects. You think beyond just the task at hand to deeply understand the 'why' behind what you are doing.
* Technical Leadership: You will be driving technical projects and providing leadership in a groundbreaking and fast\-paced environment. This includes task planning, conducting code reviews, and individual code contributions.
* Data Intuition: You have a strong sense of data intuition. At our scale, many off\-the\-shelf modeling techniques (open source and enterprise) simply don't work. You can work from first principles and intuition to develop solutions and adapt them to a unique environment.
* Product Focus: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can pitch your ideas to different audiences at all levels.
* Start\-up Mentality: You are accustomed to start\-up culture. You embrace risks, make smart investments, and stay agile when priorities shift.
* Collaborative Confidence: You work with confidence and without ego. Our research data scientists have deep knowledge and exercise a high degree of leadership in their daily work. You have strongly held, defensible ideas, and advocate for what you believe is right. You are also adept at identifying and evaluating trade\-offs, willing to be proven wrong, and quick to support your teammates.
* Diversity and Inclusion: You value, seek out, and foster diversity. We are a global team from many diverse backgrounds, with different experiences and perspectives. You welcome ideas that are different from your own and are skilled at finding and building from common ground.
* Innovative Thinking: You are a creative thinker, not bound by "the way things have always been done." What you know is less important than how well you learn and innovate. We don't need research data scientists who know all the answers; we need research data scientists who can invent the answers no one has thought of yet, to the questions yet to be asked.
**What you bring to the Ventura Team:** 
* Versatile Expertise: You are a jack\-of\-all\-trades and master of some in the field of AI. Ideally, you have 5\+ years of experience working with AI\-related research and applications. You may have an advanced degree in a CS/AI/ECE field, but it’s not a strict requirement. What and how you can contribute is what’s most important to us.
* Innovative Application: You have a track record of turning the latest AI publications into solutions for real\-world problems or ideas for novel product creation. You stay up to date with the latest advancements in AI.
* Agile Collaboration: You are comfortable working on an agile, distributed team spanning multiple time zones and continents.
* Effective Communication: You can communicate effectively across both technical and non\-technical audiences.
* Technical Proficiency: You have strong programming and big data processing skills, with experience in making machine learning or data mining algorithms work on massive amounts of data.
* Product focus: You know how to get your ML models production ready. You know how to work with your team to get your code/model up and running into production.
* Specialized Knowledge: Deep expertise and extensive hands\-on experience in some of the following areas is a plus:
+ Recommendation Systems
+ Natural Language Processing
+ Search
+ Information Retrieval
+ Large Language Models
+ Deep Learning
+ Generative AI technologies
+ Large\-scale data mining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39">
      <c r="A39" t="inlineStr">
        <is>
          <t>li-4377746500</t>
        </is>
      </c>
      <c r="B39" t="inlineStr">
        <is>
          <t>Data Scientist, Financial Services Consulting</t>
        </is>
      </c>
      <c r="C39" t="inlineStr">
        <is>
          <t>TransUnion</t>
        </is>
      </c>
      <c r="D39" t="inlineStr">
        <is>
          <t>linkedin</t>
        </is>
      </c>
      <c r="E39" t="inlineStr"/>
      <c r="F39" t="inlineStr"/>
      <c r="G39" t="inlineStr">
        <is>
          <t>Chicago, IL</t>
        </is>
      </c>
      <c r="H39" t="inlineStr"/>
      <c r="I39" t="inlineStr">
        <is>
          <t>TransUnion's Job Applicant Privacy Notice
 Personal Information We Collect
 Your Privacy Choices
**What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Be a part of our team – you will collaborate with great people, pioneering products, and cutting\-edge technology.
**What You'll Bring**
* Master’s or PhD degree in statistics, applied mathematics, financial mathematics, engineering, operations research, or another highly quantitative field with a track record of academic excellence
* 2\+ years of experience performing analytic work in Financial Services or related industries
* Strong analytical, critical thinking, and creative problem solving skills
* Advanced programming skills; mastery of a statistical language such as R or Python; experience using other programming and data manipulation languages (SQL, Hive, C/C\+\+, Java); proficiency with Microsoft Office tools
* Versatile interpersonal and communication style with the ability to effectively communicate at multiple levels within and outside the organization; ability to work in a collaborative, fast\-paced environment
* Strong project management skills with the ability to manage multiple assignments effectively
* An understanding of current industry challenges and trends at the level needed to proactively identify customers’ analytical needs and related business opportunities
* Ability to travel 10\-20%
**Impact You'll Make**
 The Financial Services Consulting team at TransUnion is an industry recognized, client\-facing department that rewards an entrepreneurial spirit. We have deep technical expertise and an established reputation as an analytic solutions provider in the Financial Services industry. We have a wealth of data and industry experience within our large group of highly\-trained analysts, statisticians, engineers, and economists. We also have a modern computing environment based on best\-in\-class “big data” technologies and the freedom to explore new data sources and statistical and machine learning methodologies. All of these resources will enable you to help us deliver next\-generation analytic solutions for our customers.
 This position is responsible for developing credit risk management and business intelligence analytic solutions through consulting engagements and research serving TransUnion’s clients. This position requires an understanding of US consumer lending and credit risk management practices.
* You will partner with internal and external cross\-functional teams to drive new business initiatives and deliver long\-term value\-added product propositions for customers in the US financial services segment at TransUnion. This includes but is not limited to the development of predictive risk management and business intelligence solutions for Fintechs, credit card issuers, collections agencies, and retail banks.
* You will lead analytic client engagements involving descriptive, predictive, and prescriptive analysis through the consumer lending portfolio lifecycle, leveraging a variety of techniques (e.g., segmentation, logistic regression, gradient boosted trees, survival analysis, principal component analysis, scenario and sensitivity analysis).
* You will design and write programs for data extraction, segmentation and statistical analysis on large population datasets using languages such as R, Python, and SQL.
* You will deliver analytic insights and recommendations in succinct and compelling presentations for internal and external customers and an executive audience.
* You will develop project proposals, sales presentations, and promotional collateral to enable the adoption of integrated customer solutions supported by TransUnion.
* You will identify strategies and opportunities for customers to test and adopt TransUnion’s analytic products and services.
* You will provide mentorship and training to junior colleagues and maintain progress on all initiatives under limited direct supervision.
*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40">
      <c r="A40" t="inlineStr">
        <is>
          <t>li-4377750253</t>
        </is>
      </c>
      <c r="B40" t="inlineStr">
        <is>
          <t>Sr Data Scientist</t>
        </is>
      </c>
      <c r="C40" t="inlineStr">
        <is>
          <t>WebstaurantStore</t>
        </is>
      </c>
      <c r="D40" t="inlineStr">
        <is>
          <t>linkedin</t>
        </is>
      </c>
      <c r="E40" t="inlineStr"/>
      <c r="F40" t="inlineStr"/>
      <c r="G40" t="inlineStr">
        <is>
          <t>Lititz, PA</t>
        </is>
      </c>
      <c r="H40" t="inlineStr"/>
      <c r="I40"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41">
      <c r="A41" t="inlineStr">
        <is>
          <t>li-4378786589</t>
        </is>
      </c>
      <c r="B41" t="inlineStr">
        <is>
          <t>Compliance - Technology Operational Risk Management - Data Scientist - Associate</t>
        </is>
      </c>
      <c r="C41" t="inlineStr">
        <is>
          <t>JPMorganChase</t>
        </is>
      </c>
      <c r="D41" t="inlineStr">
        <is>
          <t>linkedin</t>
        </is>
      </c>
      <c r="E41" t="inlineStr"/>
      <c r="F41" t="inlineStr"/>
      <c r="G41" t="inlineStr">
        <is>
          <t>Plano, TX</t>
        </is>
      </c>
      <c r="H41" t="inlineStr"/>
      <c r="I41" t="inlineStr">
        <is>
          <t>**Job Description**
 Bring your expertise to JPMorganChase. As part of Risk Management and Compliance, you are at the center of keeping JPMorganChase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Technology Operational Risk Management Data Scientist within our risk assessment team, you will utilize your expertise in data science, machine learning, and data engineering, coupled with a keen interest in technology and cybersecurity risk. Your proficiency in Python and SQL, experience with data visualization tools, and a working knowledge of AI and machine learning algorithms will be vital. Your role will encompass supporting the business by conducting independent risk assessments on specific technologies, employing data\-first strategies and advanced analytics. You will be responsible for identifying emerging technology risks and understanding third\-party risks associated with the technology in use.
 This role offers the opportunity to join the Tech \&amp; Cyber Operational Risk Management team, responsible for the successful implementation and execution of the Compliance, Conduct, and Operational Risk (CCOR) Tech \&amp; Cyber framework within JPMorganChase. You will provide Second Line of Defense challenge and oversight to our technology and cybersecurity partners.
**Job Responsibilities**
* Perform independent Technology and Cybersecurity Risk assessments on specific technologies using AI, data\-first approaches, and advanced analytics to identify and mitigate potential risks.
* Define and test statistical hypotheses to evaluate the impact of emerging technologies and third\-party risks on the organization.
* Utilize Python and SQL to manipulate and analyze large data sets, providing actionable insights to support risk management strategies.
* Create and maintain dashboards and reports using Tableau and AWS Quicksight to visualize data and communicate findings to stakeholders.
* Develop and operate data loads into Oracle and Databricks environments, ensuring data integrity and quality.
* Apply AI and Machine Learning algorithms, including Open AI GPT, Scikit\-learn, TensorFlow, and AWS SageMaker, to develop predictive models and enhance risk assessment capabilities.
**Required Qualifications, Capabilities And Skills**
* Bachelor’s degree in Computer Science, Engineering, Data Science, or a related field.
* Experience and passion for data science, data engineering, and technology \&amp; cybersecurity risks.
* Excellent analytical skills with the ability to define and test risk hypotheses using advanced data\-science tools.
* Experience with data visualization tools such as Tableau and AWS Quicksight.
* Proficiency in Python and SQL data science tools (e.g., Pandas, NumPy, Matplotlib, etc.)
* Strong knowledge of AI and Machine Learning algorithms, including Scikit\-learn, TensorFlow, or AWS SageMaker.
* Strong communication and collaboration skills, with the ability to convey complex technical concepts to non\-technical stakeholders effectively.
* Keen interest in developing skills in cybersecurity, technology operations,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2">
      <c r="A42" t="inlineStr">
        <is>
          <t>li-4379583533</t>
        </is>
      </c>
      <c r="B42" t="inlineStr">
        <is>
          <t>Data Scientist</t>
        </is>
      </c>
      <c r="C42" t="inlineStr">
        <is>
          <t>Cushman &amp; Wakefield</t>
        </is>
      </c>
      <c r="D42" t="inlineStr">
        <is>
          <t>linkedin</t>
        </is>
      </c>
      <c r="E42">
        <f>HYPERLINK("https://www.linkedin.com/jobs/view/4379583533", "https://www.linkedin.com/jobs/view/4379583533")</f>
        <v/>
      </c>
      <c r="F42">
        <f>HYPERLINK("https://cw.wd1.myworkdayjobs.com/External/job/Remote-CW-Site\u002d\u002d-USA\u002d\u002d-Flexible-United-States/Data-Scientist_R307496-1?source=LinkedIn&amp;urlHash=iqUC", "https://cw.wd1.myworkdayjobs.com/External/job/Remote-CW-Site\u002d\u002d-USA\u002d\u002d-Flexible-United-States/Data-Scientist_R307496-1?source=LinkedIn&amp;urlHash=iqUC")</f>
        <v/>
      </c>
      <c r="G42" t="inlineStr">
        <is>
          <t>Creve Coeur, MO</t>
        </is>
      </c>
      <c r="H42" t="inlineStr"/>
      <c r="I42" t="inlineStr">
        <is>
          <t>**Job Title**
 Data Scientist
**Job Description Summary**
**Job Description**
 The Lead Data Engineer helps architect and lead the development of enterprise\-scale data platforms and advanced analytics solutions across multiple business units and subject areas. In addition, they assist the project delivery team with scoping and planning integration projects and contribute to the design, implementation, and support of the data artifacts in the data lakehouse and databases. This role combines deep technical expertise with leadership and mentoring responsibilities, driving innovation and best practices across the data engineering function.
**Key Responsibilities**
* Partner with business leadership to identify impactful areas for the application of AI and ML.
* Lead Data science and Data driven Analytics engagements across clients covering various sectors.
* Design and optimize ML models for predictive analytics and prescriptive analytics enabled solutions
* Explore cutting\-edge techniques in AI and ML to enhance model performance.
* Maintain generative AI models along with development and updating of code and process documentation
* Partner with data stewards to improve data availability and quality while ensuring compliance
* Partner with technology teams to deploy AI and ML solutions in scalable environments.
* Use business intelligence tools for better visualization and transparency of data driven insights
* Managing a team of data engineers, data scientists, and analytics professionals to deliver data\-driven insights and solutions to support business decision\-making]
* Track latest AI innovations and build relevant PoCs to further our capabilities
* Participate in organization building, hiring, partnerships, conferences etc.
**Essential Knowledge \&amp; Experience**
* Preferred: Experience in Databricks
* Advanced statistics \&amp; machine learning (e.g., causal inference, experimentation, forecasting, NLP, recommender systems, or deep learning—depending on the company)
* Strong programming skills
* Python or R (production\-quality code)
* SQL mastery (complex queries, performance tuning)
* Experience deploying models to production
* Model lifecycle, monitoring, retraining, data drift
* Solid data engineering awareness
* Data pipelines, feature stores, cloud platforms (Azure/ML flow)
**Desirable Knowledge \&amp; Experience**
* Hands\-on experience with machine learning pipelines or integrating data engineering with advanced analytics and AI workflows.
* Familiarity with data governance frameworks, including data lineage, cataloging, and compliance (e.g., GDPR, HIPAA).
* Background in delivering data\-driven solutions for commercial real estate applications
* Degree in IT, Engineering, computer sciences, business IT degree or in any quantitative discipline
**Skills \&amp; Personal Qualities**
* Strong communicator in English, both verbal and written, with the ability to engage effectively across global teams and all levels of the organisation.
* Analytical and curious mindset, driven to solve complex problems and understand intricate technical systems and architectures.
* Organised and detail\-oriented, with a diligent, quality\-focused approach and a strong sense of ownership.
* Collaborative and proactive, able to build relationships, resolve conflicts, and contribute meaningfully within cross\-functional teams.
* Adaptable and dependable, capable of managing multiple priorities, meeting deadlines, and working independently or as part of a team.
* Continuous learner, demonstrating initiative in technical self\-improvement and staying current with evolving tools and practices.
 Cushman \&amp; Wakefield also provides eligible employees with an opportunity to enroll in a variety of benefit programs, generally including health, vision, and dental insurance, flexible spending accounts, health savings accounts, retirement savings plans, life, and disability insurance programs, and paid and unpaid time away from work. In addition to a comprehensive benefits package, Cushman and Wakefield provide eligible employees with competitive pay, which may vary depending on eligibility factors such as geographic location, date of hire, total hours worked, job type, business line, and applicability of collective bargaining agreements.
 The compensation that will be offered to the successful candidate will depend on factors such as whether the position is covered by a collective bargaining agreement, the geographic area in which the work will be performed, market pay rates in that area, and the candidate’s experience and qualifications.
 The company will not pay less than minimum wage for this role.
 The compensation for the position is: $ 72,165\.00 \- $84,900\.00
 Cushman \&amp; Wakefield is an Equal Opportunity employer to all protected groups, including protected veterans and individuals with disabilities. Discrimination of any type will not be tolerated.
 In compliance with the Americans with Disabilities Act Amendments Act (ADAAA), if you have a disability and would like to request an accommodation in order to apply for a position at Cushman \&amp; Wakefield, please call the ADA line at
 **1\-888\-365\-5406** 
 or email
 **HRServices@cushwake.com** 
 . Please refer to the job title and job location when you contact us.
 INCO: “Cushman \&amp; Wakefield”</t>
        </is>
      </c>
    </row>
    <row r="43">
      <c r="A43" t="inlineStr">
        <is>
          <t>li-4378472671</t>
        </is>
      </c>
      <c r="B43" t="inlineStr">
        <is>
          <t>Data Scientist (Big Data Engineer) 2 (C0022)</t>
        </is>
      </c>
      <c r="C43" t="inlineStr">
        <is>
          <t>Jobs via Dice</t>
        </is>
      </c>
      <c r="D43" t="inlineStr">
        <is>
          <t>linkedin</t>
        </is>
      </c>
      <c r="E43">
        <f>HYPERLINK("https://www.linkedin.com/jobs/view/4378472671", "https://www.linkedin.com/jobs/view/4378472671")</f>
        <v/>
      </c>
      <c r="F43">
        <f>HYPERLINK("https://click.appcast.io/t/mE1elFqaNkpOe-5NeJVmX7QLDOvPYjiqOJv35Jx_SF8=&amp;urlHash=C1J1", "https://click.appcast.io/t/mE1elFqaNkpOe-5NeJVmX7QLDOvPYjiqOJv35Jx_SF8=&amp;urlHash=C1J1")</f>
        <v/>
      </c>
      <c r="G43" t="inlineStr"/>
      <c r="H43" t="inlineStr"/>
      <c r="I43" t="inlineStr">
        <is>
          <t>Dice is the leading career destination for tech experts at every stage of their careers. Our client, Connect Tech\+Talent, is seeking the following. Apply via Dice today!
 Data Scientist (Big Data Engineer) 2 (C0022\)
 Telework
 5 Months Contract
**Required**
 4 Years \- Implement ETL/ELT workflows for both structured and unstructured data
 4 Years \- Automate deployments using CI/CD tools
 4 Years \- Collaborate with cross\-functional teams including data scientists, analysts, and stakeholders
 4 Years \- Design and maintain data models, schemas, and database structures to support analytical and operational use cases
 4 Years \- Evaluate and implement appropriate data storage solutions, including data lakes (Azure Data Lake Storage) and data warehouses
 4 Years \- Implement data validation and quality checks to ensure accuracy and consistency
 4 Years \- Contribute to data governance initiatives, including metadata management, data lineage, and data cataloging
 4 Years \- Implement data security measures, including encryption, access controls, and auditing; ensure compliance with regulations and best practices
 4 Years \- Proficiency in Python and R programming languages
 4 Years \- Strong SQL querying and data manipulation skills
 4 Years \- Experience with Azure cloud platform
 4 Years \- Experience with DevOps, CI/CD pipelines, and version control systems
 4 Years \- Working in agile, multicultural environments
 4 Years \- Strong troubleshooting and debugging capabilities
 3 Years \- Design and develop scalable data pipelines using Apache Spark on Databricks
 3 Years \- Optimize Spark jobs for performance and cost\-efficiency
 3 Years \- Integrate Databricks solutions with cloud services (Azure Data Factory)
 3 Years \- Ensure data quality, governance, and security using Unity Catalog or Delta Lake
 3 Years \- Deep understanding of Apache Spark architecture, RDDs, DataFrames, and Spark SQL
 3 Years \- Hands\-on experience with Databricks notebooks, clusters, jobs, and Delta Lake
**Preferred**
 1 Year \- Knowledge of ML libraries (MLflow, Scikit\-learn, TensorFlow)
 1 Year \- Databricks Certified Associate Developer for Apache Spark
 1 Year \- Azure Data Engineer Associate</t>
        </is>
      </c>
    </row>
    <row r="44">
      <c r="A44" t="inlineStr">
        <is>
          <t>li-4120391416</t>
        </is>
      </c>
      <c r="B44" t="inlineStr">
        <is>
          <t>Data Scientist, Product Analytics</t>
        </is>
      </c>
      <c r="C44" t="inlineStr">
        <is>
          <t>Meta</t>
        </is>
      </c>
      <c r="D44" t="inlineStr">
        <is>
          <t>linkedin</t>
        </is>
      </c>
      <c r="E44">
        <f>HYPERLINK("https://www.linkedin.com/jobs/view/4120391416", "https://www.linkedin.com/jobs/view/4120391416")</f>
        <v/>
      </c>
      <c r="F44" t="inlineStr"/>
      <c r="G44" t="inlineStr">
        <is>
          <t>San Francisco, CA</t>
        </is>
      </c>
      <c r="H44" t="inlineStr"/>
      <c r="I44"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5">
      <c r="A45" t="inlineStr">
        <is>
          <t>li-4120824565</t>
        </is>
      </c>
      <c r="B45" t="inlineStr">
        <is>
          <t>Data Scientist, Product Analytics</t>
        </is>
      </c>
      <c r="C45" t="inlineStr">
        <is>
          <t>Meta</t>
        </is>
      </c>
      <c r="D45" t="inlineStr">
        <is>
          <t>linkedin</t>
        </is>
      </c>
      <c r="E45">
        <f>HYPERLINK("https://www.linkedin.com/jobs/view/4120824565", "https://www.linkedin.com/jobs/view/4120824565")</f>
        <v/>
      </c>
      <c r="F45" t="inlineStr"/>
      <c r="G45" t="inlineStr">
        <is>
          <t>Burlingame, CA</t>
        </is>
      </c>
      <c r="H45" t="inlineStr"/>
      <c r="I45"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Bachelor's degree in Mathematics, Statistics, a relevant technical field, or equivalent
* 4\+ years of work experience in analytics, data querying languages such as SQL, scripting languages such as Python, and/or statistical mathematical software such as R (minimum of 2 years with a Ph.D.)
* 4\+ years of experience solving analytical problems using quantitative approaches, understanding ecosystems, user behaviors \&amp; long\-term product trends, and leading data\-driven projects from definition to execution \[including defining metrics, experiment, design, communicating actionable insights]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$147,000/year to $208,000/year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6">
      <c r="A46" t="inlineStr">
        <is>
          <t>li-4166293040</t>
        </is>
      </c>
      <c r="B46" t="inlineStr">
        <is>
          <t>Data Scientist, Product Analytics</t>
        </is>
      </c>
      <c r="C46" t="inlineStr">
        <is>
          <t>Meta</t>
        </is>
      </c>
      <c r="D46" t="inlineStr">
        <is>
          <t>linkedin</t>
        </is>
      </c>
      <c r="E46">
        <f>HYPERLINK("https://www.linkedin.com/jobs/view/4166293040", "https://www.linkedin.com/jobs/view/4166293040")</f>
        <v/>
      </c>
      <c r="F46" t="inlineStr"/>
      <c r="G46" t="inlineStr">
        <is>
          <t>Mountain View, CA</t>
        </is>
      </c>
      <c r="H46" t="inlineStr"/>
      <c r="I46" t="inlineStr">
        <is>
          <t>As a Data Scientist at Meta, you will shape the future of people\-facing and business\-facing products we build across our entire family of applications (Facebook, Instagram, Messenger, WhatsApp, Oculus). By applying your technical skills, analytical mindset, and product intuition to one of the richest data sets in the world, you will help define the experiences we build for billions of people and hundreds of millions of businesses around the world. You will collaborate on a wide array of product and business problems with a wide\-range of cross\-functional partners across Product, Engineering, Research, Data Engineering, Marketing, Sales, Finance and others. You will use data and analysis to identify and solve product development's biggest challenges. You will influence product strategy and investment decisions with data, be focused on impact, and collaborate with other teams. By joining Meta, you will become part of a world\-class analytics community dedicated to skill development and career growth in analytics and beyond.Product leadership: You will use data to shape product development, quantify new opportunities, identify upcoming challenges, and ensure the products we build bring value to people, businesses, and Meta. You will help your partner teams prioritize what to build, set goals, and understand their product's ecosystem.Analytics: You will guide teams using data and insights. You will focus on developing hypotheses and employ a varied toolkit of rigorous analytical approaches, different methodologies, frameworks, and technical approaches to test them.Communication and influence: You won't simply present data, but tell data\-driven stories. You will convince and influence your partners using clear insights and recommendations. You will build credibility through structure and clarity, and be a trusted strategic partner.
 Data Scientist, Product Analytics Responsibilities:
* Work with large and complex data sets to solve a wide array of challenging problems using different analytical and statistical approaches
* Apply technical expertise with quantitative analysis, experimentation, data mining, and the presentation of data to develop strategies for our products that serve billions of people and hundreds of millions of businesses
* Identify and measure success of product efforts through goal setting, forecasting, and monitoring of key product metrics to understand trends
* Define, understand, and test opportunities and levers to improve the product, and drive roadmaps through your insights and recommendations
* Partner with Product, Engineering, and cross\-functional teams to inform, influence, support, and execute product strategy and investment decisions
 Minimum Qualifications:
* Bachelor's degree in Computer Science, Computer Engineering, relevant technical field, or equivalent practical experience
* A minimum of 6 years of work experience in analytics (minimum of 4 years with a Ph.D.)
* Bachelor's degree in Mathematics, Statistics, a relevant technical field, or equivalent practical experience
* Experience with data querying languages (e.g. SQL), scripting languages (e.g. Python), and/or statistical/mathematical software (e.g. R)
 Preferred Qualifications:
* Master's or Ph.D. Degree in a quantitative field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$177,000/year to $247,000/year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47">
      <c r="A47" t="inlineStr">
        <is>
          <t>li-4378803419</t>
        </is>
      </c>
      <c r="B47" t="inlineStr">
        <is>
          <t>Lead Data Scientist(CPG)- Data Science</t>
        </is>
      </c>
      <c r="C47" t="inlineStr">
        <is>
          <t>Tiger Analytics</t>
        </is>
      </c>
      <c r="D47" t="inlineStr">
        <is>
          <t>linkedin</t>
        </is>
      </c>
      <c r="E47">
        <f>HYPERLINK("https://www.linkedin.com/jobs/view/4378803419", "https://www.linkedin.com/jobs/view/4378803419")</f>
        <v/>
      </c>
      <c r="F47" t="inlineStr"/>
      <c r="G47" t="inlineStr">
        <is>
          <t>Los Angeles, CA</t>
        </is>
      </c>
      <c r="H47" t="inlineStr"/>
      <c r="I47" t="inlineStr">
        <is>
          <t>Tiger Analytics is looking for experienced Data Scientists to join our fast\-growing advanced analytics consulting firm. Our consultants bring deep expertise in Data Science, Machine Learning and AI. We are the trusted analytics partner for multiple Fortune 500 companies, enabling them to generate business value from data. Our business value and leadership has been recognized by various market research firms, including Forrester and Gartner. We are looking for top\-notch talent as we continue to build the best global analytics consulting team in the world.
 We are seeking a highly skilled and experienced Lead Data Scientist with strong expertise in Data Science modelling, within the CPG domain. The ideal candidate will have a proven track record of designing, developing, and deploying scalable forecasting solutions, while leading projects and mentoring teams. This role requires deep technical expertise, hands\-on coding experience, and the ability to collaborate closely with clients and stakeholders to translate business needs into robust analytical solutions.
**Responsibilities:**
* Work on the latest applications of data science to solve business problems
* Work directly with client stakeholders to translate business problems into high level analytics solution designs
* Present analytic solutions to business audiences highlighting robustness of the solution and how it could help generate business value
* Develop end\-to\-end solutions based on in\-depth understanding of business problems to ensure analytics solutions are delivered efficiently, predictably, and sustainably
* Responsible for managing analytics projects, collaborating with client stakeholders and Tiger's team situated globally
* Participate in discussions with team members to select and apply relevant analytic techniques and create actionable business insights
* Responsible for making presentations to senior management, communicating results to business teams, and develop plans to help operationalize analytic solution
**Requirements**
* 8 \- 13 years of professional work experience with at least 5 years in Data Science
* Ability to engage with executive/VP\-level stakeholders from client's team to translate business problems to high level analytics solution approach
* Solid understanding of statistical and machine learning algorithms
* Strong project management and team management skills and ability to work with global teams
* Strong SQL skills and hands\-on experience with analytic tools like R \&amp; Python
* Exposure to cloud platforms and big data systems such as Hadoop, HDFS, Hive is a plus
* Experience working with CPG Domain companies
* Ability to work with IT and Data Engineering teams to help embed analytic outputs in business processes
* Bachelor's in Business Analytics or equivalent work experience
**Benefits**
 Significant career development opportunities exist as the company grows. The position offers a unique opportunity to be part of a small, fast\-growing, challenging and entrepreneurial environment, with a high degree of individual responsibility.</t>
        </is>
      </c>
    </row>
    <row r="48">
      <c r="A48" t="inlineStr">
        <is>
          <t>li-4308316149</t>
        </is>
      </c>
      <c r="B48" t="inlineStr">
        <is>
          <t>Data Scientist, Strategic Intelligence &amp; Risk</t>
        </is>
      </c>
      <c r="C48" t="inlineStr">
        <is>
          <t>OpenAI</t>
        </is>
      </c>
      <c r="D48" t="inlineStr">
        <is>
          <t>linkedin</t>
        </is>
      </c>
      <c r="E48">
        <f>HYPERLINK("https://www.linkedin.com/jobs/view/4308316149", "https://www.linkedin.com/jobs/view/4308316149")</f>
        <v/>
      </c>
      <c r="F48">
        <f>HYPERLINK("https://jobs.ashbyhq.com/openai/6131fc4f-bfc8-49f3-8223-773a55d15583/application&amp;urlHash=-0Mx", "https://jobs.ashbyhq.com/openai/6131fc4f-bfc8-49f3-8223-773a55d15583/application&amp;urlHash=-0Mx")</f>
        <v/>
      </c>
      <c r="G48" t="inlineStr">
        <is>
          <t>San Francisco, CA</t>
        </is>
      </c>
      <c r="H48" t="inlineStr"/>
      <c r="I48" t="inlineStr">
        <is>
          <t>**About The Team**
 The Intelligence and Investigations team seeks to rapidly identify and mitigate abuse and strategic risks to ensure a safe online ecosystem. We are dedicated to identifying emerging abuse trends, analyzing risks, and working with our internal and external partners to implement effective mitigation strategies to protect against misuse. Our efforts contribute to OpenAI's overarching goal of developing AI that benefits humanity.
 The Strategic Intelligence \&amp; Analysis (SIA) team provides safety intelligence for OpenAI’s products by monitoring, analyzing, and forecasting real\-world abuse, geopolitical risks, and strategic threats. Our work informs safety mitigations, product decisions, and partnerships, ensuring OpenAI’s tools are deployed securely and responsibly across critical sectors.
**About The Role**
 As a Data Scientist, you will lead econometric and experimental analysis to understand how risk changes in complex human–AI systems. Your work will focus on measuring the magnitude and impact of risk shifts in a fast\-paced, rapidly evolving operational environment. You will design experiments and observational studies to identify causal drivers and analyze changes in risk across a wide range of surfaces and sources. Your analyses will directly inform prioritization and strategic risk management across the company.
 This role is based in San Francisco, CA (hybrid, 3 days/week). Relocation support is available
**In This Role, You Will**
* Own the design and execution of experimental and observational analyses used to assess strategic risk
* Develop econometric approaches to estimate the impact of product, policy, and external developments on key risk vectors
* Translate strategic risk questions into testable hypotheses and sound study designs
* Design and deploy A/B tests, as well as pseudo\-experimental studies, to measure changes in risks and understand underlying mechanisms
* Identify, test, and explain product\-driven, event\-driven, or signal\-driven changes in risk
* Establish baselines and statistical confidence around core metrics to size these problems
* Partner across teams to track strategic risks, identify opportunities for intervention, and develop analyses to evaluate those interventions
**You Might Thrive In This Role If You**
* Have 3–6\+ years in econometrics, causal inference, or experimental research
* Are comfortable owning ambiguous analyses with large\-scale influence
* Are strong in experimental design, observational methods, and statistical reasoning
* Write solid Python and SQL
* Experience delivering zero\-to\-one analyses and scaling them from concept through deployment
* Communicate data\-driven findings clearly, including uncertainty and trade\-offs, to non\-technical partners and leadership
* Nice to have: experience in trust and safety, integrity, operational security, intelligence analysis or other quantitative risk\-focused domains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$230K \- $325K</t>
        </is>
      </c>
    </row>
    <row r="49">
      <c r="A49" t="inlineStr">
        <is>
          <t>li-4364044356</t>
        </is>
      </c>
      <c r="B49" t="inlineStr">
        <is>
          <t>Data Scientist, Customer Analytics</t>
        </is>
      </c>
      <c r="C49" t="inlineStr">
        <is>
          <t>Cresta</t>
        </is>
      </c>
      <c r="D49" t="inlineStr">
        <is>
          <t>linkedin</t>
        </is>
      </c>
      <c r="E49">
        <f>HYPERLINK("https://www.linkedin.com/jobs/view/4364044356", "https://www.linkedin.com/jobs/view/4364044356")</f>
        <v/>
      </c>
      <c r="F49">
        <f>HYPERLINK("https://job-boards.greenhouse.io/cresta/jobs/5074999008?gh_src=9a5432008us&amp;urlHash=kzSh", "https://job-boards.greenhouse.io/cresta/jobs/5074999008?gh_src=9a5432008us&amp;urlHash=kzSh")</f>
        <v/>
      </c>
      <c r="G49" t="inlineStr"/>
      <c r="H49" t="inlineStr"/>
      <c r="I49" t="inlineStr">
        <is>
          <t>Cresta is on a mission to turn every customer conversation into a competitive advantage by unlocking the true potential of the contact center. Our platform combines the best of AI and human intelligence to help contact centers discover customer insights and behavioral best practices, automate conversations and inefficient processes, and empower every team member to work smarter and faster. Born from the prestigious Stanford AI lab, Cresta's co\-founder and chairman is Sebastian Thrun, the genius behind Google X, Waymo, Udacity, and more. Our leadership also includes CEO, Ping Wu, the co\-founder of Google Contact Center AI and Vertex AI platform, \&amp; co\-founder, Tim Shi, an early member of Open AI.
 We’ve assembled a world\-class team of AI and ML experts, go\-to\-market leaders, and top\-tier investors including Andreessen Horowitz, Greylock Partners, Sequoia, and former AT\&amp;T CEO John Donovan. Our valued customers include brands like Intuit, Cox Communications, Hilton, and Carmax and we’ve been recognized by Forbes and Bain Consulting as one of the top private AI companies in the world.
 Join us on this thrilling journey to revolutionize the workforce with AI. The future of work is here, and it's at Cresta.
**Role Overview**
 Cresta is expanding its Customer Success organization with a dedicated analytics function focused on customer value realization. As a
 **Data Scientist, Customer Analytics** 
 , you’ll be the technical engine behind measuring and storytelling customer impact—designing experiments, analyzing conversational and operational data, and building dashboards that quantify Cresta’s value.
 You’ll sit within the Customer Success organization and partner closely with
 **Business Value, Customer Success Managers, Sales, Product, and Engineering** 
 . Your work will power ROI discussions, QBRs, pilots, and renewal conversations.
 This role is ideal for someone early in their data science career who enjoys hands\-on analytics, problem\-solving, and turning ambiguous business questions into clear, actionable insights.
**Key Responsibilities**
**Customer Analytics \&amp; Insight Generation**
* Conduct exploratory data analysis (EDA) across conversational, operational, and performance datasets
* Translate ambiguous business questions into structured analytical problems
* Analyze how workflow, behavior, and product usage changes translate into business value
* Partner with Business Value consultants on customer\-facing insights
**Experimentation \&amp; Pilot Measurement**
* Design and analyze A/B tests and quasi\-experiments to measure Cresta’s impact
* Establish baselines, metrics, and measurement plans for pilots
* Ensure results are statistically rigorous and easy for non\-technical stakeholders to understand
* Build reusable templates and frameworks for consistent experimentation
**Dashboards, Reporting \&amp; Automation**
* Build and maintain dashboards for Customer Success, Business Value, and Sales
* Develop Python and SQL tools to improve repeatability, accuracy, and scalability
* Create standardized reporting packages for pilots, QBRs, and renewals
**Modeling \&amp; Advanced Analytics**
* Develop custom statistical or ML models (e.g., segmentation, predictive scoring, lightweight NLP)
* Maintain reusable modeling pipelines for value insights and roadmap analysis
* Partner with Engineering when guidance or productionization support is needed
**Cross\-Functional Collaboration**
* Translate analyses into clear business and financial narratives
* Support CSMs with data and insights for strategic QBRs
* Partner with Product and Engineering on metrics, data availability, and analytics enhancements
**Required Qualifications**
* 1–3 years of experience in a data\-focused role or relevant academic experience
* Strong proficiency in SQL and experience working with large datasets
* Proficiency in Python (Pandas, NumPy, scikit\-learn)
* Solid understanding of statistics, hypothesis testing, and experimental design
* Experience building dashboards in tools such as Hex, Looker, Tableau, or similar
* Strong communication skills with non\-technical stakeholders
* Comfort working in a fast\-paced, cross\-functional environment
**Preferred Qualifications**
* Experience with conversational data (call transcripts, chats) or text analytics
* Familiarity with causal inference, uplift modeling, or A/B testing frameworks
* Exposure to customer\-facing analytics or support roles
* Experience with cloud data stacks (Snowflake, Redshift, etc.)
* Basic NLP or classification experience related to agent behavior or customer intent
**Success Criteria**
 Within 6–9 months, a successful hire will have:
* Built dashboards and reporting foundations used across Customer Success
* Implemented standardized pilot measurement and experimentation approaches
* Supported strategic customer analyses that improved renewals or expansion confidence
* Created scripts and automations that significantly reduce manual analysis
* Earned trust as the go\-to analytics partner for Customer Success
**Compensation At Cresta**
 Cresta’s approach to compensation is simple: recognize impact, reward excellence, and invest in our people. We offer competitive, location\-based pay that reflects the market and what each individual brings to the table.
**Compensation for this position includes a Base salary \+ Bonus \+ Equity**
 Actual base salaries will be based on candidate\-specific factors, including experience, skillset, and location, and local minimum pay requirements as applicable. Your recruiter can provide further details. In addition, total compensation includes a comprehensive benefits package for you and your family.
 We have noticed a rise in recruiting impersonations across the industry, where scammers attempt to access candidates' personal and financial information through fake interviews and offers. All Cresta recruiting email communications will always come from the @cresta.ai domain. Any outreach claiming to be from Cresta via other sources should be ignored. If you are uncertain whether you have been contacted by an official Cresta employee, reach out to recruiting@cresta.ai</t>
        </is>
      </c>
    </row>
    <row r="50">
      <c r="A50" t="inlineStr">
        <is>
          <t>li-4377738296</t>
        </is>
      </c>
      <c r="B50" t="inlineStr">
        <is>
          <t>Data Scientist</t>
        </is>
      </c>
      <c r="C50" t="inlineStr">
        <is>
          <t>AutoZone</t>
        </is>
      </c>
      <c r="D50" t="inlineStr">
        <is>
          <t>linkedin</t>
        </is>
      </c>
      <c r="E50">
        <f>HYPERLINK("https://www.linkedin.com/jobs/view/4377738296", "https://www.linkedin.com/jobs/view/4377738296")</f>
        <v/>
      </c>
      <c r="F50">
        <f>HYPERLINK("https://careers.autozone.com/hcmUI/CandidateExperience/en/job/38937/?utm_medium=jobboard&amp;utm_source=linkedin&amp;urlHash=-h0t", "https://careers.autozone.com/hcmUI/CandidateExperience/en/job/38937/?utm_medium=jobboard&amp;utm_source=linkedin&amp;urlHash=-h0t")</f>
        <v/>
      </c>
      <c r="G50" t="inlineStr">
        <is>
          <t>Memphis, TN</t>
        </is>
      </c>
      <c r="H50" t="inlineStr"/>
      <c r="I50" t="inlineStr">
        <is>
          <t>**Job Description**
 As a Data Scientist at AutoZone, you’ll be the analytical powerhouse behind our business solutions. You’ll dig deep into data, build models, and deliver insights that shape everything from marketing strategies to customer experiences. Your work will help us connect the dots and unlock opportunities hidden within our data—ultimately driving growth and innovation across the organization.
**Responsibilities**
**RESPONSIBILITIES**
* Partner with senior data scientists and leadership to understand business needs.
* Research and design innovative statistical models for data analysis.
* Communicate insights clearly to stakeholders across the organization.
* Mine and analyze data to optimize product development, marketing, and business strategies.
* Develop predictive models to improve customer experience and revenue generation.
* Build and maintain A/B testing frameworks and monitor model performance.
* Stay current with industry trends and emerging technologies.
* Collaborate with cross\-functional teams to implement models and track outcomes.
**Qualifications**
**What We Are Looking For**
* Bachelor’s degree in Statistics, Applied Mathematics, Economics, or related field ( Master’s preferred).
* 5\-7 years of experience in statistical analysis and data modeling.
* Proficiency in SQL, SAS, and programming languages such as R or Python.
* Strong knowledge of statistical techniques (e.g., regression, cluster analysis , time series modeling).
* Ability to communicate complex findings in a clear, actionable way.
* A collaborative mindset and a passion for problem\-solving.
**You’ll Go the Extra Mile If You Have**
* Advanced experience in predictive modeling and pattern recognition.
* Expertise in developing custom algorithms and data models.
* Familiarity with A/B testing frameworks and model quality assessment.
* A track record of leveraging data to drive measurable business outcomes.
**About Us**
 Since opening our first store in 1979, AutoZone has grown into a leading retailer and distributor of automotive parts and accessories across the Americas. Our customer\-first mindset and commitment to Going the Extra Mile define who we are, for both our customers and AutoZoners. Working at AutoZone means being part of a team that values dedication, teamwork, and growth. Whether you're helping customers or building your career, we provide tools and support to help you succeed and drive your future.
**Benefits At AutoZone**
 AutoZone offers thoughtful benefits programs with one\-on\-one benefits guidance designed to improve AutoZoners’ physical, mental and financial well\-being.
**All AutoZoners (Full\-Time And Part\-Time)**
* Competitive pay
* Unrivaled company culture
* Medical, dental and vision plans
* Exclusive discounts and perks, including an AutoZone in\-store discount
* 401(k) with company match and Stock Purchase Plan
* AutoZoners Living Well Program for free mental health support
* Opportunities for career growth
**Additional Benefits For Full\-Time AutoZoners**
* Paid time off
* Life, and short\- and long\-term disability insurance options
* Health Savings and Flexible Spending Accounts with wellness rewards
* Tuition reimbursement
 Minimum age requirements may apply. Eligibility and waiting period requirements may apply; benefits for AutoZoners in Puerto Rico, Hawaii, or the U.S. Virgin Islands may differ. Learn more about all that AutoZone has to offer at Careers.AutoZone.com.
 We proudly support Veterans, Active\-duty Service Members, Reservists, National Guard and Military Families. Your experience is highly valued, and we encourage you to apply to join our team.
**Online Application**
 An online application is required. Click the Apply button to complete your application. For step\-by\-step instructions on how to apply visit careers.autozone.com/candidateresources.
 AutoZone, and its subsidiary, ALLDATA are equal opportunity employers. All applicants will be considered for employment without attention to age, race, color, religion, sex, sexual orientation, gender identity, national origin, veteran or disability status, or any other legally protected categories.</t>
        </is>
      </c>
    </row>
    <row r="51">
      <c r="A51" t="inlineStr">
        <is>
          <t>li-4378841475</t>
        </is>
      </c>
      <c r="B51" t="inlineStr">
        <is>
          <t>Machine Learning/ Data Scientist (hybrid)</t>
        </is>
      </c>
      <c r="C51" t="inlineStr">
        <is>
          <t>Donnelly &amp; Moore Corporation</t>
        </is>
      </c>
      <c r="D51" t="inlineStr">
        <is>
          <t>linkedin</t>
        </is>
      </c>
      <c r="E51">
        <f>HYPERLINK("https://www.linkedin.com/jobs/view/4378841475", "https://www.linkedin.com/jobs/view/4378841475")</f>
        <v/>
      </c>
      <c r="F51" t="inlineStr"/>
      <c r="G51" t="inlineStr">
        <is>
          <t>New York, NY</t>
        </is>
      </c>
      <c r="H51" t="inlineStr"/>
      <c r="I51" t="inlineStr">
        <is>
          <t>**Our Utility Client in NYC is looing for a strong ML/Data Science Consultant who has solid experience with Python and SQL. This role is Hybrid for 12\+months.**
 Designing and maintaining data systems and databases; this includes fixing coding errors and other data\-related problems. Mining data from primary and secondary sources, then reorganizing said data in a format that can be easily read by either human or machine. Using statistical tools to interpret data sets, paying particular attention to trends and patterns that could be valuable for diagnostic and predictive analytics efforts.
**Technical Skills**
**Must Have**
* A Bachelor’s Degree in Computer Science or related field with at least 3\-5 years’ work experience in an enterprise IT environment.
* Advanced SQL
* Azure Databricks Data Engineer Associate Certificate
* full\-stack Python
* Generative AI
* Knowledge of statistical modeling and machine learning concepts
* Machine Learning Operations
* Power BI Dashboards
* python Pyspark programming
**Nice To Have**
* Google Cloud BigQuery, Google Cloud Experience
**Required Skills/Experience (Skills That The Successful Candidate(s) Must Have)**
* Bachelor’s or Master’s degree in Computer Science, Data Science, Machine Learning, Statistics, Mathematics, or related field.
* Strong experience in machine learning algorithms, predictive modeling, and data mining.
* Proficiency in Python (required) for data science workloads.
* Strong SQL (required) knowledge and experience with relational databases.
* Proficiency in PySpark(required) for data science workloads.
* Minimum 3 years of experience with data visualization tools such as Power BI, Dax Queries, and best practices.
* Experience with Azure Databricks, Oracle, and modern data science libraries (e.g., scikit\-learn, pandas, NumPy).
* Experience with GenAI and large language models.
* Ability to interpret complex datasets and produce actionable insights.
* Must know how to analyze the root cause of dashboard errors.
* Have experience in ML Ops and have strong coding background.
* Have experience with Natural Language Processing (NLP).
* Knowledge or experience with A/B Testing.
* Working knowledge of designing, training, and implementing machine learning models.
* Familiarity with cloud\-based infrastructure
* Excellent communication and problem\-solving skills.
* 7 or more years of experience in data science and machine learning engineering
**Additional Skills (Skills that are a plus, but not required)**
* Knowledge of statistical methods and experimental design.
**Key Responsibilities**
**Advanced Analytics \&amp; Machine Learning**
* Design, develop, and optimize machine learning models (forecasting, classification, clustering).
* Apply data mining techniques to uncover patterns and insights in large datasets.
* Perform feature engineering, model validation, and performance tuning.
* Explore and deploy modern AI and ML approaches to enhance automation and analytics.
**Data Preparation \&amp; Quality**
* Prepare structured and unstructured data for modeling and advanced analysis.
* Develop scripts and tools for data cleansing, validation, and enrichment.
* Collaborate with Data Engineering to maintain efficient data pipelines.
* Identify data quality issues and propose remediation.
**Analytics, Insights \&amp; Reporting**
* Conduct deep\-dive analyses to identify trends and improvement opportunities.
* Communicate complex findings in clear, concise ways to technical and non\-technical stakeholders.
* Support the development of dashboards, metrics, and analytical solutions.
**Cross\-Team Collaboration**
* Work with architects, engineers, and analysts to define analytical requirements.
* Contribute to conceptual data model design and workflow optimization.
* Promote best practices in machine learning, analytics, and data governance.</t>
        </is>
      </c>
    </row>
    <row r="52">
      <c r="A52" t="inlineStr">
        <is>
          <t>li-4336181823</t>
        </is>
      </c>
      <c r="B52" t="inlineStr">
        <is>
          <t>Data Scientist</t>
        </is>
      </c>
      <c r="C52" t="inlineStr">
        <is>
          <t>Amplify</t>
        </is>
      </c>
      <c r="D52" t="inlineStr">
        <is>
          <t>linkedin</t>
        </is>
      </c>
      <c r="E52">
        <f>HYPERLINK("https://www.linkedin.com/jobs/view/4336181823", "https://www.linkedin.com/jobs/view/4336181823")</f>
        <v/>
      </c>
      <c r="F52" t="inlineStr"/>
      <c r="G52" t="inlineStr"/>
      <c r="H52" t="inlineStr"/>
      <c r="I52" t="inlineStr">
        <is>
          <t>A pioneer in K–12 education since 2000, Amplify is leading the way in next\-generation curriculum and assessment. Our core and supplemental programs in ELA, math, and science engage all students in rigorous learning and inspire them to think deeply, creatively, and for themselves. Our formative assessment products help teachers identify the targeted instruction students need to build a strong foundation in early reading and math. All of our programs provide educators with powerful tools that help them understand and respond to the needs of every student. Today, Amplify serves more than 15 million students in all 50 states. For more information, visit amplify.com.
 We seek an experienced Data Scientist to join our Supply Chain Analytics team, developing Machine Learning models to forecast demand, optimize inventory, and reduce costs across our educational product portfolio. This role will drive data science best practices and introduce advanced analytics capabilities to support strategic supply chain decisions affecting tens\-of\-thousands of ISBNs and hundreds of millions in revenue every year. To accomplish this, the Data Scientist will work with a cross functional scrum team of Analytics Engineers and Data Analysts to build state of the art data products.
 This Data Science role will report to our Data Science manager who leads Data Science for Amplify’s Sales, Marketing and Finance departments. As such, they will be empowered to innovate and participate in important decisions across the entire data stack.
**Essential Responsibilities**
* Train, test, and deploy Machine Learning models: Drive the development of new Machine Learning capabilities by contributing at every stage of the Machine Learning delivery pipeline including research, evaluation, deployment and monitoring.
* Seek the why behind every observation: Use advanced data analysis techniques to construct compelling narratives and recommend actions and strategies that our Supply Chain team can make to improve operations.
* Work cross functionally to deliver superior data products: Contribute to development efforts from data ingestion, to data transformation, through to data analysis and machine learning in order to deliver high quality, impactful data products.
* Give back to the broader Data Science team: Help our Data Science team continuously improve by leading team learning sessions and proposing novel tooling or architectures.
**Required Qualifications**
* 2\+ years of experience in a data science role working on Supply Chain forecasting or logistics optimization problems.
* Proficiency with statistical methods and especially time series forecasting methodologies (eg. SARIMA, prophet, xGBoost)
* Expert user of Python for data analysis tasks (data cleaning, manipulation, analysis).
* Expert user of SQL, especially its use in data analysis tasks.
* Experience training and evaluating the performance of machine learning models leveraging industry standard libraries like PyTorch, scikit\-learn, tidymodels, xGBoost.
* Experience deploying machine learning models from research environments into production environments like AWS Sagemaker, Databricks or Snowpark ML.
* Demonstrated application of software development methodology and protocols, including using git for version control and testing.
* Excellent communication skills in writing and conversation, especially with non\-technical partners.
* Experience driving self\-directed projects and working cross\-functionally.
**Preferred Qualifications**
* Experience working with Snowflake.
* Experience with container technologies, e.g. Docker and Kubernetes.
* Background in education or in edtech.
**What We Offer**
 Salary is only one component of the Amplify Total Rewards package, which includes a 401(k) plan, competitive health insurance and mental health options, basic life insurance, paid time off, parental leave, and access to best\-in\-class development programs. The gross salary range for this role is $100,000 \- $132,000\. This role is eligible to earn an annual discretionary bonus that rewards individual and company performance.
*Amplify is an Equal Opportunity Employer. Amplify makes employment decisions based on qualifications and merit, and does not discriminate based on race, color, religion, sex, sexual orientation, gender identity, national origin, age, disability status, veteran status, or any other legally protected characteristic or status.*
*Amplify is committed to providing reasonable accommodations for qualified individuals with disabilities, including disabled veterans. If you have a disability and need an accommodation in connection with the application or hiring process, please email hiringaccommodations@amplify.com.*
* 
*If you are selected for employment, a background check will be required. As required by state and local laws and district policies, you may be required to provide additional documentation, such as proof of vaccination, or submit to enhanced background screening, such as fingerprinting.*
*Amplify is an E\-Verify participant.*</t>
        </is>
      </c>
    </row>
    <row r="53">
      <c r="A53" t="inlineStr">
        <is>
          <t>li-4377748662</t>
        </is>
      </c>
      <c r="B53" t="inlineStr">
        <is>
          <t>Data Scientist</t>
        </is>
      </c>
      <c r="C53" t="inlineStr">
        <is>
          <t>SoTalent</t>
        </is>
      </c>
      <c r="D53" t="inlineStr">
        <is>
          <t>linkedin</t>
        </is>
      </c>
      <c r="E53">
        <f>HYPERLINK("https://www.linkedin.com/jobs/view/4377748662", "https://www.linkedin.com/jobs/view/4377748662")</f>
        <v/>
      </c>
      <c r="F53" t="inlineStr"/>
      <c r="G53" t="inlineStr">
        <is>
          <t>New York, NY</t>
        </is>
      </c>
      <c r="H53" t="inlineStr"/>
      <c r="I53" t="inlineStr">
        <is>
          <t>**Job Title: Data Scientist** 
**Location: New York, NY** 
**Type: Full Time** 
 Our Client is seeking a talented Data Scientist / Machine Learning Engineer to join their team and help shape the future of data\-driven products.
**What You’ll Do** 
* Build machine learning models end\-to\-end: design, training, evaluation, validation, and implementation.
* Work with a broad stack of technologies — Python, Conda, AWS, Spark, Kubeflow Pipelines, and more — to uncover insights from massive datasets.
* Collaborate with data scientists, engineers, and product managers to deliver solutions customers love.
* Translate complex technical work into clear, actionable business goals.
**The Ideal Candidate** 
* **Data Guru** 
 : Skilled at retrieving, combining, and analyzing data from diverse sources.
* **Statistically\-Minded** 
 : Experienced with clustering, classification, sentiment analysis, time series, deep learning, and model validation techniques (confusion matrices, ROC curves, backtesting).
* **Technical** 
 : Hands\-on with open\-source languages and cloud platforms, passionate about building scalable solutions.
* **Customer\-First** 
 : Driven by impact, ensuring every decision benefits the end user.
**Basic Qualifications** 
* Bachelor’s in a quantitative field (Statistics, Economics, Operations Research, Analytics, Mathematics, Computer Science, or related) \+ 5 years of analytics experience
* OR Master’s/MBA with quantitative concentration \+ 3 years of analytics experience
* OR PhD in a quantitative field
**Preferred Qualifications** 
* Master’s or PhD in STEM with 3\+ years of industry experience in data science
* 1\+ year of experience with AWS
* 3\+ years of Python experience
* 3\+ years of SQL experience
* 3\+ years of machine learning model development, including at least 1 year with GBM models</t>
        </is>
      </c>
    </row>
    <row r="54">
      <c r="A54" t="inlineStr">
        <is>
          <t>li-4286980133</t>
        </is>
      </c>
      <c r="B54" t="inlineStr">
        <is>
          <t>Data Scientist</t>
        </is>
      </c>
      <c r="C54" t="inlineStr">
        <is>
          <t>Agentio</t>
        </is>
      </c>
      <c r="D54" t="inlineStr">
        <is>
          <t>linkedin</t>
        </is>
      </c>
      <c r="E54">
        <f>HYPERLINK("https://www.linkedin.com/jobs/view/4286980133", "https://www.linkedin.com/jobs/view/4286980133")</f>
        <v/>
      </c>
      <c r="F54" t="inlineStr"/>
      <c r="G54" t="inlineStr">
        <is>
          <t>New York, NY</t>
        </is>
      </c>
      <c r="H54" t="inlineStr"/>
      <c r="I54" t="inlineStr">
        <is>
          <t>**About Agentio**
 Agentio enables marketers to buy creator led ads as easily and scalably as Meta or Google ads—automating sourcing, pricing, contracting, delivery, and measurement with AI—so work that took months now happens in minutes.
 We’re on a mission to transform a $800B digital ad ecosystem by shifting digital ad spend into the hands of creators. That means better outcomes for marketers and enabling creators to live off their work—finally being paid in proportion to the value they create. That shift is accelerating: Unilever’s CEO has said the company will move roughly half of its ad budget into social and creators—Unilever is among the world’s largest advertisers, spending around $9–10B annually. As these dollars move, they need performance\-grade pipes; Agentio is how those dollars flow to creators with the speed, control, and measurement marketers expect. We enable brands like Uber, DoorDash, and Bombas to run creator campaigns with the same rigor, control, and accountability as their core performance channels.
 Agentio has raised
 **$56M to date** 
 at a
 **$340M valuation** 
 , including a recent
 **Series B led by Forerunner** 
**,** 
 which followed our Series A within a calendar year. Our investors also include
 **Benchmark, Craft, and AlleyCorp** 
 . Agentio has been named to
 **Forbes’ Next Billion Dollar Startups, 2025** 
 , and our platform is already used and loved by the world’s leading marketers and creators. We are just getting started!
 Data is Our Growth Engine
 Our platform routes budgets to the right creators, at the right price, with clear attribution. We ingest rich first\-party signals across creative briefs, audiences, content, and outcomes; link them to conversions; and train LLM\-driven ranking and pricing models that guide every step—from discovery and acceptance likelihood to pacing and scale. Each campaign feeds back new data, creating a compounding learning loop that makes matching, forecasting, and measurement more efficient with every use.
 We’re expanding our data practice and hiring foundational teammates. Whether you analyze behavior, model outcomes, run experiments, or build robust data and ML tooling, you’ll have an immediate impact—shaping product decisions, improving measurement, and delivering the pipelines and services that power the platform.
 At Agentio, data drives decisions—what we build, how we price, and where we scale—so creators and brands win together. If you’re curious, collaborative, and excited to own outcomes in a fast\-moving environment, let’s talk.
 You
* Nimble, hungry, humble, and adaptive to change
* Excited to learn and grow in a fast\-paced environment
* Proven track record of applying analytical/statistical methods to tackle real\-world problems using big data.
* A true problem\-solver and self\-starter, with incredible ambition and drive
* Competitive and highly motivated to exceed expectations
* Ready to roll up your sleeves, get things done, and work harder than you’ve likely ever worked before — with far greater reward
* A positive, honest, empathetic, and curious teammate
* You understand that Agentio is building in\-person, and is in\-office 5 days/week
 What You'll Get
* The opportunity to build a first\-of\-its kind business as an early team\-member and make a meaningful impact in the way brands share their stories and creators live off their work.
* Crash\-course in what it takes to scale a start\-up with first\-hand exposure to the different foundational business drivers and needs.
* The chance to work with an exceptional team and help build our engineering culture
* A collaborative, transparent, and engaging work environment.
 Benefits \&amp; Perks
* Flexible PTO – Take the time you need to recharge
* Comprehensive Health Coverage – Top medical plan through Aetna
* Dental \&amp; Vision Plans – Protect your smile and your sight with coverage from Guardian
* 401(k) Retirement Plan – Invest in your future while you build your career
* $100 Monthly Lifestyle Credit – Use it to shop with our amazing Agentio Brand Partners
* Free Lunch 5x a week!
* Gym in the building! – Your workout, right downstairs</t>
        </is>
      </c>
    </row>
    <row r="55">
      <c r="A55" t="inlineStr">
        <is>
          <t>li-4370384316</t>
        </is>
      </c>
      <c r="B55" t="inlineStr">
        <is>
          <t>Staff Product Data Scientist</t>
        </is>
      </c>
      <c r="C55" t="inlineStr">
        <is>
          <t>PandaDoc</t>
        </is>
      </c>
      <c r="D55" t="inlineStr">
        <is>
          <t>linkedin</t>
        </is>
      </c>
      <c r="E55">
        <f>HYPERLINK("https://www.linkedin.com/jobs/view/4370384316", "https://www.linkedin.com/jobs/view/4370384316")</f>
        <v/>
      </c>
      <c r="F55" t="inlineStr"/>
      <c r="G55" t="inlineStr"/>
      <c r="H55" t="inlineStr"/>
      <c r="I55" t="inlineStr">
        <is>
          <t>**The Opportunity** 
 As a Staff Data Scientist at PandaDoc, you will serve as a senior analytical leader, embedding yourself deeply in our product and business data to uncover non\-obvious insights and drive actionable recommendations. A primary focus of this strategic role is to champion and drive the organizational shift toward a data\-driven culture. You will own the advancement of our experimentation capabilities, train other analysts and data scientists on causal methodologies, and leverage your expertise to provide leadership with a clear, reliable understanding of true impact and causality.
 You will report to the Director of Product Data and act as a strategic thought partner to Product, Finance, Design, Engineering, Product Marketing, and executive leadership, ensuring alignment between data insights and critical business decisions.
**What You'll Do** 
**Experimentation \&amp; Causal Strategy** 
* ****Lead the Experimentation Roadmap:****
 Define, champion, and execute a strategic roadmap for measuring impact across PandaDoc, focusing on high\-leverage business questions related to customer workflows, churn risk, and long\-term value (LTV).
* ****Advanced Experiment Design:****
 Design, implement, and rigorously analyze complex A/B tests, multivariate experiments, and adaptive experimentation methods, including the application of Bayesian experimentation, to assess the effectiveness of proposed product changes and business levers.
* ****Causal Inference Beyond A/B:****
 Apply advanced causal inference techniques (e.g., difference\-in\-differences, synthetic control, propensity score matching, and instrumental variables) to scenarios where randomized controlled trials (RCTs) are infeasible.
* ****Deep Dive Analysis:****
 Conduct complex, proactive, and exploratory analysis to discover latent user behavior, emerging trends, and root causes of changes in key metrics, translating these findings into actionable product and business insights.
* ****Develop Measurement Frameworks:****
 Define, instrument, and govern a unified Key Performance Indicator (KPI) framework that maps low\-level product health metrics to high\-level business outcomes, ensuring consistent and scalable measurement across the organization.
**Technical Leadership \&amp; Influence** 
* ****Scaling Data Science:****
 Partner with Data Engineering to design and build scalable, self\-serve experimentation tooling and reusable analytical assets and frameworks (e.g., causal machine learning models) that empower other analysts and data consumers.
* ****Strategic Influence:****
 Act as a strategic thinker by translating complex statistical findings into clear, compelling, and actionable business narratives for cross\-functional partners and senior leadership (VP/C\-suite), driving strategic decisions and investment priorities.
* ****Mentorship and Training:****
 Serve as a technical subject matter expert, training and mentoring junior and mid\-level data scientists on best practices in statistical rigor, experimental design, and causal modeling.
**About You** 
**Qualifications** 
* ****Experience:****
 6\+ years of professional experience in an applied data science, economics, or product analytics role, with a proven track record of leveraging experimentation and causal inference methods to drive significant business impact.
* ****Education:****
 B.A. or B.S. in Mathematics, Statistics, Economics, Computer Science, or a related quantitative discipline. A Master’s degree in a quantitative field (e.g., Statistics, Data Science, Econometrics, Operations Research) is preferred, but not required.
**Required Technical Expertise** 
* ****Causal Inference:****
 Demonstrated expertise in applying a wide range of Causal Inference methods, e.g. Quasi\-Experimentation, Matching Methods (PSM), Difference\-in\-Differences, and/or Instrumental Variables.
* ****Experimentation Methodologies:****
 Expertise in advanced statistical methodologies for A/B testing, including sample size calculations, sequential testing, dealing with interference/network effects, variance reduction techniques (e.g., CUPED), etc.
* ****Deep Analytical Methods:****
 Mastery of advanced statistical modeling, time\-series analysis, and quantitative methods necessary to perform thorough exploratory data analysis, produce timely insights, and provide actionable recommendations.
* ****Programming:****
 Advanced proficiency in Python or R for statistical modeling, with experience using relevant data science packages (e.g., SciKit\-Learn, numpy, pandas).
* ****Data Tools:****
 Expert\-level proficiency in SQL and experience working with established data warehouses (e.g., Snowflake, Postgres).
* ****Data Pipelining:****
 Experience with data transformation and workflow management tools such as dbt, Airflow, or Databricks is a strong plus.
**Key Attributes** 
* ****Strategic Communication \&amp; Influence:****
 Possesses exceptional communication, presentation, and data storytelling skills with a consistent record of influencing cross\-functional partners and leadership at all levels, particularly in navigating and driving consensus in unstructured or ambiguous environments.
* ****Change Management:****
 Proven ability to drive organizational change management in environments where experimentation and data\-driven decision\-making are not yet widely adopted.
* ****Thrive in ambiguity:****
 Ability to navigate significant ambiguity, translate complex business questions into clear analytical frameworks, and manage multiple competing priorities in a fast\-paced environment.
* ****Relevant Experience:****
 Experience in a SaaS domain and a strong focus on Product Data Science are strongly preferred.
**Company Culture:** 
* We're known for our work\-life balance, kind co\-workers, \&amp; creative virtual team\-bonding events. And although our Pandas are located across the globe, we stay connected with the help of technology and ensure that everyone on our team feels, well, like a team.
* Pandas work best when they're happy. We retain our talent by upholding our values of integrity \&amp; transparency, and selling a product that changes the lives of our customers.
* Check out our LinkedIn to learn more.
**Benefits:** 
**The annual base salary for this role is up to $190,000\-$210,000\.** 
* *Our benefits include tremendous career growth opportunities, a competitive salary, health and commuter benefits, company paid life \&amp; disability, 20\+ PTO days, 401K and FSA plans,* 
 and of course, a fun team of Pandas to work with!
**PandaDoc is an Equal Opportunity Employer.** 
 We are committed to equal treatment of all employees without regard to race, national origin, religion, gender, age, sexual orientation, veteran status, physical or mental disability or other basis protected by law
 *.*</t>
        </is>
      </c>
    </row>
    <row r="56">
      <c r="A56" t="inlineStr">
        <is>
          <t>li-4379797702</t>
        </is>
      </c>
      <c r="B56" t="inlineStr">
        <is>
          <t>Junior Data Scientist &amp; AI</t>
        </is>
      </c>
      <c r="C56" t="inlineStr">
        <is>
          <t>Joinrs</t>
        </is>
      </c>
      <c r="D56" t="inlineStr">
        <is>
          <t>linkedin</t>
        </is>
      </c>
      <c r="E56">
        <f>HYPERLINK("https://www.linkedin.com/jobs/view/4379797702", "https://www.linkedin.com/jobs/view/4379797702")</f>
        <v/>
      </c>
      <c r="F56">
        <f>HYPERLINK("https://www.joinrs.com/en/job-offers/569700/?utm_source=linkedin&amp;utm_medium=job-offer-us&amp;utm_campaign=569700-internal&amp;urlHash=9CdS", "https://www.joinrs.com/en/job-offers/569700/?utm_source=linkedin&amp;utm_medium=job-offer-us&amp;utm_campaign=569700-internal&amp;urlHash=9CdS")</f>
        <v/>
      </c>
      <c r="G56" t="inlineStr"/>
      <c r="H56" t="inlineStr"/>
      <c r="I56" t="inlineStr">
        <is>
          <t>**Our goal is to help every recent graduate worldwide find a job that aligns with their ambitions: join us to make the aspirations of a community of over 1,500,000 users come true!** 
 We are constantly looking for
 **students, recent graduates, and junior professionals** 
 who aspire to join our team. Apply for this position, and our HR team will contact you as soon as a role in this area becomes available and your CV matches the profile we are seeking.
 For all
 **Junior** 
 positions as
 ***Data Scientist \&amp; AI***
 we offer a
 **6 months internship contract ($90,000 per year)** 
 , you will have the opportunity to grow exponentially thanks to on\-the\-job training, you will be able to work fully remote for as long as you want and we will equip you with a latest generation MacBook.
**We are coming to the US!** 
*If you would like to help Joinrs grow in your country, send your CV for this announcement: if your profile fits one of our future positions, we will contact you ;)* 
**Responsibilities:** 
 Within the team, you may be responsible for one or more of the following tasks:
* **Implementation of Machine Learning Algorithms:** 
 You will have the opportunity to implement and test machine learning algorithms, contributing to the development of intelligent solutions for business challenges. Specifically, working alongside our tech team, you will be involved in Joinrs AI: our Artificial Intelligence model that assists our community in finding employment.
* **Data Analysis and Modeling:** 
 You will participate in data analysis, developing predictive models and contributing to provide meaningful insights to enhance business decisions.
* **Data Visualization:** 
 You will learn to create clear and informative data visualizations to effectively communicate complex results to various stakeholders. In particular, you will create interactive dashboards to showcase data and Key Performance Indicators (Data Visualization) to the team, clients, investors, and all key stakeholders.
* **Optimization of Business Processes:** 
 You will collaborate in identifying and optimizing business processes through the application of data\-driven solutions.
* **Participation in Technological Brainstorming Sessions:** 
 You will be involved in brainstorming sessions to generate innovative ideas and contribute to identifying new opportunities in the field of Artificial Intelligence.
* **Continuous Training and Updates on the Latest Trends:** 
 You will have access to continuous training programs to stay updated on the latest trends and advancements in the fields of Data Science and Artificial Intelligence.
**What We Offer:** 
*Working in the Joinrs team means being able to choose the best psychophysical conditions for tranquility and productivity. This translates into:* 
* **Remote working and flexibility.** 
 You'll have the opportunity to work remotely full\-time, but you can also use one of our offices.
* **Dynamic work environment.** 
 Our offices remain open, providing shared workspaces, meeting rooms, break areas, and a bar with fresh fruit and various snacks. You'll also find a foosball table and a gaming station. We aim for an informal work environment that encourages shared moments, always respecting individual activities.
* **Team building \&amp; fun.** 
 We frequently organize aperitifs, games, and leisure moments, which are integral parts of life at Joinrs, both inside and outside the office.
* **Company welfare.** 
 We guarantee you a company welfare package that meets your expectations.
* **Tech pack.** 
 You'll use advanced software and modern technologies, and you'll be provided with the latest\-generation MacBook.
* **Training.** 
 You'll always have a mentor in your Joinrs journey, acting as a reference for both technical and team aspects. We ensure constant professional growth with progressively increasing responsibilities. You can participate in industry events and training courses, along with continuous education on the best e\-learning platforms.
* **Social Impact.** 
 Your contribution will support thousands of recent graduates in finding the job they aspire to.
**Who We Are:** 
**Our mission is to support every recent graduate and junior professional in achieving their goals** 
 , helping them start their careers with optimism and a clear vision for their future.
**We are a united team that strongly believes in collaboration** 
 : together we work, discuss, and achieve results that inspire us to aim for ever more ambitious goals.
 Our community includes over
 **1,500,000 members across the US, UK, Europe, and Brazil** 
 , as well as
 **700\+ companies** 
 like
 *PwC, Accenture, Adecco, BNP Paribas, and Barilla* 
 . And we’re growing fast—join us!
**Contract \&amp; Compensation:** 
**For all Junior positions we offer a 6\-month internship contract with a salary of $90,000 yearly** 
 , aiming for a permanent contract.
**The annual base salary is $90,000 (USD)** 
 which will be prorated based on internship start and end date. Actual compensation offered to the successful candidate may vary from posted hiring based upon geographic location, work experience, education, and/or skill level, among other things.
**Salary reviews are scheduled every six months,** 
 with your compensation increasing rapidly as you gain experience and translate it into a more significant impact.
**Selection Process:** 
**CV Screening:** 
 The first step is a curriculum vitae (CV) screening (usually within 20 days of application).
**Phone Interview:** 
 The second step involves a 15\-minute phone interview with our HR Manager.
**Video Interview:** 
 The final step is a video interview with both the HR Manager and your future supervisor, lasting at least 45 minutes.
**Why Join Our Team?** 
* **Social Impact:** 
 You'll have the opportunity to support our community in realizing their ambitions, as well as your own.
* **Successful Startup:** 
 Joinrs was selected among the top 10 startups globally at the Web Summit in Lisbon.
* **Exponential Personal Growth:** 
 You'll have the opportunity for exponential growth, both in hard and soft skills, thanks to a training program based on on\-the\-job training and online support.</t>
        </is>
      </c>
    </row>
    <row r="57">
      <c r="A57" t="inlineStr">
        <is>
          <t>li-4368246323</t>
        </is>
      </c>
      <c r="B57" t="inlineStr">
        <is>
          <t>Generative AI Data Scientist</t>
        </is>
      </c>
      <c r="C57" t="inlineStr">
        <is>
          <t>Fractal</t>
        </is>
      </c>
      <c r="D57" t="inlineStr">
        <is>
          <t>linkedin</t>
        </is>
      </c>
      <c r="E57">
        <f>HYPERLINK("https://www.linkedin.com/jobs/view/4368246323", "https://www.linkedin.com/jobs/view/4368246323")</f>
        <v/>
      </c>
      <c r="F57" t="inlineStr"/>
      <c r="G57" t="inlineStr"/>
      <c r="H57" t="inlineStr"/>
      <c r="I57" t="inlineStr">
        <is>
          <t>Fractal Analytics is a strategic AI partner to Fortune 500 companies with a vision to power every human decision in the enterprise. Fractal is building a world where individual choices, freedom, and diversity are the greatest assets. An ecosystem where human imagination is at the heart of every decision. Where no possibility is written off, only challenged to get better. We believe that a true Fractalite empowers imagination with intelligence. And that it will be such Fractalites that will continue to build the company for the next 100 years.
 Please visit Fractal \| Intelligence for Imagination for more information about Fractal.
**Job Summary** 
 We are seeking a seasoned AI Data Scientist to lead our efforts in leveraging Generative AI and advanced analytics to optimize lead generation strategies. This role blends deep technical expertise in machine learning and AI with strategic leadership and business acumen. You will guide cross\-functional teams to build intelligent systems that enhance customer acquisition, personalize outreach, and improve conversion rates.
**Key Responsibilities** 
**Strategic Leadership** 
* Lead AI\-driven initiatives focused on lead generation, customer segmentation, and personalization.
* Translate business goals into data science strategies and scalable solutions.
* Mentor junior data scientists and foster a culture of innovation and experimentation.
**Technical Execution** 
* Design and deploy ML models for lead scoring, churn prediction, and campaign optimization.
* Develop GenAI\-powered tools (e.g., LLM\-based chatbots, content generators) to support marketing and sales.
* Build and maintain robust data pipelines and ML workflows using cloud platforms (AWS, Azure, GCP).
**Cross\-functional Collaboration** 
* Work closely with marketing, sales, and product teams to align AI solutions with business needs.
* Present insights and model outcomes to stakeholders in a clear, actionable manner.
* Ensure compliance with data governance, privacy, and ethical AI standards.
**Required Qualifications** 
* Master’s or Ph.D. in Computer Science, Data Science, Statistics, or related field.
* 10\+ years of experience in data science, with at least 3 years in a leadership role.
* Proven track record in deploying AI/ML solutions for lead generation or customer acquisition.
* Expertise in Python, R, SQL, and ML frameworks (TensorFlow, PyTorch, Scikit\-learn).
* Experience with GenAI technologies (LLMs, retrieval\-augmented generation, prompt engineering).
* Strong understanding of marketing funnels, CRM systems, and customer lifecycle analytics.
**Preferred Skills** 
* Familiarity with tools like Salesforce, HubSpot, Marketo, or similar.
* Experience with A/B testing, causal inference, and uplift modeling.
* Knowledge of data visualization tools (Tableau, Power BI).
* Excellent communication and stakeholder management skills.
**Pay:**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Fractal, it is not typical for an individual to be hired at or near the top of the range for their role and compensation decisions are dependent on the facts and circumstances of each case. A reasonable estimate of the current range is: $165,000 \- $198,000\. In addition, you may be eligible for a discretionary bonus for the current performance period.
**Benefits:** 
 As a full\-time employee of the company or as an hourly employee working more than 30 hours per week, you will be eligible to participate in the health, dental, vision, life insurance, and disability plans in accordance with the plan documents, which may be amended from time to time. You will be eligible for benefits on the first day of employment with the Company. In addition, you are eligible to participate in the Company 401(k) Plan after 30 days of employment, in accordance with the applicable plan terms. The Company provides for 11 paid holidays and 12 weeks of Parental Leave. We also follow a “free time” PTO policy, allowing you the flexibility to take time needed for either sick time or vacation.
 Fractal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Fractal Doesn’t offer any sponsorship at this time.</t>
        </is>
      </c>
    </row>
    <row r="58">
      <c r="A58" t="inlineStr">
        <is>
          <t>li-4280505182</t>
        </is>
      </c>
      <c r="B58" t="inlineStr">
        <is>
          <t>Data Scientist Graduate (TikTok Shop Business Product DS) - 2026 Start (BS/MS)</t>
        </is>
      </c>
      <c r="C58" t="inlineStr">
        <is>
          <t>TikTok</t>
        </is>
      </c>
      <c r="D58" t="inlineStr">
        <is>
          <t>linkedin</t>
        </is>
      </c>
      <c r="E58">
        <f>HYPERLINK("https://www.linkedin.com/jobs/view/4280505182", "https://www.linkedin.com/jobs/view/4280505182")</f>
        <v/>
      </c>
      <c r="F58">
        <f>HYPERLINK("https://lifeattiktok.com/search/7535165875168184583?spread=5MWH5CQ&amp;urlHash=Ef5E", "https://lifeattiktok.com/search/7535165875168184583?spread=5MWH5CQ&amp;urlHash=Ef5E")</f>
        <v/>
      </c>
      <c r="G58" t="inlineStr">
        <is>
          <t>Seattle, WA</t>
        </is>
      </c>
      <c r="H58" t="inlineStr"/>
      <c r="I58" t="inlineStr">
        <is>
          <t>**Responsibilities**
 TikTok Global E\-commerce Data Science team leverages rigorous data analysis and scientific methodologies to drive business growth, enhance operational efficiency, and improve the experience for users, merchants, and creators worldwide. The team conducts exploratory analyses and forward\-looking insights to identify market trends and user/merchant/creator behavioral patterns, uncovering opportunities for optimization. We design and interpret A/B tests, apply causal inference methodology to support product iterations for both to C and to B products. We also build foundational data infrastructure and develop dashboards to empower product, operations, engineering, and cross\-functional teams to monitor performance and identify areas for improvement. At TikTok, we champion a data science philosophy rooted in statistical rigor, data\-driven decision\-making, and scalable methodologies to support global e\-commerce expansion.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Online Assessment
 Candidates who pass resume screening will be invited to participate in TikTok's technical online assessment.
**Responsibilities:**
* Conduct data analysis for TikTok’s global e\-commerce products, covering areas such as creators \&amp; merchants, content e\-commerce, promotion tools, ShopTab, and transaction flow;
* Design and analyze A/B tests, evaluate product optimizations, analyze campaign performance, monitor key metric fluctuations, and assess client\-side version updates;
* Analyze country\-specific factors influencing product optimization and business growth, and propose actionable product improvement solutions aligned with business direction;
* Collaborate closely with product managers, operations, engineering, and algorithm teams to implement data\-driven strategies and deliver measurable business impact;
* Build and maintain e\-commerce product metric systems, work with data engineering teams to construct foundational data pipelines and visual dashboards, and enable business stakeholders to gain actionable insights.
**Qualifications**
 Minimum Qualifications:
* Currently pursuing an Undergraduate/Master in Computer Science, Statistics, Econometrics, Mathematics or other quantitative disciplines;
* Proficient in data analysis tools and languages such as SQL, Python, or R;
* Solid foundation in statistics, with hands\-on experience in A/B testing, regression analysis, and causal inference; \- Strong data visualization skills and ability to clearly communicate analytical insights through dashboards and reports;
* Results\-driven, highly self\-motivated, and accountable; excellent team player with strong organizational and communication skills.
**Preferred Qualifications:**
* Currently pursuing an Advanced Degree (MS) in Computer Science, Statistics, Econometrics, Mathematics or other quantitative disciplines;
* Experience in cross\-border or international e\-commerce data analysis or modeling;
* Familiarity with machine learning frameworks or predictive modeling; hands\-on experience with tools such as Scikit\-learn, TensorFlow, or PyTorch;
* Experience working with big data technologies such as Hive, Spark, or Hadoop;
* Strong cross\-functional communication skills.
 By submitting an application for this role, you accept and agree to our global applicant privacy policy, which may be accessed here: https://careers.tiktok.com/legal/privacy
 If you have any questions, please reach out to us at apac\-earlycareers@tiktok.com
 Job Information
**【For Pay Transparency】Compensation Description (Annually)**
 The base salary range for this position in the selected city is $108300 \- $168889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59">
      <c r="A59" t="inlineStr">
        <is>
          <t>li-4377723258</t>
        </is>
      </c>
      <c r="B59" t="inlineStr">
        <is>
          <t>Research Data Scientist, YouTube Creator</t>
        </is>
      </c>
      <c r="C59" t="inlineStr">
        <is>
          <t>Google</t>
        </is>
      </c>
      <c r="D59" t="inlineStr">
        <is>
          <t>linkedin</t>
        </is>
      </c>
      <c r="E59">
        <f>HYPERLINK("https://www.linkedin.com/jobs/view/4377723258", "https://www.linkedin.com/jobs/view/4377723258")</f>
        <v/>
      </c>
      <c r="F59">
        <f>HYPERLINK("https://careers.google.com/jobs/results/123667619143131846-research-data-scientist/?src=Online/LinkedIn/linkedin_us&amp;utm_source=linkedin&amp;utm_medium=jobposting&amp;utm_campaign=contract&amp;urlHash=QKa_", "https://careers.google.com/jobs/results/123667619143131846-research-data-scientist/?src=Online/LinkedIn/linkedin_us&amp;utm_source=linkedin&amp;utm_medium=jobposting&amp;utm_campaign=contract&amp;urlHash=QKa_")</f>
        <v/>
      </c>
      <c r="G59" t="inlineStr">
        <is>
          <t>Mountain View, CA</t>
        </is>
      </c>
      <c r="H59" t="inlineStr"/>
      <c r="I59" t="inlineStr">
        <is>
          <t>Note: By applying to this position you will have an opportunity to share your preferred working location from the following:
 **San Bruno, CA, USA; Mountain View, CA, USA** 
 .
 **Minimum qualifications:**
* Master's degree in Statistics, Data Science, Mathematics, Physics, Economics, Operations Research, Engineering, or a related quantitative field.
* 3 years of work experience using analytics to solve product or business problems, coding (e.g., Python, R, SQL), querying databases or statistical analysis, or a PhD degree.
**Preferred qualifications:**
* 5 years of work experience using analytics to solve product or business problems, coding (e.g., Python, R, SQL), querying databases or statistical analysis, or a PhD degree.
**About The Job**
 YouTube Data Science team influences and informs YouTube’s product and engineering leadership. We have a long history of working on projects that are at the heart of the business and have a seat at the table when it comes to the decisions that drive YouTube's continued success. Our mission statement? Improving decisions at YouTube with science.
 The focus of the Creator Data Science team is to understand the growth and behavior of YouTube's creator ecosystem from traditional media companies to individual creators who are just getting started, and build tools, systems, and policies that help creators grow on the platform. In this role, you will be involved in collaborations across the Creator organization and format teams (e.g., Shorts, Live) as we build a holistic understanding of the creator ecosystem and business generation.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the engineering and product teams to create new metrics, maintain classifiers, enable insights, and drive data\-driven decision making.
* Work with data sets and solve investigative issues to understand how brand agreement performs and the impact of new features.
* Conduct end\-to\-end analysis, including data gathering and requirements specification, processing, analysis, ongoing deliverables and presentations.
* Make business recommendations with effective presentations of findings at multiple levels of stakeholders through visual displays of quantitative information.
* Support launch decisions through experimental design and analysis.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60">
      <c r="A60" t="inlineStr">
        <is>
          <t>li-4377753819</t>
        </is>
      </c>
      <c r="B60" t="inlineStr">
        <is>
          <t>Data Scientist</t>
        </is>
      </c>
      <c r="C60" t="inlineStr">
        <is>
          <t>SoTalent</t>
        </is>
      </c>
      <c r="D60" t="inlineStr">
        <is>
          <t>linkedin</t>
        </is>
      </c>
      <c r="E60">
        <f>HYPERLINK("https://www.linkedin.com/jobs/view/4377753819", "https://www.linkedin.com/jobs/view/4377753819")</f>
        <v/>
      </c>
      <c r="F60" t="inlineStr"/>
      <c r="G60" t="inlineStr">
        <is>
          <t>Chicago, IL</t>
        </is>
      </c>
      <c r="H60" t="inlineStr"/>
      <c r="I60" t="inlineStr">
        <is>
          <t>**Job Title: Data Scientist** 
**Location: Chicago, IL** 
**Type: Full Time** 
 Our client is looking for a skilled ML/Data Science professional to join our team and help build high‑impact, scalable models that drive meaningful results.
**What You’ll Do** 
* Develop machine learning models end‑to‑end—from design and experimentation to training, validation, and deployment
* Work with a modern tech stack including Python, Conda, Spark, cloud platforms, Kubeflow Pipelines, and more
* Collaborate with data scientists, engineers, and product teams to build solutions that make a real difference
* Translate technical insights into clear, actionable business recommendations
**Who You Are** 
* A data expert who thrives working with large, complex datasets
* Strong in statistics and machine learning concepts (e.g., model evaluation, clustering, classification, NLP, time‑series, deep learning)
* Technically driven, with hands‑on experience in open‑source tools and cloud environments
* Customer‑focused with a passion for building solutions that create impact
**Required Background** 
 One of the following:
* Bachelor’s in a quantitative field \+ 5 years of experience in data analytics
* Master’s in a quantitative field (or MBA with a quantitative focus) \+ 3 years of experience
* PhD in a quantitative discipline
**Preferred Qualifications** 
* Master’s or PhD in a STEM field
* 1\+ year of experience working with a major cloud platform
* 3\+ years of experience coding in Python
* 3\+ years of ML model development, including at least 1 year using gradient boosting techniques
* 3\+ years of SQL experience</t>
        </is>
      </c>
    </row>
    <row r="61">
      <c r="A61" t="inlineStr">
        <is>
          <t>li-4377754954</t>
        </is>
      </c>
      <c r="B61" t="inlineStr">
        <is>
          <t>Senior Data Scientist - GenAI</t>
        </is>
      </c>
      <c r="C61" t="inlineStr">
        <is>
          <t>Apollo Solutions</t>
        </is>
      </c>
      <c r="D61" t="inlineStr">
        <is>
          <t>linkedin</t>
        </is>
      </c>
      <c r="E61">
        <f>HYPERLINK("https://www.linkedin.com/jobs/view/4377754954", "https://www.linkedin.com/jobs/view/4377754954")</f>
        <v/>
      </c>
      <c r="F61" t="inlineStr"/>
      <c r="G61" t="inlineStr">
        <is>
          <t>New York, NY</t>
        </is>
      </c>
      <c r="H61" t="inlineStr"/>
      <c r="I61" t="inlineStr">
        <is>
          <t>**Senior Data Scientist / Applied AI Engineer** 
**Hybrid (3 days onsite per week)** 
**120\-177K base salary \+ bonus** 
 We’re partnering with a major enterprise organization undergoing significant investment in AI and data capabilities. This role sits within a central AI function focused on building production\-grade machine learning and generative AI solutions that improve customer experience, operational efficiency, and decision intelligence across the business.
 You’ll work on real, deployed AI systems \- collaborating closely with product, engineering, and business stakeholders to design, build, and scale intelligent applications.
 What You’ll Be Doing
* Deliver AI and machine learning solutions that solve real operational and customer\-facing challenges
* Contribute across the full model lifecycle — from data exploration and feature engineering through to deployment, monitoring, and iteration
* Build and productionize ML and GenAI solutions using modern cloud and data platforms
* Design and evaluate intelligent automation solutions using LLMs, retrieval systems, and agent\-style architectures
* Implement and optimize RAG pipelines, including embeddings, vector search, retrieval tuning, and prompt orchestration
* Expose AI capabilities through APIs, internal tools, and workflow applications used by business teams
* Build rapid prototypes and lightweight interfaces to support validation and adoption
* Follow best practices around model governance, testing, monitoring, and CI/CD in collaboration with platform and MLOps teams
 What We’re Looking For
* Advanced degree in Computer Science, Engineering, Mathematics, Statistics, or similar quantitative field
* 7\+ years applying data science, machine learning, or applied AI in production environments
* Strong Python and SQL skills
* Solid understanding of software engineering fundamentals (version control, testing, logging, deployment workflows)
* Experience working with modern cloud and data platforms (e.g. AWS\-based ML tooling, enterprise data warehouses, distributed compute platforms)
* Practical exposure to LLMs, RAG architectures, or agent\-based systems
* Strong grounding in core ML concepts including feature engineering, model evaluation, and classical ML approaches (e.g. tree\-based models, supervised/unsupervised learning)
* Ability to communicate technical work clearly to non\-technical stakeholders and influence decision making
 If you're interested, please apply now!</t>
        </is>
      </c>
    </row>
    <row r="62">
      <c r="A62" t="inlineStr">
        <is>
          <t>li-4378811812</t>
        </is>
      </c>
      <c r="B62" t="inlineStr">
        <is>
          <t>Data Scientist</t>
        </is>
      </c>
      <c r="C62" t="inlineStr">
        <is>
          <t>Wiraa</t>
        </is>
      </c>
      <c r="D62" t="inlineStr">
        <is>
          <t>linkedin</t>
        </is>
      </c>
      <c r="E62">
        <f>HYPERLINK("https://www.linkedin.com/jobs/view/4378811812", "https://www.linkedin.com/jobs/view/4378811812")</f>
        <v/>
      </c>
      <c r="F62" t="inlineStr"/>
      <c r="G62" t="inlineStr"/>
      <c r="H62" t="inlineStr"/>
      <c r="I62" t="inlineStr">
        <is>
          <t>About the Company
 Raen is a private collective of elite traders dedicated to shaping markets through excellence in execution and precision in performance. As a global proprietary trading firm, Raen leverages advanced data science techniques to gain a competitive edge in the futures markets. Our core philosophy revolves around combining sophisticated discretionary and systematic trading strategies to deliver superior returns. We foster a culture of innovation, collaboration, and integrity, attracting talented professionals who are passionate about leveraging data\-driven insights to influence the financial landscape.
 About the Role
 We are seeking a highly motivated Data Scientist to join our Proprietary Research team, also known as Market Intelligence. In this role, you will conduct deep fundamental research by mining large, unstructured datasets and applying advanced statistical and machine learning techniques. Your insights will directly influence investment decisions, helping our firm identify hidden market opportunities and generate alpha. You will collaborate with investment professionals, research teams, and external experts in a fast\-paced, dynamic environment. The ideal candidate will have a strong foundation in data science, programming, and statistical modeling, with a keen interest in financial markets and alternative data sets.
 Qualifications
* Bachelor’s or Master’s degree in a quantitative discipline such as Mathematics, Statistics, Computer Science, Data Science, or related fields
* Minimum of 1\+ year of professional experience in data science, research, or related roles
* Proficiency in programming languages such as Python (preferred), R, Spark, or SQL
* Strong understanding of statistical modeling, machine learning algorithms, and data mining techniques
* Experience working with large, unstructured data sets and alternative data sources
* Excellent communication skills, both verbal and written
* Detail\-oriented with strong organizational and project management skills
* Ability to collaborate effectively across cross\-functional teams
* High ethical standards and compliance awareness
 Responsibilities
* Conduct research through data mining and statistical modeling to extract actionable insights from big data
* Develop and implement machine learning models to analyze large, unstructured datasets
* Manage all aspects of research, including methodology selection, data collection, quality assurance, and performance monitoring
* Present research findings to investment teams, portfolio managers, and internal stakeholders
* Collaborate with research, investment, and compliance teams to drive technical innovation
* Stay current on trends and developments in alternative data markets and data science methodologies
* Engage with external experts and data providers to understand data offerings and needs
* Support the continuous improvement of research processes and analytical tools
* Participate in a team environment that emphasizes knowledge sharing, teaching, and learning
 Benefits
* Impactful work directly influencing investment strategies and market performance
* Access to cutting\-edge tools and technologies in machine learning and big data analysis
* Collaborative and innovative work environment with talented professionals
* Mentorship and opportunities for professional growth and development
* Competitive base salary and performance\-based bonuses
* Fully paid healthcare benefits
* Flexible remote work arrangements from anywhere in the world
* Generous parental and family leave policies
* Mental and physical wellness programs to support overall well\-being
* Ethical work environment committed to integrity and responsible data usage
 Equal Opportunity
 Raen is an equal opportunity employer. We are committed to fostering an inclusive environment where all employees are valued and treated with respect. We do not discriminate on the basis of race, ethnicity, gender, sexual orientation, age, disability, religion, or any other protected characteristic. We believe diversity enhances our team and drives innovation, and we are dedicated to providing equal employment opportunities to all qualified candidates.</t>
        </is>
      </c>
    </row>
    <row r="63">
      <c r="A63" t="inlineStr">
        <is>
          <t>li-4379041027</t>
        </is>
      </c>
      <c r="B63" t="inlineStr">
        <is>
          <t>Data Scientist</t>
        </is>
      </c>
      <c r="C63" t="inlineStr">
        <is>
          <t>NeerInfo Solutions</t>
        </is>
      </c>
      <c r="D63" t="inlineStr">
        <is>
          <t>linkedin</t>
        </is>
      </c>
      <c r="E63">
        <f>HYPERLINK("https://www.linkedin.com/jobs/view/4379041027", "https://www.linkedin.com/jobs/view/4379041027")</f>
        <v/>
      </c>
      <c r="F63" t="inlineStr"/>
      <c r="G63" t="inlineStr">
        <is>
          <t>Richardson, TX</t>
        </is>
      </c>
      <c r="H63" t="inlineStr"/>
      <c r="I63" t="inlineStr">
        <is>
          <t>**Role Data Scientist / Ai engineer** 
**Fulltime role with** 
**Location : Raliegh NC /Richardson Texas (Onsite)** 
**only US Citizen and Green Card holder** 
 seeking an AI Engineer. In this role, you will enable digital transformation for our clients in a global delivery model, research on technologies independently, recommend appropriate solutions and contribute to technology\-specific best practices and standards. You will provide inputs for identifying best\-fit architectural solutions for one or more projects; develop design of applications, provide regular support and guidance to project teams on complex coding and issue resolution with the objective of ensuring best\-fit and high\-quality technical solutions within the area of technology specialization and in compliance with guidelines, policies and norms of Infosys. You will be part of a learning culture, where teamwork and collaboration are encouraged, excellence is rewarded, and diversity is respected and valued.
**Required Qualifications:** 
* Bachelor’s degree or foreign equivalent required from an accredited institution. Will also consider three years of progressive experience in the specialty in lieu of every year of education.
* At least 4 years of experience in Information Technology
* Experience in AI, data engineering, creating data pipelines and processing huge volume of data.
* Experience in Machine learning engineering /MLE, data science and data engineering with a proven track record of delivering impactful solutions
**Preferred Qualifications:** 
* Good understanding of Agile software development frameworks
* Strong communication and Analytical skills
* Ability to work in teams in a diverse, multi\-stakeholder environment comprising of Business and Technology teams
* Experience and desire to work in a global delivery environment</t>
        </is>
      </c>
    </row>
    <row r="64">
      <c r="A64" t="inlineStr">
        <is>
          <t>li-4379949012</t>
        </is>
      </c>
      <c r="B64" t="inlineStr">
        <is>
          <t>Data Scientist</t>
        </is>
      </c>
      <c r="C64" t="inlineStr">
        <is>
          <t>Bank of America</t>
        </is>
      </c>
      <c r="D64" t="inlineStr">
        <is>
          <t>linkedin</t>
        </is>
      </c>
      <c r="E64">
        <f>HYPERLINK("https://www.linkedin.com/jobs/view/4379949012", "https://www.linkedin.com/jobs/view/4379949012")</f>
        <v/>
      </c>
      <c r="F64">
        <f>HYPERLINK("https://careers.bankofamerica.com/en-us/job-detail/26006594/data-scientist-multiple-locations&amp;urlHash=UQ70", "https://careers.bankofamerica.com/en-us/job-detail/26006594/data-scientist-multiple-locations&amp;urlHash=UQ70")</f>
        <v/>
      </c>
      <c r="G64" t="inlineStr">
        <is>
          <t>Charlotte, NC</t>
        </is>
      </c>
      <c r="H64" t="inlineStr"/>
      <c r="I64" t="inlineStr">
        <is>
          <t>**Job Description:**
 At Bank of America, we are guided by a common purpose to help make financial lives better through the power of every connection. We do this by driving Responsible Growth and delivering for our clients, teammates, communities and shareholders every day.
 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
 Bank of America is committed to an in\-office culture with specific requirements for office\-based attendance and which allows for an appropriate level of flexibility for our teammates and businesses based on role\-specific considerations.
 At Bank of America, you can build a successful career with opportunities to learn, grow, and make an impact. Join us!
**Job Description:**
 This job is responsible for analyzing and interpreting large datasets to uncover potential revenue generation opportunities and develop effective risk management strategies. Key responsibilities include collaborating with key stakeholders to comprehend business problems, utilizing data gathering and analysis techniques to devise solutions, and presenting recommendations based on the findings. Job expectations include demonstrating flexibility, resilience, accountability, a disciplined approach, and a commitment to fostering responsible growth for the enterprise.
 This is a Data Scientist role in Bank of America Erica, Chat and Voice Technology team. The team builds next generation AI and Search platforms for the bank, enabling smart virtual assistants across multiple channels and platforms. This position requires candidate to be well versed with various machine learning algorithms and NLP techniques. Role offers an opportunity to work with seasoned architects, PhDs in Machine Learning and NLP. Several of the team members have been granted multiple patents in the space. Candidate should be able to work independently and take ownership of the delivery. Candidate must possess passion for clean code, producing defect free software, ready to jump in and solve complex problems, be able to collaborate with others in a matrixed organization to deliver.
**Responsibilities:**
* Performs business analytics, which includes data analysis, trend identification, and pattern recognition, using advanced techniques (e.g., machine learning, text mining, statistical analysis, etc.) to support decision\-making and drive data\-driven insights
* Applies agile practices for project management, solution development, deployment, and maintenance
* Creates and maintains technical documentation, capturing the business requirements and specifications related to the developed analytical solution and its implementation in production
* Manages multiple priorities and maintains quality and timeliness of work deliverables such as quantitative models, data science products, data analysis reports, or data visualizations, while exhibiting the ability to work independently and in a team environment
* Delivers engaging presentations and engages in both in\-person and virtual conversations that effectively communicate technical concepts and analysis results to a diverse set of internal stakeholders, and develops professional relationships to foster collaboration on work deliverables
* Mitigates risk by identifying potential issues and developing controls
* Researches the latest advances in the fields of data science and artificial intelligence to support business analytics
**Required Qualifications:**
* 2 years Python development skills
* Knowledge of machine learning and related techniques
* Knowledge of recent developments in AI space including but not limited to transformers, LLMs, Generative AI
* Adept at leveraging ML/AI techniques to solve critical business problems with good understanding of Supervised, Unsupervised and Reinforcement Learning.
* Good interpersonal communication skills for tech and business conversations
* Good analytical skills to break down requirements, solve complex problems
**Desired Qualifications:**
* Background in mathematics or statistics
* Experience working on Java based applications
* Experience building restful web services
* Experience with NoSQL databases like Cassandra
* Experience with open source search engines like SOLR, elasticsearch
* Experience working in agile teams
**Skills:**
* Adaptability
* Attention to Detail
* Business Analytics
* Technical Documentation
* Written Communications
* Agile Practices
* Application Development
* Collaboration
* Data Visualization
* DevOps Practices
* Artificial Intelligence/Machine Learning
* Networking
* Policies, Procedures, and Guidelines Management
* Presentation Skills
* Risk Management
**Minimum Education Requirement:** 
 Bachelor’s degree in Computer Science, Data Science, Mathematics, or related field or equivalent experience
**Shift:**
 1st shift (United States of America)
**Hours Per Week:**
 40</t>
        </is>
      </c>
    </row>
    <row r="65">
      <c r="A65" t="inlineStr">
        <is>
          <t>li-4379917856</t>
        </is>
      </c>
      <c r="B65" t="inlineStr">
        <is>
          <t>Data Scientist</t>
        </is>
      </c>
      <c r="C65" t="inlineStr">
        <is>
          <t>Hirenza</t>
        </is>
      </c>
      <c r="D65" t="inlineStr">
        <is>
          <t>linkedin</t>
        </is>
      </c>
      <c r="E65">
        <f>HYPERLINK("https://www.linkedin.com/jobs/view/4379917856", "https://www.linkedin.com/jobs/view/4379917856")</f>
        <v/>
      </c>
      <c r="F65" t="inlineStr"/>
      <c r="G65" t="inlineStr"/>
      <c r="H65" t="inlineStr"/>
      <c r="I65" t="inlineStr">
        <is>
          <t>**About The Company**
 Jobot is a leading employment platform dedicated to connecting talented professionals with innovative organizations across various industries. Committed to fostering an inclusive and dynamic work environment, Jobot emphasizes diversity, equity, and inclusion in all its hiring practices. The company leverages advanced technology and personalized recruitment strategies to ensure that both employers and candidates find the perfect match. With a focus on transparency, integrity, and excellence, Jobot strives to empower individuals to achieve their career aspirations while helping organizations build high\-performing teams. Its reputation as an industry leader is built on a foundation of trust, professionalism, and a deep understanding of the evolving job market.
**About The Role**
 We are urgently seeking a Senior Data Scientist to join our innovative team. In this pivotal role, you will be responsible for designing, building, and maintaining the data infrastructure that underpins our analytics, machine learning models, and operational reporting. This position requires a hands\-on professional who excels at working at the intersection of data engineering, modeling, and production systems. You will play a critical role in shaping our data strategy, ensuring the reliability and scalability of our data pipelines, and enabling data\-driven decision\-making across the organization. Your expertise will directly impact our ability to optimize processes, reduce costs, and deliver insights that drive strategic growth.
**Qualifications**
 The ideal candidate will possess over 8 years of experience in data science or data engineering, demonstrating a deep understanding of data management and analytics. Proficiency in Python and SQL is essential, with working knowledge of Scala or Java for Spark\-based projects. Candidates should have at least 3\-5 years of hands\-on experience with Apache Spark and Databricks, including Delta Lake and performance tuning. Cloud experience is vital, with familiarity in AWS services such as S3, EMR, Glue, Lambda, and Kinesis, or Azure equivalents like ADLS Gen2, ADF, Event Hubs, and Synapse. Experience with orchestration tools like Airflow or ADF, transformation frameworks such as dbt, and data warehouses like Snowflake, Redshift, or Databricks SQL is also required. A solid foundation in data modeling, CI/CD workflows, Docker/Linux environments, and version control with Git is necessary. Candidates should demonstrate the ability to translate complex business needs into scalable data solutions and lead projects end\-to\-end.
**Responsibilities**
* Design and evolve our lakehouse architecture on platforms such as Delta Lake on AWS or Azure, including storage layout, compute strategy, and performance SLAs.
* Build and maintain robust batch and streaming data pipelines utilizing Apache Spark (PySpark/Scala), Databricks Workflows, Azure Data Factory, and event\-driven systems like Kinesis, Event Hubs, or Kafka.
* Develop and sustain analytical, machine learning\-ready data models, semantic layers, and dimensional schemas tailored for BI and production environments.
* Implement observability and reliability features, including custom Spark metrics, anomaly detection, logging, and automated data quality checks to ensure system robustness.
* Optimize compute and storage performance through cluster tuning, caching, partitioning, and format selection, resulting in cost efficiencies.
* Enforce data governance policies, including role\-based access control, row\-level security, cataloging, lineage tracking, and compliance with regulations such as GDPR, HIPAA, FHIR, CCPA, and CDPA.
* Collaborate effectively with analytics, product, and platform teams to define service level agreements (SLAs), manage incident response, and establish data contract best practices.
* Mentor junior engineers, lead design reviews, and set standards for scalable and maintainable data systems that align with organizational goals.
**Benefits**
 We offer a comprehensive benefits package designed to support your health, well\-being, and professional growth. Compensation is competitive and commensurate with experience. Employees enjoy paid vacation, sick leave, holidays, and parental leave. Our health insurance options include medical, dental, and vision plans. Additionally, we provide an Employee Assistance Program to support mental health and wellness. Our 401(k) plan features a generous employer match to help you plan for the future. Life insurance coverage is also included. Employees benefit from employee discounts on our products and services, along with paid training opportunities to foster continuous learning. Our workplace culture emphasizes collaboration, innovation, and recognition, making it an ideal environment for ambitious professionals seeking to make a meaningful impact.
 Equal Opportunity
 Jobot is an Equal Opportunity Employer committed to fostering an inclusive and diverse workplace. We welcome applications from all qualified candidates regardless of race, color, sex, sexual orientation, gender identity, religion, national origin, age (40 and over), disability, military status, genetic information, or any other protected characteristic under applicable law. We prohibit harassment and discrimination in all employment practices and are dedicated to ensuring a respectful and equitable work environment. Jobot complies with all relevant federal, state, and local laws concerning employment and non\-discrimination. We also conduct background checks where required, and we consider qualified candidates with criminal histories in accordance with applicable laws. By applying, you agree to our privacy policies and consent to communication from Jobot and its partners regarding your application and employment process.</t>
        </is>
      </c>
    </row>
    <row r="66">
      <c r="A66" t="inlineStr">
        <is>
          <t>li-4289331895</t>
        </is>
      </c>
      <c r="B66" t="inlineStr">
        <is>
          <t>Data Scientist I/ II/ Sr</t>
        </is>
      </c>
      <c r="C66" t="inlineStr">
        <is>
          <t>Boardwalk Pipelines</t>
        </is>
      </c>
      <c r="D66" t="inlineStr">
        <is>
          <t>linkedin</t>
        </is>
      </c>
      <c r="E66">
        <f>HYPERLINK("https://www.linkedin.com/jobs/view/4289331895", "https://www.linkedin.com/jobs/view/4289331895")</f>
        <v/>
      </c>
      <c r="F66">
        <f>HYPERLINK("https://jobs.dayforcehcm.com/en-US/bwp/CANDIDATEPORTAL/jobs/5230&amp;urlHash=v4NQ", "https://jobs.dayforcehcm.com/en-US/bwp/CANDIDATEPORTAL/jobs/5230&amp;urlHash=v4NQ")</f>
        <v/>
      </c>
      <c r="G66" t="inlineStr">
        <is>
          <t>Houston, TX</t>
        </is>
      </c>
      <c r="H66" t="inlineStr"/>
      <c r="I66" t="inlineStr">
        <is>
          <t>\*To access Dayforce at its best, log in from the latest version of Chrome, Safari, Firefox, or Edge. \*
 Boardwalk is a limited partnership operating in the midstream portion of the natural gas and natural gas liquids industry, providing transportation and storage services for our customers. Our 14,000 miles of pipeline and storage assets provide diverse market connectivity to producers and end\-users who need reliable sources of natural gas for power generation, home heating or petrochemical feedstocks. We have the experience, knowledge, and flexibility to design service offerings and create system enhancements tailored to our customers’ needs throughout the 13 states in which we operate. As an organization focused on sustainability, we are committed to protecting the environment while delivering this energy source. This commitment is made to our customers, employees, and the communities in which we operate. We incorporate environmental stewardship, safety, and compliance into our day\-to\-day operations and seek to strengthen and support the communities we serve. Additional information about the company can be found online at www.bwpipelines.com.
 We are currently looking for a Data Scientist I/ II/ Sr for our Houston, TX office.
**Position Description**
 The Data Scientist plays a key role in advancing digital innovation by developing data\-driven models and insights that support operational efficiency, asset optimization, and strategic decision\-making. This role will work closely with data engineers, business stakeholders, and digital leadership to design and deploy machine learning (ML) models, predictive analytics, and advanced visualizations that drive measurable business outcomes.
 The ideal candidate combines strong analytical skills with deep technical expertise in cloud\-based data science tools, particularly within the Amazon Web Services (AWS) ecosystem. This role requires a passion for solving complex problems, a collaborative mindset, and the ability to translate data into actionable insights for a midstream energy environment.
**Key Responsibilities**
**Model Development \&amp; Advanced Analytics**
* Design, build, and deploy predictive models and machine learning (ML) algorithms to support asset performance, reliability, and commercial optimization.
* Conduct exploratory data analysis (EDA), feature engineering, and statistical modeling using Python, R, or similar tools.
* Develop time series forecasting, anomaly detection, and classification models for operational and business use cases.
* Apply geospatial and sensor data analytics to support pipeline monitoring, flow optimization, and risk assessment.
**Cloud \&amp; Platform Integration**
* Leverage Amazon Web Services (AWS) tools such as SageMaker, Redshift, Simple Storage Service (S3\), Lambda, and Glue for model training, deployment, and data access.
* Collaborate with data engineers to ensure models are integrated into production pipelines and dashboards.
* Use version control (e.g., Git) and continuous integration/continuous deployment (CI/CD) practices to manage model lifecycle and reproducibility.
**Business Collaboration \&amp; Impact**
* Partner with operations, engineering, and commercial teams to identify high\-impact use cases and translate business needs into analytical solutions.
* Present findings and recommendations through compelling data visualizations and storytelling using tools like Power BI or Tableau.
* Support the development of self\-service analytics and promote data literacy across the organization.
* Document model assumptions, limitations, and performance metrics to ensure transparency and trust.
**Model Governance \&amp; Continuous Improvement**
* Monitor model performance and retrain as needed to maintain accuracy and relevance.
* Implement MLOps practices to support scalable, automated model deployment and monitoring.
* Ensure compliance with data governance, privacy, and ethical AI standards.
* Stay current with industry trends and emerging technologies to continuously improve analytical capabilities.
**Required Skills, Knowledge, And Experience**
* Bachelor’s or Master’s degree in Data Science, Computer Science, Engineering, Statistics, or a related field.
* 3–5\+ years of experience in applied data science, preferably in the energy, utilities, or industrial sectors.
* Proficiency in Python, SQL, and data science libraries such as pandas, scikit\-learn, TensorFlow, or PyTorch.
* Experience working with AWS services including SageMaker, Redshift, S3, and Lambda.
* Strong understanding of statistical modeling, machine learning, and data visualization techniques.
* Ability to communicate complex technical concepts to non\-technical stakeholders.
* Experience working with large datasets and real\-time or near\-real\-time data environments.
**Preferred Skills, Knowledge, And Experience**
* Experience in the natural gas midstream or broader oil \&amp; gas industry.
* Familiarity with MLOps practices and tools for model monitoring and retraining.
* Exposure to geospatial data, sensor data, or SCADA systems.
* Experience with Power BI, Tableau, or similar BI tools.
* Knowledge of data governance, security, and compliance in cloud environments.
**Required Education**
* Bachelor’s degree in Computer Science, Engineering, Statistics, or related field
**Preferred Education**
* Master’s degree
**Additional Information**
 Boardwalk Pipelines, LP, maintains a drug\-free workplace and will require pre\-employment drug \&amp; substance abuse testing before hire.
 Boardwalk Pipelines, LP is an equal opportunity employer. All applicants will be considered for employment regardless of race, color, religion, age, sex, gender identity, national origin, veteran, or disability status.</t>
        </is>
      </c>
    </row>
    <row r="67">
      <c r="A67" t="inlineStr">
        <is>
          <t>li-4378833260</t>
        </is>
      </c>
      <c r="B67" t="inlineStr">
        <is>
          <t>Data Scientist</t>
        </is>
      </c>
      <c r="C67" t="inlineStr">
        <is>
          <t>Haystack</t>
        </is>
      </c>
      <c r="D67" t="inlineStr">
        <is>
          <t>linkedin</t>
        </is>
      </c>
      <c r="E67">
        <f>HYPERLINK("https://www.linkedin.com/jobs/view/4378833260", "https://www.linkedin.com/jobs/view/4378833260")</f>
        <v/>
      </c>
      <c r="F67" t="inlineStr"/>
      <c r="G67" t="inlineStr"/>
      <c r="H67" t="inlineStr"/>
      <c r="I67" t="inlineStr">
        <is>
          <t>**Principal, AI Data Scientist \| Remote U.S.** 
 We're working with a pioneering global biopharma innovator transforming patient lives through neuroscience and oncology on this exciting opportunity. We are looking for a visionary data scientist to lead the charge in integrating cutting\-edge GenAI and LLM frameworks into clinical trial execution and digital healthcare.
 This is a high\-impact role where you will bridge the gap between complex therapeutic research and advanced machine learning. You will build the intelligent systems that automate clinical documentation and optimize patient recruitment, directly accelerating the delivery of life\-changing medicines using Python, AWS, and modern MLOps practices.
**The Role** 
 • Lead the design and implementation of AI/ML and GenAI solutions to revolutionize clinical trial operations, focuses on patient recruitment, retention, and real\-time monitoring.
 • Architect LLM\-driven applications to automate the generation of critical clinical documentation, including medical reports, protocols, and patient narratives.
 • Develop innovative Digital Healthcare applications using RWE (Real World Evidence) and data from wearable devices and electronic health records.
 • Collaborate with cross\-functional R\&amp;D and Clinical Ops teams to translate complex healthcare challenges into scalable, predictive AI models.
 • Deploy and manage models using MLOps best practices on high\-compute AWS cloud platforms while ensuring strict data privacy and regulatory compliance.
**What You'll Need** 
 • Advanced degree (MS/PhD) in Data Science, Computer Science, or a related quantitative field with 3\-5 years of professional experience.
 • At least 1\+ year of hands\-on experience applying AI/ML specifically to healthcare, clinical research, or life sciences data.
 • Expert\-level programming in Python or R, with deep proficiency in modern ML frameworks such as PyTorch and TensorFlow.
 • Proven experience with Generative AI architectures, Large Language Models (LLMs), and Natural Language Processing (NLP) for medical text analysis.
 • Strong familiarity with the AWS ecosystem, code version control, and deploying models through standardized MLOps pipelines.
**What's On Offer** 
 • Competitive compensation ($62 \- $75/hr range) with a comprehensive benefits package including medical, dental, and vision.
 • Opportunity to work at the forefront of HealthTech innovation within a mission\-driven global R\&amp;D environment.
 • Flexible hybrid work model and a culture that prioritizes patient\-focused research and professional growth.
 • Retirement savings plan and flexible paid vacation to support your long\-term well\-being.
**Apply via Haystack today!**</t>
        </is>
      </c>
    </row>
    <row r="68">
      <c r="A68" t="inlineStr">
        <is>
          <t>li-4377745300</t>
        </is>
      </c>
      <c r="B68" t="inlineStr">
        <is>
          <t>Data Scientist - Pricing</t>
        </is>
      </c>
      <c r="C68" t="inlineStr">
        <is>
          <t>WebstaurantStore</t>
        </is>
      </c>
      <c r="D68" t="inlineStr">
        <is>
          <t>linkedin</t>
        </is>
      </c>
      <c r="E68">
        <f>HYPERLINK("https://www.linkedin.com/jobs/view/4377745300", "https://www.linkedin.com/jobs/view/4377745300")</f>
        <v/>
      </c>
      <c r="F68" t="inlineStr"/>
      <c r="G68" t="inlineStr">
        <is>
          <t>Lititz, PA</t>
        </is>
      </c>
      <c r="H68" t="inlineStr"/>
      <c r="I68"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2 years experience applying data science to pricing and demand problems in ecommerce, retail, or foodservice environments.
* Proven ability to build and analyze price response curves or similar models to identify optimal pricing across a wide range of products.
* Experience using data to inform pricing strategy and day\-to\-day pricing decisions, even if not the final decision owner.
* Strong understanding of price elasticity, demand forecasting, and trade\-offs between margin, volume, and customer acquisition.
* Demonstrated ability to identify strategic low\-priced items that drive customer traffic, alongside optimizing prices for both low and high AOV products.
* Comfortable working with large SKU catalogs and messy real\-world data to deliver actionable pricing insights.
* Ability to partner closely with merchants, and other teams to translate model outputs into business decisions.
* Advanced Python and SQL skills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69">
      <c r="A69" t="inlineStr">
        <is>
          <t>li-4348705201</t>
        </is>
      </c>
      <c r="B69" t="inlineStr">
        <is>
          <t>Senior, Data Scientist</t>
        </is>
      </c>
      <c r="C69" t="inlineStr">
        <is>
          <t>Walmart</t>
        </is>
      </c>
      <c r="D69" t="inlineStr">
        <is>
          <t>linkedin</t>
        </is>
      </c>
      <c r="E69">
        <f>HYPERLINK("https://www.linkedin.com/jobs/view/4348705201", "https://www.linkedin.com/jobs/view/4348705201")</f>
        <v/>
      </c>
      <c r="F69">
        <f>HYPERLINK("https://click.appcast.io/t/R1Id6B20w0YXNCgOhNj0xa4vrqCTdkD1fJAub5bgc9w-Y4l0yL0zTU86jUYI5z7y?source=LinkedIn&amp;urlHash=RUxN", "https://click.appcast.io/t/R1Id6B20w0YXNCgOhNj0xa4vrqCTdkD1fJAub5bgc9w-Y4l0yL0zTU86jUYI5z7y?source=LinkedIn&amp;urlHash=RUxN")</f>
        <v/>
      </c>
      <c r="G69" t="inlineStr">
        <is>
          <t>Grapevine, TX</t>
        </is>
      </c>
      <c r="H69" t="inlineStr"/>
      <c r="I69" t="inlineStr">
        <is>
          <t>Position Summary...
 What you'll do...It’s an exciting time to join our Walmart journey, we are seeking a Senior Data Scientist. At Walmart, technology empowers us and people lead. We believe new technologies will enhance the associate and customer experience in our stores. You will be working on future looking initiatives that is targeted at improving in store customer experience for the 240\+ million Walmart customers that shop at our stores. The mission is to create step change in\-store experiences, leveraging emerging technology to help define and deliver on evolving customer expectations. Its success requires a cross\- functional, mission\-based team that is highly entrepreneurial, collaborative and passionate about solving the unsolved problems. As a Machine Learning Engineer, you will be designing, training and deploying state\-of\-art AI models in real\-world production environment. In conjunction with multiple product and technology groups, you will work to create a best\-in\-class consumer experience in the physical retail space. You’ll sweep us off our feet if….
* Experience solving complex problems and comparing alternative solutions, tradeoffs, and diverse points of view to determine a path forward.
* Demonstrated software engineer experience via an internship, work experience, coding competitions, or widely used contributions in open\-source repositories (e.g. GitHub).
* Experience with research and development of computer vision (object detection, tracking, scene understanding)
 You’ll make an impact by…
* Developing computer vision algorithms and machine learning models to enhance different customer facing application.
* Collaborate within projects within a mixed team of software engineer and computer vision engineer.
* Follow and apply engineering and computer vision best practices.
 What you'll do:
* Research, develop and analyze computer vision algorithms in areas related to object detection, tracking, product identification and verification, scene understanding.
* Ensure model robustness, model generalization, accuracy, testability, and efficiency.
* Write product or system development code.
 What you'll bring:
* Currently has, or is in the process of obtaining, a PhD degree in Computer Science, Computer Vision, relevant technical field, or equivalent practical experience. Or MS with 2 years industry experience
* Experience in one or more of the following areas: machine learning, deep learning, computer vision
* Experience in programming languages with a technical background
* You are a team player \- that is, you're a nice person \- see no ego.
* Highly motivated and independent; results oriented.
* A self\-learner: ability to effectively adapt to rapidly changing technology and apply it to business needs, integrate multiple tools together to solve business problems.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Statistics, Economics, Analytics, Mathematics, Computer Science, Information Technology, or related field and 3 years' experience in an analytics related field. Option 2\- Master’s degree in Statistics, Economics, Analytics, Mathematics, Computer Science, Information Technology, or related field and 1 years' experience in an analytics related field. Option 3 \- 5 years' experience in an analytics or related field.
**Preferred Qualifications...**
**Outlined below are the optional preferred qualifications for this position. If none are listed, there are no preferred qualifications.**
 Data science, machine learning, optimization models, Master’s degree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1701 W STATE HIGHWAY 114, GRAPEVINE, TX 76051\-8652,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70">
      <c r="A70" t="inlineStr">
        <is>
          <t>li-4378473227</t>
        </is>
      </c>
      <c r="B70" t="inlineStr">
        <is>
          <t>Data Scientist</t>
        </is>
      </c>
      <c r="C70" t="inlineStr">
        <is>
          <t>Ghamut</t>
        </is>
      </c>
      <c r="D70" t="inlineStr">
        <is>
          <t>linkedin</t>
        </is>
      </c>
      <c r="E70">
        <f>HYPERLINK("https://www.linkedin.com/jobs/view/4378473227", "https://www.linkedin.com/jobs/view/4378473227")</f>
        <v/>
      </c>
      <c r="F70" t="inlineStr"/>
      <c r="G70" t="inlineStr">
        <is>
          <t>East Lansing, MI</t>
        </is>
      </c>
      <c r="H70" t="inlineStr"/>
      <c r="I70" t="inlineStr">
        <is>
          <t>**About Ghamut:** 
 Ghamut Corporation is a boutique AI and strategy consultancy; we build scalable machine learning systems and deliver empirical analysis under ambiguity for global pharmaceutical firms, federal health agencies, major foundations, and large financial institutions.
**The Role:** 
 We are hiring a full\-time data scientist who can own end\-to\-end technical engagements; from problem framing to deployment, and from analysis to polished client presentations. You will typically be the primary technical lead on an engagement, supported by a founding partner who provides oversight and reviews key deliverables.
**Success at Ghamut tends to require four capabilities:** 
1. *Full\-stack AI development;* 
 you can build AI systems (not just models), end\-to\-end.
2. *Problem formulation under ambiguity;* 
 many projects begin with questions, not specs.
3. *Communication of insights;* 
 you can deliver client\-facing presentations with clarity and rigor.
4. *Professional execution;* 
 high\-stakes work with tight timelines; occasional evening/weekend effort near deadlines; professional conduct and presentation expected in client settings.
**Responsibilities:** 
* Lead technical execution of client projects from start to finish.
* Define a defensible technical approach in ambiguous problem spaces.
* Collect, clean, and analyze data; produce clear visualizations and dashboards.
* Train, evaluate, and deploy AI/ML models.
* Build deployable systems using Python backends and modern front\-end tooling.
* Host solutions on AWS; manage infrastructure\-as\-code.
* Produce polished outputs; codebases, dashboards, reports, and client\-facing slide decks.
* Communicate progress and risks early; deliver professional, timely results.
**Work Model, Hours and Reporting:** 
* The position is Fully remote.
* Ghamut operates in Eastern Time (ET); U.S.\-based employees are expected to work primarily during 9am to 5pm ET but may need to work after hours if performance expectations are not met.
* Formal business attire is required for any client\-facing meetings (including video meetings).
**Compensation and benefits** 
* Base salary is determined using U.S. Bureau of Labor Statistics wage data; your position within the range is assessed using the criteria defined by the National Compensation Survey (NCS).
* Eligible employees may receive performance\-based bonuses.
* Health reimbursement plan covers $9,000, plus $3,300 per dependent (up to $18,000/year).
* Paid time off \+ holidays: 15 days/year
* Paid sick leave: 10 days/year.</t>
        </is>
      </c>
    </row>
    <row r="71">
      <c r="A71" t="inlineStr">
        <is>
          <t>li-4378833918</t>
        </is>
      </c>
      <c r="B71" t="inlineStr">
        <is>
          <t>Data Scientist - 2620
            Brno,
            Czechia</t>
        </is>
      </c>
      <c r="C71" t="inlineStr">
        <is>
          <t>Energy Acuity</t>
        </is>
      </c>
      <c r="D71" t="inlineStr">
        <is>
          <t>linkedin</t>
        </is>
      </c>
      <c r="E71">
        <f>HYPERLINK("https://www.linkedin.com/jobs/view/4378833918", "https://www.linkedin.com/jobs/view/4378833918")</f>
        <v/>
      </c>
      <c r="F71" t="inlineStr"/>
      <c r="G71" t="inlineStr">
        <is>
          <t>Denver, CO</t>
        </is>
      </c>
      <c r="H71" t="inlineStr"/>
      <c r="I71" t="inlineStr">
        <is>
          <t>**Description**
**Why YOU want this position**
 At Enverus, we’re committed to empowering the global quality of life by helping our customers make energy affordable and accessible to the world.
 We are the most trusted energy\-dedicated SaaS company, with a platform built to maximize value from generative AI, and our innovative solutions are reshaping the way energy is consumed and managed. By offering anytime, anywhere access to analytics and insights, we’re helping our customers make better decisions that help provide communities around the world with clean, affordable energy.
 The energy industry is changing fast. But we’ve continued to lead the way in energy technology, creating intelligent connections across the entire energy ecosystem, from renewables, power and utilities, to oil and gas and financial institutions. Our solutions create more efficient production and distribution, capital allocation, renewable energy development, investment and sourcing, and help reduce costs by automating crucial business operations. Of course, this wouldn’t be possible without our people, which is why we have built a team of individuals from a diverse range of backgrounds.
 Are you ready to help power the global quality of life? Join Enverus, and be a part of creating a brighter, more sustainable tomorrow.
**The Team**
 The Enverus Data Science team builds advanced data\-driven products that drive value across the energy value chain. We combine AI, machine learning, statistical methods, advanced algorithms, and deep domain expertise to tackle complex industry challenges. Our models are deployed on a robust internal data science platform, enabling scalable solutions.
 As a Data Scientist in Brno, you will play a key role in designing and developing high\-impact data products. You'll work closely with cross\-functional teams including Product Managers, Software Engineers, Data Engineers, QA Engineers, DevOps Engineers, and Domain Experts to deliver production\-ready solutions. We have a globally distributed, highly collaborative team, and Brno is a growing hub for our data science innovation.
**Performance Objectives**
* Design and develop data science product features and solutions.
* Create and maintain data products to solve key business problems in the energy sector.
* Write clean, production\-quality code and well\-documented experiments.
* Collaborate across functions to integrate models into scalable applications.
* Apply pragmatic, fit\-for\-purpose solutions and select the right tools for each job.
**Competitive Candidate Profile**
* Bachelor's degree in Computer Science, Software Engineering or related field.
* 3\+ years of Data Science experience.
* Experience with development tools \- Required: Python, Numpy, Pandas, Git. Preferred but not required: Kubernetes, Docker, modern CI/CD, Spark.
* Deep understanding of data structures and data science algorithms.
* Experience with Scrum, Agile, and collaboration practices.
* Strong communication skills, curiosity, and a collaborative mindset.
**Our Technology Stack**
 Python, Docker, Kubernetes, Spark, CI/CD, Git, Pandas, Numpy</t>
        </is>
      </c>
    </row>
    <row r="72">
      <c r="A72" t="inlineStr">
        <is>
          <t>li-4290049636</t>
        </is>
      </c>
      <c r="B72" t="inlineStr">
        <is>
          <t>Senior Data Scientist</t>
        </is>
      </c>
      <c r="C72" t="inlineStr">
        <is>
          <t>Ibotta</t>
        </is>
      </c>
      <c r="D72" t="inlineStr">
        <is>
          <t>linkedin</t>
        </is>
      </c>
      <c r="E72">
        <f>HYPERLINK("https://www.linkedin.com/jobs/view/4290049636", "https://www.linkedin.com/jobs/view/4290049636")</f>
        <v/>
      </c>
      <c r="F72">
        <f>HYPERLINK("https://ibotta.ongig.com/jobs/analytics-data/hybrid-denver/senior-data-scientist/R-102067?utm_source=linkedin&amp;utm_medium=referral&amp;utm_campaign=ongig-job-aggregators&amp;group=2064&amp;source=LinkedIn&amp;urlHash=KLbB", "https://ibotta.ongig.com/jobs/analytics-data/hybrid-denver/senior-data-scientist/R-102067?utm_source=linkedin&amp;utm_medium=referral&amp;utm_campaign=ongig-job-aggregators&amp;group=2064&amp;source=LinkedIn&amp;urlHash=KLbB")</f>
        <v/>
      </c>
      <c r="G72" t="inlineStr">
        <is>
          <t>Denver, CO</t>
        </is>
      </c>
      <c r="H72" t="inlineStr"/>
      <c r="I72" t="inlineStr">
        <is>
          <t>Ibotta is seeking a
 **Senior Data Scientist** 
 to join our fast growing Client Data \&amp; Measurement team and move forward our mission to Make Every Purchase Rewarding. We are a cross\-functional team that creates data and analytical solutions throughout the business. We seek to understand, and provide recommendations to spur business growth, serving as an expert within the company for delivering solutions that solve complex challenges.
 As a Senior Data Scientist, you will be responsible for using the latest developments in statistics, machine learning, and data visualizations. Using these skills, you will identify and build strategic opportunities to grow the business, support initiatives, and drive value. In addition, you will be expected to build trustworthy and robust datasets for use throughout the organization. This role will immediately drive impact through the support, guidance, and collaboration with multiple spokes as part of our Hub and Spoke organizational layout.
 This position is located in Denver, Colorado as a hybrid position requiring 3 days in office (Tuesday, Wednesday, and Thursday). Candidates must live in the United States.
**What you will be doing:**
* Initiate and drive collaboration with stakeholders, architects, and data engineers to discover, define, cleanse, and refine the data needed for analysis and modeling
* Establish strong cross departmental relationships with stakeholders and peers to understand business problems and opportunities for improvements
* Analyze, and at times build, large and novel datasets to extract actionable insights to inform model development and understand customer behavior and or product performance
* Ability to prioritize projects based on business impact and value; lead and manage large scale projects
* Build models using a variety of statistical and machine learning techniques, from selecting the best type of model for the problem to using advanced techniques to measure and optimize model performance
* Become an expert of the Ibotta Data Ecosystem and how various teams leverage Ibotta’s suite of data to answer domain specific business questions through advanced analytic techniques
* Inform experimental design to formulate solutions addressing major business challenges and innovation opportunities
* Provide data science mentoring and education to this team and others across the company
* Embrace and uphold Ibotta’s Core Values: Integrity, Boldness, Ownership, Teamwork, Transparency \&amp; A good idea can come from anywhere
**What we are looking for:**
* 5\+ years of experience making significant impacts in a professional data science or machine learning role
* Bachelor’s degree in Computer Science, Engineering, Analytics or a related field required
* A history of and passion for driving important decisions using data and data storytelling
* A love of learning and continuous development, including staying at the forefront of the latest advances in data science and machine learning. Broad\-scale community contributions to the fields of data science and machine learning in the way of conference presentations, professional publications, and/or recognized internet presence are a strong plus
* Applied machine learning and statistical algorithms to optimize processes, predict outcomes, forecast trends, and enhance decision\-making, driving improved efficiency and results
* Expert\-level Python knowledge, skills, and abilities. Spark or PySpark experience is a strong plus
* Excellent statistical analysis skills, with a solid understanding of experimental design and time series analysis a strong plus
* Superior analytical and problem solving skills
* Expert\-level knowledge, skills, and abilities in database manipulation, query languages, and graph data schemas
* Experience manipulating complex data to apply business rules for improved feature engineering within data lakes, distributed systems, and data streams
* Experience in MLOps a strong plus but not required
**About Ibotta ("I bought a...")**
 Ibotta (NYSE: IBTA) is a leading performance marketing platform allowing brands to deliver digital promotions to over 200 million consumers through a network of publishers called the Ibotta Performance Network (IPN). The IPN allows marketers to influence what people buy, and where and how often they shop – all while paying only when their campaigns directly result in a sale. American shoppers have earned over $2\.6 billion through the IPN since 2012\. The largest tech IPO in history to come out of Colorado, Ibotta is headquartered in Denver, and is continually listed as a top place to work by The Denver Post and Inc. Magazine.
 To learn more about what our Tech teams are doing day to day, visit Building Ibotta on Medium.com.
**Additional Details:**
* This position is located in Denver, CO and includes competitive pay, flexible time off, benefits package (including medical, dental, vision), Lifestyle Spending Account, Employee Stock Purchase Program, and 401k match. Denver office perks include paid parking, snacks and occasional meals.
* Base compensation range: $130,000 \- $160,000\. Equity is included in overall compensation package. This compensation range is specific to the United States labor market and may be adjusted based on actual experience.
* For the security of our employees and the business, all employees are responsible for the secure handling of data in accordance with our security policies, identifying and reporting phishing attempts, as well as reporting security incidents to the proper channels.
* Ibotta is an Equal Opportunity Employer. Ibotta’s employment decisions are made without regard of race, color, religion, national origin, age, sex, marital status, ancestry, physical or mental disability, veteran status, gender identity, sexual orientation, or any other legally protected status.
* Applicants must be currently authorized to work in the United States on a full\-time basis.
* Applicants are accepted until the position is filled.
 \#BI\-Hybrid</t>
        </is>
      </c>
    </row>
    <row r="73">
      <c r="A73" t="inlineStr">
        <is>
          <t>li-4366035837</t>
        </is>
      </c>
      <c r="B73" t="inlineStr">
        <is>
          <t>Data Scientist - 957 (W2/EOR- Remote)</t>
        </is>
      </c>
      <c r="C73" t="inlineStr">
        <is>
          <t>Braintrust</t>
        </is>
      </c>
      <c r="D73" t="inlineStr">
        <is>
          <t>linkedin</t>
        </is>
      </c>
      <c r="E73">
        <f>HYPERLINK("https://www.linkedin.com/jobs/view/4366035837", "https://www.linkedin.com/jobs/view/4366035837")</f>
        <v/>
      </c>
      <c r="F73">
        <f>HYPERLINK("https://app.usebraintrust.com/jobs/16748?gh_src=06bf3def4us&amp;utm_channel=jobboard&amp;utm_source=linkedin&amp;urlHash=F57o", "https://app.usebraintrust.com/jobs/16748?gh_src=06bf3def4us&amp;utm_channel=jobboard&amp;utm_source=linkedin&amp;urlHash=F57o")</f>
        <v/>
      </c>
      <c r="G73" t="inlineStr"/>
      <c r="H73" t="inlineStr"/>
      <c r="I73" t="inlineStr">
        <is>
          <t>**Job Description**
 This is a THREE\-MONTH engagement, with the possibility for an extension.
 - Must have at least three hours of overlap with the Pacific Time Zone (PT)
****Advertising is Reddit’s primary revenue driver and we have an ambitious goal to turn it into a massive business. Although several large digital ad platforms already exist, advertisers are being increasingly drawn to Reddit because of our passionate communities. We believe our community\-centric platform has created the opportunity for Reddit to build a highly differentiated ads business.****
****About the Ads Data Science Team:****
****The Ads Data Science team at Reddit leverages data to maximize advertiser value on Reddit through robust data foundations, metrics, and strategic insights generated through experimentation and cutting\-edge DS methods.****
****We work on a wide range of challenging problems in the areas of ads targeting, relevance modeling, auction optimization, measurement, and user experience. We are a highly collaborative team of passionate data scientists and engineers who are constantly pushing the boundaries of what's possible with machine learning and statistical modeling.****
****About the Role:****
****We are looking for a highly motivated and experienced Senior Data Scientist to join our growing Ads Data Science team. As a Senior Data Scientist, you will play a key role in developing as well as applying cutting\-edge DS models/methods to improve the adoption and performance of our advertising platform through data\-driven insights. You will work closely with product managers, engineers, and other data scientists to identify opportunities, define metrics, and build solutions that drive significant impact for Reddit.****
****Main job duties include:****
* Design, develop, and apply DS solutions to inform improvements in advertiser experience as well as Reddit's ad platform \&amp; marketplace performance
* Creating data assets (new tables, self\-serve dashboards, etc.) to enable partners to answer their own data questions
* Creating reporting dashboards for product and engineering partners to understand topline metrics movements and deep dive into specific areas of interest
* Analyze large\-scale datasets to identify trends, patterns, and insights that can be used to improve the effectiveness of our advertising platform
* Collaborate with product managers and engineers to define product requirements and translate them into data science solutions
* Uncovering strategic insights and sharing them with stakeholders to shape future product directions
* Develop ML models \&amp; DS methods to improve anomaly detection, prediction, \&amp; pattern recognition
* Communicate findings and recommendations to stakeholders across the organization
****Qualifications:****
* MS or PhD in Computer Science, Statistics, Mathematics, or a related field
* 5\+ years of experience in data science, machine learning, or a related field
* Strong understanding of statistical modeling, machine learning algorithms, causal inference and experimental design
* Experience with large\-scale data processing and analysis using tools such as Spark, Hadoop, or Hive; knowledge of BigQuery a plus
* Experience with SQL and relational databases
* Proficiency in Python or R and experience with machine learning libraries such as scikit\-learn, TensorFlow, or PyTorch
****Bonus Points:****
* Experience with online advertising and ad tech
* Experience with causal inference and A/B testing</t>
        </is>
      </c>
    </row>
    <row r="74">
      <c r="A74" t="inlineStr">
        <is>
          <t>li-4318663121</t>
        </is>
      </c>
      <c r="B74" t="inlineStr">
        <is>
          <t>Senior Data Scientist / Machine Learning Engineer - Listing Quality</t>
        </is>
      </c>
      <c r="C74" t="inlineStr">
        <is>
          <t>Faire</t>
        </is>
      </c>
      <c r="D74" t="inlineStr">
        <is>
          <t>linkedin</t>
        </is>
      </c>
      <c r="E74">
        <f>HYPERLINK("https://www.linkedin.com/jobs/view/4318663121", "https://www.linkedin.com/jobs/view/4318663121")</f>
        <v/>
      </c>
      <c r="F74" t="inlineStr"/>
      <c r="G74" t="inlineStr">
        <is>
          <t>San Francisco, CA</t>
        </is>
      </c>
      <c r="H74" t="inlineStr"/>
      <c r="I74" t="inlineStr">
        <is>
          <t>**About Faire**
 Faire is an online wholesale marketplace built on the belief that the future is local — independent retailers around the globe are doing more revenue than Walmart and Amazon combined, but individually, they are small compared to these massive entities. At Faire, we're using the power of tech, data, and machine learning to connect this thriving community of entrepreneurs across the globe. Picture your favorite boutique in town — we help them discover the best products from around the world to sell in their stores. With the right tools and insights, we believe that we can level the playing field so that small businesses everywhere can compete with these big box and e\-commerce giants.
 By supporting the growth of independent businesses, Faire is driving positive economic impact in local communities, globally. We’re looking for smart, resourceful and passionate people to join us as we power the shop local movement. If you believe in community, come join ours.
**About This Role**
 Faire leverages the power of machine learning and data insights to revolutionize the wholesale industry, enabling local retailers to compete against giants like Amazon and big box stores. At Faire, the Data Science team is responsible for creating and maintaining a diverse range of algorithms and models that power our marketplace. We are dedicated to building machine learning models that help our customers thrive.
 As a member of the Brand Data Science team working on Listing Quality, you will be responsible for improving the quality of product listings to help retailers find and evaluate products on Faire. You will use ML and AI to tackle critical challenges, such as enhancing image and text quality, extracting structured product attributes, and accurately identifying duplicates and product variants. You will leverage deep learning, multi\-modal LLMs, and human\-in\-the\-loop training to create high performance solutions. This space has been evolving rapidly with advancements in AI and you will be at the forefront of applying the latest technology to drive real\-world impact. You will independently design and implement solutions and work with the cross\-functional Listing Quality pod, including product, design, engineering, analytics, and operations, to solve problems end\-to\-end.
**What You’ll Do**
* Drive data science vision, strategy, and execution on Listing Quality, using ML and AI solutions to improve the quality of Faire’s product listings.
* Use deep learning, LLM fine tuning, and human\-in\-the\-loop training to automatically detect and address issues with high accuracy.
* Act as a lead on the cross\-functional Listing Quality pod, thinking end\-to\-end about brand and retailer experiences.
**Qualifications**
* 3\+ years of industry experience using machine learning to solve real\-world problems
* Experience with relevant business problems (e.g. e\-commerce)
* Experience with relevant technical methods (e.g. LLM fine tuning, deep learning, or human\-in\-the\-loop machine learning)
* Strong programming skills
* An excitement and willingness to learn new tools and techniques
* The ability to design and implement ML solutions without supervision
* Strong communication skills and the ability to work in a highly cross\-functional team
**Great To Haves**
* Master’s or PhD in Computer Science, Statistics, or related STEM fields is highly recommended
* Previous experience in listing quality for e\-commerce
* Previous experience in supervised fine tuning of multi\-modal LLMs
* Experience deploying and optimizing LLM inference systems at scale (10B\+ tokens), with focus on cost efficiency and product impact
**Salary Range**
 San Francisco: the pay range for this role is $192,000 to $264,000 per year.
 This role will also be eligible for equity and benefits. Actual base pay will be determined based on permissible factors such as transferable skills, work experience, market demands, and primary work location. The base pay range provided is subject to change and may be modified in the future.
**Hybrid Faire employees currently go into the office 3 days per week on Tuesdays, Thursdays, and a third flex day of their choosing (Monday, Wednesday, or Friday).* 
 Additionally, hybrid in\-office roles will have the flexibility to work remotely up to 4 weeks per year. Specific Workplace and Information Technology positions may require onsite attendance 5 days per week as will be indicated in the job posting.*
**Why you’ll love working at Faire**
* We are entrepreneurs: Faire is being built for entrepreneurs, by entrepreneurs. We believe entrepreneurship is a calling and our mission is to empower entrepreneurs to chase their dreams. Every member of our team is taking part in the founding process.
* We are using technology and data to level the playing field: We are leveraging the power of product innovation and machine learning to connect brands and boutiques from all over the world, building a growing community of more than 350,000 small business owners.
* We build products our customers love: Everything we do is ultimately in the service of helping our customers grow their business because our goal is to grow the pie \- not steal a piece from it. Running a small business is hard work, but using Faire makes it easy.
* We are curious and resourceful: Inquisitive by default, we explore every possibility, test every assumption, and develop creative solutions to the challenges at hand. We lead with curiosity and data in our decision making, and reason from a first principles mentality.
 Faire was founded in 2017 by a team of early product and engineering leads from Square. We’re backed by some of the top investors in retail and tech including: Y Combinator, Lightspeed Venture Partners, Forerunner Ventures, Khosla Ventures, Sequoia Capital, Founders Fund, and DST Global. We have headquarters in San Francisco and Kitchener\-Waterloo, and a global employee presence across offices in Toronto, London, and New York. To learn more about Faire and our customers, you can read more on our blog.
 Faire provides equal employment opportunities (EEO) to all employees and applicants for employment without regard to race, color, religion, sex, national origin, age, disability, genetics, sexual orientation, gender identity or gender expression.
 Faire is committed to providing access, equal opportunity and reasonable accommodation for individuals with disabilities in employment, its services, programs, and activities. Accommodations are available throughout the recruitment process and applicants with a disability may request to be accommodated throughout the recruitment process. We will work with all applicants to accommodate their individual accessibility needs. To request reasonable accommodation, please fill out our Accommodation Request Form (https://bit.ly/faire\-form)
**Privacy**
 For information about the type of personal data Faire collects from applicants, as well as your choices regarding the data collected about you, please visit Faire’s Privacy Notice (https://www.faire.com/privacy)</t>
        </is>
      </c>
    </row>
    <row r="75">
      <c r="A75" t="inlineStr">
        <is>
          <t>li-4377760209</t>
        </is>
      </c>
      <c r="B75" t="inlineStr">
        <is>
          <t>Senior Data Scientist</t>
        </is>
      </c>
      <c r="C75" t="inlineStr">
        <is>
          <t>Visa</t>
        </is>
      </c>
      <c r="D75" t="inlineStr">
        <is>
          <t>linkedin</t>
        </is>
      </c>
      <c r="E75">
        <f>HYPERLINK("https://www.linkedin.com/jobs/view/4377760209", "https://www.linkedin.com/jobs/view/4377760209")</f>
        <v/>
      </c>
      <c r="F75" t="inlineStr"/>
      <c r="G75" t="inlineStr">
        <is>
          <t>Foster City, CA</t>
        </is>
      </c>
      <c r="H75" t="inlineStr"/>
      <c r="I75" t="inlineStr">
        <is>
          <t>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To ensure that Visa’s payment technology is truly available to everyone, everywhere requires the success of our key bank or merchant partners and internal business units. The Global Data Science group supports these partners by using our extraordinarily rich data set that spans more than 3 billion cards globally and captures more than 100 billion transactions in a single year. Our focus lies on building creative solutions that have an immediate impact on the business of our highly analytical partners. We work in complementary teams comprising members from Data Science and various groups at Visa. To support our rapidly growing group we are looking for Data Scientists who are equally passionate about the opportunity to use Visa’s rich data to tackle meaningful business problems. You will join one of the Data Science focus areas (e.g., banks, merchants \&amp; retailers, digital products, marketing) with an opportunity for rotation within Data Science to gain broad exposure to Visa’s business.
 Essential Functions:
* Provide technical leadership in a team that generates business insights based on big data, identify actionable recommendations, and communicate the findings to clients
* Brainstorm innovative ways to use our unique data to answer business problems
* Communicate with clients to understand the challenges they face and convince them with data
* Extract and understand data to form an opinion on how to best help our clients and derive relevant insights
* Develop visualizations to make your complex analyses accessible to a broad audience
* Find opportunities to craft products out of analyses that are suitable for multiple clients
* Work with stakeholders throughout the organization to identify opportunities for leveraging Visa data to drive business solutions
* Mine and analyze data from company databases to drive optimization and improvement of product, marketing techniques and business strategies for Visa and its clients
* Assess the effectiveness and accuracy of new data sources and data gathering techniques
* Develop custom data models and algorithms to apply to data sets
* Use predictive modeling to increase and optimize customer experiences, revenue generation, data insights, and other business outcomes
* Partner with a variety of Visa teams to provide comprehensive solutions
* Synthesize ideas/proposals in writing and engage in productive discussions with external or internal stakeholders
* Provide guidance in modern analytic techniques and business applications to unlock the value of Visa’s unique data set, in keeping with market trends, client needs and emerging techniques
* Organize and manage multiple data science projects with diverse cross\-functional stakeholders
 This is a hybrid position. Expectation of days in the office will be confirmed by your Hiring Manager.
**Qualifications**
 Basic Qualifications:
 5\+ years of relevant work experience with a Bachelor’s Degree or at least 2 years of work experience with an Advanced degree (e.g. Masters, MBA, JD, MD) or 0 years of work experience with a PhD, OR 8\+ years of relevant work experience.
 Preferred Qualifications:
 5\+ years of relevant work experience with a Bachelor’s Degree or at least 2 years of work experience with an Advanced degree (e.g. Masters, MBA, JD, MD) or 0 years of work experience with a PhD, OR 8\+ years of relevant work experience.
 4 years of work experience with a Bachelor’s Degree or at least 2 years of work experience with an Advanced degree (e.g. Master’s, MBA, JD, MD) or 0 years of work experience with a PhD degree
 6\-8 years of work experience with a Bachelor’s Degree or 4\-6 years of work experience with an
 Advanced Degree (e.g. Master’s, MBA, JD, MD) or 3 years of experience with a PhD
 4\+ years’ experience in data\-based decision\-making or quantitative analysis
 Master’s degree in Statistics, Operations Research, Applied Mathematics, Economics, Data Science, Business Analytics, Computer Science, or a related technical field
 Extracting and aggregating data from large data sets using SQL/Hive or Spark
 Analyzing large data sets using programming languages such as Python, R, SQL and/or Spark
 Generating and visualizing data\-based insights in software such as Tableau
 Communicating data\-driven insights and conveying actionable recommendations
 Managing and organizing work in Office software such as Word, Excel, PowerPoint and/or Teams
 Building predictive and descriptive statistical models using machine learning tool kit, Jupyter notebooks, Python, and/or SAS
 Data mining and statistical modeling (e.g., regression modeling, clustering techniques, decision trees, etc.)
 Previous exposure to financial services, credit cards or merchant analytics is a plus, but not required
 Managing analytics/data science projects from scoping to delivery, and engaging with internal/external stakeholders
 Knowledge of causal inference and experimentation, including A/B testing, Difference‑in‑Differences, and uplift modeling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161,400\.00 to 258,500\.00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76">
      <c r="A76" t="inlineStr">
        <is>
          <t>li-4377750916</t>
        </is>
      </c>
      <c r="B76" t="inlineStr">
        <is>
          <t>Principal Data Scientist</t>
        </is>
      </c>
      <c r="C76" t="inlineStr">
        <is>
          <t>Ladders</t>
        </is>
      </c>
      <c r="D76" t="inlineStr">
        <is>
          <t>linkedin</t>
        </is>
      </c>
      <c r="E76">
        <f>HYPERLINK("https://www.linkedin.com/jobs/view/4377750916", "https://www.linkedin.com/jobs/view/4377750916")</f>
        <v/>
      </c>
      <c r="F76" t="inlineStr"/>
      <c r="G76" t="inlineStr"/>
      <c r="H76" t="inlineStr"/>
      <c r="I76" t="inlineStr">
        <is>
          <t>For our client, we are seeking a Principal Data Scientist to join the team of a leader in the Consumer Technology space. You’ll play a key role delivering outcomes for customers and stakeholders in the Consumer Technology space. You’ll collaborate cross\-functionally and take ownership of priorities. This role offers visibility, growth, and impact.
 Location: Remote \- US based candidates only, no visa sponsorship available
 Compensation: $163,300 – $303,300 annually.
**Responsibilities**
* Select, build, and optimize machine learning models using advanced techniques
* Utilize big data technologies on cloud platforms for scalable solutions
* Independently design and develop proof\-of\-concept projects from ideation to delivery
* Create applications powered by large language models for advanced automation
* Build and maintain automated data pipelines and performance tracking systems
* Collaborate with software engineers in an agile environment to deliver features
* Conduct analyses and present findings to both technical and non\-technical stakeholders
**Qualifications**
* Bachelor's degree with 12 years of experience in data science or an advanced degree with 5 years of relevant experience
* Expertise in writing production\-grade machine learning models in Python
* Deep knowledge of distributed systems and scalability architecture
* Proven track record of executing organization\-wide technical initiatives
* Experience with cloud platforms like AWS, Azure, or GCP
* Ability to communicate complex data science concepts to non\-technical audiences
* Self\-motivated, detail\-oriented, and capable of thriving in a collaborative environment
**Benefits**
* Medical, dental, and vision insurance
* Life and disability insurance
* 401(k) match
* Career development opportunities
* Employee perks that support personal and family health
 Our client is an equal opportunity employer. We encourage you to apply even if you don’t meet every qualification—your background could be exactly what this team needs.</t>
        </is>
      </c>
    </row>
    <row r="77">
      <c r="A77" t="inlineStr">
        <is>
          <t>li-4379929961</t>
        </is>
      </c>
      <c r="B77" t="inlineStr">
        <is>
          <t>Senior Data Scientist</t>
        </is>
      </c>
      <c r="C77" t="inlineStr">
        <is>
          <t>Harnham</t>
        </is>
      </c>
      <c r="D77" t="inlineStr">
        <is>
          <t>linkedin</t>
        </is>
      </c>
      <c r="E77">
        <f>HYPERLINK("https://www.linkedin.com/jobs/view/4379929961", "https://www.linkedin.com/jobs/view/4379929961")</f>
        <v/>
      </c>
      <c r="F77" t="inlineStr"/>
      <c r="G77" t="inlineStr"/>
      <c r="H77" t="inlineStr"/>
      <c r="I77" t="inlineStr">
        <is>
          <t>**Senior Data Scientist** 
 You will build, configure, and continuously improve the models that power our platform—from audience scoring and lookalike modeling to bid optimization and causal measurement—while owning their performance in production. This includes diagnosing model drift, running lift analyses, tuning configurations for client\-specific challenges, and feeding field learnings back into the modeling lifecycle. Contextual targeting and NLP\-driven modeling are key areas of focus and growth. You will partner closely with engineering, product, and client teams and must be equally comfortable investigating real\-world model behavior and prototyping the next iteration. The ideal candidate writes production\-grade code, thinks in experimentation frameworks, and understands how digital ad campaigns operate in practice.
 Key Responsibilities
 Modeling, Experimentation \&amp; Production Ownership
* Build, configure, and improve models across out client's core products and own end\-to\-end production performance
* Design and execute robust experimentation frameworks using real\-world campaign data
* Diagnose model drift, performance issues, and edge cases in live environments
* Develop and maintain data pipelines, feature engineering workflows, and model configurations using Python, PySpark, and MLflow on Databricks
* Prototype and deploy agentic AI systems that extend product capabilities
 Cross\-Functional Collaboration \&amp; Product Impact
* Serve as the data science subject matter expert across product and client teams
* Translate model outputs and campaign KPIs into clear, actionable recommendations
* Surface field learnings, feature gaps, and performance insights to inform the DS roadmap
* Contribute to research initiatives, internal tooling, and data science best practices
 Required Qualifications
* 5\+ years of experience in data science or machine learning roles (Master’s preferred)
* Experience with NLP, contextual modeling, and embedding\-based approaches
* Proven ability to write production\-grade, testable code beyond notebooks
* Strong proficiency in Python and large\-scale data processing (PySpark, SQL)
* Experience with modeling libraries such as PyTorch and scikit\-learn
* Hands\-on experience working in Databricks and/or AWS environments
* Excellent communication skills with the ability to explain technical concepts to non\-technical stakeholders
 Nice to Have
* Strong foundation in statistical analysis, causal inference, and experimentation design
* Familiarity with MLflow (experiment tracking and model registry)
* Experience in adtech or digital advertising environments
* Experience building agentic AI workflows, LLM\-based systems, or tool\-use orchestration
* Familiarity with CI/CD workflows (e.g., GitHub Actions) and software packaging best practices
 Our Tech Stack
* **ML Frameworks:** 
 PyTorch, scikit\-learn, Ray (Train, Tune, Datasets), PySpark ML
* **Data Platform:** 
 Databricks (Delta Lake, Unity Catalog), Snowflake, AWS (S3, EC2\)
* **MLOps:** 
 MLflow (experiment tracking, model registry), GitHub Actions
* **Languages:** 
 Python, SQL, JavaScript/TypeScript</t>
        </is>
      </c>
    </row>
    <row r="78">
      <c r="A78" t="inlineStr">
        <is>
          <t>li-4289453950</t>
        </is>
      </c>
      <c r="B78" t="inlineStr">
        <is>
          <t>Applied Scientist, Search and Recommender Systems- VenturaOS</t>
        </is>
      </c>
      <c r="C78" t="inlineStr">
        <is>
          <t>The Trade Desk</t>
        </is>
      </c>
      <c r="D78" t="inlineStr">
        <is>
          <t>linkedin</t>
        </is>
      </c>
      <c r="E78">
        <f>HYPERLINK("https://www.linkedin.com/jobs/view/4289453950", "https://www.linkedin.com/jobs/view/4289453950")</f>
        <v/>
      </c>
      <c r="F78">
        <f>HYPERLINK("https://job-boards.greenhouse.io/thetradedesk/jobs/4789299007?gh_src=1c01b2067us&amp;urlHash=P-jV", "https://job-boards.greenhouse.io/thetradedesk/jobs/4789299007?gh_src=1c01b2067us&amp;urlHash=P-jV")</f>
        <v/>
      </c>
      <c r="G78" t="inlineStr">
        <is>
          <t>San Jose, CA</t>
        </is>
      </c>
      <c r="H78" t="inlineStr"/>
      <c r="I78" t="inlineStr">
        <is>
          <t>**About VenturaOS**
 We're a small, high\-impact team building the next\-generation TV operating system. Our flexible structure gives engineers direct influence over product direction—an opportunity rarely found in larger companies.
 Our innovative approach to the CTV industry optimizes the advertising supply chain, creating better outcomes for advertisers, publishers, and TV viewers alike. As part of our
 **Ventura OS** 
 project, we're developing sophisticated backend infrastructure to power our platform, with a strong emphasis on quality at scale.
 We believe culture matters. We foster an environment where engineers thrive through collaboration, innovation, and continuous learning. Our teams build cutting\-edge streaming technology that enables advertisers to leverage data for more relevant and effective ad experiences—while improving efficiency across the entire supply chain ecosystem.
**Who we are looking for:**
 We are looking for an experienced Applied Scientist join Ventura OS who brings:
* Proven Expertise: You have a sustained track record of making significant, self\-directed, and end\-to\-end contributions to large and impactful AI\-based projects. You think beyond just the task at hand to deeply understand the 'why' behind what you are doing.
* Technical Leadership: You will be driving technical projects and providing leadership in a groundbreaking and fast\-paced environment. This includes task planning, conducting code reviews, and individual code contributions.
* Data Intuition: You have a strong sense of data intuition. At our scale, many off\-the\-shelf modeling techniques (open source and enterprise) simply don't work. You can work from first principles and intuition to develop solutions and adapt them to a unique environment.
* Product Focus: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can pitch your ideas to different audiences at all levels.
* Start\-up Mentality: You are accustomed to start\-up culture. You embrace risks, make smart investments, and stay agile when priorities shift.
* Collaborative Confidence: You work with confidence and without ego. Our research data scientists have deep knowledge and exercise a high degree of leadership in their daily work. You have strongly held, defensible ideas, and advocate for what you believe is right. You are also adept at identifying and evaluating trade\-offs, willing to be proven wrong, and quick to support your teammates.
* Diversity and Inclusion: You value, seek out, and foster diversity. We are a global team from many diverse backgrounds, with different experiences and perspectives. You welcome ideas that are different from your own and are skilled at finding and building from common ground.
* Innovative Thinking: You are a creative thinker, not bound by "the way things have always been done." What you know is less important than how well you learn and innovate. We don't need research data scientists who know all the answers; we need research data scientists who can invent the answers no one has thought of yet, to the questions yet to be asked.
**What you bring to the Ventura Team:** 
* Versatile Expertise: You are a jack\-of\-all\-trades and master of some in the field of AI. Ideally, you have 5\+ years of experience working with AI\-related research and applications. You may have an advanced degree in a CS/AI/ECE field, but it’s not a strict requirement. What and how you can contribute is what’s most important to us.
* Innovative Application: You have a track record of turning the latest AI publications into solutions for real\-world problems or ideas for novel product creation. You stay up to date with the latest advancements in AI.
* Agile Collaboration: You are comfortable working on an agile, distributed team spanning multiple time zones and continents.
* Effective Communication: You can communicate effectively across both technical and non\-technical audiences.
* Technical Proficiency: You have strong programming and big data processing skills, with experience in making machine learning or data mining algorithms work on massive amounts of data.
* Product focus: You know how to get your ML models production ready. You know how to work with your team to get your code/model up and running into production.
* Specialized Knowledge: Deep expertise and extensive hands\-on experience in some of the following areas is a plus:
+ Recommendation Systems
+ Natural Language Processing
+ Search
+ Information Retrieval
+ Large Language Models
+ Deep Learning
+ Generative AI technologies
+ Large\-scale data mining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***\[LA JOBS ONLY]** 
 The Trade Desk will consider qualified applicants with criminal histories for employment in a manner consistent with the requirements of the Los Angeles Fair Chance Initiative for Hiring, Ordinance No. 184652\.*
***\[SF JOBS ONLY]** 
 Pursuant to the San Francisco Fair Chance Ordinance, we will consider for employment qualified applicants with arrest and conviction records.*
**CO, CA, IL, NY, WA, and Washington DC residents only:** 
 In accordance with CO, CA, IL, NY, WA, and Washington DC law, the range provided is The Trade Desk's reasonable estimate of the base compensation for this role. The actual amount may differ based on non\-discriminatory factors such as experience, knowledge, skills, abilities, and location. All employees may be eligible to become The Trade Desk shareholders through eligibility for stock\-based compensation grants, which are awarded to employees based on company and individual performance. The Trade Desk also offers other compensation depending on the role such as variable compensation\-based incentives and commissions. Plus, expected benefits for this role include comprehensive healthcare (medical, dental, and vision) with premiums paid in full for employees and dependents, retirement benefits such as a 401k plan and company match, short and long\-term disability coverage, basic life insurance, well\-being benefits, reimbursement for certain tuition expenses, parental leave, sick time of 1 hour per 30 hours worked, vacation time for full\-time employees up to 120 hours thru the first year and 160 hours thereafter, and around 13 paid holidays per year. Employees can also purchase The Trade Desk stock at a discount through The Trade Desk’s Employee Stock Purchase Plan.
 The Trade Desk also offers a competitive benefits package. Click here to learn more.
**Note:** 
 Interns are not eligible for variable incentive awards such as stock\-based compensation, retirement plan, vacation, tuition reimbursement or parental leave
 At the Trade Desk, Base Salary is one part of our competitive total compensation and benefits package and is determined using a salary range. The base salary range for this role is
 $166,200—$304,700 USD
 As an Equal Opportunity Employer, The Trade Desk is committed to creating an inclusive hiring experience where everyone has the opportunity to thrive.
 Please reach out to us at accommodations@ thetradedesk. com to request an accommodation or discuss any accessibility needs you may require to access our Company Website or navigate any part of the hiring process.
 When you contact us, please include your preferred contact details and specify the nature of your accommodation request or questions. Any information you share will be handled confidentially and will not impact our hiring decisions.</t>
        </is>
      </c>
    </row>
    <row r="79">
      <c r="A79" t="inlineStr">
        <is>
          <t>li-4377746500</t>
        </is>
      </c>
      <c r="B79" t="inlineStr">
        <is>
          <t>Data Scientist, Financial Services Consulting</t>
        </is>
      </c>
      <c r="C79" t="inlineStr">
        <is>
          <t>TransUnion</t>
        </is>
      </c>
      <c r="D79" t="inlineStr">
        <is>
          <t>linkedin</t>
        </is>
      </c>
      <c r="E79">
        <f>HYPERLINK("https://www.linkedin.com/jobs/view/4377746500", "https://www.linkedin.com/jobs/view/4377746500")</f>
        <v/>
      </c>
      <c r="F79" t="inlineStr"/>
      <c r="G79" t="inlineStr">
        <is>
          <t>Chicago, IL</t>
        </is>
      </c>
      <c r="H79" t="inlineStr"/>
      <c r="I79" t="inlineStr">
        <is>
          <t>TransUnion's Job Applicant Privacy Notice
 Personal Information We Collect
 Your Privacy Choices
**What We'll Bring**
 At TransUnion, we have a welcoming and energetic environment that encourages collaboration and innovation. We are consistently exploring new technologies and tools to be agile. This environment gives our people the opportunity to hone current skills and build new capabilities, while discovering their genius.
 Be a part of our team – you will collaborate with great people, pioneering products, and cutting\-edge technology.
**What You'll Bring**
* Master’s or PhD degree in statistics, applied mathematics, financial mathematics, engineering, operations research, or another highly quantitative field with a track record of academic excellence
* 2\+ years of experience performing analytic work in Financial Services or related industries
* Strong analytical, critical thinking, and creative problem solving skills
* Advanced programming skills; mastery of a statistical language such as R or Python; experience using other programming and data manipulation languages (SQL, Hive, C/C\+\+, Java); proficiency with Microsoft Office tools
* Versatile interpersonal and communication style with the ability to effectively communicate at multiple levels within and outside the organization; ability to work in a collaborative, fast\-paced environment
* Strong project management skills with the ability to manage multiple assignments effectively
* An understanding of current industry challenges and trends at the level needed to proactively identify customers’ analytical needs and related business opportunities
* Ability to travel 10\-20%
**Impact You'll Make**
 The Financial Services Consulting team at TransUnion is an industry recognized, client\-facing department that rewards an entrepreneurial spirit. We have deep technical expertise and an established reputation as an analytic solutions provider in the Financial Services industry. We have a wealth of data and industry experience within our large group of highly\-trained analysts, statisticians, engineers, and economists. We also have a modern computing environment based on best\-in\-class “big data” technologies and the freedom to explore new data sources and statistical and machine learning methodologies. All of these resources will enable you to help us deliver next\-generation analytic solutions for our customers.
 This position is responsible for developing credit risk management and business intelligence analytic solutions through consulting engagements and research serving TransUnion’s clients. This position requires an understanding of US consumer lending and credit risk management practices.
* You will partner with internal and external cross\-functional teams to drive new business initiatives and deliver long\-term value\-added product propositions for customers in the US financial services segment at TransUnion. This includes but is not limited to the development of predictive risk management and business intelligence solutions for Fintechs, credit card issuers, collections agencies, and retail banks.
* You will lead analytic client engagements involving descriptive, predictive, and prescriptive analysis through the consumer lending portfolio lifecycle, leveraging a variety of techniques (e.g., segmentation, logistic regression, gradient boosted trees, survival analysis, principal component analysis, scenario and sensitivity analysis).
* You will design and write programs for data extraction, segmentation and statistical analysis on large population datasets using languages such as R, Python, and SQL.
* You will deliver analytic insights and recommendations in succinct and compelling presentations for internal and external customers and an executive audience.
* You will develop project proposals, sales presentations, and promotional collateral to enable the adoption of integrated customer solutions supported by TransUnion.
* You will identify strategies and opportunities for customers to test and adopt TransUnion’s analytic products and services.
* You will provide mentorship and training to junior colleagues and maintain progress on all initiatives under limited direct supervision.
* You will foster a high performance culture and cultivate an environment that promotes excellence and reflects the TransUnion brand.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ERCoE@transunion.com.
**Pay Scale Information**
 The U.S. base salary range for this position is $67,500\.00 \- $112,500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Sr Analyst, Data Science and Analytics
**Company**
 TransUnion LLC</t>
        </is>
      </c>
    </row>
    <row r="80">
      <c r="A80" t="inlineStr">
        <is>
          <t>li-4377750253</t>
        </is>
      </c>
      <c r="B80" t="inlineStr">
        <is>
          <t>Sr Data Scientist</t>
        </is>
      </c>
      <c r="C80" t="inlineStr">
        <is>
          <t>WebstaurantStore</t>
        </is>
      </c>
      <c r="D80" t="inlineStr">
        <is>
          <t>linkedin</t>
        </is>
      </c>
      <c r="E80">
        <f>HYPERLINK("https://www.linkedin.com/jobs/view/4377750253", "https://www.linkedin.com/jobs/view/4377750253")</f>
        <v/>
      </c>
      <c r="F80" t="inlineStr"/>
      <c r="G80" t="inlineStr">
        <is>
          <t>Lititz, PA</t>
        </is>
      </c>
      <c r="H80" t="inlineStr"/>
      <c r="I80" t="inlineStr">
        <is>
          <t>**Job Summary**
 Webstaurant Store, the world’s largest online restaurant supply company, is looking for a full\-time Data Scientist to join the Data Science team. The Data Scientists are responsible for supplying statistical rigor to the organization’s analytics projects, aimed at discovering actionable insights and opportunities for growth and optimization.
 This role can be remote in some US states (See below for remote work requirements) or based in one of our offices (Lititz, PA or Tampa, FL).
**Responsibilities**
 Responsibilities include, but are not limited to:
* Advising on analysis and modeling techniques, selecting the best fit for structured \&amp; unstructured, complex data, and developing custom analytics models to generate insights that drive value for our customers and unlock competitive advantage for our organization.
* Collaborating with our analytics engineers to gather the right information from various sources so that you can implement advanced statistical methodologies and design interventions to optimize our business performance.
* Conducting exploratory analysis including hypothesis testing, statistical inference, and statistical analysis (predictive and/or prescriptive).
* Partnering with business and technical stakeholders to translate challenging retail business problems into state\-of\-the\-art data science solutions.
* Developing processes and tools that monitor, analyze and continuously improve model performance and data accuracy.
* Work with other data scientists to design and implement experiments and glean actionable insights from experimental analyses.
* Defend and explain the validity of predictive/ML models to those without a background in data science or statistics.
* Actively research new tools and technologies, staying on top of analytics news and best practices.
 Physical Requirements
* Work is performed while sitting/standing and interfacing with a personal computer.
* Requires the ability to communicate effectively using speech, vision, and hearing.
* Requires the regular use of hands for simple grasping and fine manipulations.
* Requires occasional bending, squatting, crawling, climbing, and reaching.
* Requires the ability to occasionally lift, carry, push, or pull medium weights, up to 50lbs.
**Remote Work Qualifications**
* Access to a reliable and secure high\-speed internet connection. Cable or fiber internet connections (at least 75mbps download/10mbps upload) are preferred, as satellite connections often cannot support the technologies used to perform day\-to\-day tasks.
* Access to a home router and modem.
* A dedicated home office space that is noise\- and distraction\-free. The space should have strong wireless connection or a wired Ethernet connection (wired connection is preferred, if possible).
* A valid, physical address (apartment, suite, etc.). PO Boxes are not supported, as a physical address is required for you to receive your computer equipment.
* The desire and ability to work and communicate with other team members via chat, webcam, etc.
* Legal residents of one of the following states: (AK, AL, AR, AZ, CT, DE, FL, GA, IA, ID, IN, KS, KY, LA, MD, ME, MI, MN, MO, MS, NC, ND, NH, NM, NV, OH, OK, PA, SC, SD, TN, TX, UT, VA, VT, WI, WV, or WY). H\-1B Visa Sponsorship Not Available, W2 only.
**Experience**
* Minimum 5 years of work experience in Data Science, or a PhD in math, statistics, economics, or a modeling\-related field.
* Advanced Python and SQL skills.
* You have a proven ability with statistical methods and advanced modelling techniques; extra points if you have experience with one or more of the following: ecommerce search, recommendation engines, dynamic pricing, or user matching/data cleanrooms.
 Education
 This role does not require a degree. We value relevant skills and experience and alignment with our core values above all else.
 Desired Traits \&amp; Skills
 The ideal candidate will possess the following qualities:
* You Communicate Effectively: Ability to explain ideas simply and confidently to team members both written and verbally.
* You have an Entrepreneurial Spirit: Takes it upon themselves to find ways to add value to the team and business. They are self\-motivated and creative in their quest to find actionable insights and new solutions. They can often be found saying “What if we tried this?” or “Maybe this is a better way to do it?” They have a knack for overcoming obstacles.
* You Desire to Grow: Constantly seek to improve themselves and expand their professional knowledge and skill set.
* You’re an inquisitive, out\-of\-the box thinker who’s continually on the lookout for opportunities to improve and innovate data science solutions.
* You have consistently high standards; your passion for quality is inherent in everything that you do.
* Familiarity with a variety of supervised/unsupervised/reinforcement learning methods.
* Demonstrable portfolio (git repos, kaggle competitions, etc) of machine learning projects.
* You have proven ability as a full stack data scientist who develops, experiments, optimizes, and scales models for the production environment.
* You connect the how and why, using your knowledge of data science theories and methodologies to derive the best approach that is fit\-for\-purpose.
**Company Overview**
 The foodservice professional’s premier source for restaurant equipment, supplies, and knowledge online. Our purpose is to empower and equip people to run their businesses more profitably and efficiently.
**Benefits**
* Medical
* Vision
* Dental
* PTO
* Paid Maternity Leave
* Paid Parental Leave
* Life Insurance
* Disability
* Dependent Care FSA
* 401(k) matching
* Employee Assistance Program
* Wellness Incentives
* Company Discounts
* AT\&amp;T \&amp; Verizon Discount
* Bonus Opportunities
* Accident Insurance
* Critical Illness Insurance
* Adoption Assistance
 Available at HQ Locations Only
* On\-Site Fitness Centers
* Dog\-friendly Offices</t>
        </is>
      </c>
    </row>
    <row r="81">
      <c r="A81" t="inlineStr">
        <is>
          <t>li-4378786589</t>
        </is>
      </c>
      <c r="B81" t="inlineStr">
        <is>
          <t>Compliance - Technology Operational Risk Management - Data Scientist - Associate</t>
        </is>
      </c>
      <c r="C81" t="inlineStr">
        <is>
          <t>JPMorganChase</t>
        </is>
      </c>
      <c r="D81" t="inlineStr">
        <is>
          <t>linkedin</t>
        </is>
      </c>
      <c r="E81">
        <f>HYPERLINK("https://www.linkedin.com/jobs/view/4378786589", "https://www.linkedin.com/jobs/view/4378786589")</f>
        <v/>
      </c>
      <c r="F81">
        <f>HYPERLINK("https://JPMorganChase.contacthr.com/151214563&amp;urlHash=gSbg", "https://JPMorganChase.contacthr.com/151214563&amp;urlHash=gSbg")</f>
        <v/>
      </c>
      <c r="G81" t="inlineStr">
        <is>
          <t>Plano, TX</t>
        </is>
      </c>
      <c r="H81" t="inlineStr"/>
      <c r="I81" t="inlineStr">
        <is>
          <t>**Job Description**
 Bring your expertise to JPMorganChase. As part of Risk Management and Compliance, you are at the center of keeping JPMorganChase strong and resilient. You help the firm grow its business in a responsible way by anticipating new and emerging risks and using your expert judgement to solve real\-world challenges that impact our company, customers and communities. Our culture in Risk Management and Compliance is all about thinking outside the box, challenging the status quo and striving to be best\-in\-class.
 As a Technology Operational Risk Management Data Scientist within our risk assessment team, you will utilize your expertise in data science, machine learning, and data engineering, coupled with a keen interest in technology and cybersecurity risk. Your proficiency in Python and SQL, experience with data visualization tools, and a working knowledge of AI and machine learning algorithms will be vital. Your role will encompass supporting the business by conducting independent risk assessments on specific technologies, employing data\-first strategies and advanced analytics. You will be responsible for identifying emerging technology risks and understanding third\-party risks associated with the technology in use.
 This role offers the opportunity to join the Tech \&amp; Cyber Operational Risk Management team, responsible for the successful implementation and execution of the Compliance, Conduct, and Operational Risk (CCOR) Tech \&amp; Cyber framework within JPMorganChase. You will provide Second Line of Defense challenge and oversight to our technology and cybersecurity partners.
**Job Responsibilities**
* Perform independent Technology and Cybersecurity Risk assessments on specific technologies using AI, data\-first approaches, and advanced analytics to identify and mitigate potential risks.
* Define and test statistical hypotheses to evaluate the impact of emerging technologies and third\-party risks on the organization.
* Utilize Python and SQL to manipulate and analyze large data sets, providing actionable insights to support risk management strategies.
* Create and maintain dashboards and reports using Tableau and AWS Quicksight to visualize data and communicate findings to stakeholders.
* Develop and operate data loads into Oracle and Databricks environments, ensuring data integrity and quality.
* Apply AI and Machine Learning algorithms, including Open AI GPT, Scikit\-learn, TensorFlow, and AWS SageMaker, to develop predictive models and enhance risk assessment capabilities.
**Required Qualifications, Capabilities And Skills**
* Bachelor’s degree in Computer Science, Engineering, Data Science, or a related field.
* Experience and passion for data science, data engineering, and technology \&amp; cybersecurity risks.
* Excellent analytical skills with the ability to define and test risk hypotheses using advanced data\-science tools.
* Experience with data visualization tools such as Tableau and AWS Quicksight.
* Proficiency in Python and SQL data science tools (e.g., Pandas, NumPy, Matplotlib, etc.)
* Strong knowledge of AI and Machine Learning algorithms, including Scikit\-learn, TensorFlow, or AWS SageMaker.
* Strong communication and collaboration skills, with the ability to convey complex technical concepts to non\-technical stakeholders effectively.
* Keen interest in developing skills in cybersecurity, technology operations, and risk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2026-03-02T16:57:11Z</dcterms:created>
  <dcterms:modified xsi:type="dcterms:W3CDTF">2026-03-02T16:57:11Z</dcterms:modified>
</cp:coreProperties>
</file>