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in-73e2654fe2415ac5</t>
        </is>
      </c>
      <c r="B2" t="inlineStr">
        <is>
          <t>Program Manager</t>
        </is>
      </c>
      <c r="C2" t="inlineStr">
        <is>
          <t>Piezo Technologies</t>
        </is>
      </c>
      <c r="D2" t="inlineStr">
        <is>
          <t>indeed</t>
        </is>
      </c>
      <c r="E2" t="inlineStr"/>
      <c r="F2" t="inlineStr"/>
      <c r="G2" t="inlineStr">
        <is>
          <t>Indianapolis, IN, US</t>
        </is>
      </c>
      <c r="H2" s="1" t="n">
        <v>46083</v>
      </c>
      <c r="I2" t="inlineStr">
        <is>
          <t>POSITION SUMMARY
The Program Manager leads complex, engineering\-driven programs from early customer engagement and proposal development through design, production release, and contract execution. This role requires a strong technical or engineering background combined with proven commercial experience supporting bids, proposals, and technical sales discussions with customers.
The Program Manager serves as the primary technical and programmatic liaison between customers, design engineering, and internal cross‑functional teams. This position is accountable for program execution, customer satisfaction, financial performance, and schedule adherence while supporting business development activities through credible technical engagement and bid support.
ESSENTIAL JOB DUTIES \&amp; RESPONSIBILITIES
1\. Program \&amp; Proposal Leadership
* Supports commercial and technical sales efforts by participating directly in customer discussions, bid reviews, and proposal development.
* Translates customer technical requirements into clear scopes of work, cost estimates, schedules, and risk assessments.
* Leads development of statements of work (SOW), including schedules, milestones, budgets, subcontracting strategies, IP/NDAs, compliance requirements (e.g., export controls), and customer deliverables.
* Acts as a technical credibility point with customers during pre‑award and post‑award phases.
2\. Program Planning \&amp; Execution
* Develops and maintains integrated program plans covering scope, schedule, cost, resources, and risk.
* Communicates program goals, responsibilities, and deliverables to cross‑functional teams including Engineering, Production, Quality, Purchasing, and Finance.
* Negotiates and secures internal resources required to meet program objectives.
* Monitors program performance, proactively identifies issues, and drives corrective actions to maintain schedule and budget adherence.
* Manages program changes, ensuring customer alignment and formal approval of scope, cost, and schedule impacts.
3\. Customer \&amp; Engineering Liaison
* Serves as the primary customer interface for assigned programs, providing regular technical and programmatic updates.
* Bridges communication between customers and design engineering, ensuring customer needs are clearly understood and technically achievable.
* Facilitates technical reviews, design reviews, and program milestone reviews with both internal teams and customers.
* Ensures technical requirements, specifications, and contractual commitments are properly flowed down and executed.
4\. Financial, Risk \&amp; Compliance Management
* Manages program budgets, labor, and material tracking across multiple programs.
* Leads risk management activities, including identification, mitigation planning, and ongoing monitoring.
* Ensures compliance with internal procedures, quality standards, contractual obligations, and regulatory requirements (including ITAR, as applicable).
* Maintains complete, accurate, and auditable program documentation and records.
5\. Reporting \&amp; Continuous Improvement
* Prepares and delivers clear program status reports to customers and senior leadership.
* Drives continuous improvement initiatives related to program execution, customer engagement, and cross‑functional collaboration.
QUALIFICATIONS
Experience/Background:
1\. Minimum of eight (8\) years of experience managing engineering‑based programs or projects involving complex technical products or systems.
2\. Demonstrated experience engaging customers in commercial and technical discussions, including bid support, proposals, and contract execution.
3\. Strong ability to interface between customers and engineering teams, translating technical requirements into executable program plans.
4\. Experience with industrial, defense, medical, or other regulated industries preferred; DoD or Navy experience a plus.
5\. Proven knowledge of program risk management, cost control, and continuous improvement methodologies.
6\. Ability to travel approximately 10–20% as required to support customer and program needs.
7\. Must be a U.S. Person within the meaning of ITAR.
Skills:
* Strong technical aptitude with the ability to understand and communicate engineering concepts.
* Excellent program management, problem‑solving, and organizational skills.
* Effective negotiation and customer‑facing communication skills (written and verbal).
* Proficient with MS Office Suite, MS Project (or equivalent), and related planning tools.
* Ability to manage multiple priorities in a fast‑paced environment.
Education:
* Bachelor of Science degree in Engineering (Mechanical, Electrical, or related technical field) strongly preferred.
* Business or technical degrees with equivalent relevant experience will also be considered
ENVIRONMENTAL \&amp; PHYSICAL REQUIREMENTS
Manufacturing / Non\-Sedentary Requirements:
Incumbent must be able to perform the essential functions of the job. Work may be performed in an office or warehouse environment. Typically requires the ability to spend 66%\+ hours each work day doing the following activities: stand for extended periods of time, walk, bend, stoop, or climb. May have possible exposure to dust, and may require the ability to lift and/or push up to 50 pounds 33% \- 66% of the time.
ADDITIONAL INFORMATION REGARDING JOB DUTIES AND JOB DESCRIPTIONS
Job duties include additional responsibilities as assigned by one’s supervisor or another manager related to the position/department. This job description is meant to describe the general nature and level of work being performed; it is not intended to be construed as an exhaustive list of all responsibilities, duties and skills required for the position. Piezo Technologies reserves the right at any time with or without notice to alter or change job responsibilities, reassign or transfer job position or assign additional job responsibilities, subject to applicable law. Piezo Technologies shall provide reasonable accommodations of known disabilities to enable a qualified applicant or employee to apply for employment, perform the essential functions of the job, or enjoy the benefits and privileges of employment as required by the law.
Applicant Tracking Software by ExactHire: rdw054zn3domxl8j6139</t>
        </is>
      </c>
    </row>
    <row r="3">
      <c r="A3" t="inlineStr">
        <is>
          <t>in-2cd98897974a552f</t>
        </is>
      </c>
      <c r="B3" t="inlineStr">
        <is>
          <t>Product Manager – AI-First Healthcare Platform</t>
        </is>
      </c>
      <c r="C3" t="inlineStr">
        <is>
          <t>Vital Interaction</t>
        </is>
      </c>
      <c r="D3" t="inlineStr">
        <is>
          <t>indeed</t>
        </is>
      </c>
      <c r="E3" t="inlineStr"/>
      <c r="F3" t="inlineStr"/>
      <c r="G3" t="inlineStr">
        <is>
          <t>Austin, TX, US</t>
        </is>
      </c>
      <c r="H3" s="1" t="n">
        <v>46083</v>
      </c>
      <c r="I3" t="inlineStr">
        <is>
          <t>**Do you…**
* Get energized by building AI\-powered products that actually ship—and actually work in the real world?
* Obsess over customer problems and talk to users constantly to validate, refine, and rethink solutions?
* Thrive in ambiguity, moving fast from idea prototype production without waiting for perfect requirements?
If so, you might be the **Product Manager** we’re looking for.  
We’re hiring a Product Manager to help lead Vital Interaction into its next phase as an **AI\-first healthcare platform**. You’ll play a hands\-on role shaping our core product capabilities, working shoulder\-to\-shoulder with engineering, customers, and leadership to turn strategy into shipped outcomes.  
This is an Austin\-based role with a hybrid work model (in\-office \+ remote flexibility).  
**About Us**  
Vital Interaction is a rapidly growing healthcare IT company transforming how practices and health centers engage patients. Our Automated Patient Intelligence Platform combines healthcare data, workflow automation, and AI\-driven communication to improve revenue, productivity, and patient outcomes.
We’re evolving from a successful, bootstrapped platform into an AI\-native product company—guided by a clear roadmap focused on agentic workflows, hyper\-personalization, and self\-service enablement.
We’re a remote\-friendly company with a strong culture of ownership, curiosity, and continuous learning, and offices in Austin, Texas and Antigua, Guatemala.
**About the Role**
As a Product Manager at Vital Interaction, you’ll help drive product strategy and execution for our core Smart List Engine (SLE) and campaign capabilities—laying the foundation for agentic, AI\-driven patient interactions.
You’ll work closely with our Head of Product and Head of Technology to translate our AI\-first roadmap into prioritized bets, shipped capabilities, and measurable outcomes.
Initially, your focus will be:
* Evolving the Smart List Engine into a powerful, easier\-to\-use campaign and targeting platform
* Designing patient journeys that move toward agentic interactions (voice, text, scheduling, eligibility, outcomes)
* Rapidly prototyping and validating new ideas with customers before scaling them
This is a highly collaborative, execution\-heavy PM role for someone who loves being close to both customers and builders.  
**What You’ll Do**
**Product Strategy \&amp; Discovery**
* Own problem discovery for key roadmap initiatives, grounded in continuous customer conversations
* Translate company\-level AI strategy into clear product bets, tradeoffs, and sequencing decisions
* Partner with leadership to shape quarterly and multi\-quarter product direction
**Execution \&amp; Delivery**
* Work directly with engineering to define, design, prototype, build, test, and deploy new capabilities
* Write clear product requirements focused on outcomes—not just features
* Drive fast feedback loops using prototypes, experiments, and incremental releases
* Balance speed with quality in a regulated healthcare environment
**Customer \&amp; Market Engagement**
* Talk to customers constantly—shadow calls, run interviews, validate prototypes, and review outcomes
* Partner with Customer Success, Sales, and Support to understand real\-world workflows and friction
* Incorporate customer feedback into iteration cycles and roadmap decisions
**AI\-First Product Development**
* Design products that leverage micro\-agents, automation, and AI\-driven decisioning
* Help shape how AI is embedded into workflows (not bolted on)
* Ensure new capabilities are explainable, testable, and deliver measurable value
**What We’re Looking For**
**Experience**
* At least 4 years of product management experience in SaaS or platform products
* Proven experience working directly with engineering teams to ship complex products
* Experience owning core platform or workflow\-driven products
**Strong Plus If You Have**
* Healthcare or health IT experience
* CRM, outbound marketing, or campaign\-driven product experience
* Experience with AI\-powered products, automation, or agentic workflows
* Hands\-on experience with rapid prototyping tools and techniques
**Skills \&amp; Attributes**
* Deep customer empathy and a bias toward continuous user interaction
* Comfortable operating in ambiguity and fast\-changing environments
* Strong systems thinker who can connect data, workflows, and outcomes
* Excellent written and verbal communication skills
* Pragmatic, action\-oriented, and willing to get into the details
* Collaborative partner who thrives in cross\-functional teams
**What We Offer**
* Competitive salary aligned with experience, impact, and growth potential
* Comprehensive health, dental, and vision coverage
* Paid time off
* Hybrid work model based in Austin, TX, with remote flexibility
* Direct influence on product strategy and the opportunity to shape an AI\-first healthcare platform at a pivotal stage of growth
* High ownership and visibility, working closely with executive leadership
* Opportunity for expanded scope and leadership as the company scales
Flexible work from home options available.</t>
        </is>
      </c>
    </row>
    <row r="4">
      <c r="A4" t="inlineStr">
        <is>
          <t>in-eee56c6e93222939</t>
        </is>
      </c>
      <c r="B4" t="inlineStr">
        <is>
          <t>AI Adoption Program Manager</t>
        </is>
      </c>
      <c r="C4" t="inlineStr">
        <is>
          <t>CAMP Systems International, Inc.</t>
        </is>
      </c>
      <c r="D4" t="inlineStr">
        <is>
          <t>indeed</t>
        </is>
      </c>
      <c r="E4" t="inlineStr"/>
      <c r="F4" t="inlineStr"/>
      <c r="G4" t="inlineStr">
        <is>
          <t>Savannah, GA, US</t>
        </is>
      </c>
      <c r="H4" s="1" t="n">
        <v>46083</v>
      </c>
      <c r="I4"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The AI Adoption Program Manager is responsible for driving enterprise\-wide AI enablement, adoption, and value realization. The individual will define and track AI adoption KPIs, oversee AI tooling lifecycle management, enable cross\-functional teams through structured guidance and ensure measurable business impact from AI initiatives.
**Responsibilities:**
**KPI Definition, Metrics \&amp; Reporting:**
* Define AI adoption KPIs enterprise\-wide (e.g., usage, productivity lift, cost savings, risk reduction, time\-to\-delivery).
* Establish baseline metrics and measurement frameworks.
* Build dashboards and reporting mechanisms for leadership visibility.
* Track value realization and continuously refine KPIs based on maturity.
**Stakeholder Engagement:**
* Lead enterprise communications regarding AI capabilities and KPIs.
* Drive organizational discussions to increase AI adoption maturity.
* Establish and maintain strong relationships across multiple business units understanding their needs and challenges from an AI perspective
* Collaborate with cross\-functional teams to help identify and suggest opportunities for Generative AI and other AI disciplines when opportunity arises
* Effectively communicate AI initiative progress updates to stakeholders
* Monitor and assess technological advancements, market trends and competitive landscape related to Generative AI and other AI disciplines
* Build and nurture a culture of learning around AI, fostering a community of internal and external experts, partners, and enthusiasts
* Support employee development in AI literacy, training and expertise
**AI Tooling Governance \&amp; Lifecycle Management:**
* Evaluate and manage enterprise AI tooling with the CIO (e.g., LLM platforms, copilots, automation tools).
* Oversee vendor selection, security reviews, and compliance alignment with Security \&amp; GRC.
* Define usage standards, access models, and governance frameworks.
* Maintain tooling inventory and rationalization strategy.
**Risk, Compliance \&amp; Responsible AI Alignment:**
* Partner with AI teams and Security \&amp; GRC to operationalize AI governance.
* Ensure responsible AI practices are embedded into adoption efforts.
* Help Identify and mitigate model, data, and vendor risk.
**You have:**
* Bachelor’s Degree in Computer Science or related discipline. Master’s degree preferred. Equivalent work experience acceptable
* 4\+ Years Experience in Program Management, Project Management and/or Enterprise Transformation roles.
* Demonstrated experience leading cross\-functional enterprise initiatives.
* Strong understanding of AI/ML concepts (LLMs, NLP, automation, model lifecycle, data governance).
* Experience implementing enterprise AI platforms (e.g., Microsoft Copilot, OpenAI Enterprise, Google Vertex AI, Claude Code, Cursor, Loveable, Replit).
* Strong analytical and operational mindset.
* Experience defining KPIs and measuring technology adoption impact.
* Experience managing vendor relationships and enterprise tooling rollouts.
* Data visualization (Power BI, Excel)
* Executive\-level communication skills.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t>
        </is>
      </c>
    </row>
    <row r="5">
      <c r="A5" t="inlineStr">
        <is>
          <t>in-ff9042ca823dd9e5</t>
        </is>
      </c>
      <c r="B5" t="inlineStr">
        <is>
          <t>AI Adoption Program Manager</t>
        </is>
      </c>
      <c r="C5" t="inlineStr">
        <is>
          <t>CAMP Systems International, Inc.</t>
        </is>
      </c>
      <c r="D5" t="inlineStr">
        <is>
          <t>indeed</t>
        </is>
      </c>
      <c r="E5" t="inlineStr"/>
      <c r="F5" t="inlineStr"/>
      <c r="G5" t="inlineStr">
        <is>
          <t>Wichita, KS, US</t>
        </is>
      </c>
      <c r="H5" s="1" t="n">
        <v>46083</v>
      </c>
      <c r="I5"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The AI Adoption Program Manager is responsible for driving enterprise\-wide AI enablement, adoption, and value realization. The individual will define and track AI adoption KPIs, oversee AI tooling lifecycle management, enable cross\-functional teams through structured guidance and ensure measurable business impact from AI initiatives.
**Responsibilities:**
**KPI Definition, Metrics \&amp; Reporting:**
* Define AI adoption KPIs enterprise\-wide (e.g., usage, productivity lift, cost savings, risk reduction, time\-to\-delivery).
* Establish baseline metrics and measurement frameworks.
* Build dashboards and reporting mechanisms for leadership visibility.
* Track value realization and continuously refine KPIs based on maturity.
**Stakeholder Engagement:**
* Lead enterprise communications regarding AI capabilities and KPIs.
* Drive organizational discussions to increase AI adoption maturity.
* Establish and maintain strong relationships across multiple business units understanding their needs and challenges from an AI perspective
* Collaborate with cross\-functional teams to help identify and suggest opportunities for Generative AI and other AI disciplines when opportunity arises
* Effectively communicate AI initiative progress updates to stakeholders
* Monitor and assess technological advancements, market trends and competitive landscape related to Generative AI and other AI disciplines
* Build and nurture a culture of learning around AI, fostering a community of internal and external experts, partners, and enthusiasts
* Support employee development in AI literacy, training and expertise
**AI Tooling Governance \&amp; Lifecycle Management:**
* Evaluate and manage enterprise AI tooling with the CIO (e.g., LLM platforms, copilots, automation tools).
* Oversee vendor selection, security reviews, and compliance alignment with Security \&amp; GRC.
* Define usage standards, access models, and governance frameworks.
* Maintain tooling inventory and rationalization strategy.
**Risk, Compliance \&amp; Responsible AI Alignment:**
* Partner with AI teams and Security \&amp; GRC to operationalize AI governance.
* Ensure responsible AI practices are embedded into adoption efforts.
* Help Identify and mitigate model, data, and vendor risk.
**You have:**
* Bachelor’s Degree in Computer Science or related discipline. Master’s degree preferred. Equivalent work experience acceptable
* 4\+ Years Experience in Program Management, Project Management and/or Enterprise Transformation roles.
* Demonstrated experience leading cross\-functional enterprise initiatives.
* Strong understanding of AI/ML concepts (LLMs, NLP, automation, model lifecycle, data governance).
* Experience implementing enterprise AI platforms (e.g., Microsoft Copilot, OpenAI Enterprise, Google Vertex AI, Claude Code, Cursor, Loveable, Replit).
* Strong analytical and operational mindset.
* Experience defining KPIs and measuring technology adoption impact.
* Experience managing vendor relationships and enterprise tooling rollouts.
* Data visualization (Power BI, Excel)
* Executive\-level communication skills.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t>
        </is>
      </c>
    </row>
    <row r="6">
      <c r="A6" t="inlineStr">
        <is>
          <t>in-c5866d94e96617d7</t>
        </is>
      </c>
      <c r="B6" t="inlineStr">
        <is>
          <t>AI Adoption Program Manager</t>
        </is>
      </c>
      <c r="C6" t="inlineStr">
        <is>
          <t>CAMP Systems International, Inc.</t>
        </is>
      </c>
      <c r="D6" t="inlineStr">
        <is>
          <t>indeed</t>
        </is>
      </c>
      <c r="E6" t="inlineStr"/>
      <c r="F6" t="inlineStr"/>
      <c r="G6" t="inlineStr">
        <is>
          <t>Merrimack, NH, US</t>
        </is>
      </c>
      <c r="H6" s="1" t="n">
        <v>46083</v>
      </c>
      <c r="I6"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The AI Adoption Program Manager is responsible for driving enterprise\-wide AI enablement, adoption, and value realization. The individual will define and track AI adoption KPIs, oversee AI tooling lifecycle management, enable cross\-functional teams through structured guidance and ensure measurable business impact from AI initiatives.
**Responsibilities:**
**KPI Definition, Metrics \&amp; Reporting:**
* Define AI adoption KPIs enterprise\-wide (e.g., usage, productivity lift, cost savings, risk reduction, time\-to\-delivery).
* Establish baseline metrics and measurement frameworks.
* Build dashboards and reporting mechanisms for leadership visibility.
* Track value realization and continuously refine KPIs based on maturity.
**Stakeholder Engagement:**
* Lead enterprise communications regarding AI capabilities and KPIs.
* Drive organizational discussions to increase AI adoption maturity.
* Establish and maintain strong relationships across multiple business units understanding their needs and challenges from an AI perspective
* Collaborate with cross\-functional teams to help identify and suggest opportunities for Generative AI and other AI disciplines when opportunity arises
* Effectively communicate AI initiative progress updates to stakeholders
* Monitor and assess technological advancements, market trends and competitive landscape related to Generative AI and other AI disciplines
* Build and nurture a culture of learning around AI, fostering a community of internal and external experts, partners, and enthusiasts
* Support employee development in AI literacy, training and expertise
**AI Tooling Governance \&amp; Lifecycle Management:**
* Evaluate and manage enterprise AI tooling with the CIO (e.g., LLM platforms, copilots, automation tools).
* Oversee vendor selection, security reviews, and compliance alignment with Security \&amp; GRC.
* Define usage standards, access models, and governance frameworks.
* Maintain tooling inventory and rationalization strategy.
**Risk, Compliance \&amp; Responsible AI Alignment:**
* Partner with AI teams and Security \&amp; GRC to operationalize AI governance.
* Ensure responsible AI practices are embedded into adoption efforts.
* Help Identify and mitigate model, data, and vendor risk.
**You have:**
* Bachelor’s Degree in Computer Science or related discipline. Master’s degree preferred. Equivalent work experience acceptable
* 4\+ Years Experience in Program Management, Project Management and/or Enterprise Transformation roles.
* Demonstrated experience leading cross\-functional enterprise initiatives.
* Strong understanding of AI/ML concepts (LLMs, NLP, automation, model lifecycle, data governance).
* Experience implementing enterprise AI platforms (e.g., Microsoft Copilot, OpenAI Enterprise, Google Vertex AI, Claude Code, Cursor, Loveable, Replit).
* Strong analytical and operational mindset.
* Experience defining KPIs and measuring technology adoption impact.
* Experience managing vendor relationships and enterprise tooling rollouts.
* Data visualization (Power BI, Excel)
* Executive\-level communication skills.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t>
        </is>
      </c>
    </row>
    <row r="7">
      <c r="A7" t="inlineStr">
        <is>
          <t>in-814ecd7eb3b2b5c9</t>
        </is>
      </c>
      <c r="B7" t="inlineStr">
        <is>
          <t>Senior Product Manager</t>
        </is>
      </c>
      <c r="C7" t="inlineStr">
        <is>
          <t>TREX COMPANY</t>
        </is>
      </c>
      <c r="D7" t="inlineStr">
        <is>
          <t>indeed</t>
        </is>
      </c>
      <c r="E7" t="inlineStr"/>
      <c r="F7" t="inlineStr"/>
      <c r="G7" t="inlineStr">
        <is>
          <t>Winchester, VA, US</t>
        </is>
      </c>
      <c r="H7" s="1" t="n">
        <v>46083</v>
      </c>
      <c r="I7" t="inlineStr">
        <is>
          <t>When you work at Trex, you’re helping to grow and enhance a true original. You join a company that boldly launched an entire industry… and still leads the way.
The Senior Product Manager is responsible for defining and executing the product strategy for assigned building product categories across their full lifecycle. This role leads product planning, market analysis, and cross\-functional execution to deliver profitable, differentiated solutions that meet customer needs, code requirements, and business objectives.
**RESPONSIBILITIES**
* Put safety first – Always!
* Lead and foster our “people first” culture.
* Product Strategy \&amp; Roadmap
	+ Provide product vision, strategy, and contribute to multi\-year roadmap aligned with company goals.
	+ Identify growth opportunities through market, customer, and competitive analysis.
	+ Define target consumer segment, value propositions, pricing strategies, and positioning for assigned product lines.
	+ Prioritize features, SKUs, and investments based on business impact
* Product Development \&amp; Lifecycle Management
	+ Inform and guide new product development efforts from concept through launch and post\-launch optimization.
	+ Manage product lifecycle including line extensions, cost reductions, and end\-of\-life decisions.
	+ Translate customer and market needs into clear product requirements and specifications.
	+ Partner with Brand Management to develop go\-to\-market strategies for new product launches, including positioning, messaging, packaging, and launch support plans.
* Cross\-Functional Leadership
	+ Partner with Engineering, R\&amp;D, Operations, Supply Chain, Sales, Marketing, and Finance.
	+ Serve as the primary product authority for internal/external stakeholders and executive leadership.
	+ Support Sales with product training, tools, and customer\-facing presentations.
	+ Lead product training efforts for internal and customer resources via Trex University and in the field.
* Customer \&amp; Market Engagement
	+ Gather voice\-of\-customer insights via qualitative and quantitative research as well as field visits including consumers, channel partners and contractor / end\-users.
	+ Conduct ongoing market analysis, including category trends, and competitive landscape assessment, to identify opportunities and threats.
	+ Monitor industry trends, codes, standards, and regulations impacting building products.
	+ Represent the company at trade shows, customer meetings, and industry events.
* Financial \&amp; Performance Management
	+ Accountable to P\&amp;L performance for assigned product lines.
	+ Collaborate with Sales, Supply Chain, and Finance regarding forecasting and inventory management.
	+ Develop and manage business cases, and KPIs.
	+ Track product performance and implement corrective actions as needed
**TECHNICAL / FUNCITONAL COMPETENCIES**
* Analytical Skills
	+ Analyzes data from a wide variety of sources and interprets the implications to the business.
	+ Communicates recommendations based on sound logical judgment.
	+ Strong financial and business acumen.
* Attention to Detail
	+ Attends to the important and relevant details that are needed to achieve business results.
	+ Analyzes information and corrects mistakes and formats and ensures all materials display a neat and professional look.
* Communicating (Verbal \&amp; Written)
	+ Listens attentively and expresses ideas clearly and concisely.
	+ Shares relevant information in a timely and effective manner.
	+ Is available to write clearly and succinctly in a variety of communication settings and styles; can get messages across that have the desired effect.
* Continuous Improvement
	+ Provides high quality products and services that meet the needs of the business.
	+ Commits to continuous development and fosters an environment that enables the most efficient and effective work processes.
* Knowledge of Products
	+ Understands the capabilities, strengths, and weaknesses for assigned products.
	+ Demonstrates sound knowledge of the competition and industry when applying business solutions.
* Project Management
	+ Manages projects efficiently to maximize business results and uncover new opportunities.
* Strategic Agility
	+ Sees ahead clearly; can anticipate future consequences and trends accurately; has broad knowledge and perspective; is future oriented; can create competitive and breakthrough strategies and plans.
	+ Ability to manage complexity and multiple priorities.
**DIRECT REPORTS**
Manage and provide ongoing performance, coaching, and professional development opportunities for a small team of direct reports, typically Associate Product Manager(s)
**JOB LOCATION**
Winchester, Virginia, United States
**POSITION TYPE**
Full\-Time/Regular
**EXPERIENCE**
We are looking for someone with a Bachelor’s Degree in Business, Marketing, or related fields and 7\+ years of Product Management experience required, preferably in building materials.
* Required Skills \&amp; Experience:
	+ Consumer product or branded building product management experience.
	+ Proven record of successful new product launches.
	+ Experience working with contractors, distributors, architects, and engineers.
	+ Possesses strong presentation skills along with strong oral and written communication skills.
	+ Combination of creativity and analytical abilities
	+ Strong cross\-functional leadership, technical experience, and project management abilities
At Trex, we believe in persevering even when there’s no road map, embracing groundbreaking as a way of life. We encourage multiple perspectives and welcome diverse people who problem\-solve, adapt, and innovate – always with a firm foundation in safety and integrity.
**SALARY**
Base Salary Range: $135,000 \- $190,000
The salary range provided serves as a general guideline for potential compensation for this position. It reflects the base salary and does not account for other benefits or additional compensation opportunities that may apply. This role is also eligible for further compensation through an annual/sales bonus, in addition to the base salary.
At Trex, individual base salaries are determined based on various factors, including relevant skills, qualifications, experience, and geographic location. We are committed to maintaining pay equity and consider the internal equity of our existing team members when finalizing compensation offers. In addition to competitive pay, Trex offers a comprehensive benefits package, which is detailed below.
**BENEFITS \&amp; PERKS**
We believe that real effort should be rewarded. We take care of you as part of our Trex family so you can take care of yours. Here are some of the perks beyond the paycheck:
* **Time Off:** We’ll give you paid holidays and paid vacation.
* **Health, Dental, and Vision Insurance****:** Choose from a variety of options. We’ll cover a generous share of the cost. Plus, you can earn lower rates through our wellness program.
* **401(k) With Company Match****:** Save for your retirement and we’ll match it dollar for dollar.
* **Tuition Reimbursement:** We’re all about lifting each other to the next level. When you’re ready to get the degree, we’ll pick up part of the tab.
* **Training and Education****:** We offer dozens of options to boost your performance – both online and on\-site nearby.
* **Stock Purchase Program****:** Invest in Trex at a discounted price.
* **Employee Discount Program:** When you make the World’s No. 1 Decking Brand, you’ll probably want to enjoy the finished product yourself. We’ll give you a discount.
**WHO WE ARE**
Over 30 years ago, our founders created the world’s first high\-performance, low\-maintenance composite decking and outdoor living products. That entrepreneurial spirit still drives us today as we continue to redefine our industry and lead the way for what’s next in outdoor living. Today, Trex is the world’s \#1 brand of sustainability\-made, wood\-alternative decking, and deck railing – all proudly manufactured in the USA. As a publicly traded company \[NYSE: TREX], we take pride in being the largest recycler of plastic film in the country as well as caring for the communities and the planet where we live. We nurture meaningful connections, from local engagement and investment to eco\-friendly products and sustainable manufacturing processes.
Everything we do is grounded in our values and guided by our beliefs. We are looking for candidates who embody our core values:
* Do the Right Thing
* Act with Boldness and Authenticity
* Drive Sustainability
* Innovate and Adapt
At Trex, you’ll become part of a diverse yet unified team that sustains the trailblazing spirit and strengths that made Trex the industry leader – learning, adapting, solving and succeeding.
We welcome new ideas and fresh perspectives, and we encourage you to bring your best to help us shape the future of Trex.
**CAREER ADVANCEMENT**
At Trex, you can take pride in craftsmanship. There’s an art and a science to what we do, and we never stop working to refine and improve. That means no matter how long you’ve been with Trex, you have ongoing opportunities to grow your expertise – enhancing your career, your team and our shared efforts. You will help shape our future.
**EEO**
Trex is proud to be an Equal Opportunity Employer. We are committed to creating a diverse and inclusive environment for all employees and do not discriminate on the basis of race, color, religion, gender, gender identity or expression, sexual orientation, national origin, genetics, disability, age, or veteran status. All qualified applicants will receive consideration for employment without regard to these or any other characteristics protected by law.
**E\-VERIFY**
Trex participates in E\-Verify to confirm the employment eligibility of all newly hired employees. E\-Verify is a web\-based system operated by the Department of Homeland Security (DHS) and the Social Security Administration (SSA) that allows employers to electronically verify the employment eligibility of their employees. For more information, please visit www.dhs.gov/E\-Verify.</t>
        </is>
      </c>
    </row>
    <row r="8">
      <c r="A8" t="inlineStr">
        <is>
          <t>in-0c07887335f095ca</t>
        </is>
      </c>
      <c r="B8" t="inlineStr">
        <is>
          <t>Software Product Owner (TS/SCI) {S}</t>
        </is>
      </c>
      <c r="C8" t="inlineStr">
        <is>
          <t>ARKA Group</t>
        </is>
      </c>
      <c r="D8" t="inlineStr">
        <is>
          <t>indeed</t>
        </is>
      </c>
      <c r="E8" t="inlineStr"/>
      <c r="F8" t="inlineStr"/>
      <c r="G8" t="inlineStr">
        <is>
          <t>Aurora, CO, US</t>
        </is>
      </c>
      <c r="H8" s="1" t="n">
        <v>46083</v>
      </c>
      <c r="I8"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We're seeking a talented and experienced **Software Product Owner** to lead our Enterprise team. In this role, you'll be the voice of the customer, bridging the gap between business goals and the technical development team. This position is ideal for someone who has a strong foundation in software development or systems engineering and wants to leverage technical expertise to drive product strategy and execution.
We offer generous relocation benefits for eligible candidates.
In support of work/life balance, many positions are available for a flexible schedule within the pay period. Ask us about the opportunity for flex scheduling if that’s of interest to you.
**Responsibilities:**
* **Backlog Management:** Own and manage the product backlog, including creating, refining, and prioritizing user stories and epics. Work closely with the chief engineer and architect in current and future epic definitions.
* **Requirements Definition:** Translate high\-level features into detailed, actionable specifications for the engineering team. Must be able to work with engineering feature definitions and not rely on detailed requirement definitions.
* **Stakeholder Communication:** Act as the primary point of contact for stakeholders internal and customer facing, providing updates on product progress and gathering feedback.
* **Agile Ceremonies:** Actively participate in all Agile ceremonies, including sprint planning, daily stand\-ups, sprint reviews, and retrospectives.
* **Team Collaboration:** Work closely with cross\-functional teams, including engineering, UX/UI, marketing, and customer support, to ensure successful product delivery.
* **Acceptance Criteria:** Define acceptance criteria for user stories and validate that delivered solutions meet the defined requirements.
* **Technical Acumen:** Use your technical background to effectively communicate with engineers, understand technical constraints, and make informed trade\-off decisions.
**Required Qualifications:**
* Bachelor’s degree in computer science, systems engineering or related field
* 5\+ years of experience in **software development**, **software** **systems engineering**, or a related technical field
* 2\-3\+ years of experience as a **Product Owner** or similar role e.g., Scrum Master
* Proven experience working in an Agile environment
* Excellent verbal and written communication skills with the ability to articulate complex concepts to both technical and non\-technical audiences
* Strong analytical and problem\-solving skills with a data\-driven approach to decision\-making
* Ability to collaborate with cross\-functional teams including product managers, architects, and other engineers to define, design, and ship new features
* Understanding of the full software development lifecycle (SDLC), including requirements gathering, design, coding, testing, deployment, and maintenance
* Experience with a modern cloud provider such as AWS or Azure as well as understanding of standalone Kubernetes deployments
* Experience with modern front\-end development using React or Angular
* Experience with Source Control tools (e.g. Git, Gitlab)
* Experience with DevSecOps and Agile Scrum software development methodology including using tools like Git, Jira and Confluence
* Ability to work in office full time
* Active TS/SCI U.S. Government Security Clearance
**Preferred Qualifications:**
* IAT Level II or III certification (i.e. Security\+, CISSP, or CASP)
* Certified Scrum Product Owner (CSPO) or Professional Scrum Product Owner (PSPO) certification.
* Active TS/SCI U.S. Government Security Clearance with Fully Adjudicated CI Polygraph
**Pay Range: $135,000 \- $185,000**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9">
      <c r="A9" t="inlineStr">
        <is>
          <t>in-45f20b58c798e6e1</t>
        </is>
      </c>
      <c r="B9" t="inlineStr">
        <is>
          <t>Program Manager BRS At-Risk Youth</t>
        </is>
      </c>
      <c r="C9" t="inlineStr">
        <is>
          <t>PNW Helping Hands</t>
        </is>
      </c>
      <c r="D9" t="inlineStr">
        <is>
          <t>indeed</t>
        </is>
      </c>
      <c r="E9" t="inlineStr"/>
      <c r="F9" t="inlineStr"/>
      <c r="G9" t="inlineStr">
        <is>
          <t>Spokane Valley, WA, US</t>
        </is>
      </c>
      <c r="H9" s="1" t="n">
        <v>46083</v>
      </c>
      <c r="I9" t="inlineStr">
        <is>
          <t>**PNW Helping Hands is in search of a Program Manager!**
The open position is a full\-time, Salary Non Exempt, Monday\-Friday 7:00 am to 3:00 pm with on call responsibilities with open availability. This position will be working with a small group (1\-5\) of BRS foster youths and their care teams.
Are you a dependable, detail\-oriented, self\-starter? Do you have a degree in a social service field or at least 3 years of professional experience working with kids? If you answered 'Yes!', this could be the career change for you! We are looking for a candidate who wants to grow with our organization.
In addition to this being an excellent opportunity to utilize your skills and abilities, we also offer some excellent Team Member benefits including Paid Time Off, organization matched Retirement Savings plan (100% up to 3% is matched by the employer), employer\-paid dental, medical, vision and group term life insurance for the employee with a buy\-up option as well!
Job Type: Full\-time
Pay: $4,506\.58 per month
Benefits:
* Dental insurance
* Health insurance
* Life insurance
* Paid time off
* Retirement plan
* Vision insurance
Ability to Commute:
* Spokane Valley, WA 99206 (Required)
Ability to Relocate:
* Spokane Valley, WA 99206: Relocate before starting work (Required)
Work Location: In person</t>
        </is>
      </c>
    </row>
    <row r="10">
      <c r="A10" t="inlineStr">
        <is>
          <t>in-711dd92d66117eec</t>
        </is>
      </c>
      <c r="B10" t="inlineStr">
        <is>
          <t>Junior Achievement - Program Manager P/T</t>
        </is>
      </c>
      <c r="C10" t="inlineStr">
        <is>
          <t>Junior Achievement of Greater St. Louis</t>
        </is>
      </c>
      <c r="D10" t="inlineStr">
        <is>
          <t>indeed</t>
        </is>
      </c>
      <c r="E10" t="inlineStr"/>
      <c r="F10" t="inlineStr"/>
      <c r="G10" t="inlineStr">
        <is>
          <t>Chesterfield, MO, US</t>
        </is>
      </c>
      <c r="H10" s="1" t="n">
        <v>46083</v>
      </c>
      <c r="I10" t="inlineStr">
        <is>
          <t>**Position Description:**
The Program Manager implements and manages all daily operations of volunteer recruitment and retention, program implementation, data management and evaluation, engagement with all organization stakeholders, including but not limited to educators and volunteers, while upholding and maintaining the program quality and integrity.
**PRIMARY RESPONSIBILITIES:**
· Assure program quality and integrity through effective communication with program stakeholders, classroom monitoring, exceptional customer service, sharing of program updates, and evaluation tools
· Promote program growth and expansion, through successful retention of education/business/community volunteers and school district/youth development organization partners
· Strategize and lead recruitment and retention efforts of all program stakeholder groups
· Oversee logistics of program presentation in a variety of delivery models
· Provide in\-person and/or virtual training and orientation for all program stakeholders
· Adhere to JASTL stewardship model for stakeholders to increase program retention and stakeholder satisfaction
· Data entry, including all program related information, management, and maintenance of constituent records in current database
· Collect, provide, and report data, testimonials, and program progress for use at team and staff meetings, in grant proposals and reports, etc.
· Provide a high level of customer focused program delivery and support
**BEHAVIORAL COMPENTENCIES:** **Accountability**
· Accepts responsibility for delivering on assigned goals and deliverables.
· Maintains composure and professionalism in challenging situations and can shift quickly to objective, problem\-solving behaviors in order to deliver results.
· Adaptability in working effectively both independently and collaboratively.
**Active Engagement** 
· Participates in projects, tasks, meetings and workplace interactions with positive enthusiasm.
· Demonstrates an obvious energy in performing the role and serves as an engaged member of the department.
**Growth \&amp; Improvement** 
· Actively seeks opportunities to increase industry knowledge and become a stronger subject matter expert in the field.
· Willing to accept stretch goals and challenging projects to gain valuable experience and continuously develop as a professional.
**Junior Achievement Teamwork** 
· Contributes to meeting team deadlines and engages effectively with others to achieve goals
· Maintains an approachable demeanor to encourage positive working relationships and promotes effective communication.
· Demonstrates a willingness to pitch in to help team members succeed (even in areas outside their normal role)
· Interacts well with many types of personalities and handles difficult interactions without escalating tension.
**EXPERIENCE/EDUCATION:**
· Bachelor's degree or equivalent experience in the education field, project management, sales, volunteer coordination, and/or development (fundraising).
· Proficiency in Microsoft Office Suite.
· Ability to work in a fast\-paced work environment and successfully manage multiple projects and deadlines.
· Organized, detail\-oriented, highly motivated, and a strong ability to work effectively with diverse groups.
· Exceptional verbal and written communication skills.
· Exceptional problem\-solving and critical thinking skills.
**PREFERRED QUALIFICATIONS:**
· Nonprofit program management experience
· Familiarity with the Kindergarten\-12th Grade educational system
*This position in no way states or implies that these are the only duties to be performed by the employee occupying this position. Employees will be required to follow any other job\-related duties required by their supervisor. This document does not create an employment contract implied or otherwise, other than an "at\-will" relationship.* 
**To apply, please send cover letter, and resume to Ami Boehlje at aboehlje@jastl.org.** 
Job Type: Part\-time
Pay: From $20\.00 per hour
Ability to Relocate:
* Chesterfield, MO 63005: Relocate before starting work (Required)
Work Location: In person</t>
        </is>
      </c>
    </row>
    <row r="11">
      <c r="A11" t="inlineStr">
        <is>
          <t>in-dc2af18b18705cb8</t>
        </is>
      </c>
      <c r="B11" t="inlineStr">
        <is>
          <t>Technical Program Manager</t>
        </is>
      </c>
      <c r="C11" t="inlineStr">
        <is>
          <t>isolved</t>
        </is>
      </c>
      <c r="D11" t="inlineStr">
        <is>
          <t>indeed</t>
        </is>
      </c>
      <c r="E11" t="inlineStr"/>
      <c r="F11" t="inlineStr"/>
      <c r="G11" t="inlineStr">
        <is>
          <t>US</t>
        </is>
      </c>
      <c r="H11" s="1" t="n">
        <v>46083</v>
      </c>
      <c r="I11" t="inlineStr">
        <is>
          <t>**Why Work Here**
* Headquarters is in Charlotte, NC
* Recently expanded to nearshore
* isolved ranked for SMB Payroll in 2023 Sapient Report
* Voted top places to work in USA 2023
 **Job Description**
The Technical Program Manager is responsible for the planning, execution, and delivery of assigned product programs and initiatives under frequent to occasional coaching and guidance. This role will work closely with their immediate supervisor and program stakeholders to develop delivery plans and track progress. This role will also be responsible for managing risks, communicating status, and resolving issues.
**Core Job Duties**
* Leadership: Foster collaborative and productive environment.
* Communication: Clearly communicate program/initiative goals, and ensure alignment with strategic objectives.
* Stakeholder Management: Engage with key stakeholders to define scope, manage expectations, establish communication management, perform change control management, and provide regular updates on progress, risks and mitigation strategies.
* Program Management: Plan, execute and deliver assigned product programs
* Risk and Issue Management: Identify potential risks, issues and dependencies and work with leaders to develop ways to mitigate them.
* Readiness: Support readiness planning and execution in collaboration with readiness stakeholders to enable the successful release of new offerings and/or product enhancements.
**Minimum Qualifications**
* Bachelor's degree in business administration or a related field, or an equivalent combination of education, training and experience (required).
* Knowledge of Project Management principles, concepts and practices
* 1\-2 years of experience in project/program management
* Strong organizational and time management skills
* Ability to work independently and as part of a team
* Proficient with Microsoft Office Suite
* Ability to communicate effectively, build consensus, facilitate working sessions
* Ability to gather and analyze facts, draw conclusions, define problems, and suggest solutions.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row>
    <row r="12">
      <c r="A12" t="inlineStr">
        <is>
          <t>in-eefb5725a2c61988</t>
        </is>
      </c>
      <c r="B12" t="inlineStr">
        <is>
          <t>Program Manager</t>
        </is>
      </c>
      <c r="C12" t="inlineStr">
        <is>
          <t>Developmental Disabilities Resource Center</t>
        </is>
      </c>
      <c r="D12" t="inlineStr">
        <is>
          <t>indeed</t>
        </is>
      </c>
      <c r="E12" t="inlineStr"/>
      <c r="F12" t="inlineStr"/>
      <c r="G12" t="inlineStr">
        <is>
          <t>Littleton, CO, US</t>
        </is>
      </c>
      <c r="H12" s="1" t="n">
        <v>46083</v>
      </c>
      <c r="I12" t="inlineStr">
        <is>
          <t>**Program Manager**
DEPARTMENT: Adult Vocational Services
REPORTS TO: Adult Vocational Services Director
SUPERVISORY RESPONSIBILITIES: Supervisor multiple entry level positions
POSITION TYPE: Exempt
LOCATION: 3636 S Independence St.
SCHEDULE: Mon\-Thurs 7:30a\-4:30p
SALARY RANGE: **$58,750\-$64,625 per year**
BENEFITS \&amp; PERKS:
* Medical – Exceptional Cigna benefits: $30\.25/month employee cost, $750 deductible, 100% coverage after deductible
* Dental \&amp; Vision
* 401(k) plan with a 3% company match, available after one year of service during designated eligibility enrollment periods.
* Life Insurance
* Flexible Spending Account (FSA)
* Tuition Reimbursement
* Eligibility for Public Student Loan Forgiveness (PSLF)
* Access to the NADSP Badge Academy
Since 1964, DDRC has been committed to empowering individuals with intellectual and developmental disabilities (IDD) and supporting their families. With a team of 200\+ dedicated staff, we offer a wide range of services from Early Intervention to adult residential, employment, and community programs. Our mission is grounded in inclusion, opportunity, and helping every person reach their fullest potential.
*DDRC is an equal opportunity employer. All applicants will receive consideration for employment without regard to race, color, religion, sex, national origin, sexual orientation, gender identity, disability, protected veteran status, or any other status protected by applicable law.*
POSITION SUMMARY:
As a Manager at Developmental Disabilities Resource Center, you will supervise a dedicated team working directly with individuals with Intellectual and Developmental Disabilities. Your role is pivotal in collaborating with other Managers and leaders to embrace and facilitate continuous change, identifying innovative approaches to enhance our business practices. Upholding the mission, vision, and values of DDRC is essential as you engage both employees and participants in our day programs.
Your creativity and focus on person\-centered practices will guide you in developing impactful programs that truly meet the needs of those we serve. Additionally, your commitment to ongoing professional growth and learning will bolster your passion for helping others achieve their goals and dreams. As a proven self\-starter and problem\-solver with exceptional organizational skills, you will play a key role in driving quality assurance and enhancing the overall experience for individuals with developmental disabilities.
ESSENTIAL FUNCTIONS:
* Prioritizes and performs multiple tasks and meets deadlines.
* Ability and willingness to use approved physical and non\-physical behavioral intervention techniques as appropriate.
* Will be required to work varied hours and change priorities as needed.
* Operates within policies and procedures set by Developmental Disabilities Resource Center policy, rules and regulations of the State and other governing bodies.
* Respects and supports all confidentiality/HIPAA requirements.
* Supervises direct care staff.
* May provide transportation as needed either through use of own or agency vehicle.
* Monitors the day to day operations of designated program.
QUALIFICATIONS \&amp; SKILLS:
* BA/BS in related field or combination of experience and education.
* 2 years or paid or volunteer experience working with people with intellectual and developmental disabilities preferred.
* 1 year staff supervisory experience strongly preferred.
* Working knowledge of program planning and development.
* Must have ability to work effectively as a team member.
PHYSICAL DEMANDS:
* Physically transfers, repositions and otherwise physically assists people with developmental disabilities as needed to meet health and safety needs.
* Physical stamina to assist individuals safely, including the ability to stand, pivot, and transfer.
* Frequent standing, walking, bending, kneeling, and reaching.
* Ability to push, pull, and position wheelchairs and other adaptive equipment.
* Manual dexterity for personal care and adaptive equipment support.
* *DDRC is an Equal Opportunity Employer and are committed to providing reasonable accommodations to qualified individuals with disabilities in accordance with the Americans with Disabilities Act (ADA).*
CULTURE \&amp; ENVIRONMENT:
Our team is dedicated to creating an inclusive, supportive environment where individuals with intellectual and developmental disabilities can thrive. We're a mission\-driven organization that values commitment, teamwork, and long\-term growth our average employee tenure is 9 years.
 *The position summary and the essential functions are not exhaustive and may be revised, with or without notice, based on funding, program needs, or organizational requirements. Changes will not be discriminatory, retaliatory, or violate laws like the Americans with Disabilities Act (ADA).*</t>
        </is>
      </c>
    </row>
    <row r="13">
      <c r="A13" t="inlineStr">
        <is>
          <t>in-c164d95cd6d03e7d</t>
        </is>
      </c>
      <c r="B13" t="inlineStr">
        <is>
          <t>Program Specialist (Research Program Manager)</t>
        </is>
      </c>
      <c r="C13" t="inlineStr">
        <is>
          <t>University of Hawaii system</t>
        </is>
      </c>
      <c r="D13" t="inlineStr">
        <is>
          <t>indeed</t>
        </is>
      </c>
      <c r="E13" t="inlineStr"/>
      <c r="F13" t="inlineStr"/>
      <c r="G13" t="inlineStr">
        <is>
          <t>Hilo, HI, US</t>
        </is>
      </c>
      <c r="H13" s="1" t="n">
        <v>46082</v>
      </c>
      <c r="I13" t="inlineStr">
        <is>
          <t>**Description**
---------------
Title: Program Specialist (Research Program Manager)
Position Number: 0096587T
Hiring Unit: College of Arts \&amp; Sciences
Location: UH Hilo
Date Posted: March 1, 2026
Closing Date: March 13, 2026
Band: B
Salary : salary schedules and placement information
Full Time/Part Time: Full\-time
Month: 11\-month
Temporary/Permanent: Temporary
Position Overview
The University of Hawaii at Hilo (UH Hilo) is a public liberal arts and sciences university on the Island of Hawaii, known for its unique blend of cultural immersion and research opportunities, leveraging the island’s extraordinary geological, biological, and cultural diversity. It is a comprehensive, regional university within the ten\-campus University of Hawaii system, focusing primarily on high\-quality baccalaureate and select postgraduate education, including distinctive programs in areas like marine science, geology, astronomy, and Hawaiian language revitalization.
The UH Hilo Center for Place\-Based Socioemotional Development, UH Hilo Center for Place\-Based Socioemotional Development (Hilo Center) is housed in the College of Arts and Sciences at UH Hilo. The Hilo Center serves as a multifaceted equity lab that aims to improve the educational opportunities, wellbeing, and ultimately life outcomes for students from communities that have been undermined or have been provided with limited opportunities in the public education system. It strives to shrink the distance between research, community, service and teaching by developing projects that open pathways for collaboration among community service providers, educators, and UH Hilo students preparing or considering careers in education or youth development.
The program manager is a crucial leader and facilitator of Ka Pouhana, the programmatic arm of the center supported by grants from multiple funders. The individual in this role will oversee and implement all aspects of the Ka Pouhana mentoring and leadership programs, and the center’s student wellness initiatives, including the Ka Pouhana Listening Lab. The position also serves as the administrator for the research and evaluation arm of the center by coordinating project activities, maintaining records, preparing materials, supporting data collection processes, and assist with the preparation of reports.
**Duties and Responsibilities (\*denotes essential functions)**
* + Leads, plans, and implements all aspects of Hilo Center program activities, including the Ka Pouhana mentoring and leadership program and the Center’s student wellness initiatives such as the Ka Pouhana Listening Lab; develops program structures and materials; coordinates student, faculty, and community partner engagement; organizes meetings and events; and supports program communication and documentation.
* + Coordinates Center administrative operations, including project planning, communication, record\-keeping, procurement, travel, and personnel processes.
* + Oversees a $1M annual budget, ensuring precise execution of procurement, travel, and project expenditures. Acts as the primary fiscal liaison with UH Foundation and RCUH to ensure compliance and streamlined reporting.
* + Supervises staff, graduate assistants, and undergraduate student workers and monitors completion of assigned tasks.
* Administers the Center’s research and evaluation activities by coordinating project tasks, preparing materials, supporting data collection processes, and assisting with report preparation.
* Prepares grant proposals, assists with identifying funding opportunities, and completes required funder documentation and reports.
* Builds and maintains partnerships with UH units, schools, and community organizations to support program implementation and student success.
* Performs other duties as assigned.
Minimum Qualifications* Master's degree in Higher Education Leadership, Educational Administration, Public Administration, Counseling, Social Sciences, or related field and three (3\) years of progressively responsible professional experience in higher education administration, program or project management, student leadership development, or community\-engaged initiatives; or any equivalent combination of education and/or professional work experience which provides the required education, knowledge, skills and abilities as indicated.
* Considerable working knowledge of principles, practices and techniques in the area of higher education program administration and student development as demonstrated by the broad knowledge of the full range of pertinent standard and evolving concepts, principles and methodologies.
* Considerable working knowledge and understanding of applicable federal and state laws, rules, regulations and theories and systems associated with higher education and sponsored research.
* Demonstrated ability to resolve wide ranging complex problems through the use of creative reasoning and logic to accurately determine the cause of the problems and the resolution of the problems in an effective, innovative and timely manner.
* Demonstrated ability to interpret and present information and ideas clearly and accurately in writing, verbally and by preparation of reports and other materials.
* Demonstrated ability to establish and maintain effective working relationships with internal and external organizations, groups, team leaders and members, and individuals.
* Demonstrated ability to operate a personal computer, apply word processing software, Google Workspace and project tracking tools such as Airtable.
* For supervisory work, demonstrated ability to lead subordinates, manage work priorities and projects, and manage employee relations.
* Experience supporting mentoring programs or student leadership development initiatives in post\-secondary or youth\-serving settings.
* Experience working with the Hawaii Department of Education or community service organizations.
* Experience preparing grant proposals, reports, or related documentation.
* Experience supervising staff or student employees.
* Ability to plan and coordinate program activities.
Desirable Qualifications* Knowledge of Hawaii\-based, culturally responsive and sustaining practices, including familiarity with frameworks such as HA, Ka Pouhana, and Kukulu Kumuhana.
* Understanding of Hawaii Island’s educational and community landscape, including local schools, youth\-serving organizations, and place\-based factors influencing student wellness and engagement.
* Knowledge of the University of Hawaii system, including familiarity with campus operations, student support structures, and administrative processes across UH units.
* Experience supervising teams in a university setting.
To Apply: issued from an institution outside the United States of America require a course\-by\-course analysis with an equivalency statement from an agency having membership with the National Association of Credential Evaluation Services, Inc., verifying the degree equivalency to that of an accredited institution within the USA. Expense of the evaluation shall be borne by the applicant. All requested documents/information become the property of the University. All minimum qualifications must be met by the closing date. Incomplete applications will not be considered. Failure to submit all required documents and reference information shall deem an application to be incomplete.  
Note: If you have not applied for a position before using NeoGov, you will need to create an account.  
Inquiries: Margary Martin, margary@hawaii.edu  
**EEO, Clery Act, ADA**
-----------------------
The University of Hawai'i is an Equal Opportunity Institution and is committed to a policy of nondiscrimination in employment, including on the basis of veteran and disability status. For more information, visit: **https://www.hawaii.edu/offices/eeo/policies/**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In accordance with Article 10 of the unit 08 collective bargaining agreement, bargaining unit members receive priority consideration for APT job vacancies. As a result, external or non BU 08 applicants may not be considered for some APT vacancies. BU 08 members with re\-employment rights or priority status are responsible for informing the hiring unit of their status.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is>
      </c>
    </row>
    <row r="14">
      <c r="A14" t="inlineStr">
        <is>
          <t>in-cdcd8bc3679b40ea</t>
        </is>
      </c>
      <c r="B14" t="inlineStr">
        <is>
          <t>Registered Nurse - Program Manager Supervisor</t>
        </is>
      </c>
      <c r="C14" t="inlineStr">
        <is>
          <t>US Department of Veterans Affairs</t>
        </is>
      </c>
      <c r="D14" t="inlineStr">
        <is>
          <t>indeed</t>
        </is>
      </c>
      <c r="E14" t="inlineStr"/>
      <c r="F14" t="inlineStr"/>
      <c r="G14" t="inlineStr">
        <is>
          <t>Battle Creek, MI, US</t>
        </is>
      </c>
      <c r="H14" s="1" t="n">
        <v>46082</v>
      </c>
      <c r="I14" t="inlineStr">
        <is>
          <t>**Summary**
-----------
The Battle Creek VA Medical Center is recruiting for a Registered Nurse \- Program Manager Supervisor this position will function in Health Informatics Service.  
**The 2\-page Resume requirement does not apply to this occupational series. For more information, refer to Required Documents below.**
**This job is open to**
-----------------------
### **The public**
U.S. Citizens, Nationals or those who owe allegiance to the U.S.
### **Internal to an agency**
Current federal employees of the hiring agency that posted the job announcement.
### **Clarification from the agency**
NOTE: The 2\-page Resume requirement does not apply to this position. For more information, refer to Required Documents below.
**Duties**
----------
Program Manager (PM) Registered Nurse (RN) Supervisor executes position responsibilities that demonstrate beginning leadership skills and participates in specific program experiences. Accountable for planning, organizing, directing, and evaluating the program and the staff who support it. They demonstrate creative approaches to the management of program aspects of complex patient care. Provides supervision of program staff. The PM Supervisor demonstrates performance and beginning leadership skills that start to impact the standard of care and safety of staff while caring for all patients throughout the continuum of care. They are responsible for leading a facility wide program for all services within the organization that meets the requirement of National Directives. The PM Supervisor will oversee the provision of staff education, orientation, competencies and providing quality improvement consultation related to the program specifically. The PM Supervisor continuously evaluates the program, collecting and submitting facility performance measures. Participates in quality improvement activities for nursing.  
VA offers a comprehensive total rewards package: VA Nurse Total Rewards  
**Pay:** Competitive salary, regular salary increases, potential for performance awards  
**Paid Time Off:** 50 days of paid time off per year (26 days of annual leave, 13 days of sick leave, 11 paid Federal holidays per year)  
**Retirement:** Traditional federal pension (5 years vesting) and federal 401K with up to 5% in contributions by VA  
**Insurance:** Federal health/vision/dental/term life/long\-term care (many federal insurance programs can be carried into retirement)  
**Licensure:** 1 full and unrestricted license from any US State or territory  
**Work Schedule:** Monday to Friday; 7:30 am to 4:00 pm. Hours may vary based on Veteran's needs.  
**Telework:** Not Available  
**Virtual:** This is not a virtual position.  
**Relocation/Recruitment Incentives:** Not Authorized  
**Permanent Change of Station (PCS)**: Not Authorized
**Requirements**
----------------
### **Conditions of employment**
* U.S. Citizenship; non\-citizens may only be appointed when it is not possible to recruit qualified citizens in accordance with VA Policy.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identification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You may be required to serve a probationary period.
* Complete all application requirements detailed in the "Required Documents" section of this announcement.
### **Qualifications**
**Basic Requirements**:
* **English Language Proficiency.** In accordance with 38 U.S.C. 7403(f), no person shall serve in direct patient care positions unless they are proficient in basic written and spoken English.
* **Graduate of a school of professional nursing** approved by the appropriate accrediting agency and accredited by one of the following accrediting bodies at the time the program was completed by the applicant: The Accreditation Commission for Education in Nursing (ACEN) or The Commission on Collegiate Nursing Education (CCNE); **OR** Individuals attending a master's level bridge program in nursing who have completed coursework equivalent to a bachelor's level degree in Nursing may have opportunity to become registered as a nurse with a state licensing board prior to completion of the bridge program. Upon achievement of a State license, the individual may be appointed on temporary basis and later converted to a permanent appointment upon successful completion and graduation from the bridge program. (Reference VA Handbook 5005, Appendix G6\); **OR** In cases of graduates of foreign schools of professional nursing, possession of a current, full, active, and unrestricted registration will meet the requirement for graduation from an approved school of professional nursing to warrant an appointment as a Nurse who has completed an associated degree/entry level Nursing education program. Credit for foreign nursing education higher that associate degree/entry level requires a formal degree equivalency validation from a recognized equivalency evaluation accepted by VA such as International Consultants of Delaware (ICD).
* **Current, full, active, and unrestricted registration** as a graduate professional nurse in a State, Territory or Commonwealth (i.e., Puerto Rico) of the United States, or the District of Columbia. Graduate Nurse Technician (GNT) Exception: Candidates who otherwise meet the basic education requirements, but do not possess the required licensure, may be appointed at the entry step of the grade and level applicable to the completed nursing education as a GNT on a 120\-day temporary appointment while actively pursuing licensure (may be extended up to two years on a case\-by\-case\-basis.)
**NOTE:** Grandfathering Provision \- All persons currently employed in VHA in 0610 series and performing the duties as described in the qualification standard on the effective date of the standard (1/29/2024\) are considered to have met all qualification requirements for the grade held including positive education and licensure/certification.  
**Grade Determinations:** The following Scope, Education and Dimension criteria must be met in determining the grade assignment of candidates, and if appropriate, the level within a grade. The Dimension requirements (Practice, Veteran/Patient Driven Care, Leadership, Professional Development and Evidence\-Based Practice/Research) are detailed for each grade and level within the online assessment: https://apply.usastaffing.gov/ViewQuestionnaire/12897315\.
**Grade/Level** **Scope** **Education**
Nurse I, Level I Delivers fundamental, knowledge\-based care to assigned clients while developing technical competencies. An Associate Degree (ADN) or Diploma in Nursing, with no additional professional nursing required.
Nurse I, Level II Demonstrates integration of biopsychosocial concepts, cognitive skills and technically competent practice in providing care to clients with basic or complex. An ADN or Diploma in Nursing **AND** 1 year of specialized nursing experience equivalent to Nurse I, Level 1 ;**OR** a Bachelor of Science in Nursing (BSN) with no additional professional nursing experience required.
Nurse I, Level III Demonstrates proficiency in practice based on conscious and deliberate planning. Self\-directed in goal setting for managing complex client situations. An ADN or Diploma in Nursing **AND** 2 years of professional nursing experience in which one year is equivalent to Nurse I, Level 2; **OR** a BSN and 1 year of professional nursing experience equivalent to the Nurse I, Level 2; **OR** a Master's degree in nursing (MSN) and no additional professional nursing experience; **OR** a Master's degree in a \*related field with a BSN and no additional professional nursing experience.
Nurse II Demonstrates leadership in delivering and improving holistic care through collaborative strategies with others. A BSN with 2 years of professional nursing equivalent to Nurse I, Level 3; **OR** an MSN with one year of specialized nursing experience equivalent to Nurse I, Level 3; **OR** a Master's degree in a \*related field with a BSN and one year of specialized nursing experience equivalent to Nurse I, Level 3; **OR** a Doctoral degree in Nursing with no professional nursing experience; **OR** a Doctoral degree in a \*related field with a BSN with no additional professional nursing experience.
Nurse III Executes position responsibilities that demonstrate leadership, experience and creative approaches to management of complex client care beyond the immediate practice setting. MSN and 2 years of specialized nursing experience, one of which is equivalent to Nurse II and meets all dimension requirements for Nurse III; **OR** a Master's degree in \*related field with BSN and two years of specialized nursing experience, one of which is equivalent to Nurse II and meets all dimension requirements for Nurse III; **OR** a Doctoral degree in Nursing with and one year of specialized nursing experience equivalent to Nurse II and meets all dimension requirements for Nurse III; **OR** a Doctoral degree in a \*related field with a BSN and one year of specialized nursing experience equivalent to Nurse II and meets all dimension requirements for Nurse III.
**\***Note: Foreign education programs/degrees are not creditable as related degrees.  
**Reference:** For more information on this qualification standard, please visit https://www.va.gov/ohrm/QualificationStandards/.  
**Physical Requirements:** Heavy lifting, 45 pounds and over; Heavy lifting, 45 pounds and over; Pushing, intermittent hours; Reaching above shoulder; Use of fingers; Both hands required; Walking; Standing; Kneeling; Repeated bending; Both legs required; Ability for rapid and muscular coordination simultaneously; Near vision correctable at 13" to 16" to Jaeger 1 to 4; Far vision correctable in one eye to 20/20 and to 20/40 in the other; Ability to distinguish basic colors, shades of color; Hearing (aid permitted); Mental and Emotional Stability.
### **Additional information**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**NOTE:** Candidate's education, scope, and length of nursing practice (experience) will be considered in determining the grade and salary of the applicant selected. The recommended salary may be at any point in the range listed for this vacancy.  
Experience as an RN will be evaluated to determine if the experience is of an acceptable level of quality with regard to the following five dimensions of nursing: Practice, Veteran/Patient Driven Care, Leadership, Professional Development, and Evidence/Based Practice/Research. Each dimension of practice has criteria that demonstrate essential core competencies for VHA Nursing Personnel.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Resume
* Transcript
SF\-50, Notification of Personnel Action (if applicable for Time in Grade and/or Eligibility):
* SF50 must be dated within the past year for Internal and Federal employees.
* Most recent SF\-50 if you are a current or former Federal employee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 Cover Letter
* DD\-214/ Statement of Service
* Disability Letter (Schedule A)
* Disability Letter (VA)
* License
* Other (1\)
* Other (2\)
* Other (3\)
* Performance Appraisal
* Professional Certification
* Resume
* Separation Notice (RIF)
* SF\-15
* SF\-50/ Notification of Personnel Action
* Transcript
**Veterans' Preference Note:** Preference eligible candidates and other Veterans will be given preference when qualification of candidates are approximately equal for Title 38 positions in VHA.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03/09/2026 to receive consideration. To preview the questionnaire, click https://apply.usastaffing.gov/ViewQuestionnaire/12897315\.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are submitted prior to the closing date.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VA Healthcare System Serving Ohio, Indiana and Michigan (VISN 10\) advocates for a Whole Health System of care in each of the Medical Centers. This is an approach to healthcare that empowers and equips people to take charge of their health and well\-being and live their lives to the fullest. As an employee operating in a Whole Health System of care, you will operate in a model with three core elements, seeking to create a personalized health plan for each Veteran. This is done in the context of healing relationships and healing environments and a connection back to the Veteran's community. This aligns with the Veterans Health Administration (VHA) Mission Statement to Honor America's Veterans by providing exceptional health care that improves their health and well\-being.  
### **Agency contact information**
Amy Brasseaux
Phone
269\-998\-1560
Email
Amy.Brasseaux@va.gov
Address
*Battle Creek VA Medical Center*  
*5500 Armstrong Road*  
*Battle Creek, MI 49037*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03/02/2026 to 03/09/2026
Salary
$91,245 to \- $156,074 per year
Pay scale \&amp; grade
VN 00
Location
1 vacancy in the following location:
Battle Creek, MI
Remote job
No
Telework eligible
No
Travel Required
25% or less \- You may be expected to travel for this position.
Relocation expenses reimbursed
No
Appointment type
Permanent
Work schedule
Full\-time
Service
Excepted
Promotion potential
3
Job family (Series)
* 0610 Nurse
Supervisory status
Yes
Security clearance
Not Required
Drug test
Yes
Position sensitivity and risk
Non\-sensitive (NS)/Low Risk
Trust determination process
* Credentialing
* Suitability/Fitness
Financial disclosure
No
Bargaining unit status
No
Announcement number
CBSR\-12897315\-26\-AB
Control number
859400000</t>
        </is>
      </c>
    </row>
    <row r="15">
      <c r="A15" t="inlineStr">
        <is>
          <t>in-5e9c7bc4d56f5e39</t>
        </is>
      </c>
      <c r="B15" t="inlineStr">
        <is>
          <t>Product Manager</t>
        </is>
      </c>
      <c r="C15" t="inlineStr">
        <is>
          <t>Indiana Packers</t>
        </is>
      </c>
      <c r="D15" t="inlineStr">
        <is>
          <t>indeed</t>
        </is>
      </c>
      <c r="E15" t="inlineStr"/>
      <c r="F15" t="inlineStr"/>
      <c r="G15" t="inlineStr">
        <is>
          <t>Delphi, IN, US</t>
        </is>
      </c>
      <c r="H15" s="1" t="n">
        <v>46082</v>
      </c>
      <c r="I15" t="inlineStr">
        <is>
          <t>**Product Manager**
Indiana Packers Corporation (IPC) is a fully integrated retail, foodservice and private label producer of fresh and processed meats based in Delphi, Indiana. Since the start of operations in 1991, we have experienced rapid growth from a single pork processing company into a multi\-plant diversified producer of fresh and processed meats, with locations throughout America's Heartland and revenues of approximately $1\.5B. We are best known for our national brand Kentucky Legend (the best\-selling boneless ham brand in the United States) as well as several well\-known regional brands, including Indiana Kitchen, Fischer's, Field, Mickelberry's, Kentuckian Gold, and Scott Pete. We now have processing facilities in Frankfort, Indiana; Holland, Michigan; and Owensboro, Kentucky.
We value diversity, innovation, collaboration and those passionate about their jobs. We support our team members by offering a total rewards package, including competitive pay, three different medical care plans (two with company\-funded health savings accounts), pharmacy, dental, and vision plans, a retirement/401K (with 50% match on team members' contributions up to 8%), a competitive paid time off program, educational assistance, and numerous advancement opportunities. With more than 3,100 team members located across 14 different states, we are a big company with a small company culture.
Indiana Packers Corporation is in Delphi, Indiana, just 15 minutes away from the greater Lafayette/West Lafayette area, home of Purdue University.
**Summary:**
The selected individual will have experience as a Product Manager, Category Manager, Business Unit Manager responsible for the strategic leadership, growth, and profitability of the bacon product category. This role owns category strategy, innovation pipeline, pricing, margin management, customer insights, and cross\-functional execution to drive revenue growth and market share expansion. The Product Manager serves as the subject matter expert for the Bacon portfolio and partners closely with FP\&amp;A, Sales, PlanningScheduling, and others to ensure that IPC is maximizing profitability through customer reviews, efficiency through scheduling, inventory management, and sales pricing.
As a subject\-matter expert, you will shape discussions and influence decision\-making to drive sustained category growth and success. This individual and their peers will provide daily/ weekly/ monthly strategies to the commercial/sales team to ensure success. **This is a new role within the organization and will begin with strict focus in the Bacon category.**
**Responsibilities:**
* Meeting product group profitability objectives for fiscal year based on specified budget. Objectives revolving around but not limited to; pricing, inventory, and product group assortment strategies.
* Managing pricing activities (daily/weekly/seasonal/ etc.) to maximize profit potential within product group. Pricing responsibilities are specific to the assigned product group and will be coordinated with the Director of Product Management and/or other leaders within the commercial leadership team.
* Inventory management within respective categories. Including the preparation and execution of any relevant seasonal needs, addressing distressed inventory with sales, fresh vs. frozen coordination as required, etc. Providing direction to respective planning team(s) as needed.
* Creating, organizing and overseeing general strategies amongst production areas that utilize raw materials within categories being managed. Meaning, boneless production vs bone\-in, fresh vs, processed, etc.
* Work in conjunction with FP\&amp;A and Operations to create, maintain, and manage B/E models for respective categories. Using those to guide inventory and sales strategies within product group.
* Primary contact for the Sales team: Communicate product specifications, inventory levels, pricing, costing and lead time requirements.
* Negotiates, reviews and approves pricing and trade agreements in conjunction with Director level. Significant role in annualized RFPs and determining assortment growth within respective categories.
* Responsible for development and maintenance of processes and workflows with other functional areas and departments in respect to their category. Mainly but not limited to FP\&amp;A, Operations and Quality Assurance.
* Coordinates and attends product reviews to compare the execution of the written specs and gain insight into what drives variances and yields to standards.
* Monitor and address supply\-demand imbalances and service level challenges
* Considered the category expert over a specific segment. Provides leadership and guidance to other areas of the business, including FPS, operations, and sales.
* May maintain a level of relationship with key customer(s) within product group. Ensuring a level of connection with sales and general industry tone.
**Qualifications:**
* Bachelor's degree in Business, Marketing, Food Science, or related field required; MBA preferred.
* 5\+ years of experience in category management, product management, brand management, or food manufacturing.
* Experience in protein (bacon), meat processing, or CPG industry strongly preferred.
* Strong analytical skills with experience using syndicated data (IRI, Nielsen, Circana, etc.).
* Demonstrated P\&amp;L management experience.
* SAP experience, preferred.
* May travel up to 30% of the time.
* Proven ability to lead cross\-functional teams.
* Strong communication and presentation skills.
**Other Duties:**
Please note, this job description is not designated to cover or contain a comprehensive listing of activities, duties, or responsibilities that are required of the employee for this job. Duties and responsibilities may change at any time with or without notice.
**Work Environment:**
While performing the duties of this job, the employee is occasionally exposed to a variety of extreme conditions on the site including exposure to fumes or airborne particles, moving mechanical parts and vibration. The noise level in the work environment can be loud and hearing protection is required. The position regularly works near moving mechanical parts and in cold, hot, and outdoor conditions that include inclement weather, heat and humidity, and exposure to dust.
**Physical Demand:**
The physical demands described here are representative of those that must be met by an employee to successfully perform the essential functions of this job.
Work is primarily performed in an office setting in a manufacturing environment requiring the ability to sit, talk, hear, frequent walking, standing, and sitting; use hands to finger, handle, or feel; reach with hands and arms and stoop, kneel, crouch, or crawl. Ability to occasionally lift and/or move up to 25 pounds. Specific vision abilities required by this job include close vision and distance vision. Ability to use standard office equipment such as telephone, computer, and copier.
**Background Screening/Checks:**
This position is contingent upon the successful completion of a background check. This may include verification of employment, education, criminal background, driving history, and other relevant information, conducted in accordance with applicable federal, state, and local laws and regulations.
**EOE, including Disability/Veteran**
\#LI\-MB1
IND123</t>
        </is>
      </c>
    </row>
    <row r="16">
      <c r="A16" t="inlineStr">
        <is>
          <t>in-0088409b56365ce2</t>
        </is>
      </c>
      <c r="B16" t="inlineStr">
        <is>
          <t>Supervisory Information Technology Program Manager</t>
        </is>
      </c>
      <c r="C16" t="inlineStr"/>
      <c r="D16" t="inlineStr">
        <is>
          <t>indeed</t>
        </is>
      </c>
      <c r="E16" t="inlineStr"/>
      <c r="F16" t="inlineStr"/>
      <c r="G16" t="inlineStr">
        <is>
          <t>Washington, DC, US</t>
        </is>
      </c>
      <c r="H16" s="1" t="n">
        <v>46082</v>
      </c>
      <c r="I16" t="inlineStr">
        <is>
          <t>**Summary**
-----------
This position serves as a Supervisory IT Program Manager, located in the Department of Justice, Chief Information Officer in Washington, DC. The incumbent is responsible for overseeing multiple Information Technology programs. Advising employees on complex IT matters.
**This job is open to**
-----------------------
### **The public**
U.S. Citizens, Nationals or those who owe allegiance to the U.S.
### **Career transition (CTAP, ICTAP, RPL)**
Federal employees whose job, agency or department was eliminated and are eligible for priority over other applicants.
### **Clarification from the agency**
This position is being filled using Direct\-Hire Authority.
**Duties**
----------
The duties and responsibilities for a Supervisory IT Program Manager GS\-2210\-15 generally include, but are not limited to, the following:
* Provide enterprise level program governance;
* Influence and negotiate enterprise\-wide solutions
* Develop training and incident response procedures.
* Develop security countermeasures necessary to protect classified information.
* Oversee a staff of IT Specialists.
**Requirements**
----------------
### **Conditions of employment**
* You must be a United States Citizen or National.
* You must successfully pass a security/background investigation and a drug screening.
* Selective Service registration is required, see the "Additional Information" section for full details.
* Financial Disclosure: If selected, you may be required to disclose financial information in accordance with DOJ and Federal ethics guidelines.
* This position requires the candidate to be able to hold a security clearance at the Top Secret / SCI security level.
### **Qualifications**
To qualify for the position of Supervisory Information Technology Program Manager, at GS\-2210\-15, you must meet the basic qualification requirements listed below.  
**Basic Qualifications (2210 series):**
* **Attention to Detail** \- Is thorough when performing work and conscientious about attention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**AND**  
**Specialized Experience**:  
**To qualify for the GS\-15 grade level**, you must have one (1\) year of specialized experience equivalent to at least the GS\-14 grade level in the Federal service, or comparable non\-Federal experience. Specialized experience is defined as experience performing the following duties:
* Oversee personnel responsible for high\-side operation of Tactical Local Area Network Encryption High Assurance Internet Protocol Encryptor (TACLANE HAIPE) encryptors.
* Direct the maintenance of networks built on Cisco or Juniper platforms.
You **MUST** meet all qualification requirements by the 03/16/2026 of this announcement.  
Your resume must support your responses to the application questionnaire and the qualification requirements. Failure to do so may result in an ineligible rating.*See the Required Documents section for important notes about what must be included in your resume.*
### **Education**
**Some federal jobs allow you to substitute your education for the required experience in order to qualify**. **For the GS\-15 level, you must meet the qualification requirement using experience alone. No substitution of education for experience is permitted.**
### **Additional information**
Additional selections may be made from this announcement.  
Candidates should be committed to improving the efficiency of the Federal government, passionate about the ideals of our American republic, and committed to upholding the rule of law and the United States Constitution. Candidates will not be hired based on their race, sex, color, religion, or national origin.  
This announcement is being advertised under an agency specific OR a government\-wide Direct\-Hire Authority approved by OPM for filling vacancies when a severe shortage or critical hiring need exists. Veterans Preference and other Category Rating procedures do not apply to this announcement. Applicants must meet all qualification requirements of the position. The hiring office may interview and select any qualified candidate of their choosing from the qualified pool. *See* *OPM, Direct Hire Authority* *for more information.*  
Career Transition Programs (CTAP or ICTAP): These programs apply to Federal and/or DOJ employees who meet the definition of surplus or displaced from a position in the competitive service. To receive selection priority for this position, you must:  
Be rated well\-qualified for the position based on the competencies listed above; and  
submit the appropriate documentation to support your CTAP or ICTAP eligibility. Well\-qualified is defined as having knowledge, skills, abilities, and/or competencies clearly exceeding the minimum qualification requirements for the vacancy.  
**EEO Statement/Policy**: The United States government does not discriminate in employment on the basis of race, color, religion, sex, pregnancy, national origin, political affiliation, sexual orientation, marital status, disability, genetic information, age, membership in an employee organization, retaliation, parental status, military service or other non\-merit factor.  
**DOJ Reasonable Accommodation Statement**: Federal agencies must provide reasonable accommodation to applicants with disabilities where appropriate. Applicants requiring reasonable accommodation for any part of the application and hiring process should contact the hiring agency directly. Determinations on requests for reasonable accommodation will be made on a case\-by\-case basis. The DOJ Reasonable Accommodation policy can be found here: https://www.justice.gov/jmd/reasonable\-accommodation\#policy  
**Selective Service**: If you were born male, on or after December 31, 1959, you must certify that you have registered with the Selective Service System, or are exempt from having to do so under the Selective Service Law. Additional information is found at: www.sss.gov.  
**Fair Chance to Compete for Jobs:** The Fair Chance Act prohibits Federal agencies from requesting an applicant's criminal history information before the agency makes a conditional offer of employment. If you believe a DOJ employee or Federal contractor acting on its behalf has violated your rights under this Act, you may submit a written complaint within 30 days of the date of the alleged non\-compliance directly to Ebony Stephenson at Ebony.Stephenson2@usdoj.gov  
**Note:** In accordance with 5 U.S. Code § 9202(c) and 5 C.F.R § 920\.201(b) certain positions are exempt from the provisions of the Fair Chance Act.This position is excluded from the bargaining unit.  
This position is excluded from the bargaining unit.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job opportunity announcement closes (at 11:59 pm ET on 03/16/2026, a review of your resume and supporting documentation will be conducted, the information will be compared against your responses to the application questionnaire to determine your eligibility for Federal employment, and then whether you are qualified for this particular position. Per Direct\-Hire Authority requirements, all qualified candidates will be referred to the hiring office for consideration. The hiring office may select any qualified candidate without regard to special eligibility considerations. Veterans' preference is not applicable.  
* Information Resources Strategy and Planning
* Information Technology Program Management
* Leadership
* Stakeholder Management
When addressing the specialized experience statement, applicants must present evidence of the experience in their resume. If the specialized experience statement is repeated, in the applicant's resume, Human Resources will deem the applicant as ineligible.  
*If you would like to preview the application questionnaire, please see:* https://apply.usastaffing.gov/ViewQuestionnaire/12886260\.
**Required Documents**
----------------------
It is your responsibility to carefully review the list of required documents below and submit the necessary documentation based on your eligibility.
**Resume \- All Applicants:** *You must submit a resume (a two page or less resume is required) containing the following pieces of information for each job entry listed in your employment history:*
* Official position title,
* Employer name and contact information,
* Start and end dates (including month and year),
* Indicate full\-time or number of hours worked per week if part\-time,
* A list of duties performed and accomplishments.
**CTAP/ICTAP eligibility documentation** \- If you are a displaced Federal employee claiming eligibility under CTAP or ICTAP, you must submit:
* A copy of the agency notice (i.e., letter of intent to separate, separation notice, or agency RIF letter),
* Your most recent performance appraisal, and
* Most recent SF\-50 showing current/former position, grade, promotion potential, and duty location.
**How to Apply**
----------------
**To apply for this position, you must complete the online application questionnaire and submit your supporting documentation. Your complete application package must be submitted by 11:59 PM (EST) on** 03/16/2026 **to receive consideration.**  
The application process is as follows:
* Click Apply to access the online application. You will need to be logged into your USAJOBS account to apply. If you do not have a USAJOBS account, you will need to create one before beginning the application.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**Essay Questions**: The following four narrative questions provide an opportunity for you to highlight your dedication to public service for the hiring manager and agency leadership (or designee(s)). While your responses are not required and will not be scored, we encourage you to thoughtfully address each question. Please provide a response of 200 words or less to each question (**see the application questionnaire**). You will be asked to certify that you are using your own words and did not use a consultant or artificial intelligence (AI) such as a large language model (LLM) like ChatGPT or Copilot.
* + How has your commitment to the Constitution and the founding principles of the United States inspired you to pursue this role within the Federal government? Provide a concrete example from professional, academic, or personal experience.
* + In this role, how would you use your skills and experience to improve government efficiency and effectiveness? Provide specific examples where you improved processes, reduced costs, or improved outcomes.
* + How would you help advance the President's Executive Orders and policy priorities in this role? Identify one or two relevant Executive Orders or policy initiatives that are significant to you, and explain how you would help implement them if hired.
* + How has a strong work ethic contributed to your professional, academic or personal achievements? Provide one or two specific examples, and explain how those qualities would enable you to serve effectively in this position.
**NEED HELP?**  
If you need help with USAJOBs or the application process, please see the USAJOBS Help or Application Manager Online Help websites which includes information on managing your account, creating an application, uploading documents, etc.  
**Reasonable Accommodation:** To request reasonable accommodation for any part of the application and hiring process, please contact Ebony Stephenson at Ebony.Stephenson2@usdoj.gov for assistance.  
### **Agency contact information**
Ebony Stephenson
Email
ebony.stephenson2@usdoj.gov
Address
*Justice Management Division \- Chief Information Officer*  
*2 Constitution Square*  
*145 N Street NE*  
*Room 9W.300*  
*Washington, DC 20530*  
*US*### **Next steps**
You will receive e\-mail notifications as your application status is updated by DOJ. However, you can also see your application status any time by logging in to your USAJOBS account and looking on the "Applications" page. Click the position title to expand the display for each application in the list.  
*We strive to extend a final offer of employment within 90 days from the close of this announcement. Additional selections may be made from this announcement within 90 days.*
**Overview**
------------
Accepting applications
Open \&amp; closing dates
03/02/2026 to 03/16/2026
This job will close when we have received **100 applications** which may be sooner than the closing date. Learn more
Salary
$169,279 to \- $197,200 per year
Pay scale \&amp; grade
GS 15
Location
2 vacancies in the following location:
Washington, DC
Remote job
No
Telework eligible
Yes—as determined by the agency policy.
Travel Required
25% or less \- You may be expected to travel for this position.
Relocation expenses reimbursed
No
Appointment type
Permanent
Work schedule
Full\-time
Service
Competitive
Promotion potential
15
Job family (Series)
* 2210 Information Technology Management
Supervisory status
Yes
Security clearance
Sensitive Compartmented Information
Drug test
Yes
Position sensitivity and risk
Special\-Sensitive (SS)/High Risk
Trust determination process
* Credentialing
* Suitability/Fitness
* National security
Financial disclosure
Yes
Bargaining unit status
No
Announcement number
JMD\-CIO\-26\-12886260\-DHA
Control number
859403200</t>
        </is>
      </c>
    </row>
    <row r="17">
      <c r="A17" t="inlineStr">
        <is>
          <t>in-8ca9e0dced9605dc</t>
        </is>
      </c>
      <c r="B17" t="inlineStr">
        <is>
          <t>Purchasing Program Manager - STLA F Platform</t>
        </is>
      </c>
      <c r="C17" t="inlineStr">
        <is>
          <t>Stellantis</t>
        </is>
      </c>
      <c r="D17" t="inlineStr">
        <is>
          <t>indeed</t>
        </is>
      </c>
      <c r="E17" t="inlineStr"/>
      <c r="F17" t="inlineStr"/>
      <c r="G17" t="inlineStr">
        <is>
          <t>Auburn Hills, MI, US</t>
        </is>
      </c>
      <c r="H17" s="1" t="n">
        <v>46082</v>
      </c>
      <c r="I17" t="inlineStr">
        <is>
          <t>The Purchasing Program Manager is responsible for leading the activities and the sourcing functions for new programs. This position will support the production buyers on purchasing responsibilities for the program and act as the liaison between purchasing and the cross functional teams including engineering, supplier quality, supply chain management, finance, VCE, manufacturing and suppliers.
The Program Manager ensures purchasing requirements and KPIs are met at each milestone by removing obstacles, aligning purchasing tasks with timelines, and prioritizing actions for execution and management support. This role leads the sourcing cycle and proactively manages risk by systematically identifying, assessing, and prioritizing potential issues. The Program Manager develops and implements mitigation plans, monitors risk status, escalates critical issues promptly, and coordinates cross\-functional responses to minimize impact.
Additionally, this position features executive\-level interface as the Program Manager is responsible for supporting Product Committee meetings in addition to other product development and governance activities.
Responsibilities include but are not limited to:
* Report out to executive leadership on purchasing metrics to support vehicle program metrics
* Guarantee the achievement of project targets through the selection of suppliers
* Ensure purchasing requirements and metrics are met at all program milestones by removing roadblocks
* Guarantee the adequacy / alignment between the project and the commodity teams on sourcing strategies for all parts, including carry over, also taking into account the supplier risk
* Align to the program variable and investment targets for purchased components
* Contribute to the development of economic targets
* Guarantee the achievement of ‘Tool Kick off' with supplier in line with the planning and the capacity requirements of the project
* Ensure compliance with the conditions of execution of the supplier contract (in particular cost, time and production capacity, etc.) in the development, industrialization and / or mass production phase
* Monitor the supplier's economic impacts for evolutions during development
* Support to detect failing suppliers as early as possible and ensure the right level of reactivity and escalation to deal with these cases of failure
* Assess program capacities, communicating the vehicle program needs so the team can properly support the program
* Provide purchasing's input throughout the various milestones of the development cycle (sourcing, launch readiness, post launch supplier issues/recognitions, etc.) to ensure a successful program
* Implement Resourcing strategy, optimizing DMC for all North America vehicles
Requirements:
**Basic Qualifications:**
* Bachelor's degree in Business, Finance, Supply Chain Management, or related field (ABET accredited)
* A minimum 8 years of relevant purchasing experience or other disciplines that require significant negotiation/exposure to sourcing processes
* Strong organizational skills; excels in fast\-paced, complex environments
* Strong negotiation skills and the ability to think and act strategically
* Self\-motivated, resourceful, and able to manage multiple projects
* Results\-oriented leader with experience guiding cross\-functional teams
* Excellent communication skills; comfortable with all management levels
* Deep understanding of Group Purchasing business processes
* Proficient in MS Office, SAP, and Qlik Sense
* Effective under pressure; strong interpersonal skills
* Willingness to travel (0–20%), primarily within North America
**Preferred Qualifications:**
* MBA / Master's degree
* Commodity Purchasing experience
* Previous Purchasing Program Management experience</t>
        </is>
      </c>
    </row>
    <row r="18">
      <c r="A18" t="inlineStr">
        <is>
          <t>in-261844f675bb86f8</t>
        </is>
      </c>
      <c r="B18" t="inlineStr">
        <is>
          <t>Product Owner, Digital Farming Solutions</t>
        </is>
      </c>
      <c r="C18" t="inlineStr">
        <is>
          <t>AGCO Corporation</t>
        </is>
      </c>
      <c r="D18" t="inlineStr">
        <is>
          <t>indeed</t>
        </is>
      </c>
      <c r="E18" t="inlineStr"/>
      <c r="F18" t="inlineStr"/>
      <c r="G18" t="inlineStr">
        <is>
          <t>US</t>
        </is>
      </c>
      <c r="H18" s="1" t="n">
        <v>46082</v>
      </c>
      <c r="I18" t="inlineStr">
        <is>
          <t>Date: Mar 2, 2026
Req ID: 103342
Location:
US
Brand: PTx
Workplace Type: Hybrid/Remote
Solutions for Every Season \- We engineer and deliver precision ag hardware, software, and cloud\-based platforms that connect every corner of the farm.
The Product Owner plays a key role in driving value delivery within our Agile software teams. As the primary voice of the customer, you ensure the backlog reflects business priorities, guides development toward strategic goals, and upholds product quality standards.
**Your Impact**
* Own and prioritize the product backlog to maximize customer and business value.
* Define clear, actionable user stories and support the creation of epics.
* Ensure teams understand roadmap objectives and sprint goals.
* Collaborate with UX to refine requirements, wireframes, and design concepts.
* Lead and actively engage in agile ceremonies (PI Planning, Sprint Planning, Refinement, Reviews, Retrospectives).
**Your Experience and Qualifications**
* Degree in computer science, IT, engineering, or related fields. 2 years of experience in digital farming or related areas. Experience in software development and agile methodologies.
* Coordinate across product owners to identify dependencies and refine shared features. Serve as the primary point of contact for global development teams, clarifying business needs.
* Remove blockers and secure required information to keep development moving.
* Strong analytical thinking, communication skills, and cross\-functional teamwork. Ability to work independently and manage complex stakeholder processes.
* Basic knowledge of agronomy and agricultural machinery is beneficial.
**Your Benefits**
* Health care and wellness plans
* Dental and vision plans
* Flexible and virtual work options (where available)
* 401(k) Savings Plan with company match
* Employee Stock Purchase Plan offering eligible employees the ability to purchase AGCO stock at a discounted price
* Paid holidays and paid time off
* Health savings and flexible spending accounts
* Reimbursement for continuing education
* Life insurance and other supplemental insurance plans
**Your Workplace**
You will work with your wonderful AGCO colleagues in the Remote model.  
We value inclusion and recognize the innovation a diverse workforce delivers to our farmers. Through our recruitment efforts, we are committed to building a team that includes a variety of experiences, backgrounds, cultures, and perspectives.
**Join us as we bring agriculture into the future and !**
**Solutions for Every Season**
------------------------------
We engineer and deliver precision ag hardware, software, and cloud based platforms that connect every corner of the farm.
**Job Segment:** Cloud, Scientific, User Experience, Computer Science, Agricultural, Technology, Engineering, Agriculture</t>
        </is>
      </c>
    </row>
    <row r="19">
      <c r="A19" t="inlineStr">
        <is>
          <t>in-a35265811fcc1d3f</t>
        </is>
      </c>
      <c r="B19" t="inlineStr">
        <is>
          <t>Technical Program Manager - Systems</t>
        </is>
      </c>
      <c r="C19" t="inlineStr">
        <is>
          <t>Tata Electronics</t>
        </is>
      </c>
      <c r="D19" t="inlineStr">
        <is>
          <t>indeed</t>
        </is>
      </c>
      <c r="E19" t="inlineStr"/>
      <c r="F19" t="inlineStr"/>
      <c r="G19" t="inlineStr">
        <is>
          <t>Santa Clara, CA, US</t>
        </is>
      </c>
      <c r="H19" s="1" t="n">
        <v>46070</v>
      </c>
      <c r="I19" t="inlineStr">
        <is>
          <t>Technical Program Manager \- Systems
Job ID:
31236
Date:
18 Feb 2026
Location:
Santa Clara, US
Department:
Business Development
Business:
Corporate
**About The Business**
Tata Electronics Private Limited (TEPL) is a greenfield venture of the Tata Group. The Tata Group operates in more than 100 countries across six continents, with the mission 'To improve the quality of life of the communities we serve globally, through long term stakeholder value creation based on leadership with Trust. Tata Electronics is redefining the EMS (Electronics Manufacturing Services) landscape by delivering innovative consumer electronics products, services and solutions.
If you’re passionate about engineering excellence, product reliability, and driving business growth, join us to help shape the future of electronics manufacturing.
**Responsibilities**
* Lead the end\-to\-end execution of technical programs related to consumer electronics products, parts, components, and modules.
* Work cross\-functionally with design, engineering, supply chain, manufacturing, and quality teams to ensure seamless program execution.
* Define program roadmaps, set clear goals, and drive key milestones from concept to mass production.
* Drive alignment between product design and manufacturing capabilities.
* Partner with Client technical teams, factory teams and original design manufacturer (ODM) partners to ramp up production and resolve technical issues.
* Identify program risks, develop mitigation strategies, and ensure timely execution of deliverables.
* Utilize data\-driven decision\-making to optimize processes, improve quality, and enhance operational efficiency.
* Represent operations in discussions with product design teams, influencing product architecture for optimal manufacturability, scalability, and cost.
* Establish best practices and standardized processes to drive continuous improvement across programs.
* Lead technical reviews, manage escalations, and communicate project status to executive leadership.
**Essential Attributes**
* Manage NPI and sustaining operations with a strong background in manufacturing with a level of understanding in:
	+ **Equipment**\- Oversee equipment selection, install, setup, qualification, and PM activities.
	+ **Process**\- Familiar with Line\-Bring Up (LBU) and qualification, including Final Assembly, Test, and Packout.
	+ **Quality**\- Able to lead quality excursions, identify Root Cause Analysis (RCA), and suggest corrective actions. Experienced in driving improvement programs to increase Overall Equipment Effectiveness (OEE).
* Strong technical acumen with a deep understanding of consumer electronics manufacturing, supply chain, and product development.
* Excellent program management skills with the ability to manage complex cross\-functional projects.
* Exceptional communication and leadership abilities to drive alignment across stakeholders.
* Analytical and data\-driven mindset, with problem\-solving skills to navigate ambiguity and complexity.
* Ability to work effectively in a fast\-paced, matrixed environment with multiple priorities.
* Strong negotiation skills and ability to influence decision\-making across global teams.
**Qualifications**
* Bachelor’s degree in Engineering (Mechanical, Electrical, Electronics, or a related field).
* Master’s degree (MBA or M.S.) is a plus.
**Desired Experience Level**
* 5\+ years of experience in technical program management, product operations within the consumer electronics industry.
* Experience with manufacturing equipment DFM review.
* Proven track record of successfully delivering large\-scale technical programs from concept to production.
* Experience working with OEM/ODM partners and driving manufacturing process improvements with international partners.
* Knowledge of manufacturing processes, quality control, and operational efficiencies in high\-volume consumer electronics production.
* Hands\-on experience in managing supply chain dynamics, logistics, and procurement.
* Experience in Data\-driven manufacturing, automation, or Industry 4\.0 technologies is a plus.
**Nearest Major Market:** San Jose
**Nearest Secondary Market:** Palo Alto</t>
        </is>
      </c>
    </row>
    <row r="20">
      <c r="A20" t="inlineStr">
        <is>
          <t>in-b4798275d7f4851d</t>
        </is>
      </c>
      <c r="B20" t="inlineStr">
        <is>
          <t>Senior Product Manager, Data</t>
        </is>
      </c>
      <c r="C20" t="inlineStr">
        <is>
          <t>Reserv</t>
        </is>
      </c>
      <c r="D20" t="inlineStr">
        <is>
          <t>indeed</t>
        </is>
      </c>
      <c r="E20" t="inlineStr"/>
      <c r="F20" t="inlineStr"/>
      <c r="G20" t="inlineStr">
        <is>
          <t>Atlanta, GA, US</t>
        </is>
      </c>
      <c r="H20" s="1" t="n">
        <v>46061</v>
      </c>
      <c r="I20" t="inlineStr">
        <is>
          <t>**About Reserv**
Reserv is an insurtech creating and incubating cutting\-edge AI and automation technology to bring efficiency and simplicity to claims. Founded by insurtech veterans with deep experience in SaaS and digital claims, Reserv is venture\-backed by Bain Capital and Altai Ventures and began operations in May 2022\. We are focused on automating highly manual tasks to tackle long\-standing problems in claims and set a new standard for TPAs, insurance technology providers, and adjusters alike.
We have ambitious (but attainable!) goals and need people who can work in an evolving environment. If building a leading TPA and the prospect of tackling the long\-standing challenges of the claims role sounds exciting, we can’t wait to meet you.
 **About the role**
* As the Senior Product Manager, Data at Reserv, you will be at the forefront of driving the development and innovation of our data\-centric products. Working at the intersection of business, technology, and customer experience, you will be responsible for managing data products that support our insurance services and operations. You will lead the strategy, execution, and delivery of data solutions, leveraging insights to improve decision\-making, enhance operational efficiency, and provide value to our customers.  
In this role, you will collaborate closely with engineering, data science, operations, and business teams to ensure our data products align with the company’s goals. You will oversee the product lifecycle, from gathering requirements to launching new features, and continuously optimize product performance to meet evolving market needs.
**Who you are**
* **Data\-Driven**: You possess strong data analytics skills, using data to inform product decisions and measure success, with experience in business intelligence tools and performance metrics.
* **Technically Proficient**: You understand data architecture, analytics platforms, and are comfortable working with engineering teams to build robust data solutions.
* **Customer\-Focused**: You have a customer\-centric approach, gathering insights and transforming them into product features that enhance customer experience and drive value.
* **Strategic Thinker**: You have the ability to align product strategy with business objectives, identifying opportunities for innovation and growth within the data landscape.
* **Agile Practitioner**: You are experienced in Agile methodologies, able to manage backlogs, lead sprint planning, and work effectively in a fast\-paced, dynamic environment.
* **Collaborative Leader**: You work well with cross\-functional teams, influencing stakeholders at all levels and fostering a collaborative environment to achieve product goals.
* **Excellent Communicator**: You have strong communication skills, able to articulate complex concepts and product visions to both technical and non\-technical stakeholders.
* **Problem Solver**: You are skilled at analyzing problems, identifying solutions, and making data\-informed decisions to drive product success.
* **Adaptable \&amp; Innovative**: You thrive in an evolving environment, staying up\-to\-date with the latest industry trends and technologies to keep products competitive.
 **What you'll do**
* Gain a deep understanding of customer experience, identify and fill product gaps and generate new ideas that grow market share, improve customer experience and drive growth
* Create buy\-in for the product vision both internally and with key external partners
* Develop product pricing and positioning strategies
* Translate product strategy into detailed requirements and prototypes
* Scope and prioritize activities based on business and customer impact
* Work closely with engineering teams to deliver with quick time\-to\-market and optimal resources
* Drive product launches including working with public relations team, executives, and other product management team members
* Evaluate promotional plans to ensure that they are consistent with product line strategy and that the message is effectively conveyed
* Act as a product evangelist to build awareness and understanding
* Represent the company by visiting customers to solicit feedback on company products and services
* Support the product function globally
**Qualifications**
* Minimum of 5 years of experience in product management, with a focus on data\-driven products, ideally in the insurance or financial services industry.
* Familiarity with data architecture, data management, and analytics platforms, with a proven ability to work closely with engineering teams.
* Experience managing products in an Agile environment, including writing user stories, managing backlogs, and facilitating sprint planning sessions.
* Experience in managing end\-to\-end product life cycles, including developing and prioritizing product roadmaps and ensuring alignment with business goals.
* Strong analytical and critical thinking skills, with the ability to make data\-informed decisions in fast\-paced environments.
**Benefits**
* Generous health\-insurance package with nationwide coverage, vision, \&amp; dental
* 401(k) retirement plan with employer matching
* Competitive PTO policy – we want our employees fresh, healthy, happy, and energized!
* Generous family leave policy after 8 months of continuous work
* Work from anywhere to facilitate your work life balance
* Apple laptop, large second monitor, and other quality\-of\-life equipment you may want. Technology is something that should make your life easier, not harder!
 **Additionally, we will**
* Listen to your feedback to enhance and improve upon the long\-standing challenges of an adjuster and the claims role
* Work toward reducing and eliminating all the administrative work from an adjuster role
* Foster a culture of empathy, transparency, and empowerment in a remote\-first environment
At Reserv, we value diversity in backgrounds, perspectives, and life experiences and believe that diversity in viewpoints and critical thinking drives innovation, first\-principles thinking, and success. We welcome applicants from all backgrounds and encourage those from all walks of life to apply. If you believe you are a good fit for this role, we would love to hear from you!</t>
        </is>
      </c>
    </row>
    <row r="21">
      <c r="A21" t="inlineStr">
        <is>
          <t>in-23af928832171819</t>
        </is>
      </c>
      <c r="B21" t="inlineStr">
        <is>
          <t>Sr Program Manager, Devices Trade Compliance</t>
        </is>
      </c>
      <c r="C21" t="inlineStr">
        <is>
          <t>Amazon.com</t>
        </is>
      </c>
      <c r="D21" t="inlineStr">
        <is>
          <t>indeed</t>
        </is>
      </c>
      <c r="E21" t="inlineStr"/>
      <c r="F21" t="inlineStr"/>
      <c r="G21" t="inlineStr">
        <is>
          <t>Seattle, WA, US</t>
        </is>
      </c>
      <c r="H21" s="1" t="n">
        <v>46030</v>
      </c>
      <c r="I21"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22">
      <c r="A22" t="inlineStr">
        <is>
          <t>in-6f99fee985bc354a</t>
        </is>
      </c>
      <c r="B22" t="inlineStr">
        <is>
          <t>Sr Program Manager, Devices Trade Compliance</t>
        </is>
      </c>
      <c r="C22" t="inlineStr">
        <is>
          <t>Amazon.com</t>
        </is>
      </c>
      <c r="D22" t="inlineStr">
        <is>
          <t>indeed</t>
        </is>
      </c>
      <c r="E22" t="inlineStr"/>
      <c r="F22" t="inlineStr"/>
      <c r="G22" t="inlineStr">
        <is>
          <t>Sunnyvale, CA, US</t>
        </is>
      </c>
      <c r="H22" s="1" t="n">
        <v>46030</v>
      </c>
      <c r="I22"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23">
      <c r="A23" t="inlineStr">
        <is>
          <t>in-585bda8cbcd48a44</t>
        </is>
      </c>
      <c r="B23" t="inlineStr">
        <is>
          <t>Principal Product Manager - Tech, Sponsored Products and Brands</t>
        </is>
      </c>
      <c r="C23" t="inlineStr">
        <is>
          <t>Amazon.com</t>
        </is>
      </c>
      <c r="D23" t="inlineStr">
        <is>
          <t>indeed</t>
        </is>
      </c>
      <c r="E23" t="inlineStr"/>
      <c r="F23" t="inlineStr"/>
      <c r="G23" t="inlineStr">
        <is>
          <t>Palo Alto, CA, US</t>
        </is>
      </c>
      <c r="H23" s="1" t="n">
        <v>46019</v>
      </c>
      <c r="I2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in-349a63984e1982ad</t>
        </is>
      </c>
      <c r="B24" t="inlineStr">
        <is>
          <t>Principal Product Manager - Tech, Sponsored Products and Brands</t>
        </is>
      </c>
      <c r="C24" t="inlineStr">
        <is>
          <t>Amazon.com</t>
        </is>
      </c>
      <c r="D24" t="inlineStr">
        <is>
          <t>indeed</t>
        </is>
      </c>
      <c r="E24" t="inlineStr"/>
      <c r="F24" t="inlineStr"/>
      <c r="G24" t="inlineStr">
        <is>
          <t>New York, NY, US</t>
        </is>
      </c>
      <c r="H24" s="1" t="n">
        <v>46019</v>
      </c>
      <c r="I2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in-02e79cdacfe70c28</t>
        </is>
      </c>
      <c r="B25" t="inlineStr">
        <is>
          <t>Principal Product Manager - Tech, Sponsored Products and Brands</t>
        </is>
      </c>
      <c r="C25" t="inlineStr">
        <is>
          <t>Amazon.com</t>
        </is>
      </c>
      <c r="D25" t="inlineStr">
        <is>
          <t>indeed</t>
        </is>
      </c>
      <c r="E25" t="inlineStr"/>
      <c r="F25" t="inlineStr"/>
      <c r="G25" t="inlineStr">
        <is>
          <t>Seattle, WA, US</t>
        </is>
      </c>
      <c r="H25" s="1" t="n">
        <v>46019</v>
      </c>
      <c r="I2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in-e6efd8da1310ea84</t>
        </is>
      </c>
      <c r="B26" t="inlineStr">
        <is>
          <t>Sr. Product Manager - Technical, CS Intelligence, AWS Specialist and Partner Organization</t>
        </is>
      </c>
      <c r="C26" t="inlineStr">
        <is>
          <t>Amazon Web Services</t>
        </is>
      </c>
      <c r="D26" t="inlineStr">
        <is>
          <t>indeed</t>
        </is>
      </c>
      <c r="E26" t="inlineStr"/>
      <c r="F26" t="inlineStr"/>
      <c r="G26" t="inlineStr">
        <is>
          <t>San Francisco, CA, US</t>
        </is>
      </c>
      <c r="H26" s="1" t="n">
        <v>46002</v>
      </c>
      <c r="I26"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7">
      <c r="A27" t="inlineStr">
        <is>
          <t>in-4f130c9b6ceb62dd</t>
        </is>
      </c>
      <c r="B27" t="inlineStr">
        <is>
          <t>Sr. Product Manager - Technical, CS Intelligence, AWS Specialist and Partner Organization</t>
        </is>
      </c>
      <c r="C27" t="inlineStr">
        <is>
          <t>Amazon Web Services</t>
        </is>
      </c>
      <c r="D27" t="inlineStr">
        <is>
          <t>indeed</t>
        </is>
      </c>
      <c r="E27" t="inlineStr"/>
      <c r="F27" t="inlineStr"/>
      <c r="G27" t="inlineStr">
        <is>
          <t>Mountain View, CA, US</t>
        </is>
      </c>
      <c r="H27" s="1" t="n">
        <v>46002</v>
      </c>
      <c r="I27"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8">
      <c r="A28" t="inlineStr">
        <is>
          <t>in-25563e53fcb57f57</t>
        </is>
      </c>
      <c r="B28" t="inlineStr">
        <is>
          <t>Sr. Product Manager - Technical, CS Intelligence, AWS Specialist and Partner Organization</t>
        </is>
      </c>
      <c r="C28" t="inlineStr">
        <is>
          <t>Amazon Web Services</t>
        </is>
      </c>
      <c r="D28" t="inlineStr">
        <is>
          <t>indeed</t>
        </is>
      </c>
      <c r="E28" t="inlineStr"/>
      <c r="F28" t="inlineStr"/>
      <c r="G28" t="inlineStr">
        <is>
          <t>Seattle, WA, US</t>
        </is>
      </c>
      <c r="H28" s="1" t="n">
        <v>46002</v>
      </c>
      <c r="I28"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9">
      <c r="A29" t="inlineStr">
        <is>
          <t>in-5d220d8a3c64f043</t>
        </is>
      </c>
      <c r="B29" t="inlineStr">
        <is>
          <t>Sr. Product Manager - Technical, CS Intelligence, AWS Specialist and Partner Organization</t>
        </is>
      </c>
      <c r="C29" t="inlineStr">
        <is>
          <t>Amazon Web Services</t>
        </is>
      </c>
      <c r="D29" t="inlineStr">
        <is>
          <t>indeed</t>
        </is>
      </c>
      <c r="E29" t="inlineStr"/>
      <c r="F29" t="inlineStr"/>
      <c r="G29" t="inlineStr">
        <is>
          <t>Sunnyvale, CA, US</t>
        </is>
      </c>
      <c r="H29" s="1" t="n">
        <v>46002</v>
      </c>
      <c r="I29"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0">
      <c r="A30" t="inlineStr">
        <is>
          <t>in-2b41dfc44a253192</t>
        </is>
      </c>
      <c r="B30" t="inlineStr">
        <is>
          <t>Global Signage &amp; Wayfinding Designer Program Manager, Workplace Design &amp; Construction (WD&amp;C)</t>
        </is>
      </c>
      <c r="C30" t="inlineStr">
        <is>
          <t>Amazon.com</t>
        </is>
      </c>
      <c r="D30" t="inlineStr">
        <is>
          <t>indeed</t>
        </is>
      </c>
      <c r="E30" t="inlineStr"/>
      <c r="F30" t="inlineStr"/>
      <c r="G30" t="inlineStr">
        <is>
          <t>Arlington, VA, US</t>
        </is>
      </c>
      <c r="H30" s="1" t="n">
        <v>45998</v>
      </c>
      <c r="I30"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in-def6ffaee16639e2</t>
        </is>
      </c>
      <c r="B31" t="inlineStr">
        <is>
          <t>Global Signage &amp; Wayfinding Designer Program Manager, Workplace Design &amp; Construction (WD&amp;C)</t>
        </is>
      </c>
      <c r="C31" t="inlineStr">
        <is>
          <t>Amazon.com</t>
        </is>
      </c>
      <c r="D31" t="inlineStr">
        <is>
          <t>indeed</t>
        </is>
      </c>
      <c r="E31" t="inlineStr"/>
      <c r="F31" t="inlineStr"/>
      <c r="G31" t="inlineStr">
        <is>
          <t>Seattle, WA, US</t>
        </is>
      </c>
      <c r="H31" s="1" t="n">
        <v>45998</v>
      </c>
      <c r="I31"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in-79f71c0646e0c052</t>
        </is>
      </c>
      <c r="B32" t="inlineStr">
        <is>
          <t>Senior Product Manager, Ads</t>
        </is>
      </c>
      <c r="C32" t="inlineStr">
        <is>
          <t>Amazon.com</t>
        </is>
      </c>
      <c r="D32" t="inlineStr">
        <is>
          <t>indeed</t>
        </is>
      </c>
      <c r="E32" t="inlineStr"/>
      <c r="F32" t="inlineStr"/>
      <c r="G32" t="inlineStr">
        <is>
          <t>New York, NY, US</t>
        </is>
      </c>
      <c r="H32" s="1" t="n">
        <v>45994</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in-14d515b2bab48899</t>
        </is>
      </c>
      <c r="B33" t="inlineStr">
        <is>
          <t>Senior Product Manager, Ads</t>
        </is>
      </c>
      <c r="C33" t="inlineStr">
        <is>
          <t>Amazon.com</t>
        </is>
      </c>
      <c r="D33" t="inlineStr">
        <is>
          <t>indeed</t>
        </is>
      </c>
      <c r="E33" t="inlineStr"/>
      <c r="F33" t="inlineStr"/>
      <c r="G33" t="inlineStr">
        <is>
          <t>Los Angeles, CA, US</t>
        </is>
      </c>
      <c r="H33" s="1" t="n">
        <v>45994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in-b542643e9f5c869b</t>
        </is>
      </c>
      <c r="B34" t="inlineStr">
        <is>
          <t>Senior Product Manager, Ads</t>
        </is>
      </c>
      <c r="C34" t="inlineStr">
        <is>
          <t>Amazon.com</t>
        </is>
      </c>
      <c r="D34" t="inlineStr">
        <is>
          <t>indeed</t>
        </is>
      </c>
      <c r="E34" t="inlineStr"/>
      <c r="F34" t="inlineStr"/>
      <c r="G34" t="inlineStr">
        <is>
          <t>Los Angeles, CA, US</t>
        </is>
      </c>
      <c r="H34" s="1" t="n">
        <v>45994</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in-05a822966e1ad304</t>
        </is>
      </c>
      <c r="B35" t="inlineStr">
        <is>
          <t>Senior Product Manager, Ads</t>
        </is>
      </c>
      <c r="C35" t="inlineStr">
        <is>
          <t>Amazon.com</t>
        </is>
      </c>
      <c r="D35" t="inlineStr">
        <is>
          <t>indeed</t>
        </is>
      </c>
      <c r="E35" t="inlineStr"/>
      <c r="F35" t="inlineStr"/>
      <c r="G35" t="inlineStr">
        <is>
          <t>San Francisco, CA, US</t>
        </is>
      </c>
      <c r="H35" s="1" t="n">
        <v>45994</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in-164a868f2dfaa1aa</t>
        </is>
      </c>
      <c r="B36" t="inlineStr">
        <is>
          <t>Senior Product Manager, Ads</t>
        </is>
      </c>
      <c r="C36" t="inlineStr">
        <is>
          <t>Amazon.com</t>
        </is>
      </c>
      <c r="D36" t="inlineStr">
        <is>
          <t>indeed</t>
        </is>
      </c>
      <c r="E36" t="inlineStr"/>
      <c r="F36" t="inlineStr"/>
      <c r="G36" t="inlineStr">
        <is>
          <t>San Francisco, CA, US</t>
        </is>
      </c>
      <c r="H36" s="1" t="n">
        <v>45994</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in-4a02b22fd1cf57ad</t>
        </is>
      </c>
      <c r="B37" t="inlineStr">
        <is>
          <t>Senior Product Manager, Ads</t>
        </is>
      </c>
      <c r="C37" t="inlineStr">
        <is>
          <t>Amazon.com</t>
        </is>
      </c>
      <c r="D37" t="inlineStr">
        <is>
          <t>indeed</t>
        </is>
      </c>
      <c r="E37" t="inlineStr"/>
      <c r="F37" t="inlineStr"/>
      <c r="G37" t="inlineStr">
        <is>
          <t>Irvine, CA, US</t>
        </is>
      </c>
      <c r="H37" s="1" t="n">
        <v>45994</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in-fb6ec1f03d759b6f</t>
        </is>
      </c>
      <c r="B38" t="inlineStr">
        <is>
          <t>Senior Product Manager, Ads</t>
        </is>
      </c>
      <c r="C38" t="inlineStr">
        <is>
          <t>Amazon.com</t>
        </is>
      </c>
      <c r="D38" t="inlineStr">
        <is>
          <t>indeed</t>
        </is>
      </c>
      <c r="E38" t="inlineStr"/>
      <c r="F38" t="inlineStr"/>
      <c r="G38" t="inlineStr">
        <is>
          <t>Irvine, CA, US</t>
        </is>
      </c>
      <c r="H38" s="1" t="n">
        <v>45994</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in-9e905d34db08e4f8</t>
        </is>
      </c>
      <c r="B39" t="inlineStr">
        <is>
          <t>Senior Product Manager, Ads</t>
        </is>
      </c>
      <c r="C39" t="inlineStr">
        <is>
          <t>Amazon.com</t>
        </is>
      </c>
      <c r="D39" t="inlineStr">
        <is>
          <t>indeed</t>
        </is>
      </c>
      <c r="E39" t="inlineStr"/>
      <c r="F39" t="inlineStr"/>
      <c r="G39" t="inlineStr">
        <is>
          <t>New York, NY, US</t>
        </is>
      </c>
      <c r="H39" s="1" t="n">
        <v>45994</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in-648a060963748e08</t>
        </is>
      </c>
      <c r="B40" t="inlineStr">
        <is>
          <t>Senior Product Manager, Ads</t>
        </is>
      </c>
      <c r="C40" t="inlineStr">
        <is>
          <t>Amazon.com</t>
        </is>
      </c>
      <c r="D40" t="inlineStr">
        <is>
          <t>indeed</t>
        </is>
      </c>
      <c r="E40" t="inlineStr"/>
      <c r="F40" t="inlineStr"/>
      <c r="G40" t="inlineStr">
        <is>
          <t>Seattle, WA, US</t>
        </is>
      </c>
      <c r="H40" s="1" t="n">
        <v>45994</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in-705d9ff3822a32bd</t>
        </is>
      </c>
      <c r="B41" t="inlineStr">
        <is>
          <t>Senior Product Manager, Ads</t>
        </is>
      </c>
      <c r="C41" t="inlineStr">
        <is>
          <t>Amazon.com</t>
        </is>
      </c>
      <c r="D41" t="inlineStr">
        <is>
          <t>indeed</t>
        </is>
      </c>
      <c r="E41" t="inlineStr"/>
      <c r="F41" t="inlineStr"/>
      <c r="G41" t="inlineStr">
        <is>
          <t>Seattle, WA, US</t>
        </is>
      </c>
      <c r="H41" s="1" t="n">
        <v>45994</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in-902ddab3879e80e0</t>
        </is>
      </c>
      <c r="B42" t="inlineStr">
        <is>
          <t>Sr. Product Manager</t>
        </is>
      </c>
      <c r="C42" t="inlineStr">
        <is>
          <t>Amazon.com</t>
        </is>
      </c>
      <c r="D42" t="inlineStr">
        <is>
          <t>indeed</t>
        </is>
      </c>
      <c r="E42" t="inlineStr"/>
      <c r="F42" t="inlineStr"/>
      <c r="G42" t="inlineStr">
        <is>
          <t>Seattle, WA, US</t>
        </is>
      </c>
      <c r="H42" s="1" t="n">
        <v>45979</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in-b153e92bbcfdf5f0</t>
        </is>
      </c>
      <c r="B43" t="inlineStr">
        <is>
          <t>Sr. Product Manager</t>
        </is>
      </c>
      <c r="C43" t="inlineStr">
        <is>
          <t>Amazon.com</t>
        </is>
      </c>
      <c r="D43" t="inlineStr">
        <is>
          <t>indeed</t>
        </is>
      </c>
      <c r="E43" t="inlineStr"/>
      <c r="F43" t="inlineStr"/>
      <c r="G43" t="inlineStr">
        <is>
          <t>San Francisco, CA, US</t>
        </is>
      </c>
      <c r="H43" s="1" t="n">
        <v>45979</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in-94da47fa1dfa9a28</t>
        </is>
      </c>
      <c r="B44" t="inlineStr">
        <is>
          <t>Sr. Product Manager</t>
        </is>
      </c>
      <c r="C44" t="inlineStr">
        <is>
          <t>Amazon.com</t>
        </is>
      </c>
      <c r="D44" t="inlineStr">
        <is>
          <t>indeed</t>
        </is>
      </c>
      <c r="E44" t="inlineStr"/>
      <c r="F44" t="inlineStr"/>
      <c r="G44" t="inlineStr">
        <is>
          <t>Los Angeles, CA, US</t>
        </is>
      </c>
      <c r="H44" s="1" t="n">
        <v>45979</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in-e538486b7f9d4517</t>
        </is>
      </c>
      <c r="B45" t="inlineStr">
        <is>
          <t>Sr. Product Manager</t>
        </is>
      </c>
      <c r="C45" t="inlineStr">
        <is>
          <t>Amazon.com</t>
        </is>
      </c>
      <c r="D45" t="inlineStr">
        <is>
          <t>indeed</t>
        </is>
      </c>
      <c r="E45" t="inlineStr"/>
      <c r="F45" t="inlineStr"/>
      <c r="G45" t="inlineStr">
        <is>
          <t>New York, NY, US</t>
        </is>
      </c>
      <c r="H45" s="1" t="n">
        <v>45979</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in-a77f7c69da5182c9</t>
        </is>
      </c>
      <c r="B46" t="inlineStr">
        <is>
          <t>Sr. Product Manager</t>
        </is>
      </c>
      <c r="C46" t="inlineStr">
        <is>
          <t>Amazon.com</t>
        </is>
      </c>
      <c r="D46" t="inlineStr">
        <is>
          <t>indeed</t>
        </is>
      </c>
      <c r="E46" t="inlineStr"/>
      <c r="F46" t="inlineStr"/>
      <c r="G46" t="inlineStr">
        <is>
          <t>Irvine, CA, US</t>
        </is>
      </c>
      <c r="H46" s="1" t="n">
        <v>45979</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in-0a71ab0b5b40bae5</t>
        </is>
      </c>
      <c r="B47" t="inlineStr">
        <is>
          <t>Program Manager, Executive Content and Programs, Global Executive Marketing</t>
        </is>
      </c>
      <c r="C47" t="inlineStr">
        <is>
          <t>Amazon Web Services</t>
        </is>
      </c>
      <c r="D47" t="inlineStr">
        <is>
          <t>indeed</t>
        </is>
      </c>
      <c r="E47" t="inlineStr"/>
      <c r="F47" t="inlineStr"/>
      <c r="G47" t="inlineStr">
        <is>
          <t>Arlington, VA, US</t>
        </is>
      </c>
      <c r="H47" s="1" t="n">
        <v>45970</v>
      </c>
      <c r="I4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in-be64f9f6279d83ff</t>
        </is>
      </c>
      <c r="B48" t="inlineStr">
        <is>
          <t>Program Manager, Executive Content and Programs, Global Executive Marketing</t>
        </is>
      </c>
      <c r="C48" t="inlineStr">
        <is>
          <t>Amazon Web Services</t>
        </is>
      </c>
      <c r="D48" t="inlineStr">
        <is>
          <t>indeed</t>
        </is>
      </c>
      <c r="E48" t="inlineStr"/>
      <c r="F48" t="inlineStr"/>
      <c r="G48" t="inlineStr">
        <is>
          <t>Seattle, WA, US</t>
        </is>
      </c>
      <c r="H48" s="1" t="n">
        <v>45970</v>
      </c>
      <c r="I48"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in-d475ef47985a9bcd</t>
        </is>
      </c>
      <c r="B49" t="inlineStr">
        <is>
          <t>Sr Product Manager – Technical, Amazon Leo for Government</t>
        </is>
      </c>
      <c r="C49" t="inlineStr">
        <is>
          <t>Amazon.com</t>
        </is>
      </c>
      <c r="D49" t="inlineStr">
        <is>
          <t>indeed</t>
        </is>
      </c>
      <c r="E49" t="inlineStr"/>
      <c r="F49" t="inlineStr"/>
      <c r="G49" t="inlineStr">
        <is>
          <t>El Segundo, CA, US</t>
        </is>
      </c>
      <c r="H49" s="1" t="n">
        <v>45951</v>
      </c>
      <c r="I4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in-49a59cd4556a7d9d</t>
        </is>
      </c>
      <c r="B50" t="inlineStr">
        <is>
          <t>Sr Product Manager – Technical, Amazon Leo for Government</t>
        </is>
      </c>
      <c r="C50" t="inlineStr">
        <is>
          <t>Amazon.com</t>
        </is>
      </c>
      <c r="D50" t="inlineStr">
        <is>
          <t>indeed</t>
        </is>
      </c>
      <c r="E50" t="inlineStr"/>
      <c r="F50" t="inlineStr"/>
      <c r="G50" t="inlineStr">
        <is>
          <t>Redmond, WA, US</t>
        </is>
      </c>
      <c r="H50" s="1" t="n">
        <v>45951</v>
      </c>
      <c r="I5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in-571f2d6f36047734</t>
        </is>
      </c>
      <c r="B51" t="inlineStr">
        <is>
          <t>Sr Product Manager – Technical, Amazon Leo for Government</t>
        </is>
      </c>
      <c r="C51" t="inlineStr">
        <is>
          <t>Amazon.com</t>
        </is>
      </c>
      <c r="D51" t="inlineStr">
        <is>
          <t>indeed</t>
        </is>
      </c>
      <c r="E51" t="inlineStr"/>
      <c r="F51" t="inlineStr"/>
      <c r="G51" t="inlineStr">
        <is>
          <t>Arlington, VA, US</t>
        </is>
      </c>
      <c r="H51" s="1" t="n">
        <v>45951</v>
      </c>
      <c r="I5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in-e1c172b33b38a28d</t>
        </is>
      </c>
      <c r="B52" t="inlineStr">
        <is>
          <t>Principal Product Manager-Tech, World Wide Grocery Store Tech</t>
        </is>
      </c>
      <c r="C52" t="inlineStr">
        <is>
          <t>Amazon.com</t>
        </is>
      </c>
      <c r="D52" t="inlineStr">
        <is>
          <t>indeed</t>
        </is>
      </c>
      <c r="E52" t="inlineStr"/>
      <c r="F52" t="inlineStr"/>
      <c r="G52" t="inlineStr">
        <is>
          <t>Austin, TX, US</t>
        </is>
      </c>
      <c r="H52" s="1" t="n">
        <v>45948</v>
      </c>
      <c r="I52"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53">
      <c r="A53" t="inlineStr">
        <is>
          <t>in-59a017e795e558f0</t>
        </is>
      </c>
      <c r="B53" t="inlineStr">
        <is>
          <t>Principal Product Manager-Tech, World Wide Grocery Store Tech</t>
        </is>
      </c>
      <c r="C53" t="inlineStr">
        <is>
          <t>Amazon.com</t>
        </is>
      </c>
      <c r="D53" t="inlineStr">
        <is>
          <t>indeed</t>
        </is>
      </c>
      <c r="E53" t="inlineStr"/>
      <c r="F53" t="inlineStr"/>
      <c r="G53" t="inlineStr">
        <is>
          <t>Seattle, WA, US</t>
        </is>
      </c>
      <c r="H53" s="1" t="n">
        <v>45948</v>
      </c>
      <c r="I53"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54">
      <c r="A54" t="inlineStr">
        <is>
          <t>in-5cfd1e76bdd11e6e</t>
        </is>
      </c>
      <c r="B54" t="inlineStr">
        <is>
          <t>Principal Product Manager Tech, Sponsored Products and Brands</t>
        </is>
      </c>
      <c r="C54" t="inlineStr">
        <is>
          <t>Amazon.com</t>
        </is>
      </c>
      <c r="D54" t="inlineStr">
        <is>
          <t>indeed</t>
        </is>
      </c>
      <c r="E54" t="inlineStr"/>
      <c r="F54" t="inlineStr"/>
      <c r="G54" t="inlineStr">
        <is>
          <t>New York, NY, US</t>
        </is>
      </c>
      <c r="H54" s="1" t="n">
        <v>45923</v>
      </c>
      <c r="I5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in-e1a6d0def696f3ab</t>
        </is>
      </c>
      <c r="B55" t="inlineStr">
        <is>
          <t>Principal Product Manager Tech, Sponsored Products and Brands</t>
        </is>
      </c>
      <c r="C55" t="inlineStr">
        <is>
          <t>Amazon.com</t>
        </is>
      </c>
      <c r="D55" t="inlineStr">
        <is>
          <t>indeed</t>
        </is>
      </c>
      <c r="E55" t="inlineStr"/>
      <c r="F55" t="inlineStr"/>
      <c r="G55" t="inlineStr">
        <is>
          <t>Seattle, WA, US</t>
        </is>
      </c>
      <c r="H55" s="1" t="n">
        <v>45923</v>
      </c>
      <c r="I5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in-545148c477fe6db4</t>
        </is>
      </c>
      <c r="B56" t="inlineStr">
        <is>
          <t>Sr. EHS Program Manager, Safety Learning and Development</t>
        </is>
      </c>
      <c r="C56" t="inlineStr">
        <is>
          <t>Amazon.com</t>
        </is>
      </c>
      <c r="D56" t="inlineStr">
        <is>
          <t>indeed</t>
        </is>
      </c>
      <c r="E56" t="inlineStr"/>
      <c r="F56" t="inlineStr"/>
      <c r="G56" t="inlineStr">
        <is>
          <t>Nashville, TN, US</t>
        </is>
      </c>
      <c r="H56" s="1" t="n">
        <v>45910</v>
      </c>
      <c r="I56"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in-bdaff80dac56efa5</t>
        </is>
      </c>
      <c r="B57" t="inlineStr">
        <is>
          <t>Sr. EHS Program Manager, Safety Learning and Development</t>
        </is>
      </c>
      <c r="C57" t="inlineStr">
        <is>
          <t>Amazon.com</t>
        </is>
      </c>
      <c r="D57" t="inlineStr">
        <is>
          <t>indeed</t>
        </is>
      </c>
      <c r="E57" t="inlineStr"/>
      <c r="F57" t="inlineStr"/>
      <c r="G57" t="inlineStr">
        <is>
          <t>Bellevue, WA, US</t>
        </is>
      </c>
      <c r="H57" s="1" t="n">
        <v>45910</v>
      </c>
      <c r="I5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in-1e9a1c72c440363e</t>
        </is>
      </c>
      <c r="B58" t="inlineStr">
        <is>
          <t>Principal Product Manager - Technical, Alexa Communications</t>
        </is>
      </c>
      <c r="C58" t="inlineStr">
        <is>
          <t>Amazon.com</t>
        </is>
      </c>
      <c r="D58" t="inlineStr">
        <is>
          <t>indeed</t>
        </is>
      </c>
      <c r="E58" t="inlineStr"/>
      <c r="F58" t="inlineStr"/>
      <c r="G58" t="inlineStr">
        <is>
          <t>Irvine, CA, US</t>
        </is>
      </c>
      <c r="H58" s="1" t="n">
        <v>45993</v>
      </c>
      <c r="I5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9">
      <c r="A59" t="inlineStr">
        <is>
          <t>in-2b9ef824fa86768d</t>
        </is>
      </c>
      <c r="B59" t="inlineStr">
        <is>
          <t>Principal Product Manager - Technical, Alexa Communications</t>
        </is>
      </c>
      <c r="C59" t="inlineStr">
        <is>
          <t>Amazon.com</t>
        </is>
      </c>
      <c r="D59" t="inlineStr">
        <is>
          <t>indeed</t>
        </is>
      </c>
      <c r="E59" t="inlineStr"/>
      <c r="F59" t="inlineStr"/>
      <c r="G59" t="inlineStr">
        <is>
          <t>Seattle, WA, US</t>
        </is>
      </c>
      <c r="H59" s="1" t="n">
        <v>45993</v>
      </c>
      <c r="I5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0">
      <c r="A60" t="inlineStr">
        <is>
          <t>in-99734e5cf7a99577</t>
        </is>
      </c>
      <c r="B60" t="inlineStr">
        <is>
          <t>Principal Product Manager - Technical, Alexa Communications</t>
        </is>
      </c>
      <c r="C60" t="inlineStr">
        <is>
          <t>Amazon.com</t>
        </is>
      </c>
      <c r="D60" t="inlineStr">
        <is>
          <t>indeed</t>
        </is>
      </c>
      <c r="E60" t="inlineStr"/>
      <c r="F60" t="inlineStr"/>
      <c r="G60" t="inlineStr">
        <is>
          <t>Sunnyvale, CA, US</t>
        </is>
      </c>
      <c r="H60" s="1" t="n">
        <v>45993</v>
      </c>
      <c r="I6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1">
      <c r="A61" t="inlineStr">
        <is>
          <t>in-2bef3615e21016b3</t>
        </is>
      </c>
      <c r="B61" t="inlineStr">
        <is>
          <t>AI Product Owner / Product Manager</t>
        </is>
      </c>
      <c r="C61" t="inlineStr">
        <is>
          <t>TruStartIT LLC</t>
        </is>
      </c>
      <c r="D61" t="inlineStr">
        <is>
          <t>indeed</t>
        </is>
      </c>
      <c r="E61" t="inlineStr"/>
      <c r="F61" t="inlineStr"/>
      <c r="G61" t="inlineStr">
        <is>
          <t>Coppell, TX, US</t>
        </is>
      </c>
      <c r="H61" s="1" t="n">
        <v>46083</v>
      </c>
      <c r="I61" t="inlineStr">
        <is>
          <t>We are building an AI\-powered product and are looking for an experienced AI Product Owner to lead strategy, roadmap, and execution. This role will own the product lifecycle end\-to\-end and work closely with engineering and AI teams to deliver high\-impact solutions.
**Responsibilities**
Define and execute product vision and roadmap
Translate business goals into clear product requirements
Manage backlog, sprint planning, and releases
Collaborate with AI/ML engineers on model\-driven features
Define KPIs and measure product performance
Conduct user research and validate product\-market fit
Align cross\-functional stakeholders
**Requirements**
3\+ years of product management experience
Experience shipping AI/ML\-enabled products
Strong Agile/Scrum background
Ability to work with technical teams and APIs
Excellent communication and analytical skills
**Nice to Have**
Experience with LLM\-based products
Startup experience
Technical background (Engineering, Data, CS)
Pay: $90,000\.00 \- $130,000\.00 per year
Application Question(s):
* Years of product management experience?*\_*
Work Location: Hybrid remote in Coppell, TX 75019</t>
        </is>
      </c>
    </row>
    <row r="62">
      <c r="A62" t="inlineStr">
        <is>
          <t>in-86cee56023f85ba0</t>
        </is>
      </c>
      <c r="B62" t="inlineStr">
        <is>
          <t>Principal Product Manager - Tech, Recommender Systems, Prime Video Personalization &amp; Discovery</t>
        </is>
      </c>
      <c r="C62" t="inlineStr">
        <is>
          <t>Amazon.com</t>
        </is>
      </c>
      <c r="D62" t="inlineStr">
        <is>
          <t>indeed</t>
        </is>
      </c>
      <c r="E62" t="inlineStr"/>
      <c r="F62" t="inlineStr"/>
      <c r="G62" t="inlineStr">
        <is>
          <t>Seattle, WA, US</t>
        </is>
      </c>
      <c r="H62" s="1" t="n">
        <v>45753</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in-970b009763c94ddc</t>
        </is>
      </c>
      <c r="B63" t="inlineStr">
        <is>
          <t>Principal Product Manager - Tech, Recommender Systems, Prime Video Personalization &amp; Discovery</t>
        </is>
      </c>
      <c r="C63" t="inlineStr">
        <is>
          <t>Amazon.com</t>
        </is>
      </c>
      <c r="D63" t="inlineStr">
        <is>
          <t>indeed</t>
        </is>
      </c>
      <c r="E63" t="inlineStr"/>
      <c r="F63" t="inlineStr"/>
      <c r="G63" t="inlineStr">
        <is>
          <t>Washington, DC, US</t>
        </is>
      </c>
      <c r="H63" s="1" t="n">
        <v>45753</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in-73e2654fe2415ac5</t>
        </is>
      </c>
      <c r="B64" t="inlineStr">
        <is>
          <t>Program Manager</t>
        </is>
      </c>
      <c r="C64" t="inlineStr">
        <is>
          <t>Piezo Technologies</t>
        </is>
      </c>
      <c r="D64" t="inlineStr">
        <is>
          <t>indeed</t>
        </is>
      </c>
      <c r="E64">
        <f>HYPERLINK("https://www.indeed.com/viewjob?jk=73e2654fe2415ac5", "https://www.indeed.com/viewjob?jk=73e2654fe2415ac5")</f>
        <v/>
      </c>
      <c r="F64">
        <f>HYPERLINK("https://piezotechnologies.exacthire.com/job/193100?source=335", "https://piezotechnologies.exacthire.com/job/193100?source=335")</f>
        <v/>
      </c>
      <c r="G64" t="inlineStr">
        <is>
          <t>Indianapolis, IN, US</t>
        </is>
      </c>
      <c r="H64" s="2" t="n">
        <v>46083</v>
      </c>
      <c r="I64" t="inlineStr">
        <is>
          <t>POSITION SUMMARY
The Program Manager leads complex, engineering\-driven programs from early customer engagement and proposal development through design, production release, and contract execution. This role requires a strong technical or engineering background combined with proven commercial experience supporting bids, proposals, and technical sales discussions with customers.
The Program Manager serves as the primary technical and programmatic liaison between customers, design engineering, and internal cross‑functional teams. This position is accountable for program execution, customer satisfaction, financial performance, and schedule adherence while supporting business development activities through credible technical engagement and bid support.
ESSENTIAL JOB DUTIES \&amp; RESPONSIBILITIES
1\. Program \&amp; Proposal Leadership
* Supports commercial and technical sales efforts by participating directly in customer discussions, bid reviews, and proposal development.
* Translates customer technical requirements into clear scopes of work, cost estimates, schedules, and risk assessments.
* Leads development of statements of work (SOW), including schedules, milestones, budgets, subcontracting strategies, IP/NDAs, compliance requirements (e.g., export controls), and customer deliverables.
* Acts as a technical credibility point with customers during pre‑award and post‑award phases.
2\. Program Planning \&amp; Execution
* Develops and maintains integrated program plans covering scope, schedule, cost, resources, and risk.
* Communicates program goals, responsibilities, and deliverables to cross‑functional teams including Engineering, Production, Quality, Purchasing, and Finance.
* Negotiates and secures internal resources required to meet program objectives.
* Monitors program performance, proactively identifies issues, and drives corrective actions to maintain schedule and budget adherence.
* Manages program changes, ensuring customer alignment and formal approval of scope, cost, and schedule impacts.
3\. Customer \&amp; Engineering Liaison
* Serves as the primary customer interface for assigned programs, providing regular technical and programmatic updates.
* Bridges communication between customers and design engineering, ensuring customer needs are clearly understood and technically achievable.
* Facilitates technical reviews, design reviews, and program milestone reviews with both internal teams and customers.
* Ensures technical requirements, specifications, and contractual commitments are properly flowed down and executed.
4\. Financial, Risk \&amp; Compliance Management
* Manages program budgets, labor, and material tracking across multiple programs.
* Leads risk management activities, including identification, mitigation planning, and ongoing monitoring.
* Ensures compliance with internal procedures, quality standards, contractual obligations, and regulatory requirements (including ITAR, as applicable).
* Maintains complete, accurate, and auditable program documentation and records.
5\. Reporting \&amp; Continuous Improvement
* Prepares and delivers clear program status reports to customers and senior leadership.
* Drives continuous improvement initiatives related to program execution, customer engagement, and cross‑functional collaboration.
QUALIFICATIONS
Experience/Background:
1\. Minimum of eight (8\) years of experience managing engineering‑based programs or projects involving complex technical products or systems.
2\. Demonstrated experience engaging customers in commercial and technical discussions, including bid support, proposals, and contract execution.
3\. Strong ability to interface between customers and engineering teams, translating technical requirements into executable program plans.
4\. Experience with industrial, defense, medical, or other regulated industries preferred; DoD or Navy experience a plus.
5\. Proven knowledge of program risk management, cost control, and continuous improvement methodologies.
6\. Ability to travel approximately 10–20% as required to support customer and program needs.
7\. Must be a U.S. Person within the meaning of ITAR.
Skills:
* Strong technical aptitude with the ability to understand and communicate engineering concepts.
* Excellent program management, problem‑solving, and organizational skills.
* Effective negotiation and customer‑facing communication skills (written and verbal).
* Proficient with MS Office Suite, MS Project (or equivalent), and related planning tools.
* Ability to manage multiple priorities in a fast‑paced environment.
Education:
* Bachelor of Science degree in Engineering (Mechanical, Electrical, or related technical field) strongly preferred.
* Business or technical degrees with equivalent relevant experience will also be considered
ENVIRONMENTAL \&amp; PHYSICAL REQUIREMENTS
Manufacturing / Non\-Sedentary Requirements:
Incumbent must be able to perform the essential functions of the job. Work may be performed in an office or warehouse environment. Typically requires the ability to spend 66%\+ hours each work day doing the following activities: stand for extended periods of time, walk, bend, stoop, or climb. May have possible exposure to dust, and may require the ability to lift and/or push up to 50 pounds 33% \- 66% of the time.
ADDITIONAL INFORMATION REGARDING JOB DUTIES AND JOB DESCRIPTIONS
Job duties include additional responsibilities as assigned by one’s supervisor or another manager related to the position/department. This job description is meant to describe the general nature and level of work being performed; it is not intended to be construed as an exhaustive list of all responsibilities, duties and skills required for the position. Piezo Technologies reserves the right at any time with or without notice to alter or change job responsibilities, reassign or transfer job position or assign additional job responsibilities, subject to applicable law. Piezo Technologies shall provide reasonable accommodations of known disabilities to enable a qualified applicant or employee to apply for employment, perform the essential functions of the job, or enjoy the benefits and privileges of employment as required by the law.
Applicant Tracking Software by ExactHire: rdw054zn3domxl8j6139</t>
        </is>
      </c>
    </row>
    <row r="65">
      <c r="A65" t="inlineStr">
        <is>
          <t>in-2cd98897974a552f</t>
        </is>
      </c>
      <c r="B65" t="inlineStr">
        <is>
          <t>Product Manager – AI-First Healthcare Platform</t>
        </is>
      </c>
      <c r="C65" t="inlineStr">
        <is>
          <t>Vital Interaction</t>
        </is>
      </c>
      <c r="D65" t="inlineStr">
        <is>
          <t>indeed</t>
        </is>
      </c>
      <c r="E65">
        <f>HYPERLINK("https://www.indeed.com/viewjob?jk=2cd98897974a552f", "https://www.indeed.com/viewjob?jk=2cd98897974a552f")</f>
        <v/>
      </c>
      <c r="F65">
        <f>HYPERLINK("https://vital-interaction.careerplug.com/j/02wjdee", "https://vital-interaction.careerplug.com/j/02wjdee")</f>
        <v/>
      </c>
      <c r="G65" t="inlineStr">
        <is>
          <t>Austin, TX, US</t>
        </is>
      </c>
      <c r="H65" s="2" t="n">
        <v>46083</v>
      </c>
      <c r="I65" t="inlineStr">
        <is>
          <t>**Do you…**
* Get energized by building AI\-powered products that actually ship—and actually work in the real world?
* Obsess over customer problems and talk to users constantly to validate, refine, and rethink solutions?
* Thrive in ambiguity, moving fast from idea prototype production without waiting for perfect requirements?
If so, you might be the **Product Manager** we’re looking for.  
We’re hiring a Product Manager to help lead Vital Interaction into its next phase as an **AI\-first healthcare platform**. You’ll play a hands\-on role shaping our core product capabilities, working shoulder\-to\-shoulder with engineering, customers, and leadership to turn strategy into shipped outcomes.  
This is an Austin\-based role with a hybrid work model (in\-office \+ remote flexibility).  
**About Us**  
Vital Interaction is a rapidly growing healthcare IT company transforming how practices and health centers engage patients. Our Automated Patient Intelligence Platform combines healthcare data, workflow automation, and AI\-driven communication to improve revenue, productivity, and patient outcomes.
We’re evolving from a successful, bootstrapped platform into an AI\-native product company—guided by a clear roadmap focused on agentic workflows, hyper\-personalization, and self\-service enablement.
We’re a remote\-friendly company with a strong culture of ownership, curiosity, and continuous learning, and offices in Austin, Texas and Antigua, Guatemala.
**About the Role**
As a Product Manager at Vital Interaction, you’ll help drive product strategy and execution for our core Smart List Engine (SLE) and campaign capabilities—laying the foundation for agentic, AI\-driven patient interactions.
You’ll work closely with our Head of Product and Head of Technology to translate our AI\-first roadmap into prioritized bets, shipped capabilities, and measurable outcomes.
Initially, your focus will be:
* Evolving the Smart List Engine into a powerful, easier\-to\-use campaign and targeting platform
* Designing patient journeys that move toward agentic interactions (voice, text, scheduling, eligibility, outcomes)
* Rapidly prototyping and validating new ideas with customers before scaling them
This is a highly collaborative, execution\-heavy PM role for someone who loves being close to both customers and builders.  
**What You’ll Do**
**Product Strategy \&amp; Discovery**
* Own problem discovery for key roadmap initiatives, grounded in continuous customer conversations
* Translate company\-level AI strategy into clear product bets, tradeoffs, and sequencing decisions
* Partner with leadership to shape quarterly and multi\-quarter product direction
**Execution \&amp; Delivery**
* Work directly with engineering to define, design, prototype, build, test, and deploy new capabilities
* Write clear product requirements focused on outcomes—not just features
* Drive fast feedback loops using prototypes, experiments, and incremental releases
* Balance speed with quality in a regulated healthcare environment
**Customer \&amp; Market Engagement**
* Talk to customers constantly—shadow calls, run interviews, validate prototypes, and review outcomes
* Partner with Customer Success, Sales, and Support to understand real\-world workflows and friction
* Incorporate customer feedback into iteration cycles and roadmap decisions
**AI\-First Product Development**
* Design products that leverage micro\-agents, automation, and AI\-driven decisioning
* Help shape how AI is embedded into workflows (not bolted on)
* Ensure new capabilities are explainable, testable, and deliver measurable value
**What We’re Looking For**
**Experience**
* At least 4 years of product management experience in SaaS or platform products
* Proven experience working directly with engineering teams to ship complex products
* Experience owning core platform or workflow\-driven products
**Strong Plus If You Have**
* Healthcare or health IT experience
* CRM, outbound marketing, or campaign\-driven product experience
* Experience with AI\-powered products, automation, or agentic workflows
* Hands\-on experience with rapid prototyping tools and techniques
**Skills \&amp; Attributes**
* Deep customer empathy and a bias toward continuous user interaction
* Comfortable operating in ambiguity and fast\-changing environments
* Strong systems thinker who can connect data, workflows, and outcomes
* Excellent written and verbal communication skills
* Pragmatic, action\-oriented, and willing to get into the details
* Collaborative partner who thrives in cross\-functional teams
**What We Offer**
* Competitive salary aligned with experience, impact, and growth potential
* Comprehensive health, dental, and vision coverage
* Paid time off
* Hybrid work model based in Austin, TX, with remote flexibility
* Direct influence on product strategy and the opportunity to shape an AI\-first healthcare platform at a pivotal stage of growth
* High ownership and visibility, working closely with executive leadership
* Opportunity for expanded scope and leadership as the company scales
Flexible work from home options available.</t>
        </is>
      </c>
    </row>
    <row r="66">
      <c r="A66" t="inlineStr">
        <is>
          <t>in-eee56c6e93222939</t>
        </is>
      </c>
      <c r="B66" t="inlineStr">
        <is>
          <t>AI Adoption Program Manager</t>
        </is>
      </c>
      <c r="C66" t="inlineStr">
        <is>
          <t>CAMP Systems International, Inc.</t>
        </is>
      </c>
      <c r="D66" t="inlineStr">
        <is>
          <t>indeed</t>
        </is>
      </c>
      <c r="E66">
        <f>HYPERLINK("https://www.indeed.com/viewjob?jk=eee56c6e93222939", "https://www.indeed.com/viewjob?jk=eee56c6e93222939")</f>
        <v/>
      </c>
      <c r="F66">
        <f>HYPERLINK("https://recruiting.ultipro.com/CAM1010CSII/JobBoard/54a25c3a-e399-42b0-a553-16ed056e0517/OpportunityDetail?opportunityId=3bdd0e1b-17a2-41d7-a90a-a0f6817bffb7&amp;postingId=9a54c38b-e9e5-4586-8e7a-55f706f7265d", "https://recruiting.ultipro.com/CAM1010CSII/JobBoard/54a25c3a-e399-42b0-a553-16ed056e0517/OpportunityDetail?opportunityId=3bdd0e1b-17a2-41d7-a90a-a0f6817bffb7&amp;postingId=9a54c38b-e9e5-4586-8e7a-55f706f7265d")</f>
        <v/>
      </c>
      <c r="G66" t="inlineStr">
        <is>
          <t>Savannah, GA, US</t>
        </is>
      </c>
      <c r="H66" s="2" t="n">
        <v>46083</v>
      </c>
      <c r="I66"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The AI Adoption Program Manager is responsible for driving enterprise\-wide AI enablement, adoption, and value realization. The individual will define and track AI adoption KPIs, oversee AI tooling lifecycle management, enable cross\-functional teams through structured guidance and ensure measurable business impact from AI initiatives.
**Responsibilities:**
**KPI Definition, Metrics \&amp; Reporting:**
* Define AI adoption KPIs enterprise\-wide (e.g., usage, productivity lift, cost savings, risk reduction, time\-to\-delivery).
* Establish baseline metrics and measurement frameworks.
* Build dashboards and reporting mechanisms for leadership visibility.
* Track value realization and continuously refine KPIs based on maturity.
**Stakeholder Engagement:**
* Lead enterprise communications regarding AI capabilities and KPIs.
* Drive organizational discussions to increase AI adoption maturity.
* Establish and maintain strong relationships across multiple business units understanding their needs and challenges from an AI perspective
* Collaborate with cross\-functional teams to help identify and suggest opportunities for Generative AI and other AI disciplines when opportunity arises
* Effectively communicate AI initiative progress updates to stakeholders
* Monitor and assess technological advancements, market trends and competitive landscape related to Generative AI and other AI disciplines
* Build and nurture a culture of learning around AI, fostering a community of internal and external experts, partners, and enthusiasts
* Support employee development in AI literacy, training and expertise
**AI Tooling Governance \&amp; Lifecycle Management:**
* Evaluate and manage enterprise AI tooling with the CIO (e.g., LLM platforms, copilots, automation tools).
* Oversee vendor selection, security reviews, and compliance alignment with Security \&amp; GRC.
* Define usage standards, access models, and governance frameworks.
* Maintain tooling inventory and rationalization strategy.
**Risk, Compliance \&amp; Responsible AI Alignment:**
* Partner with AI teams and Security \&amp; GRC to operationalize AI governance.
* Ensure responsible AI practices are embedded into adoption efforts.
* Help Identify and mitigate model, data, and vendor risk.
**You have:**
* Bachelor’s Degree in Computer Science or related discipline. Master’s degree preferred. Equivalent work experience acceptable
* 4\+ Years Experience in Program Management, Project Management and/or Enterprise Transformation roles.
* Demonstrated experience leading cross\-functional enterprise initiatives.
* Strong understanding of AI/ML concepts (LLMs, NLP, automation, model lifecycle, data governance).
* Experience implementing enterprise AI platforms (e.g., Microsoft Copilot, OpenAI Enterprise, Google Vertex AI, Claude Code, Cursor, Loveable, Replit).
* Strong analytical and operational mindset.
* Experience defining KPIs and measuring technology adoption impact.
* Experience managing vendor relationships and enterprise tooling rollouts.
* Data visualization (Power BI, Excel)
* Executive\-level communication skills.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t>
        </is>
      </c>
    </row>
    <row r="67">
      <c r="A67" t="inlineStr">
        <is>
          <t>in-ff9042ca823dd9e5</t>
        </is>
      </c>
      <c r="B67" t="inlineStr">
        <is>
          <t>AI Adoption Program Manager</t>
        </is>
      </c>
      <c r="C67" t="inlineStr">
        <is>
          <t>CAMP Systems International, Inc.</t>
        </is>
      </c>
      <c r="D67" t="inlineStr">
        <is>
          <t>indeed</t>
        </is>
      </c>
      <c r="E67">
        <f>HYPERLINK("https://www.indeed.com/viewjob?jk=ff9042ca823dd9e5", "https://www.indeed.com/viewjob?jk=ff9042ca823dd9e5")</f>
        <v/>
      </c>
      <c r="F67">
        <f>HYPERLINK("https://recruiting.ultipro.com/CAM1010CSII/JobBoard/54a25c3a-e399-42b0-a553-16ed056e0517/OpportunityDetail?opportunityId=7fb920cf-c3c6-46db-8f44-2423031bf22b&amp;postingId=ad71051f-2644-480a-943c-b23d013a56ff", "https://recruiting.ultipro.com/CAM1010CSII/JobBoard/54a25c3a-e399-42b0-a553-16ed056e0517/OpportunityDetail?opportunityId=7fb920cf-c3c6-46db-8f44-2423031bf22b&amp;postingId=ad71051f-2644-480a-943c-b23d013a56ff")</f>
        <v/>
      </c>
      <c r="G67" t="inlineStr">
        <is>
          <t>Wichita, KS, US</t>
        </is>
      </c>
      <c r="H67" s="2" t="n">
        <v>46083</v>
      </c>
      <c r="I67"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The AI Adoption Program Manager is responsible for driving enterprise\-wide AI enablement, adoption, and value realization. The individual will define and track AI adoption KPIs, oversee AI tooling lifecycle management, enable cross\-functional teams through structured guidance and ensure measurable business impact from AI initiatives.
**Responsibilities:**
**KPI Definition, Metrics \&amp; Reporting:**
* Define AI adoption KPIs enterprise\-wide (e.g., usage, productivity lift, cost savings, risk reduction, time\-to\-delivery).
* Establish baseline metrics and measurement frameworks.
* Build dashboards and reporting mechanisms for leadership visibility.
* Track value realization and continuously refine KPIs based on maturity.
**Stakeholder Engagement:**
* Lead enterprise communications regarding AI capabilities and KPIs.
* Drive organizational discussions to increase AI adoption maturity.
* Establish and maintain strong relationships across multiple business units understanding their needs and challenges from an AI perspective
* Collaborate with cross\-functional teams to help identify and suggest opportunities for Generative AI and other AI disciplines when opportunity arises
* Effectively communicate AI initiative progress updates to stakeholders
* Monitor and assess technological advancements, market trends and competitive landscape related to Generative AI and other AI disciplines
* Build and nurture a culture of learning around AI, fostering a community of internal and external experts, partners, and enthusiasts
* Support employee development in AI literacy, training and expertise
**AI Tooling Governance \&amp; Lifecycle Management:**
* Evaluate and manage enterprise AI tooling with the CIO (e.g., LLM platforms, copilots, automation tools).
* Oversee vendor selection, security reviews, and compliance alignment with Security \&amp; GRC.
* Define usage standards, access models, and governance frameworks.
* Maintain tooling inventory and rationalization strategy.
**Risk, Compliance \&amp; Responsible AI Alignment:**
* Partner with AI teams and Security \&amp; GRC to operationalize AI governance.
* Ensure responsible AI practices are embedded into adoption efforts.
* Help Identify and mitigate model, data, and vendor risk.
**You have:**
* Bachelor’s Degree in Computer Science or related discipline. Master’s degree preferred. Equivalent work experience acceptable
* 4\+ Years Experience in Program Management, Project Management and/or Enterprise Transformation roles.
* Demonstrated experience leading cross\-functional enterprise initiatives.
* Strong understanding of AI/ML concepts (LLMs, NLP, automation, model lifecycle, data governance).
* Experience implementing enterprise AI platforms (e.g., Microsoft Copilot, OpenAI Enterprise, Google Vertex AI, Claude Code, Cursor, Loveable, Replit).
* Strong analytical and operational mindset.
* Experience defining KPIs and measuring technology adoption impact.
* Experience managing vendor relationships and enterprise tooling rollouts.
* Data visualization (Power BI, Excel)
* Executive\-level communication skills.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t>
        </is>
      </c>
    </row>
    <row r="68">
      <c r="A68" t="inlineStr">
        <is>
          <t>in-c5866d94e96617d7</t>
        </is>
      </c>
      <c r="B68" t="inlineStr">
        <is>
          <t>AI Adoption Program Manager</t>
        </is>
      </c>
      <c r="C68" t="inlineStr">
        <is>
          <t>CAMP Systems International, Inc.</t>
        </is>
      </c>
      <c r="D68" t="inlineStr">
        <is>
          <t>indeed</t>
        </is>
      </c>
      <c r="E68">
        <f>HYPERLINK("https://www.indeed.com/viewjob?jk=c5866d94e96617d7", "https://www.indeed.com/viewjob?jk=c5866d94e96617d7")</f>
        <v/>
      </c>
      <c r="F68">
        <f>HYPERLINK("https://recruiting.ultipro.com/CAM1010CSII/JobBoard/54a25c3a-e399-42b0-a553-16ed056e0517/OpportunityDetail?opportunityId=3383b738-5189-4bb1-9f37-a249213ac9ec&amp;postingId=36a075dc-9aad-40b6-851a-8d4ecdad4742", "https://recruiting.ultipro.com/CAM1010CSII/JobBoard/54a25c3a-e399-42b0-a553-16ed056e0517/OpportunityDetail?opportunityId=3383b738-5189-4bb1-9f37-a249213ac9ec&amp;postingId=36a075dc-9aad-40b6-851a-8d4ecdad4742")</f>
        <v/>
      </c>
      <c r="G68" t="inlineStr">
        <is>
          <t>Merrimack, NH, US</t>
        </is>
      </c>
      <c r="H68" s="2" t="n">
        <v>46083</v>
      </c>
      <c r="I68"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The AI Adoption Program Manager is responsible for driving enterprise\-wide AI enablement, adoption, and value realization. The individual will define and track AI adoption KPIs, oversee AI tooling lifecycle management, enable cross\-functional teams through structured guidance and ensure measurable business impact from AI initiatives.
**Responsibilities:**
**KPI Definition, Metrics \&amp; Reporting:**
* Define AI adoption KPIs enterprise\-wide (e.g., usage, productivity lift, cost savings, risk reduction, time\-to\-delivery).
* Establish baseline metrics and measurement frameworks.
* Build dashboards and reporting mechanisms for leadership visibility.
* Track value realization and continuously refine KPIs based on maturity.
**Stakeholder Engagement:**
* Lead enterprise communications regarding AI capabilities and KPIs.
* Drive organizational discussions to increase AI adoption maturity.
* Establish and maintain strong relationships across multiple business units understanding their needs and challenges from an AI perspective
* Collaborate with cross\-functional teams to help identify and suggest opportunities for Generative AI and other AI disciplines when opportunity arises
* Effectively communicate AI initiative progress updates to stakeholders
* Monitor and assess technological advancements, market trends and competitive landscape related to Generative AI and other AI disciplines
* Build and nurture a culture of learning around AI, fostering a community of internal and external experts, partners, and enthusiasts
* Support employee development in AI literacy, training and expertise
**AI Tooling Governance \&amp; Lifecycle Management:**
* Evaluate and manage enterprise AI tooling with the CIO (e.g., LLM platforms, copilots, automation tools).
* Oversee vendor selection, security reviews, and compliance alignment with Security \&amp; GRC.
* Define usage standards, access models, and governance frameworks.
* Maintain tooling inventory and rationalization strategy.
**Risk, Compliance \&amp; Responsible AI Alignment:**
* Partner with AI teams and Security \&amp; GRC to operationalize AI governance.
* Ensure responsible AI practices are embedded into adoption efforts.
* Help Identify and mitigate model, data, and vendor risk.
**You have:**
* Bachelor’s Degree in Computer Science or related discipline. Master’s degree preferred. Equivalent work experience acceptable
* 4\+ Years Experience in Program Management, Project Management and/or Enterprise Transformation roles.
* Demonstrated experience leading cross\-functional enterprise initiatives.
* Strong understanding of AI/ML concepts (LLMs, NLP, automation, model lifecycle, data governance).
* Experience implementing enterprise AI platforms (e.g., Microsoft Copilot, OpenAI Enterprise, Google Vertex AI, Claude Code, Cursor, Loveable, Replit).
* Strong analytical and operational mindset.
* Experience defining KPIs and measuring technology adoption impact.
* Experience managing vendor relationships and enterprise tooling rollouts.
* Data visualization (Power BI, Excel)
* Executive\-level communication skills.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t>
        </is>
      </c>
    </row>
    <row r="69">
      <c r="A69" t="inlineStr">
        <is>
          <t>in-814ecd7eb3b2b5c9</t>
        </is>
      </c>
      <c r="B69" t="inlineStr">
        <is>
          <t>Senior Product Manager</t>
        </is>
      </c>
      <c r="C69" t="inlineStr">
        <is>
          <t>TREX COMPANY</t>
        </is>
      </c>
      <c r="D69" t="inlineStr">
        <is>
          <t>indeed</t>
        </is>
      </c>
      <c r="E69">
        <f>HYPERLINK("https://www.indeed.com/viewjob?jk=814ecd7eb3b2b5c9", "https://www.indeed.com/viewjob?jk=814ecd7eb3b2b5c9")</f>
        <v/>
      </c>
      <c r="F69">
        <f>HYPERLINK("https://recruiting.ultipro.com/TRE1006TRCI/JobBoard/699366e7-23c6-46d9-ae0d-4f649323dabf/OpportunityDetail?opportunityId=8497f46b-fd53-4b09-9d71-141d9aad2a8a&amp;postingId=6ab07cd7-d830-4499-94ac-f36c318d8d0c", "https://recruiting.ultipro.com/TRE1006TRCI/JobBoard/699366e7-23c6-46d9-ae0d-4f649323dabf/OpportunityDetail?opportunityId=8497f46b-fd53-4b09-9d71-141d9aad2a8a&amp;postingId=6ab07cd7-d830-4499-94ac-f36c318d8d0c")</f>
        <v/>
      </c>
      <c r="G69" t="inlineStr">
        <is>
          <t>Winchester, VA, US</t>
        </is>
      </c>
      <c r="H69" s="2" t="n">
        <v>46083</v>
      </c>
      <c r="I69" t="inlineStr">
        <is>
          <t>When you work at Trex, you’re helping to grow and enhance a true original. You join a company that boldly launched an entire industry… and still leads the way.
The Senior Product Manager is responsible for defining and executing the product strategy for assigned building product categories across their full lifecycle. This role leads product planning, market analysis, and cross\-functional execution to deliver profitable, differentiated solutions that meet customer needs, code requirements, and business objectives.
**RESPONSIBILITIES**
* Put safety first – Always!
* Lead and foster our “people first” culture.
* Product Strategy \&amp; Roadmap
	+ Provide product vision, strategy, and contribute to multi\-year roadmap aligned with company goals.
	+ Identify growth opportunities through market, customer, and competitive analysis.
	+ Define target consumer segment, value propositions, pricing strategies, and positioning for assigned product lines.
	+ Prioritize features, SKUs, and investments based on business impact
* Product Development \&amp; Lifecycle Management
	+ Inform and guide new product development efforts from concept through launch and post\-launch optimization.
	+ Manage product lifecycle including line extensions, cost reductions, and end\-of\-life decisions.
	+ Translate customer and market needs into clear product requirements and specifications.
	+ Partner with Brand Management to develop go\-to\-market strategies for new product launches, including positioning, messaging, packaging, and launch support plans.
* Cross\-Functional Leadership
	+ Partner with Engineering, R\&amp;D, Operations, Supply Chain, Sales, Marketing, and Finance.
	+ Serve as the primary product authority for internal/external stakeholders and executive leadership.
	+ Support Sales with product training, tools, and customer\-facing presentations.
	+ Lead product training efforts for internal and customer resources via Trex University and in the field.
* Customer \&amp; Market Engagement
	+ Gather voice\-of\-customer insights via qualitative and quantitative research as well as field visits including consumers, channel partners and contractor / end\-users.
	+ Conduct ongoing market analysis, including category trends, and competitive landscape assessment, to identify opportunities and threats.
	+ Monitor industry trends, codes, standards, and regulations impacting building products.
	+ Represent the company at trade shows, customer meetings, and industry events.
* Financial \&amp; Performance Management
	+ Accountable to P\&amp;L performance for assigned product lines.
	+ Collaborate with Sales, Supply Chain, and Finance regarding forecasting and inventory management.
	+ Develop and manage business cases, and KPIs.
	+ Track product performance and implement corrective actions as needed
**TECHNICAL / FUNCITONAL COMPETENCIES**
* Analytical Skills
	+ Analyzes data from a wide variety of sources and interprets the implications to the business.
	+ Communicates recommendations based on sound logical judgment.
	+ Strong financial and business acumen.
* Attention to Detail
	+ Attends to the important and relevant details that are needed to achieve business results.
	+ Analyzes information and corrects mistakes and formats and ensures all materials display a neat and professional look.
* Communicating (Verbal \&amp; Written)
	+ Listens attentively and expresses ideas clearly and concisely.
	+ Shares relevant information in a timely and effective manner.
	+ Is available to write clearly and succinctly in a variety of communication settings and styles; can get messages across that have the desired effect.
* Continuous Improvement
	+ Provides high quality products and services that meet the needs of the business.
	+ Commits to continuous development and fosters an environment that enables the most efficient and effective work processes.
* Knowledge of Products
	+ Understands the capabilities, strengths, and weaknesses for assigned products.
	+ Demonstrates sound knowledge of the competition and industry when applying business solutions.
* Project Management
	+ Manages projects efficiently to maximize business results and uncover new opportunities.
* Strategic Agility
	+ Sees ahead clearly; can anticipate future consequences and trends accurately; has broad knowledge and perspective; is future oriented; can create competitive and breakthrough strategies and plans.
	+ Ability to manage complexity and multiple priorities.
**DIRECT REPORTS**
Manage and provide ongoing performance, coaching, and professional development opportunities for a small team of direct reports, typically Associate Product Manager(s)
**JOB LOCATION**
Winchester, Virginia, United States
**POSITION TYPE**
Full\-Time/Regular
**EXPERIENCE**
We are looking for someone with a Bachelor’s Degree in Business, Marketing, or related fields and 7\+ years of Product Management experience required, preferably in building materials.
* Required Skills \&amp; Experience:
	+ Consumer product or branded building product management experience.
	+ Proven record of successful new product launches.
	+ Experience working with contractors, distributors, architects, and engineers.
	+ Possesses strong presentation skills along with strong oral and written communication skills.
	+ Combination of creativity and analytical abilities
	+ Strong cross\-functional leadership, technical experience, and project management abilities
At Trex, we believe in persevering even when there’s no road map, embracing groundbreaking as a way of life. We encourage multiple perspectives and welcome diverse people who problem\-solve, adapt, and innovate – always with a firm foundation in safety and integrity.
**SALARY**
Base Salary Range: $135,000 \- $190,000
The salary range provided serves as a general guideline for potential compensation for this position. It reflects the base salary and does not account for other benefits or additional compensation opportunities that may apply. This role is also eligible for further compensation through an annual/sales bonus, in addition to the base salary.
At Trex, individual base salaries are determined based on various factors, including relevant skills, qualifications, experience, and geographic location. We are committed to maintaining pay equity and consider the internal equity of our existing team members when finalizing compensation offers. In addition to competitive pay, Trex offers a comprehensive benefits package, which is detailed below.
**BENEFITS \&amp; PERKS**
We believe that real effort should be rewarded. We take care of you as part of our Trex family so you can take care of yours. Here are some of the perks beyond the paycheck:
* **Time Off:** We’ll give you paid holidays and paid vacation.
* **Health, Dental, and Vision Insurance****:** Choose from a variety of options. We’ll cover a generous share of the cost. Plus, you can earn lower rates through our wellness program.
* **401(k) With Company Match****:** Save for your retirement and we’ll match it dollar for dollar.
* **Tuition Reimbursement:** We’re all about lifting each other to the next level. When you’re ready to get the degree, we’ll pick up part of the tab.
* **Training and Education****:** We offer dozens of options to boost your performance – both online and on\-site nearby.
* **Stock Purchase Program****:** Invest in Trex at a discounted price.
* **Employee Discount Program:** When you make the World’s No. 1 Decking Brand, you’ll probably want to enjoy the finished product yourself. We’ll give you a discount.
**WHO WE ARE**
Over 30 years ago, our founders created the world’s first high\-performance, low\-maintenance composite decking and outdoor living products. That entrepreneurial spirit still drives us today as we continue to redefine our industry and lead the way for what’s next in outdoor living. Today, Trex is the world’s \#1 brand of sustainability\-made, wood\-alternative decking, and deck railing – all proudly manufactured in the USA. As a publicly traded company \[NYSE: TREX], we take pride in being the largest recycler of plastic film in the country as well as caring for the communities and the planet where we live. We nurture meaningful connections, from local engagement and investment to eco\-friendly products and sustainable manufacturing processes.
Everything we do is grounded in our values and guided by our beliefs. We are looking for candidates who embody our core values:
* Do the Right Thing
* Act with Boldness and Authenticity
* Drive Sustainability
* Innovate and Adapt
At Trex, you’ll become part of a diverse yet unified team that sustains the trailblazing spirit and strengths that made Trex the industry leader – learning, adapting, solving and succeeding.
We welcome new ideas and fresh perspectives, and we encourage you to bring your best to help us shape the future of Trex.
**CAREER ADVANCEMENT**
At Trex, you can take pride in craftsmanship. There’s an art and a science to what we do, and we never stop working to refine and improve. That means no matter how long you’ve been with Trex, you have ongoing opportunities to grow your expertise – enhancing your career, your team and our shared efforts. You will help shape our future.
**EEO**
Trex is proud to be an Equal Opportunity Employer. We are committed to creating a diverse and inclusive environment for all employees and do not discriminate on the basis of race, color, religion, gender, gender identity or expression, sexual orientation, national origin, genetics, disability, age, or veteran status. All qualified applicants will receive consideration for employment without regard to these or any other characteristics protected by law.
**E\-VERIFY**
Trex participates in E\-Verify to confirm the employment eligibility of all newly hired employees. E\-Verify is a web\-based system operated by the Department of Homeland Security (DHS) and the Social Security Administration (SSA) that allows employers to electronically verify the employment eligibility of their employees. For more information, please visit www.dhs.gov/E\-Verify.</t>
        </is>
      </c>
    </row>
    <row r="70">
      <c r="A70" t="inlineStr">
        <is>
          <t>in-0c07887335f095ca</t>
        </is>
      </c>
      <c r="B70" t="inlineStr">
        <is>
          <t>Software Product Owner (TS/SCI) {S}</t>
        </is>
      </c>
      <c r="C70" t="inlineStr">
        <is>
          <t>ARKA Group</t>
        </is>
      </c>
      <c r="D70" t="inlineStr">
        <is>
          <t>indeed</t>
        </is>
      </c>
      <c r="E70">
        <f>HYPERLINK("https://www.indeed.com/viewjob?jk=0c07887335f095ca", "https://www.indeed.com/viewjob?jk=0c07887335f095ca")</f>
        <v/>
      </c>
      <c r="F70">
        <f>HYPERLINK("https://recruiting.ultipro.com/DAN1006DMT/JobBoard/aab9b8ae-463c-48fc-8362-a25df8be0c77/OpportunityDetail?opportunityId=6bf4d04a-4c7e-4876-8d40-99e3d6310728&amp;postingId=e5d3ef59-691c-4e18-995f-be18cd6fc08f", "https://recruiting.ultipro.com/DAN1006DMT/JobBoard/aab9b8ae-463c-48fc-8362-a25df8be0c77/OpportunityDetail?opportunityId=6bf4d04a-4c7e-4876-8d40-99e3d6310728&amp;postingId=e5d3ef59-691c-4e18-995f-be18cd6fc08f")</f>
        <v/>
      </c>
      <c r="G70" t="inlineStr">
        <is>
          <t>Aurora, CO, US</t>
        </is>
      </c>
      <c r="H70" s="2" t="n">
        <v>46083</v>
      </c>
      <c r="I70"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We're seeking a talented and experienced **Software Product Owner** to lead our Enterprise team. In this role, you'll be the voice of the customer, bridging the gap between business goals and the technical development team. This position is ideal for someone who has a strong foundation in software development or systems engineering and wants to leverage technical expertise to drive product strategy and execution.
We offer generous relocation benefits for eligible candidates.
In support of work/life balance, many positions are available for a flexible schedule within the pay period. Ask us about the opportunity for flex scheduling if that’s of interest to you.
**Responsibilities:**
* **Backlog Management:** Own and manage the product backlog, including creating, refining, and prioritizing user stories and epics. Work closely with the chief engineer and architect in current and future epic definitions.
* **Requirements Definition:** Translate high\-level features into detailed, actionable specifications for the engineering team. Must be able to work with engineering feature definitions and not rely on detailed requirement definitions.
* **Stakeholder Communication:** Act as the primary point of contact for stakeholders internal and customer facing, providing updates on product progress and gathering feedback.
* **Agile Ceremonies:** Actively participate in all Agile ceremonies, including sprint planning, daily stand\-ups, sprint reviews, and retrospectives.
* **Team Collaboration:** Work closely with cross\-functional teams, including engineering, UX/UI, marketing, and customer support, to ensure successful product delivery.
* **Acceptance Criteria:** Define acceptance criteria for user stories and validate that delivered solutions meet the defined requirements.
* **Technical Acumen:** Use your technical background to effectively communicate with engineers, understand technical constraints, and make informed trade\-off decisions.
**Required Qualifications:**
* Bachelor’s degree in computer science, systems engineering or related field
* 5\+ years of experience in **software development**, **software** **systems engineering**, or a related technical field
* 2\-3\+ years of experience as a **Product Owner** or similar role e.g., Scrum Master
* Proven experience working in an Agile environment
* Excellent verbal and written communication skills with the ability to articulate complex concepts to both technical and non\-technical audiences
* Strong analytical and problem\-solving skills with a data\-driven approach to decision\-making
* Ability to collaborate with cross\-functional teams including product managers, architects, and other engineers to define, design, and ship new features
* Understanding of the full software development lifecycle (SDLC), including requirements gathering, design, coding, testing, deployment, and maintenance
* Experience with a modern cloud provider such as AWS or Azure as well as understanding of standalone Kubernetes deployments
* Experience with modern front\-end development using React or Angular
* Experience with Source Control tools (e.g. Git, Gitlab)
* Experience with DevSecOps and Agile Scrum software development methodology including using tools like Git, Jira and Confluence
* Ability to work in office full time
* Active TS/SCI U.S. Government Security Clearance
**Preferred Qualifications:**
* IAT Level II or III certification (i.e. Security\+, CISSP, or CASP)
* Certified Scrum Product Owner (CSPO) or Professional Scrum Product Owner (PSPO) certification.
* Active TS/SCI U.S. Government Security Clearance with Fully Adjudicated CI Polygraph
**Pay Range: $135,000 \- $185,000**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71">
      <c r="A71" t="inlineStr">
        <is>
          <t>in-45f20b58c798e6e1</t>
        </is>
      </c>
      <c r="B71" t="inlineStr">
        <is>
          <t>Program Manager BRS At-Risk Youth</t>
        </is>
      </c>
      <c r="C71" t="inlineStr">
        <is>
          <t>PNW Helping Hands</t>
        </is>
      </c>
      <c r="D71" t="inlineStr">
        <is>
          <t>indeed</t>
        </is>
      </c>
      <c r="E71">
        <f>HYPERLINK("https://www.indeed.com/viewjob?jk=45f20b58c798e6e1", "https://www.indeed.com/viewjob?jk=45f20b58c798e6e1")</f>
        <v/>
      </c>
      <c r="F71">
        <f>HYPERLINK("http://www.indeed.com/job/program-manager-brs-risk-youth-45f20b58c798e6e1", "http://www.indeed.com/job/program-manager-brs-risk-youth-45f20b58c798e6e1")</f>
        <v/>
      </c>
      <c r="G71" t="inlineStr">
        <is>
          <t>Spokane Valley, WA, US</t>
        </is>
      </c>
      <c r="H71" s="2" t="n">
        <v>46083</v>
      </c>
      <c r="I71" t="inlineStr">
        <is>
          <t>**PNW Helping Hands is in search of a Program Manager!**
The open position is a full\-time, Salary Non Exempt, Monday\-Friday 7:00 am to 3:00 pm with on call responsibilities with open availability. This position will be working with a small group (1\-5\) of BRS foster youths and their care teams.
Are you a dependable, detail\-oriented, self\-starter? Do you have a degree in a social service field or at least 3 years of professional experience working with kids? If you answered 'Yes!', this could be the career change for you! We are looking for a candidate who wants to grow with our organization.
In addition to this being an excellent opportunity to utilize your skills and abilities, we also offer some excellent Team Member benefits including Paid Time Off, organization matched Retirement Savings plan (100% up to 3% is matched by the employer), employer\-paid dental, medical, vision and group term life insurance for the employee with a buy\-up option as well!
Job Type: Full\-time
Pay: $4,506\.58 per month
Benefits:
* Dental insurance
* Health insurance
* Life insurance
* Paid time off
* Retirement plan
* Vision insurance
Ability to Commute:
* Spokane Valley, WA 99206 (Required)
Ability to Relocate:
* Spokane Valley, WA 99206: Relocate before starting work (Required)
Work Location: In person</t>
        </is>
      </c>
    </row>
    <row r="72">
      <c r="A72" t="inlineStr">
        <is>
          <t>in-711dd92d66117eec</t>
        </is>
      </c>
      <c r="B72" t="inlineStr">
        <is>
          <t>Junior Achievement - Program Manager P/T</t>
        </is>
      </c>
      <c r="C72" t="inlineStr">
        <is>
          <t>Junior Achievement of Greater St. Louis</t>
        </is>
      </c>
      <c r="D72" t="inlineStr">
        <is>
          <t>indeed</t>
        </is>
      </c>
      <c r="E72">
        <f>HYPERLINK("https://www.indeed.com/viewjob?jk=711dd92d66117eec", "https://www.indeed.com/viewjob?jk=711dd92d66117eec")</f>
        <v/>
      </c>
      <c r="F72">
        <f>HYPERLINK("http://www.indeed.com/job/junior-achievement-program-manager-pt-711dd92d66117eec", "http://www.indeed.com/job/junior-achievement-program-manager-pt-711dd92d66117eec")</f>
        <v/>
      </c>
      <c r="G72" t="inlineStr">
        <is>
          <t>Chesterfield, MO, US</t>
        </is>
      </c>
      <c r="H72" s="2" t="n">
        <v>46083</v>
      </c>
      <c r="I72" t="inlineStr">
        <is>
          <t>**Position Description:**
The Program Manager implements and manages all daily operations of volunteer recruitment and retention, program implementation, data management and evaluation, engagement with all organization stakeholders, including but not limited to educators and volunteers, while upholding and maintaining the program quality and integrity.
**PRIMARY RESPONSIBILITIES:**
· Assure program quality and integrity through effective communication with program stakeholders, classroom monitoring, exceptional customer service, sharing of program updates, and evaluation tools
· Promote program growth and expansion, through successful retention of education/business/community volunteers and school district/youth development organization partners
· Strategize and lead recruitment and retention efforts of all program stakeholder groups
· Oversee logistics of program presentation in a variety of delivery models
· Provide in\-person and/or virtual training and orientation for all program stakeholders
· Adhere to JASTL stewardship model for stakeholders to increase program retention and stakeholder satisfaction
· Data entry, including all program related information, management, and maintenance of constituent records in current database
· Collect, provide, and report data, testimonials, and program progress for use at team and staff meetings, in grant proposals and reports, etc.
· Provide a high level of customer focused program delivery and support
**BEHAVIORAL COMPENTENCIES:** **Accountability**
· Accepts responsibility for delivering on assigned goals and deliverables.
· Maintains composure and professionalism in challenging situations and can shift quickly to objective, problem\-solving behaviors in order to deliver results.
· Adaptability in working effectively both independently and collaboratively.
**Active Engagement** 
· Participates in projects, tasks, meetings and workplace interactions with positive enthusiasm.
· Demonstrates an obvious energy in performing the role and serves as an engaged member of the department.
**Growth \&amp; Improvement** 
· Actively seeks opportunities to increase industry knowledge and become a stronger subject matter expert in the field.
· Willing to accept stretch goals and challenging projects to gain valuable experience and continuously develop as a professional.
**Junior Achievement Teamwork** 
· Contributes to meeting team deadlines and engages effectively with others to achieve goals
· Maintains an approachable demeanor to encourage positive working relationships and promotes effective communication.
· Demonstrates a willingness to pitch in to help team members succeed (even in areas outside their normal role)
· Interacts well with many types of personalities and handles difficult interactions without escalating tension.
**EXPERIENCE/EDUCATION:**
· Bachelor's degree or equivalent experience in the education field, project management, sales, volunteer coordination, and/or development (fundraising).
· Proficiency in Microsoft Office Suite.
· Ability to work in a fast\-paced work environment and successfully manage multiple projects and deadlines.
· Organized, detail\-oriented, highly motivated, and a strong ability to work effectively with diverse groups.
· Exceptional verbal and written communication skills.
· Exceptional problem\-solving and critical thinking skills.
**PREFERRED QUALIFICATIONS:**
· Nonprofit program management experience
· Familiarity with the Kindergarten\-12th Grade educational system
*This position in no way states or implies that these are the only duties to be performed by the employee occupying this position. Employees will be required to follow any other job\-related duties required by their supervisor. This document does not create an employment contract implied or otherwise, other than an "at\-will" relationship.* 
**To apply, please send cover letter, and resume to Ami Boehlje at aboehlje@jastl.org.** 
Job Type: Part\-time
Pay: From $20\.00 per hour
Ability to Relocate:
* Chesterfield, MO 63005: Relocate before starting work (Required)
Work Location: In person</t>
        </is>
      </c>
    </row>
    <row r="73">
      <c r="A73" t="inlineStr">
        <is>
          <t>in-dc2af18b18705cb8</t>
        </is>
      </c>
      <c r="B73" t="inlineStr">
        <is>
          <t>Technical Program Manager</t>
        </is>
      </c>
      <c r="C73" t="inlineStr">
        <is>
          <t>isolved</t>
        </is>
      </c>
      <c r="D73" t="inlineStr">
        <is>
          <t>indeed</t>
        </is>
      </c>
      <c r="E73">
        <f>HYPERLINK("https://www.indeed.com/viewjob?jk=dc2af18b18705cb8", "https://www.indeed.com/viewjob?jk=dc2af18b18705cb8")</f>
        <v/>
      </c>
      <c r="F73">
        <f>HYPERLINK("https://isolved.isolvedhire.com/jobs/1716928-502667.html", "https://isolved.isolvedhire.com/jobs/1716928-502667.html")</f>
        <v/>
      </c>
      <c r="G73" t="inlineStr">
        <is>
          <t>US</t>
        </is>
      </c>
      <c r="H73" s="2" t="n">
        <v>46083</v>
      </c>
      <c r="I73" t="inlineStr">
        <is>
          <t>**Why Work Here**
* Headquarters is in Charlotte, NC
* Recently expanded to nearshore
* isolved ranked for SMB Payroll in 2023 Sapient Report
* Voted top places to work in USA 2023
 **Job Description**
The Technical Program Manager is responsible for the planning, execution, and delivery of assigned product programs and initiatives under frequent to occasional coaching and guidance. This role will work closely with their immediate supervisor and program stakeholders to develop delivery plans and track progress. This role will also be responsible for managing risks, communicating status, and resolving issues.
**Core Job Duties**
* Leadership: Foster collaborative and productive environment.
* Communication: Clearly communicate program/initiative goals, and ensure alignment with strategic objectives.
* Stakeholder Management: Engage with key stakeholders to define scope, manage expectations, establish communication management, perform change control management, and provide regular updates on progress, risks and mitigation strategies.
* Program Management: Plan, execute and deliver assigned product programs
* Risk and Issue Management: Identify potential risks, issues and dependencies and work with leaders to develop ways to mitigate them.
* Readiness: Support readiness planning and execution in collaboration with readiness stakeholders to enable the successful release of new offerings and/or product enhancements.
**Minimum Qualifications**
* Bachelor's degree in business administration or a related field, or an equivalent combination of education, training and experience (required).
* Knowledge of Project Management principles, concepts and practices
* 1\-2 years of experience in project/program management
* Strong organizational and time management skills
* Ability to work independently and as part of a team
* Proficient with Microsoft Office Suite
* Ability to communicate effectively, build consensus, facilitate working sessions
* Ability to gather and analyze facts, draw conclusions, define problems, and suggest solutions.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row>
    <row r="74">
      <c r="A74" t="inlineStr">
        <is>
          <t>in-eefb5725a2c61988</t>
        </is>
      </c>
      <c r="B74" t="inlineStr">
        <is>
          <t>Program Manager</t>
        </is>
      </c>
      <c r="C74" t="inlineStr">
        <is>
          <t>Developmental Disabilities Resource Center</t>
        </is>
      </c>
      <c r="D74" t="inlineStr">
        <is>
          <t>indeed</t>
        </is>
      </c>
      <c r="E74">
        <f>HYPERLINK("https://www.indeed.com/viewjob?jk=eefb5725a2c61988", "https://www.indeed.com/viewjob?jk=eefb5725a2c61988")</f>
        <v/>
      </c>
      <c r="F74">
        <f>HYPERLINK("https://www.applicantpro.com/openings/ddrcco/jobs/4007309-41778", "https://www.applicantpro.com/openings/ddrcco/jobs/4007309-41778")</f>
        <v/>
      </c>
      <c r="G74" t="inlineStr">
        <is>
          <t>Littleton, CO, US</t>
        </is>
      </c>
      <c r="H74" s="2" t="n">
        <v>46083</v>
      </c>
      <c r="I74" t="inlineStr">
        <is>
          <t>**Program Manager**
DEPARTMENT: Adult Vocational Services
REPORTS TO: Adult Vocational Services Director
SUPERVISORY RESPONSIBILITIES: Supervisor multiple entry level positions
POSITION TYPE: Exempt
LOCATION: 3636 S Independence St.
SCHEDULE: Mon\-Thurs 7:30a\-4:30p
SALARY RANGE: **$58,750\-$64,625 per year**
BENEFITS \&amp; PERKS:
* Medical – Exceptional Cigna benefits: $30\.25/month employee cost, $750 deductible, 100% coverage after deductible
* Dental \&amp; Vision
* 401(k) plan with a 3% company match, available after one year of service during designated eligibility enrollment periods.
* Life Insurance
* Flexible Spending Account (FSA)
* Tuition Reimbursement
* Eligibility for Public Student Loan Forgiveness (PSLF)
* Access to the NADSP Badge Academy
Since 1964, DDRC has been committed to empowering individuals with intellectual and developmental disabilities (IDD) and supporting their families. With a team of 200\+ dedicated staff, we offer a wide range of services from Early Intervention to adult residential, employment, and community programs. Our mission is grounded in inclusion, opportunity, and helping every person reach their fullest potential.
*DDRC is an equal opportunity employer. All applicants will receive consideration for employment without regard to race, color, religion, sex, national origin, sexual orientation, gender identity, disability, protected veteran status, or any other status protected by applicable law.*
POSITION SUMMARY:
As a Manager at Developmental Disabilities Resource Center, you will supervise a dedicated team working directly with individuals with Intellectual and Developmental Disabilities. Your role is pivotal in collaborating with other Managers and leaders to embrace and facilitate continuous change, identifying innovative approaches to enhance our business practices. Upholding the mission, vision, and values of DDRC is essential as you engage both employees and participants in our day programs.
Your creativity and focus on person\-centered practices will guide you in developing impactful programs that truly meet the needs of those we serve. Additionally, your commitment to ongoing professional growth and learning will bolster your passion for helping others achieve their goals and dreams. As a proven self\-starter and problem\-solver with exceptional organizational skills, you will play a key role in driving quality assurance and enhancing the overall experience for individuals with developmental disabilities.
ESSENTIAL FUNCTIONS:
* Prioritizes and performs multiple tasks and meets deadlines.
* Ability and willingness to use approved physical and non\-physical behavioral intervention techniques as appropriate.
* Will be required to work varied hours and change priorities as needed.
* Operates within policies and procedures set by Developmental Disabilities Resource Center policy, rules and regulations of the State and other governing bodies.
* Respects and supports all confidentiality/HIPAA requirements.
* Supervises direct care staff.
* May provide transportation as needed either through use of own or agency vehicle.
* Monitors the day to day operations of designated program.
QUALIFICATIONS \&amp; SKILLS:
* BA/BS in related field or combination of experience and education.
* 2 years or paid or volunteer experience working with people with intellectual and developmental disabilities preferred.
* 1 year staff supervisory experience strongly preferred.
* Working knowledge of program planning and development.
* Must have ability to work effectively as a team member.
PHYSICAL DEMANDS:
* Physically transfers, repositions and otherwise physically assists people with developmental disabilities as needed to meet health and safety needs.
* Physical stamina to assist individuals safely, including the ability to stand, pivot, and transfer.
* Frequent standing, walking, bending, kneeling, and reaching.
* Ability to push, pull, and position wheelchairs and other adaptive equipment.
* Manual dexterity for personal care and adaptive equipment support.
* *DDRC is an Equal Opportunity Employer and are committed to providing reasonable accommodations to qualified individuals with disabilities in accordance with the Americans with Disabilities Act (ADA).*
CULTURE \&amp; ENVIRONMENT:
Our team is dedicated to creating an inclusive, supportive environment where individuals with intellectual and developmental disabilities can thrive. We're a mission\-driven organization that values commitment, teamwork, and long\-term growth our average employee tenure is 9 years.
 *The position summary and the essential functions are not exhaustive and may be revised, with or without notice, based on funding, program needs, or organizational requirements. Changes will not be discriminatory, retaliatory, or violate laws like the Americans with Disabilities Act (ADA).*</t>
        </is>
      </c>
    </row>
    <row r="75">
      <c r="A75" t="inlineStr">
        <is>
          <t>in-c164d95cd6d03e7d</t>
        </is>
      </c>
      <c r="B75" t="inlineStr">
        <is>
          <t>Program Specialist (Research Program Manager)</t>
        </is>
      </c>
      <c r="C75" t="inlineStr">
        <is>
          <t>University of Hawaii system</t>
        </is>
      </c>
      <c r="D75" t="inlineStr">
        <is>
          <t>indeed</t>
        </is>
      </c>
      <c r="E75">
        <f>HYPERLINK("https://www.indeed.com/viewjob?jk=c164d95cd6d03e7d", "https://www.indeed.com/viewjob?jk=c164d95cd6d03e7d")</f>
        <v/>
      </c>
      <c r="F75">
        <f>HYPERLINK("https://www.schooljobs.com/careers/hawaiiedu/jobs/5254082/program-specialist-research-program-manager-pos-0096587t", "https://www.schooljobs.com/careers/hawaiiedu/jobs/5254082/program-specialist-research-program-manager-pos-0096587t")</f>
        <v/>
      </c>
      <c r="G75" t="inlineStr">
        <is>
          <t>Hilo, HI, US</t>
        </is>
      </c>
      <c r="H75" s="2" t="n">
        <v>46082</v>
      </c>
      <c r="I75" t="inlineStr">
        <is>
          <t>**Description**
---------------
Title: Program Specialist (Research Program Manager)
Position Number: 0096587T
Hiring Unit: College of Arts \&amp; Sciences
Location: UH Hilo
Date Posted: March 1, 2026
Closing Date: March 13, 2026
Band: B
Salary : salary schedules and placement information
Full Time/Part Time: Full\-time
Month: 11\-month
Temporary/Permanent: Temporary
Position Overview
The University of Hawaii at Hilo (UH Hilo) is a public liberal arts and sciences university on the Island of Hawaii, known for its unique blend of cultural immersion and research opportunities, leveraging the island’s extraordinary geological, biological, and cultural diversity. It is a comprehensive, regional university within the ten\-campus University of Hawaii system, focusing primarily on high\-quality baccalaureate and select postgraduate education, including distinctive programs in areas like marine science, geology, astronomy, and Hawaiian language revitalization.
The UH Hilo Center for Place\-Based Socioemotional Development, UH Hilo Center for Place\-Based Socioemotional Development (Hilo Center) is housed in the College of Arts and Sciences at UH Hilo. The Hilo Center serves as a multifaceted equity lab that aims to improve the educational opportunities, wellbeing, and ultimately life outcomes for students from communities that have been undermined or have been provided with limited opportunities in the public education system. It strives to shrink the distance between research, community, service and teaching by developing projects that open pathways for collaboration among community service providers, educators, and UH Hilo students preparing or considering careers in education or youth development.
The program manager is a crucial leader and facilitator of Ka Pouhana, the programmatic arm of the center supported by grants from multiple funders. The individual in this role will oversee and implement all aspects of the Ka Pouhana mentoring and leadership programs, and the center’s student wellness initiatives, including the Ka Pouhana Listening Lab. The position also serves as the administrator for the research and evaluation arm of the center by coordinating project activities, maintaining records, preparing materials, supporting data collection processes, and assist with the preparation of reports.
**Duties and Responsibilities (\*denotes essential functions)**
* + Leads, plans, and implements all aspects of Hilo Center program activities, including the Ka Pouhana mentoring and leadership program and the Center’s student wellness initiatives such as the Ka Pouhana Listening Lab; develops program structures and materials; coordinates student, faculty, and community partner engagement; organizes meetings and events; and supports program communication and documentation.
* + Coordinates Center administrative operations, including project planning, communication, record\-keeping, procurement, travel, and personnel processes.
* + Oversees a $1M annual budget, ensuring precise execution of procurement, travel, and project expenditures. Acts as the primary fiscal liaison with UH Foundation and RCUH to ensure compliance and streamlined reporting.
* + Supervises staff, graduate assistants, and undergraduate student workers and monitors completion of assigned tasks.
* Administers the Center’s research and evaluation activities by coordinating project tasks, preparing materials, supporting data collection processes, and assisting with report preparation.
* Prepares grant proposals, assists with identifying funding opportunities, and completes required funder documentation and reports.
* Builds and maintains partnerships with UH units, schools, and community organizations to support program implementation and student success.
* Performs other duties as assigned.
Minimum Qualifications* Master's degree in Higher Education Leadership, Educational Administration, Public Administration, Counseling, Social Sciences, or related field and three (3\) years of progressively responsible professional experience in higher education administration, program or project management, student leadership development, or community\-engaged initiatives; or any equivalent combination of education and/or professional work experience which provides the required education, knowledge, skills and abilities as indicated.
* Considerable working knowledge of principles, practices and techniques in the area of higher education program administration and student development as demonstrated by the broad knowledge of the full range of pertinent standard and evolving concepts, principles and methodologies.
* Considerable working knowledge and understanding of applicable federal and state laws, rules, regulations and theories and systems associated with higher education and sponsored research.
* Demonstrated ability to resolve wide ranging complex problems through the use of creative reasoning and logic to accurately determine the cause of the problems and the resolution of the problems in an effective, innovative and timely manner.
* Demonstrated ability to interpret and present information and ideas clearly and accurately in writing, verbally and by preparation of reports and other materials.
* Demonstrated ability to establish and maintain effective working relationships with internal and external organizations, groups, team leaders and members, and individuals.
* Demonstrated ability to operate a personal computer, apply word processing software, Google Workspace and project tracking tools such as Airtable.
* For supervisory work, demonstrated ability to lead subordinates, manage work priorities and projects, and manage employee relations.
* Experience supporting mentoring programs or student leadership development initiatives in post\-secondary or youth\-serving settings.
* Experience working with the Hawaii Department of Education or community service organizations.
* Experience preparing grant proposals, reports, or related documentation.
* Experience supervising staff or student employees.
* Ability to plan and coordinate program activities.
Desirable Qualifications* Knowledge of Hawaii\-based, culturally responsive and sustaining practices, including familiarity with frameworks such as HA, Ka Pouhana, and Kukulu Kumuhana.
* Understanding of Hawaii Island’s educational and community landscape, including local schools, youth\-serving organizations, and place\-based factors influencing student wellness and engagement.
* Knowledge of the University of Hawaii system, including familiarity with campus operations, student support structures, and administrative processes across UH units.
* Experience supervising teams in a university setting.
To Apply: issued from an institution outside the United States of America require a course\-by\-course analysis with an equivalency statement from an agency having membership with the National Association of Credential Evaluation Services, Inc., verifying the degree equivalency to that of an accredited institution within the USA. Expense of the evaluation shall be borne by the applicant. All requested documents/information become the property of the University. All minimum qualifications must be met by the closing date. Incomplete applications will not be considered. Failure to submit all required documents and reference information shall deem an application to be incomplete.  
Note: If you have not applied for a position before using NeoGov, you will need to create an account.  
Inquiries: Margary Martin, margary@hawaii.edu  
**EEO, Clery Act, ADA**
-----------------------
The University of Hawai'i is an Equal Opportunity Institution and is committed to a policy of nondiscrimination in employment, including on the basis of veteran and disability status. For more information, visit: **https://www.hawaii.edu/offices/eeo/policies/**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In accordance with Article 10 of the unit 08 collective bargaining agreement, bargaining unit members receive priority consideration for APT job vacancies. As a result, external or non BU 08 applicants may not be considered for some APT vacancies. BU 08 members with re\-employment rights or priority status are responsible for informing the hiring unit of their status.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is>
      </c>
    </row>
    <row r="76">
      <c r="A76" t="inlineStr">
        <is>
          <t>in-cdcd8bc3679b40ea</t>
        </is>
      </c>
      <c r="B76" t="inlineStr">
        <is>
          <t>Registered Nurse - Program Manager Supervisor</t>
        </is>
      </c>
      <c r="C76" t="inlineStr">
        <is>
          <t>US Department of Veterans Affairs</t>
        </is>
      </c>
      <c r="D76" t="inlineStr">
        <is>
          <t>indeed</t>
        </is>
      </c>
      <c r="E76">
        <f>HYPERLINK("https://www.indeed.com/viewjob?jk=cdcd8bc3679b40ea", "https://www.indeed.com/viewjob?jk=cdcd8bc3679b40ea")</f>
        <v/>
      </c>
      <c r="F76">
        <f>HYPERLINK("https://www.usajobs.gov:443/job/859400000", "https://www.usajobs.gov:443/job/859400000")</f>
        <v/>
      </c>
      <c r="G76" t="inlineStr">
        <is>
          <t>Battle Creek, MI, US</t>
        </is>
      </c>
      <c r="H76" s="2" t="n">
        <v>46082</v>
      </c>
      <c r="I76" t="inlineStr">
        <is>
          <t>**Summary**
-----------
The Battle Creek VA Medical Center is recruiting for a Registered Nurse \- Program Manager Supervisor this position will function in Health Informatics Service.  
**The 2\-page Resume requirement does not apply to this occupational series. For more information, refer to Required Documents below.**
**This job is open to**
-----------------------
### **The public**
U.S. Citizens, Nationals or those who owe allegiance to the U.S.
### **Internal to an agency**
Current federal employees of the hiring agency that posted the job announcement.
### **Clarification from the agency**
NOTE: The 2\-page Resume requirement does not apply to this position. For more information, refer to Required Documents below.
**Duties**
----------
Program Manager (PM) Registered Nurse (RN) Supervisor executes position responsibilities that demonstrate beginning leadership skills and participates in specific program experiences. Accountable for planning, organizing, directing, and evaluating the program and the staff who support it. They demonstrate creative approaches to the management of program aspects of complex patient care. Provides supervision of program staff. The PM Supervisor demonstrates performance and beginning leadership skills that start to impact the standard of care and safety of staff while caring for all patients throughout the continuum of care. They are responsible for leading a facility wide program for all services within the organization that meets the requirement of National Directives. The PM Supervisor will oversee the provision of staff education, orientation, competencies and providing quality improvement consultation related to the program specifically. The PM Supervisor continuously evaluates the program, collecting and submitting facility performance measures. Participates in quality improvement activities for nursing.  
VA offers a comprehensive total rewards package: VA Nurse Total Rewards  
**Pay:** Competitive salary, regular salary increases, potential for performance awards  
**Paid Time Off:** 50 days of paid time off per year (26 days of annual leave, 13 days of sick leave, 11 paid Federal holidays per year)  
**Retirement:** Traditional federal pension (5 years vesting) and federal 401K with up to 5% in contributions by VA  
**Insurance:** Federal health/vision/dental/term life/long\-term care (many federal insurance programs can be carried into retirement)  
**Licensure:** 1 full and unrestricted license from any US State or territory  
**Work Schedule:** Monday to Friday; 7:30 am to 4:00 pm. Hours may vary based on Veteran's needs.  
**Telework:** Not Available  
**Virtual:** This is not a virtual position.  
**Relocation/Recruitment Incentives:** Not Authorized  
**Permanent Change of Station (PCS)**: Not Authorized
**Requirements**
----------------
### **Conditions of employment**
* U.S. Citizenship; non\-citizens may only be appointed when it is not possible to recruit qualified citizens in accordance with VA Policy.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identification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You may be required to serve a probationary period.
* Complete all application requirements detailed in the "Required Documents" section of this announcement.
### **Qualifications**
**Basic Requirements**:
* **English Language Proficiency.** In accordance with 38 U.S.C. 7403(f), no person shall serve in direct patient care positions unless they are proficient in basic written and spoken English.
* **Graduate of a school of professional nursing** approved by the appropriate accrediting agency and accredited by one of the following accrediting bodies at the time the program was completed by the applicant: The Accreditation Commission for Education in Nursing (ACEN) or The Commission on Collegiate Nursing Education (CCNE); **OR** Individuals attending a master's level bridge program in nursing who have completed coursework equivalent to a bachelor's level degree in Nursing may have opportunity to become registered as a nurse with a state licensing board prior to completion of the bridge program. Upon achievement of a State license, the individual may be appointed on temporary basis and later converted to a permanent appointment upon successful completion and graduation from the bridge program. (Reference VA Handbook 5005, Appendix G6\); **OR** In cases of graduates of foreign schools of professional nursing, possession of a current, full, active, and unrestricted registration will meet the requirement for graduation from an approved school of professional nursing to warrant an appointment as a Nurse who has completed an associated degree/entry level Nursing education program. Credit for foreign nursing education higher that associate degree/entry level requires a formal degree equivalency validation from a recognized equivalency evaluation accepted by VA such as International Consultants of Delaware (ICD).
* **Current, full, active, and unrestricted registration** as a graduate professional nurse in a State, Territory or Commonwealth (i.e., Puerto Rico) of the United States, or the District of Columbia. Graduate Nurse Technician (GNT) Exception: Candidates who otherwise meet the basic education requirements, but do not possess the required licensure, may be appointed at the entry step of the grade and level applicable to the completed nursing education as a GNT on a 120\-day temporary appointment while actively pursuing licensure (may be extended up to two years on a case\-by\-case\-basis.)
**NOTE:** Grandfathering Provision \- All persons currently employed in VHA in 0610 series and performing the duties as described in the qualification standard on the effective date of the standard (1/29/2024\) are considered to have met all qualification requirements for the grade held including positive education and licensure/certification.  
**Grade Determinations:** The following Scope, Education and Dimension criteria must be met in determining the grade assignment of candidates, and if appropriate, the level within a grade. The Dimension requirements (Practice, Veteran/Patient Driven Care, Leadership, Professional Development and Evidence\-Based Practice/Research) are detailed for each grade and level within the online assessment: https://apply.usastaffing.gov/ViewQuestionnaire/12897315\.
**Grade/Level** **Scope** **Education**
Nurse I, Level I Delivers fundamental, knowledge\-based care to assigned clients while developing technical competencies. An Associate Degree (ADN) or Diploma in Nursing, with no additional professional nursing required.
Nurse I, Level II Demonstrates integration of biopsychosocial concepts, cognitive skills and technically competent practice in providing care to clients with basic or complex. An ADN or Diploma in Nursing **AND** 1 year of specialized nursing experience equivalent to Nurse I, Level 1 ;**OR** a Bachelor of Science in Nursing (BSN) with no additional professional nursing experience required.
Nurse I, Level III Demonstrates proficiency in practice based on conscious and deliberate planning. Self\-directed in goal setting for managing complex client situations. An ADN or Diploma in Nursing **AND** 2 years of professional nursing experience in which one year is equivalent to Nurse I, Level 2; **OR** a BSN and 1 year of professional nursing experience equivalent to the Nurse I, Level 2; **OR** a Master's degree in nursing (MSN) and no additional professional nursing experience; **OR** a Master's degree in a \*related field with a BSN and no additional professional nursing experience.
Nurse II Demonstrates leadership in delivering and improving holistic care through collaborative strategies with others. A BSN with 2 years of professional nursing equivalent to Nurse I, Level 3; **OR** an MSN with one year of specialized nursing experience equivalent to Nurse I, Level 3; **OR** a Master's degree in a \*related field with a BSN and one year of specialized nursing experience equivalent to Nurse I, Level 3; **OR** a Doctoral degree in Nursing with no professional nursing experience; **OR** a Doctoral degree in a \*related field with a BSN with no additional professional nursing experience.
Nurse III Executes position responsibilities that demonstrate leadership, experience and creative approaches to management of complex client care beyond the immediate practice setting. MSN and 2 years of specialized nursing experience, one of which is equivalent to Nurse II and meets all dimension requirements for Nurse III; **OR** a Master's degree in \*related field with BSN and two years of specialized nursing experience, one of which is equivalent to Nurse II and meets all dimension requirements for Nurse III; **OR** a Doctoral degree in Nursing with and one year of specialized nursing experience equivalent to Nurse II and meets all dimension requirements for Nurse III; **OR** a Doctoral degree in a \*related field with a BSN and one year of specialized nursing experience equivalent to Nurse II and meets all dimension requirements for Nurse III.
**\***Note: Foreign education programs/degrees are not creditable as related degrees.  
**Reference:** For more information on this qualification standard, please visit https://www.va.gov/ohrm/QualificationStandards/.  
**Physical Requirements:** Heavy lifting, 45 pounds and over; Heavy lifting, 45 pounds and over; Pushing, intermittent hours; Reaching above shoulder; Use of fingers; Both hands required; Walking; Standing; Kneeling; Repeated bending; Both legs required; Ability for rapid and muscular coordination simultaneously; Near vision correctable at 13" to 16" to Jaeger 1 to 4; Far vision correctable in one eye to 20/20 and to 20/40 in the other; Ability to distinguish basic colors, shades of color; Hearing (aid permitted); Mental and Emotional Stability.
### **Additional information**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**NOTE:** Candidate's education, scope, and length of nursing practice (experience) will be considered in determining the grade and salary of the applicant selected. The recommended salary may be at any point in the range listed for this vacancy.  
Experience as an RN will be evaluated to determine if the experience is of an acceptable level of quality with regard to the following five dimensions of nursing: Practice, Veteran/Patient Driven Care, Leadership, Professional Development, and Evidence/Based Practice/Research. Each dimension of practice has criteria that demonstrate essential core competencies for VHA Nursing Personnel.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Resume
* Transcript
SF\-50, Notification of Personnel Action (if applicable for Time in Grade and/or Eligibility):
* SF50 must be dated within the past year for Internal and Federal employees.
* Most recent SF\-50 if you are a current or former Federal employee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 Cover Letter
* DD\-214/ Statement of Service
* Disability Letter (Schedule A)
* Disability Letter (VA)
* License
* Other (1\)
* Other (2\)
* Other (3\)
* Performance Appraisal
* Professional Certification
* Resume
* Separation Notice (RIF)
* SF\-15
* SF\-50/ Notification of Personnel Action
* Transcript
**Veterans' Preference Note:** Preference eligible candidates and other Veterans will be given preference when qualification of candidates are approximately equal for Title 38 positions in VHA.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03/09/2026 to receive consideration. To preview the questionnaire, click https://apply.usastaffing.gov/ViewQuestionnaire/12897315\.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are submitted prior to the closing date.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VA Healthcare System Serving Ohio, Indiana and Michigan (VISN 10\) advocates for a Whole Health System of care in each of the Medical Centers. This is an approach to healthcare that empowers and equips people to take charge of their health and well\-being and live their lives to the fullest. As an employee operating in a Whole Health System of care, you will operate in a model with three core elements, seeking to create a personalized health plan for each Veteran. This is done in the context of healing relationships and healing environments and a connection back to the Veteran's community. This aligns with the Veterans Health Administration (VHA) Mission Statement to Honor America's Veterans by providing exceptional health care that improves their health and well\-being.  
### **Agency contact information**
Amy Brasseaux
Phone
269\-998\-1560
Email
Amy.Brasseaux@va.gov
Address
*Battle Creek VA Medical Center*  
*5500 Armstrong Road*  
*Battle Creek, MI 49037*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03/02/2026 to 03/09/2026
Salary
$91,245 to \- $156,074 per year
Pay scale \&amp; grade
VN 00
Location
1 vacancy in the following location:
Battle Creek, MI
Remote job
No
Telework eligible
No
Travel Required
25% or less \- You may be expected to travel for this position.
Relocation expenses reimbursed
No
Appointment type
Permanent
Work schedule
Full\-time
Service
Excepted
Promotion potential
3
Job family (Series)
* 0610 Nurse
Supervisory status
Yes
Security clearance
Not Required
Drug test
Yes
Position sensitivity and risk
Non\-sensitive (NS)/Low Risk
Trust determination process
* Credentialing
* Suitability/Fitness
Financial disclosure
No
Bargaining unit status
No
Announcement number
CBSR\-12897315\-26\-AB
Control number
859400000</t>
        </is>
      </c>
    </row>
    <row r="77">
      <c r="A77" t="inlineStr">
        <is>
          <t>in-5e9c7bc4d56f5e39</t>
        </is>
      </c>
      <c r="B77" t="inlineStr">
        <is>
          <t>Product Manager</t>
        </is>
      </c>
      <c r="C77" t="inlineStr">
        <is>
          <t>Indiana Packers</t>
        </is>
      </c>
      <c r="D77" t="inlineStr">
        <is>
          <t>indeed</t>
        </is>
      </c>
      <c r="E77">
        <f>HYPERLINK("https://www.indeed.com/viewjob?jk=5e9c7bc4d56f5e39", "https://www.indeed.com/viewjob?jk=5e9c7bc4d56f5e39")</f>
        <v/>
      </c>
      <c r="F77">
        <f>HYPERLINK("https://indianapackerscorp.applicantpool.com/jobs/1285344-21859.html", "https://indianapackerscorp.applicantpool.com/jobs/1285344-21859.html")</f>
        <v/>
      </c>
      <c r="G77" t="inlineStr">
        <is>
          <t>Delphi, IN, US</t>
        </is>
      </c>
      <c r="H77" s="2" t="n">
        <v>46082</v>
      </c>
      <c r="I77" t="inlineStr">
        <is>
          <t>**Product Manager**
Indiana Packers Corporation (IPC) is a fully integrated retail, foodservice and private label producer of fresh and processed meats based in Delphi, Indiana. Since the start of operations in 1991, we have experienced rapid growth from a single pork processing company into a multi\-plant diversified producer of fresh and processed meats, with locations throughout America's Heartland and revenues of approximately $1\.5B. We are best known for our national brand Kentucky Legend (the best\-selling boneless ham brand in the United States) as well as several well\-known regional brands, including Indiana Kitchen, Fischer's, Field, Mickelberry's, Kentuckian Gold, and Scott Pete. We now have processing facilities in Frankfort, Indiana; Holland, Michigan; and Owensboro, Kentucky.
We value diversity, innovation, collaboration and those passionate about their jobs. We support our team members by offering a total rewards package, including competitive pay, three different medical care plans (two with company\-funded health savings accounts), pharmacy, dental, and vision plans, a retirement/401K (with 50% match on team members' contributions up to 8%), a competitive paid time off program, educational assistance, and numerous advancement opportunities. With more than 3,100 team members located across 14 different states, we are a big company with a small company culture.
Indiana Packers Corporation is in Delphi, Indiana, just 15 minutes away from the greater Lafayette/West Lafayette area, home of Purdue University.
**Summary:**
The selected individual will have experience as a Product Manager, Category Manager, Business Unit Manager responsible for the strategic leadership, growth, and profitability of the bacon product category. This role owns category strategy, innovation pipeline, pricing, margin management, customer insights, and cross\-functional execution to drive revenue growth and market share expansion. The Product Manager serves as the subject matter expert for the Bacon portfolio and partners closely with FP\&amp;A, Sales, PlanningScheduling, and others to ensure that IPC is maximizing profitability through customer reviews, efficiency through scheduling, inventory management, and sales pricing.
As a subject\-matter expert, you will shape discussions and influence decision\-making to drive sustained category growth and success. This individual and their peers will provide daily/ weekly/ monthly strategies to the commercial/sales team to ensure success. **This is a new role within the organization and will begin with strict focus in the Bacon category.**
**Responsibilities:**
* Meeting product group profitability objectives for fiscal year based on specified budget. Objectives revolving around but not limited to; pricing, inventory, and product group assortment strategies.
* Managing pricing activities (daily/weekly/seasonal/ etc.) to maximize profit potential within product group. Pricing responsibilities are specific to the assigned product group and will be coordinated with the Director of Product Management and/or other leaders within the commercial leadership team.
* Inventory management within respective categories. Including the preparation and execution of any relevant seasonal needs, addressing distressed inventory with sales, fresh vs. frozen coordination as required, etc. Providing direction to respective planning team(s) as needed.
* Creating, organizing and overseeing general strategies amongst production areas that utilize raw materials within categories being managed. Meaning, boneless production vs bone\-in, fresh vs, processed, etc.
* Work in conjunction with FP\&amp;A and Operations to create, maintain, and manage B/E models for respective categories. Using those to guide inventory and sales strategies within product group.
* Primary contact for the Sales team: Communicate product specifications, inventory levels, pricing, costing and lead time requirements.
* Negotiates, reviews and approves pricing and trade agreements in conjunction with Director level. Significant role in annualized RFPs and determining assortment growth within respective categories.
* Responsible for development and maintenance of processes and workflows with other functional areas and departments in respect to their category. Mainly but not limited to FP\&amp;A, Operations and Quality Assurance.
* Coordinates and attends product reviews to compare the execution of the written specs and gain insight into what drives variances and yields to standards.
* Monitor and address supply\-demand imbalances and service level challenges
* Considered the category expert over a specific segment. Provides leadership and guidance to other areas of the business, including FPS, operations, and sales.
* May maintain a level of relationship with key customer(s) within product group. Ensuring a level of connection with sales and general industry tone.
**Qualifications:**
* Bachelor's degree in Business, Marketing, Food Science, or related field required; MBA preferred.
* 5\+ years of experience in category management, product management, brand management, or food manufacturing.
* Experience in protein (bacon), meat processing, or CPG industry strongly preferred.
* Strong analytical skills with experience using syndicated data (IRI, Nielsen, Circana, etc.).
* Demonstrated P\&amp;L management experience.
* SAP experience, preferred.
* May travel up to 30% of the time.
* Proven ability to lead cross\-functional teams.
* Strong communication and presentation skills.
**Other Duties:**
Please note, this job description is not designated to cover or contain a comprehensive listing of activities, duties, or responsibilities that are required of the employee for this job. Duties and responsibilities may change at any time with or without notice.
**Work Environment:**
While performing the duties of this job, the employee is occasionally exposed to a variety of extreme conditions on the site including exposure to fumes or airborne particles, moving mechanical parts and vibration. The noise level in the work environment can be loud and hearing protection is required. The position regularly works near moving mechanical parts and in cold, hot, and outdoor conditions that include inclement weather, heat and humidity, and exposure to dust.
**Physical Demand:**
The physical demands described here are representative of those that must be met by an employee to successfully perform the essential functions of this job.
Work is primarily performed in an office setting in a manufacturing environment requiring the ability to sit, talk, hear, frequent walking, standing, and sitting; use hands to finger, handle, or feel; reach with hands and arms and stoop, kneel, crouch, or crawl. Ability to occasionally lift and/or move up to 25 pounds. Specific vision abilities required by this job include close vision and distance vision. Ability to use standard office equipment such as telephone, computer, and copier.
**Background Screening/Checks:**
This position is contingent upon the successful completion of a background check. This may include verification of employment, education, criminal background, driving history, and other relevant information, conducted in accordance with applicable federal, state, and local laws and regulations.
**EOE, including Disability/Veteran**
\#LI\-MB1
IND123</t>
        </is>
      </c>
    </row>
    <row r="78">
      <c r="A78" t="inlineStr">
        <is>
          <t>in-0088409b56365ce2</t>
        </is>
      </c>
      <c r="B78" t="inlineStr">
        <is>
          <t>Supervisory Information Technology Program Manager</t>
        </is>
      </c>
      <c r="C78" t="inlineStr"/>
      <c r="D78" t="inlineStr">
        <is>
          <t>indeed</t>
        </is>
      </c>
      <c r="E78">
        <f>HYPERLINK("https://www.indeed.com/viewjob?jk=0088409b56365ce2", "https://www.indeed.com/viewjob?jk=0088409b56365ce2")</f>
        <v/>
      </c>
      <c r="F78">
        <f>HYPERLINK("https://www.usajobs.gov:443/job/859403200", "https://www.usajobs.gov:443/job/859403200")</f>
        <v/>
      </c>
      <c r="G78" t="inlineStr">
        <is>
          <t>Washington, DC, US</t>
        </is>
      </c>
      <c r="H78" s="2" t="n">
        <v>46082</v>
      </c>
      <c r="I78" t="inlineStr">
        <is>
          <t>**Summary**
-----------
This position serves as a Supervisory IT Program Manager, located in the Department of Justice, Chief Information Officer in Washington, DC. The incumbent is responsible for overseeing multiple Information Technology programs. Advising employees on complex IT matters.
**This job is open to**
-----------------------
### **The public**
U.S. Citizens, Nationals or those who owe allegiance to the U.S.
### **Career transition (CTAP, ICTAP, RPL)**
Federal employees whose job, agency or department was eliminated and are eligible for priority over other applicants.
### **Clarification from the agency**
This position is being filled using Direct\-Hire Authority.
**Duties**
----------
The duties and responsibilities for a Supervisory IT Program Manager GS\-2210\-15 generally include, but are not limited to, the following:
* Provide enterprise level program governance;
* Influence and negotiate enterprise\-wide solutions
* Develop training and incident response procedures.
* Develop security countermeasures necessary to protect classified information.
* Oversee a staff of IT Specialists.
**Requirements**
----------------
### **Conditions of employment**
* You must be a United States Citizen or National.
* You must successfully pass a security/background investigation and a drug screening.
* Selective Service registration is required, see the "Additional Information" section for full details.
* Financial Disclosure: If selected, you may be required to disclose financial information in accordance with DOJ and Federal ethics guidelines.
* This position requires the candidate to be able to hold a security clearance at the Top Secret / SCI security level.
### **Qualifications**
To qualify for the position of Supervisory Information Technology Program Manager, at GS\-2210\-15, you must meet the basic qualification requirements listed below.  
**Basic Qualifications (2210 series):**
* **Attention to Detail** \- Is thorough when performing work and conscientious about attention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**AND**  
**Specialized Experience**:  
**To qualify for the GS\-15 grade level**, you must have one (1\) year of specialized experience equivalent to at least the GS\-14 grade level in the Federal service, or comparable non\-Federal experience. Specialized experience is defined as experience performing the following duties:
* Oversee personnel responsible for high\-side operation of Tactical Local Area Network Encryption High Assurance Internet Protocol Encryptor (TACLANE HAIPE) encryptors.
* Direct the maintenance of networks built on Cisco or Juniper platforms.
You **MUST** meet all qualification requirements by the 03/16/2026 of this announcement.  
Your resume must support your responses to the application questionnaire and the qualification requirements. Failure to do so may result in an ineligible rating.*See the Required Documents section for important notes about what must be included in your resume.*
### **Education**
**Some federal jobs allow you to substitute your education for the required experience in order to qualify**. **For the GS\-15 level, you must meet the qualification requirement using experience alone. No substitution of education for experience is permitted.**
### **Additional information**
Additional selections may be made from this announcement.  
Candidates should be committed to improving the efficiency of the Federal government, passionate about the ideals of our American republic, and committed to upholding the rule of law and the United States Constitution. Candidates will not be hired based on their race, sex, color, religion, or national origin.  
This announcement is being advertised under an agency specific OR a government\-wide Direct\-Hire Authority approved by OPM for filling vacancies when a severe shortage or critical hiring need exists. Veterans Preference and other Category Rating procedures do not apply to this announcement. Applicants must meet all qualification requirements of the position. The hiring office may interview and select any qualified candidate of their choosing from the qualified pool. *See* *OPM, Direct Hire Authority* *for more information.*  
Career Transition Programs (CTAP or ICTAP): These programs apply to Federal and/or DOJ employees who meet the definition of surplus or displaced from a position in the competitive service. To receive selection priority for this position, you must:  
Be rated well\-qualified for the position based on the competencies listed above; and  
submit the appropriate documentation to support your CTAP or ICTAP eligibility. Well\-qualified is defined as having knowledge, skills, abilities, and/or competencies clearly exceeding the minimum qualification requirements for the vacancy.  
**EEO Statement/Policy**: The United States government does not discriminate in employment on the basis of race, color, religion, sex, pregnancy, national origin, political affiliation, sexual orientation, marital status, disability, genetic information, age, membership in an employee organization, retaliation, parental status, military service or other non\-merit factor.  
**DOJ Reasonable Accommodation Statement**: Federal agencies must provide reasonable accommodation to applicants with disabilities where appropriate. Applicants requiring reasonable accommodation for any part of the application and hiring process should contact the hiring agency directly. Determinations on requests for reasonable accommodation will be made on a case\-by\-case basis. The DOJ Reasonable Accommodation policy can be found here: https://www.justice.gov/jmd/reasonable\-accommodation\#policy  
**Selective Service**: If you were born male, on or after December 31, 1959, you must certify that you have registered with the Selective Service System, or are exempt from having to do so under the Selective Service Law. Additional information is found at: www.sss.gov.  
**Fair Chance to Compete for Jobs:** The Fair Chance Act prohibits Federal agencies from requesting an applicant's criminal history information before the agency makes a conditional offer of employment. If you believe a DOJ employee or Federal contractor acting on its behalf has violated your rights under this Act, you may submit a written complaint within 30 days of the date of the alleged non\-compliance directly to Ebony Stephenson at Ebony.Stephenson2@usdoj.gov  
**Note:** In accordance with 5 U.S. Code § 9202(c) and 5 C.F.R § 920\.201(b) certain positions are exempt from the provisions of the Fair Chance Act.This position is excluded from the bargaining unit.  
This position is excluded from the bargaining unit.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job opportunity announcement closes (at 11:59 pm ET on 03/16/2026, a review of your resume and supporting documentation will be conducted, the information will be compared against your responses to the application questionnaire to determine your eligibility for Federal employment, and then whether you are qualified for this particular position. Per Direct\-Hire Authority requirements, all qualified candidates will be referred to the hiring office for consideration. The hiring office may select any qualified candidate without regard to special eligibility considerations. Veterans' preference is not applicable.  
* Information Resources Strategy and Planning
* Information Technology Program Management
* Leadership
* Stakeholder Management
When addressing the specialized experience statement, applicants must present evidence of the experience in their resume. If the specialized experience statement is repeated, in the applicant's resume, Human Resources will deem the applicant as ineligible.  
*If you would like to preview the application questionnaire, please see:* https://apply.usastaffing.gov/ViewQuestionnaire/12886260\.
**Required Documents**
----------------------
It is your responsibility to carefully review the list of required documents below and submit the necessary documentation based on your eligibility.
**Resume \- All Applicants:** *You must submit a resume (a two page or less resume is required) containing the following pieces of information for each job entry listed in your employment history:*
* Official position title,
* Employer name and contact information,
* Start and end dates (including month and year),
* Indicate full\-time or number of hours worked per week if part\-time,
* A list of duties performed and accomplishments.
**CTAP/ICTAP eligibility documentation** \- If you are a displaced Federal employee claiming eligibility under CTAP or ICTAP, you must submit:
* A copy of the agency notice (i.e., letter of intent to separate, separation notice, or agency RIF letter),
* Your most recent performance appraisal, and
* Most recent SF\-50 showing current/former position, grade, promotion potential, and duty location.
**How to Apply**
----------------
**To apply for this position, you must complete the online application questionnaire and submit your supporting documentation. Your complete application package must be submitted by 11:59 PM (EST) on** 03/16/2026 **to receive consideration.**  
The application process is as follows:
* Click Apply to access the online application. You will need to be logged into your USAJOBS account to apply. If you do not have a USAJOBS account, you will need to create one before beginning the application.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**Essay Questions**: The following four narrative questions provide an opportunity for you to highlight your dedication to public service for the hiring manager and agency leadership (or designee(s)). While your responses are not required and will not be scored, we encourage you to thoughtfully address each question. Please provide a response of 200 words or less to each question (**see the application questionnaire**). You will be asked to certify that you are using your own words and did not use a consultant or artificial intelligence (AI) such as a large language model (LLM) like ChatGPT or Copilot.
* + How has your commitment to the Constitution and the founding principles of the United States inspired you to pursue this role within the Federal government? Provide a concrete example from professional, academic, or personal experience.
* + In this role, how would you use your skills and experience to improve government efficiency and effectiveness? Provide specific examples where you improved processes, reduced costs, or improved outcomes.
* + How would you help advance the President's Executive Orders and policy priorities in this role? Identify one or two relevant Executive Orders or policy initiatives that are significant to you, and explain how you would help implement them if hired.
* + How has a strong work ethic contributed to your professional, academic or personal achievements? Provide one or two specific examples, and explain how those qualities would enable you to serve effectively in this position.
**NEED HELP?**  
If you need help with USAJOBs or the application process, please see the USAJOBS Help or Application Manager Online Help websites which includes information on managing your account, creating an application, uploading documents, etc.  
**Reasonable Accommodation:** To request reasonable accommodation for any part of the application and hiring process, please contact Ebony Stephenson at Ebony.Stephenson2@usdoj.gov for assistance.  
### **Agency contact information**
Ebony Stephenson
Email
ebony.stephenson2@usdoj.gov
Address
*Justice Management Division \- Chief Information Officer*  
*2 Constitution Square*  
*145 N Street NE*  
*Room 9W.300*  
*Washington, DC 20530*  
*US*### **Next steps**
You will receive e\-mail notifications as your application status is updated by DOJ. However, you can also see your application status any time by logging in to your USAJOBS account and looking on the "Applications" page. Click the position title to expand the display for each application in the list.  
*We strive to extend a final offer of employment within 90 days from the close of this announcement. Additional selections may be made from this announcement within 90 days.*
**Overview**
------------
Accepting applications
Open \&amp; closing dates
03/02/2026 to 03/16/2026
This job will close when we have received **100 applications** which may be sooner than the closing date. Learn more
Salary
$169,279 to \- $197,200 per year
Pay scale \&amp; grade
GS 15
Location
2 vacancies in the following location:
Washington, DC
Remote job
No
Telework eligible
Yes—as determined by the agency policy.
Travel Required
25% or less \- You may be expected to travel for this position.
Relocation expenses reimbursed
No
Appointment type
Permanent
Work schedule
Full\-time
Service
Competitive
Promotion potential
15
Job family (Series)
* 2210 Information Technology Management
Supervisory status
Yes
Security clearance
Sensitive Compartmented Information
Drug test
Yes
Position sensitivity and risk
Special\-Sensitive (SS)/High Risk
Trust determination process
* Credentialing
* Suitability/Fitness
* National security
Financial disclosure
Yes
Bargaining unit status
No
Announcement number
JMD\-CIO\-26\-12886260\-DHA
Control number
859403200</t>
        </is>
      </c>
    </row>
    <row r="79">
      <c r="A79" t="inlineStr">
        <is>
          <t>in-8ca9e0dced9605dc</t>
        </is>
      </c>
      <c r="B79" t="inlineStr">
        <is>
          <t>Purchasing Program Manager - STLA F Platform</t>
        </is>
      </c>
      <c r="C79" t="inlineStr">
        <is>
          <t>Stellantis</t>
        </is>
      </c>
      <c r="D79" t="inlineStr">
        <is>
          <t>indeed</t>
        </is>
      </c>
      <c r="E79">
        <f>HYPERLINK("https://www.indeed.com/viewjob?jk=8ca9e0dced9605dc", "https://www.indeed.com/viewjob?jk=8ca9e0dced9605dc")</f>
        <v/>
      </c>
      <c r="F79">
        <f>HYPERLINK("https://recruiting.adp.com/srccsh/public/RTI.home?r=5001180688706&amp;c=2183219&amp;d=ExternalCareerSite&amp;rb=INDEED&amp;idUnique=5001180688706", "https://recruiting.adp.com/srccsh/public/RTI.home?r=5001180688706&amp;c=2183219&amp;d=ExternalCareerSite&amp;rb=INDEED&amp;idUnique=5001180688706")</f>
        <v/>
      </c>
      <c r="G79" t="inlineStr">
        <is>
          <t>Auburn Hills, MI, US</t>
        </is>
      </c>
      <c r="H79" s="2" t="n">
        <v>46082</v>
      </c>
      <c r="I79" t="inlineStr">
        <is>
          <t>The Purchasing Program Manager is responsible for leading the activities and the sourcing functions for new programs. This position will support the production buyers on purchasing responsibilities for the program and act as the liaison between purchasing and the cross functional teams including engineering, supplier quality, supply chain management, finance, VCE, manufacturing and suppliers.
The Program Manager ensures purchasing requirements and KPIs are met at each milestone by removing obstacles, aligning purchasing tasks with timelines, and prioritizing actions for execution and management support. This role leads the sourcing cycle and proactively manages risk by systematically identifying, assessing, and prioritizing potential issues. The Program Manager develops and implements mitigation plans, monitors risk status, escalates critical issues promptly, and coordinates cross\-functional responses to minimize impact.
Additionally, this position features executive\-level interface as the Program Manager is responsible for supporting Product Committee meetings in addition to other product development and governance activities.
Responsibilities include but are not limited to:
* Report out to executive leadership on purchasing metrics to support vehicle program metrics
* Guarantee the achievement of project targets through the selection of suppliers
* Ensure purchasing requirements and metrics are met at all program milestones by removing roadblocks
* Guarantee the adequacy / alignment between the project and the commodity teams on sourcing strategies for all parts, including carry over, also taking into account the supplier risk
* Align to the program variable and investment targets for purchased components
* Contribute to the development of economic targets
* Guarantee the achievement of ‘Tool Kick off' with supplier in line with the planning and the capacity requirements of the project
* Ensure compliance with the conditions of execution of the supplier contract (in particular cost, time and production capacity, etc.) in the development, industrialization and / or mass production phase
* Monitor the supplier's economic impacts for evolutions during development
* Support to detect failing suppliers as early as possible and ensure the right level of reactivity and escalation to deal with these cases of failure
* Assess program capacities, communicating the vehicle program needs so the team can properly support the program
* Provide purchasing's input throughout the various milestones of the development cycle (sourcing, launch readiness, post launch supplier issues/recognitions, etc.) to ensure a successful program
* Implement Resourcing strategy, optimizing DMC for all North America vehicles
Requirements:
**Basic Qualifications:**
* Bachelor's degree in Business, Finance, Supply Chain Management, or related field (ABET accredited)
* A minimum 8 years of relevant purchasing experience or other disciplines that require significant negotiation/exposure to sourcing processes
* Strong organizational skills; excels in fast\-paced, complex environments
* Strong negotiation skills and the ability to think and act strategically
* Self\-motivated, resourceful, and able to manage multiple projects
* Results\-oriented leader with experience guiding cross\-functional teams
* Excellent communication skills; comfortable with all management levels
* Deep understanding of Group Purchasing business processes
* Proficient in MS Office, SAP, and Qlik Sense
* Effective under pressure; strong interpersonal skills
* Willingness to travel (0–20%), primarily within North America
**Preferred Qualifications:**
* MBA / Master's degree
* Commodity Purchasing experience
* Previous Purchasing Program Management experience</t>
        </is>
      </c>
    </row>
    <row r="80">
      <c r="A80" t="inlineStr">
        <is>
          <t>in-261844f675bb86f8</t>
        </is>
      </c>
      <c r="B80" t="inlineStr">
        <is>
          <t>Product Owner, Digital Farming Solutions</t>
        </is>
      </c>
      <c r="C80" t="inlineStr">
        <is>
          <t>AGCO Corporation</t>
        </is>
      </c>
      <c r="D80" t="inlineStr">
        <is>
          <t>indeed</t>
        </is>
      </c>
      <c r="E80">
        <f>HYPERLINK("https://www.indeed.com/viewjob?jk=261844f675bb86f8", "https://www.indeed.com/viewjob?jk=261844f675bb86f8")</f>
        <v/>
      </c>
      <c r="F80">
        <f>HYPERLINK("https://careers.agcocorp.com/job/Product-Owner%2C-Digital-Farming-Solutions/1369055500/", "https://careers.agcocorp.com/job/Product-Owner%2C-Digital-Farming-Solutions/1369055500/")</f>
        <v/>
      </c>
      <c r="G80" t="inlineStr">
        <is>
          <t>US</t>
        </is>
      </c>
      <c r="H80" s="2" t="n">
        <v>46082</v>
      </c>
      <c r="I80" t="inlineStr">
        <is>
          <t>Date: Mar 2, 2026
Req ID: 103342
Location:
US
Brand: PTx
Workplace Type: Hybrid/Remote
Solutions for Every Season \- We engineer and deliver precision ag hardware, software, and cloud\-based platforms that connect every corner of the farm.
The Product Owner plays a key role in driving value delivery within our Agile software teams. As the primary voice of the customer, you ensure the backlog reflects business priorities, guides development toward strategic goals, and upholds product quality standards.
**Your Impact**
* Own and prioritize the product backlog to maximize customer and business value.
* Define clear, actionable user stories and support the creation of epics.
* Ensure teams understand roadmap objectives and sprint goals.
* Collaborate with UX to refine requirements, wireframes, and design concepts.
* Lead and actively engage in agile ceremonies (PI Planning, Sprint Planning, Refinement, Reviews, Retrospectives).
**Your Experience and Qualifications**
* Degree in computer science, IT, engineering, or related fields. 2 years of experience in digital farming or related areas. Experience in software development and agile methodologies.
* Coordinate across product owners to identify dependencies and refine shared features. Serve as the primary point of contact for global development teams, clarifying business needs.
* Remove blockers and secure required information to keep development moving.
* Strong analytical thinking, communication skills, and cross\-functional teamwork. Ability to work independently and manage complex stakeholder processes.
* Basic knowledge of agronomy and agricultural machinery is beneficial.
**Your Benefits**
* Health care and wellness plans
* Dental and vision plans
* Flexible and virtual work options (where available)
* 401(k) Savings Plan with company match
* Employee Stock Purchase Plan offering eligible employees the ability to purchase AGCO stock at a discounted price
* Paid holidays and paid time off
* Health savings and flexible spending accounts
* Reimbursement for continuing education
* Life insurance and other supplemental insurance plans
**Your Workplace**
You will work with your wonderful AGCO colleagues in the Remote model.  
We value inclusion and recognize the innovation a diverse workforce delivers to our farmers. Through our recruitment efforts, we are committed to building a team that includes a variety of experiences, backgrounds, cultures, and perspectives.
**Join us as we bring agriculture into the future and !**
**Solutions for Every Season**
------------------------------
We engineer and deliver precision ag hardware, software, and cloud based platforms that connect every corner of the farm.
**Job Segment:** Cloud, Scientific, User Experience, Computer Science, Agricultural, Technology, Engineering, Agriculture</t>
        </is>
      </c>
    </row>
    <row r="81">
      <c r="A81" t="inlineStr">
        <is>
          <t>in-a35265811fcc1d3f</t>
        </is>
      </c>
      <c r="B81" t="inlineStr">
        <is>
          <t>Technical Program Manager - Systems</t>
        </is>
      </c>
      <c r="C81" t="inlineStr">
        <is>
          <t>Tata Electronics</t>
        </is>
      </c>
      <c r="D81" t="inlineStr">
        <is>
          <t>indeed</t>
        </is>
      </c>
      <c r="E81">
        <f>HYPERLINK("https://www.indeed.com/viewjob?jk=a35265811fcc1d3f", "https://www.indeed.com/viewjob?jk=a35265811fcc1d3f")</f>
        <v/>
      </c>
      <c r="F81">
        <f>HYPERLINK("https://careers.tataelectronics.com/job/Santa-Clara-Technical-Program-Manager-Systems-CA-95050/52795744/", "https://careers.tataelectronics.com/job/Santa-Clara-Technical-Program-Manager-Systems-CA-95050/52795744/")</f>
        <v/>
      </c>
      <c r="G81" t="inlineStr">
        <is>
          <t>Santa Clara, CA, US</t>
        </is>
      </c>
      <c r="H81" s="2" t="n">
        <v>46070</v>
      </c>
      <c r="I81" t="inlineStr">
        <is>
          <t>Technical Program Manager \- Systems
Job ID:
31236
Date:
18 Feb 2026
Location:
Santa Clara, US
Department:
Business Development
Business:
Corporate
**About The Business**
Tata Electronics Private Limited (TEPL) is a greenfield venture of the Tata Group. The Tata Group operates in more than 100 countries across six continents, with the mission 'To improve the quality of life of the communities we serve globally, through long term stakeholder value creation based on leadership with Trust. Tata Electronics is redefining the EMS (Electronics Manufacturing Services) landscape by delivering innovative consumer electronics products, services and solutions.
If you’re passionate about engineering excellence, product reliability, and driving business growth, join us to help shape the future of electronics manufacturing.
**Responsibilities**
* Lead the end\-to\-end execution of technical programs related to consumer electronics products, parts, components, and modules.
* Work cross\-functionally with design, engineering, supply chain, manufacturing, and quality teams to ensure seamless program execution.
* Define program roadmaps, set clear goals, and drive key milestones from concept to mass production.
* Drive alignment between product design and manufacturing capabilities.
* Partner with Client technical teams, factory teams and original design manufacturer (ODM) partners to ramp up production and resolve technical issues.
* Identify program risks, develop mitigation strategies, and ensure timely execution of deliverables.
* Utilize data\-driven decision\-making to optimize processes, improve quality, and enhance operational efficiency.
* Represent operations in discussions with product design teams, influencing product architecture for optimal manufacturability, scalability, and cost.
* Establish best practices and standardized processes to drive continuous improvement across programs.
* Lead technical reviews, manage escalations, and communicate project status to executive leadership.
**Essential Attributes**
* Manage NPI and sustaining operations with a strong background in manufacturing with a level of understanding in:
	+ **Equipment**\- Oversee equipment selection, install, setup, qualification, and PM activities.
	+ **Process**\- Familiar with Line\-Bring Up (LBU) and qualification, including Final Assembly, Test, and Packout.
	+ **Quality**\- Able to lead quality excursions, identify Root Cause Analysis (RCA), and suggest corrective actions. Experienced in driving improvement programs to increase Overall Equipment Effectiveness (OEE).
* Strong technical acumen with a deep understanding of consumer electronics manufacturing, supply chain, and product development.
* Excellent program management skills with the ability to manage complex cross\-functional projects.
* Exceptional communication and leadership abilities to drive alignment across stakeholders.
* Analytical and data\-driven mindset, with problem\-solving skills to navigate ambiguity and complexity.
* Ability to work effectively in a fast\-paced, matrixed environment with multiple priorities.
* Strong negotiation skills and ability to influence decision\-making across global teams.
**Qualifications**
* Bachelor’s degree in Engineering (Mechanical, Electrical, Electronics, or a related field).
* Master’s degree (MBA or M.S.) is a plus.
**Desired Experience Level**
* 5\+ years of experience in technical program management, product operations within the consumer electronics industry.
* Experience with manufacturing equipment DFM review.
* Proven track record of successfully delivering large\-scale technical programs from concept to production.
* Experience working with OEM/ODM partners and driving manufacturing process improvements with international partners.
* Knowledge of manufacturing processes, quality control, and operational efficiencies in high\-volume consumer electronics production.
* Hands\-on experience in managing supply chain dynamics, logistics, and procurement.
* Experience in Data\-driven manufacturing, automation, or Industry 4\.0 technologies is a plus.
**Nearest Major Market:** San Jose
**Nearest Secondary Market:** Palo Alto</t>
        </is>
      </c>
    </row>
    <row r="82">
      <c r="A82" t="inlineStr">
        <is>
          <t>in-b4798275d7f4851d</t>
        </is>
      </c>
      <c r="B82" t="inlineStr">
        <is>
          <t>Senior Product Manager, Data</t>
        </is>
      </c>
      <c r="C82" t="inlineStr">
        <is>
          <t>Reserv</t>
        </is>
      </c>
      <c r="D82" t="inlineStr">
        <is>
          <t>indeed</t>
        </is>
      </c>
      <c r="E82">
        <f>HYPERLINK("https://www.indeed.com/viewjob?jk=b4798275d7f4851d", "https://www.indeed.com/viewjob?jk=b4798275d7f4851d")</f>
        <v/>
      </c>
      <c r="F82">
        <f>HYPERLINK("https://ats.rippling.com/reserv/jobs/c9a47be4-151e-4dde-bf7c-4281cf9b3ec4?jobSite=Indeed", "https://ats.rippling.com/reserv/jobs/c9a47be4-151e-4dde-bf7c-4281cf9b3ec4?jobSite=Indeed")</f>
        <v/>
      </c>
      <c r="G82" t="inlineStr">
        <is>
          <t>Atlanta, GA, US</t>
        </is>
      </c>
      <c r="H82" s="2" t="n">
        <v>46061</v>
      </c>
      <c r="I82" t="inlineStr">
        <is>
          <t>**About Reserv**
Reserv is an insurtech creating and incubating cutting\-edge AI and automation technology to bring efficiency and simplicity to claims. Founded by insurtech veterans with deep experience in SaaS and digital claims, Reserv is venture\-backed by Bain Capital and Altai Ventures and began operations in May 2022\. We are focused on automating highly manual tasks to tackle long\-standing problems in claims and set a new standard for TPAs, insurance technology providers, and adjusters alike.
We have ambitious (but attainable!) goals and need people who can work in an evolving environment. If building a leading TPA and the prospect of tackling the long\-standing challenges of the claims role sounds exciting, we can’t wait to meet you.
 **About the role**
* As the Senior Product Manager, Data at Reserv, you will be at the forefront of driving the development and innovation of our data\-centric products. Working at the intersection of business, technology, and customer experience, you will be responsible for managing data products that support our insurance services and operations. You will lead the strategy, execution, and delivery of data solutions, leveraging insights to improve decision\-making, enhance operational efficiency, and provide value to our customers.  
In this role, you will collaborate closely with engineering, data science, operations, and business teams to ensure our data products align with the company’s goals. You will oversee the product lifecycle, from gathering requirements to launching new features, and continuously optimize product performance to meet evolving market needs.
**Who you are**
* **Data\-Driven**: You possess strong data analytics skills, using data to inform product decisions and measure success, with experience in business intelligence tools and performance metrics.
* **Technically Proficient**: You understand data architecture, analytics platforms, and are comfortable working with engineering teams to build robust data solutions.
* **Customer\-Focused**: You have a customer\-centric approach, gathering insights and transforming them into product features that enhance customer experience and drive value.
* **Strategic Thinker**: You have the ability to align product strategy with business objectives, identifying opportunities for innovation and growth within the data landscape.
* **Agile Practitioner**: You are experienced in Agile methodologies, able to manage backlogs, lead sprint planning, and work effectively in a fast\-paced, dynamic environment.
* **Collaborative Leader**: You work well with cross\-functional teams, influencing stakeholders at all levels and fostering a collaborative environment to achieve product goals.
* **Excellent Communicator**: You have strong communication skills, able to articulate complex concepts and product visions to both technical and non\-technical stakeholders.
* **Problem Solver**: You are skilled at analyzing problems, identifying solutions, and making data\-informed decisions to drive product success.
* **Adaptable \&amp; Innovative**: You thrive in an evolving environment, staying up\-to\-date with the latest industry trends and technologies to keep products competitive.
 **What you'll do**
* Gain a deep understanding of customer experience, identify and fill product gaps and generate new ideas that grow market share, improve customer experience and drive growth
* Create buy\-in for the product vision both internally and with key external partners
* Develop product pricing and positioning strategies
* Translate product strategy into detailed requirements and prototypes
* Scope and prioritize activities based on business and customer impact
* Work closely with engineering teams to deliver with quick time\-to\-market and optimal resources
* Drive product launches including working with public relations team, executives, and other product management team members
* Evaluate promotional plans to ensure that they are consistent with product line strategy and that the message is effectively conveyed
* Act as a product evangelist to build awareness and understanding
* Represent the company by visiting customers to solicit feedback on company products and services
* Support the product function globally
**Qualifications**
* Minimum of 5 years of experience in product management, with a focus on data\-driven products, ideally in the insurance or financial services industry.
* Familiarity with data architecture, data management, and analytics platforms, with a proven ability to work closely with engineering teams.
* Experience managing products in an Agile environment, including writing user stories, managing backlogs, and facilitating sprint planning sessions.
* Experience in managing end\-to\-end product life cycles, including developing and prioritizing product roadmaps and ensuring alignment with business goals.
* Strong analytical and critical thinking skills, with the ability to make data\-informed decisions in fast\-paced environments.
**Benefits**
* Generous health\-insurance package with nationwide coverage, vision, \&amp; dental
* 401(k) retirement plan with employer matching
* Competitive PTO policy – we want our employees fresh, healthy, happy, and energized!
* Generous family leave policy after 8 months of continuous work
* Work from anywhere to facilitate your work life balance
* Apple laptop, large second monitor, and other quality\-of\-life equipment you may want. Technology is something that should make your life easier, not harder!
 **Additionally, we will**
* Listen to your feedback to enhance and improve upon the long\-standing challenges of an adjuster and the claims role
* Work toward reducing and eliminating all the administrative work from an adjuster role
* Foster a culture of empathy, transparency, and empowerment in a remote\-first environment
At Reserv, we value diversity in backgrounds, perspectives, and life experiences and believe that diversity in viewpoints and critical thinking drives innovation, first\-principles thinking, and success. We welcome applicants from all backgrounds and encourage those from all walks of life to apply. If you believe you are a good fit for this role, we would love to hear from you!</t>
        </is>
      </c>
    </row>
    <row r="83">
      <c r="A83" t="inlineStr">
        <is>
          <t>in-23af928832171819</t>
        </is>
      </c>
      <c r="B83" t="inlineStr">
        <is>
          <t>Sr Program Manager, Devices Trade Compliance</t>
        </is>
      </c>
      <c r="C83" t="inlineStr">
        <is>
          <t>Amazon.com</t>
        </is>
      </c>
      <c r="D83" t="inlineStr">
        <is>
          <t>indeed</t>
        </is>
      </c>
      <c r="E83">
        <f>HYPERLINK("https://www.indeed.com/viewjob?jk=23af928832171819", "https://www.indeed.com/viewjob?jk=23af928832171819")</f>
        <v/>
      </c>
      <c r="F83">
        <f>HYPERLINK("https://www.amazon.jobs/jobs/3158400/sr-program-manager-devices-trade-compliance?cmpid=DA_INAD200785B", "https://www.amazon.jobs/jobs/3158400/sr-program-manager-devices-trade-compliance?cmpid=DA_INAD200785B")</f>
        <v/>
      </c>
      <c r="G83" t="inlineStr">
        <is>
          <t>Seattle, WA, US</t>
        </is>
      </c>
      <c r="H83" s="2" t="n">
        <v>46030</v>
      </c>
      <c r="I83"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84">
      <c r="A84" t="inlineStr">
        <is>
          <t>in-6f99fee985bc354a</t>
        </is>
      </c>
      <c r="B84" t="inlineStr">
        <is>
          <t>Sr Program Manager, Devices Trade Compliance</t>
        </is>
      </c>
      <c r="C84" t="inlineStr">
        <is>
          <t>Amazon.com</t>
        </is>
      </c>
      <c r="D84" t="inlineStr">
        <is>
          <t>indeed</t>
        </is>
      </c>
      <c r="E84">
        <f>HYPERLINK("https://www.indeed.com/viewjob?jk=6f99fee985bc354a", "https://www.indeed.com/viewjob?jk=6f99fee985bc354a")</f>
        <v/>
      </c>
      <c r="F84">
        <f>HYPERLINK("https://www.amazon.jobs/jobs/3158400/sr-program-manager-devices-trade-compliance?cmpid=DA_INAD200785B", "https://www.amazon.jobs/jobs/3158400/sr-program-manager-devices-trade-compliance?cmpid=DA_INAD200785B")</f>
        <v/>
      </c>
      <c r="G84" t="inlineStr">
        <is>
          <t>Sunnyvale, CA, US</t>
        </is>
      </c>
      <c r="H84" s="2" t="n">
        <v>46030</v>
      </c>
      <c r="I84"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85">
      <c r="A85" t="inlineStr">
        <is>
          <t>in-585bda8cbcd48a44</t>
        </is>
      </c>
      <c r="B85" t="inlineStr">
        <is>
          <t>Principal Product Manager - Tech, Sponsored Products and Brands</t>
        </is>
      </c>
      <c r="C85" t="inlineStr">
        <is>
          <t>Amazon.com</t>
        </is>
      </c>
      <c r="D85" t="inlineStr">
        <is>
          <t>indeed</t>
        </is>
      </c>
      <c r="E85">
        <f>HYPERLINK("https://www.indeed.com/viewjob?jk=585bda8cbcd48a44", "https://www.indeed.com/viewjob?jk=585bda8cbcd48a44")</f>
        <v/>
      </c>
      <c r="F85">
        <f>HYPERLINK("https://www.amazon.jobs/jobs/3153571/principal-product-manager--tech-sponsored-products-and-brands?cmpid=DA_INAD200785B", "https://www.amazon.jobs/jobs/3153571/principal-product-manager--tech-sponsored-products-and-brands?cmpid=DA_INAD200785B")</f>
        <v/>
      </c>
      <c r="G85" t="inlineStr">
        <is>
          <t>Palo Alto, CA, US</t>
        </is>
      </c>
      <c r="H85" s="2" t="n">
        <v>46019</v>
      </c>
      <c r="I8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in-349a63984e1982ad</t>
        </is>
      </c>
      <c r="B86" t="inlineStr">
        <is>
          <t>Principal Product Manager - Tech, Sponsored Products and Brands</t>
        </is>
      </c>
      <c r="C86" t="inlineStr">
        <is>
          <t>Amazon.com</t>
        </is>
      </c>
      <c r="D86" t="inlineStr">
        <is>
          <t>indeed</t>
        </is>
      </c>
      <c r="E86">
        <f>HYPERLINK("https://www.indeed.com/viewjob?jk=349a63984e1982ad", "https://www.indeed.com/viewjob?jk=349a63984e1982ad")</f>
        <v/>
      </c>
      <c r="F86">
        <f>HYPERLINK("https://www.amazon.jobs/jobs/3153571/principal-product-manager--tech-sponsored-products-and-brands?cmpid=DA_INAD200785B", "https://www.amazon.jobs/jobs/3153571/principal-product-manager--tech-sponsored-products-and-brands?cmpid=DA_INAD200785B")</f>
        <v/>
      </c>
      <c r="G86" t="inlineStr">
        <is>
          <t>New York, NY, US</t>
        </is>
      </c>
      <c r="H86" s="2" t="n">
        <v>46019</v>
      </c>
      <c r="I8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in-02e79cdacfe70c28</t>
        </is>
      </c>
      <c r="B87" t="inlineStr">
        <is>
          <t>Principal Product Manager - Tech, Sponsored Products and Brands</t>
        </is>
      </c>
      <c r="C87" t="inlineStr">
        <is>
          <t>Amazon.com</t>
        </is>
      </c>
      <c r="D87" t="inlineStr">
        <is>
          <t>indeed</t>
        </is>
      </c>
      <c r="E87">
        <f>HYPERLINK("https://www.indeed.com/viewjob?jk=02e79cdacfe70c28", "https://www.indeed.com/viewjob?jk=02e79cdacfe70c28")</f>
        <v/>
      </c>
      <c r="F87">
        <f>HYPERLINK("https://www.amazon.jobs/jobs/3153571/principal-product-manager--tech-sponsored-products-and-brands?cmpid=DA_INAD200785B", "https://www.amazon.jobs/jobs/3153571/principal-product-manager--tech-sponsored-products-and-brands?cmpid=DA_INAD200785B")</f>
        <v/>
      </c>
      <c r="G87" t="inlineStr">
        <is>
          <t>Seattle, WA, US</t>
        </is>
      </c>
      <c r="H87" s="2" t="n">
        <v>46019</v>
      </c>
      <c r="I8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in-e6efd8da1310ea84</t>
        </is>
      </c>
      <c r="B88" t="inlineStr">
        <is>
          <t>Sr. Product Manager - Technical, CS Intelligence, AWS Specialist and Partner Organization</t>
        </is>
      </c>
      <c r="C88" t="inlineStr">
        <is>
          <t>Amazon Web Services</t>
        </is>
      </c>
      <c r="D88" t="inlineStr">
        <is>
          <t>indeed</t>
        </is>
      </c>
      <c r="E88">
        <f>HYPERLINK("https://www.indeed.com/viewjob?jk=e6efd8da1310ea84", "https://www.indeed.com/viewjob?jk=e6efd8da1310ea84")</f>
        <v/>
      </c>
      <c r="F88">
        <f>HYPERLINK("https://www.amazon.jobs/jobs/3157254/sr-product-manager--technical-cs-intelligence-aws-specialist-and-partner-organization?cmpid=DA_INAD200785B", "https://www.amazon.jobs/jobs/3157254/sr-product-manager--technical-cs-intelligence-aws-specialist-and-partner-organization?cmpid=DA_INAD200785B")</f>
        <v/>
      </c>
      <c r="G88" t="inlineStr">
        <is>
          <t>San Francisco, CA, US</t>
        </is>
      </c>
      <c r="H88" s="2" t="n">
        <v>46002</v>
      </c>
      <c r="I88"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89">
      <c r="A89" t="inlineStr">
        <is>
          <t>in-4f130c9b6ceb62dd</t>
        </is>
      </c>
      <c r="B89" t="inlineStr">
        <is>
          <t>Sr. Product Manager - Technical, CS Intelligence, AWS Specialist and Partner Organization</t>
        </is>
      </c>
      <c r="C89" t="inlineStr">
        <is>
          <t>Amazon Web Services</t>
        </is>
      </c>
      <c r="D89" t="inlineStr">
        <is>
          <t>indeed</t>
        </is>
      </c>
      <c r="E89">
        <f>HYPERLINK("https://www.indeed.com/viewjob?jk=4f130c9b6ceb62dd", "https://www.indeed.com/viewjob?jk=4f130c9b6ceb62dd")</f>
        <v/>
      </c>
      <c r="F89">
        <f>HYPERLINK("https://www.amazon.jobs/jobs/3157254/sr-product-manager--technical-cs-intelligence-aws-specialist-and-partner-organization?cmpid=DA_INAD200785B", "https://www.amazon.jobs/jobs/3157254/sr-product-manager--technical-cs-intelligence-aws-specialist-and-partner-organization?cmpid=DA_INAD200785B")</f>
        <v/>
      </c>
      <c r="G89" t="inlineStr">
        <is>
          <t>Mountain View, CA, US</t>
        </is>
      </c>
      <c r="H89" s="2" t="n">
        <v>46002</v>
      </c>
      <c r="I89"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90">
      <c r="A90" t="inlineStr">
        <is>
          <t>in-25563e53fcb57f57</t>
        </is>
      </c>
      <c r="B90" t="inlineStr">
        <is>
          <t>Sr. Product Manager - Technical, CS Intelligence, AWS Specialist and Partner Organization</t>
        </is>
      </c>
      <c r="C90" t="inlineStr">
        <is>
          <t>Amazon Web Services</t>
        </is>
      </c>
      <c r="D90" t="inlineStr">
        <is>
          <t>indeed</t>
        </is>
      </c>
      <c r="E90">
        <f>HYPERLINK("https://www.indeed.com/viewjob?jk=25563e53fcb57f57", "https://www.indeed.com/viewjob?jk=25563e53fcb57f57")</f>
        <v/>
      </c>
      <c r="F90">
        <f>HYPERLINK("https://www.amazon.jobs/jobs/3157254/sr-product-manager--technical-cs-intelligence-aws-specialist-and-partner-organization?cmpid=DA_INAD200785B", "https://www.amazon.jobs/jobs/3157254/sr-product-manager--technical-cs-intelligence-aws-specialist-and-partner-organization?cmpid=DA_INAD200785B")</f>
        <v/>
      </c>
      <c r="G90" t="inlineStr">
        <is>
          <t>Seattle, WA, US</t>
        </is>
      </c>
      <c r="H90" s="2" t="n">
        <v>46002</v>
      </c>
      <c r="I90"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91">
      <c r="A91" t="inlineStr">
        <is>
          <t>in-5d220d8a3c64f043</t>
        </is>
      </c>
      <c r="B91" t="inlineStr">
        <is>
          <t>Sr. Product Manager - Technical, CS Intelligence, AWS Specialist and Partner Organization</t>
        </is>
      </c>
      <c r="C91" t="inlineStr">
        <is>
          <t>Amazon Web Services</t>
        </is>
      </c>
      <c r="D91" t="inlineStr">
        <is>
          <t>indeed</t>
        </is>
      </c>
      <c r="E91">
        <f>HYPERLINK("https://www.indeed.com/viewjob?jk=5d220d8a3c64f043", "https://www.indeed.com/viewjob?jk=5d220d8a3c64f043")</f>
        <v/>
      </c>
      <c r="F91">
        <f>HYPERLINK("https://www.amazon.jobs/jobs/3157254/sr-product-manager--technical-cs-intelligence-aws-specialist-and-partner-organization?cmpid=DA_INAD200785B", "https://www.amazon.jobs/jobs/3157254/sr-product-manager--technical-cs-intelligence-aws-specialist-and-partner-organization?cmpid=DA_INAD200785B")</f>
        <v/>
      </c>
      <c r="G91" t="inlineStr">
        <is>
          <t>Sunnyvale, CA, US</t>
        </is>
      </c>
      <c r="H91" s="2" t="n">
        <v>46002</v>
      </c>
      <c r="I91"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92">
      <c r="A92" t="inlineStr">
        <is>
          <t>in-2b41dfc44a253192</t>
        </is>
      </c>
      <c r="B92" t="inlineStr">
        <is>
          <t>Global Signage &amp; Wayfinding Designer Program Manager, Workplace Design &amp; Construction (WD&amp;C)</t>
        </is>
      </c>
      <c r="C92" t="inlineStr">
        <is>
          <t>Amazon.com</t>
        </is>
      </c>
      <c r="D92" t="inlineStr">
        <is>
          <t>indeed</t>
        </is>
      </c>
      <c r="E92">
        <f>HYPERLINK("https://www.indeed.com/viewjob?jk=2b41dfc44a253192", "https://www.indeed.com/viewjob?jk=2b41dfc44a253192")</f>
        <v/>
      </c>
      <c r="F92">
        <f>HYPERLINK("https://www.amazon.jobs/jobs/3139013/global-signage--wayfinding-designer-program-manager-workplace-design--construction-wdc?cmpid=DA_INAD200785B", "https://www.amazon.jobs/jobs/3139013/global-signage--wayfinding-designer-program-manager-workplace-design--construction-wdc?cmpid=DA_INAD200785B")</f>
        <v/>
      </c>
      <c r="G92" t="inlineStr">
        <is>
          <t>Arlington, VA, US</t>
        </is>
      </c>
      <c r="H92" s="2" t="n">
        <v>45998</v>
      </c>
      <c r="I92"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in-def6ffaee16639e2</t>
        </is>
      </c>
      <c r="B93" t="inlineStr">
        <is>
          <t>Global Signage &amp; Wayfinding Designer Program Manager, Workplace Design &amp; Construction (WD&amp;C)</t>
        </is>
      </c>
      <c r="C93" t="inlineStr">
        <is>
          <t>Amazon.com</t>
        </is>
      </c>
      <c r="D93" t="inlineStr">
        <is>
          <t>indeed</t>
        </is>
      </c>
      <c r="E93">
        <f>HYPERLINK("https://www.indeed.com/viewjob?jk=def6ffaee16639e2", "https://www.indeed.com/viewjob?jk=def6ffaee16639e2")</f>
        <v/>
      </c>
      <c r="F93">
        <f>HYPERLINK("https://www.amazon.jobs/jobs/3139013/global-signage--wayfinding-designer-program-manager-workplace-design--construction-wdc?cmpid=DA_INAD200785B", "https://www.amazon.jobs/jobs/3139013/global-signage--wayfinding-designer-program-manager-workplace-design--construction-wdc?cmpid=DA_INAD200785B")</f>
        <v/>
      </c>
      <c r="G93" t="inlineStr">
        <is>
          <t>Seattle, WA, US</t>
        </is>
      </c>
      <c r="H93" s="2" t="n">
        <v>45998</v>
      </c>
      <c r="I9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in-79f71c0646e0c052</t>
        </is>
      </c>
      <c r="B94" t="inlineStr">
        <is>
          <t>Senior Product Manager, Ads</t>
        </is>
      </c>
      <c r="C94" t="inlineStr">
        <is>
          <t>Amazon.com</t>
        </is>
      </c>
      <c r="D94" t="inlineStr">
        <is>
          <t>indeed</t>
        </is>
      </c>
      <c r="E94">
        <f>HYPERLINK("https://www.indeed.com/viewjob?jk=79f71c0646e0c052", "https://www.indeed.com/viewjob?jk=79f71c0646e0c052")</f>
        <v/>
      </c>
      <c r="F94">
        <f>HYPERLINK("https://www.amazon.jobs/jobs/3137569/senior-product-manager-ads?cmpid=DA_INAD200785B", "https://www.amazon.jobs/jobs/3137569/senior-product-manager-ads?cmpid=DA_INAD200785B")</f>
        <v/>
      </c>
      <c r="G94" t="inlineStr">
        <is>
          <t>New York, NY, US</t>
        </is>
      </c>
      <c r="H94" s="2" t="n">
        <v>45994</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in-14d515b2bab48899</t>
        </is>
      </c>
      <c r="B95" t="inlineStr">
        <is>
          <t>Senior Product Manager, Ads</t>
        </is>
      </c>
      <c r="C95" t="inlineStr">
        <is>
          <t>Amazon.com</t>
        </is>
      </c>
      <c r="D95" t="inlineStr">
        <is>
          <t>indeed</t>
        </is>
      </c>
      <c r="E95">
        <f>HYPERLINK("https://www.indeed.com/viewjob?jk=14d515b2bab48899", "https://www.indeed.com/viewjob?jk=14d515b2bab48899")</f>
        <v/>
      </c>
      <c r="F95">
        <f>HYPERLINK("https://www.amazon.jobs/jobs/3137569/senior-product-manager-ads?cmpid=DA_INAD200785B", "https://www.amazon.jobs/jobs/3137569/senior-product-manager-ads?cmpid=DA_INAD200785B")</f>
        <v/>
      </c>
      <c r="G95" t="inlineStr">
        <is>
          <t>Los Angeles, CA, US</t>
        </is>
      </c>
      <c r="H95" s="2" t="n">
        <v>45994</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in-b542643e9f5c869b</t>
        </is>
      </c>
      <c r="B96" t="inlineStr">
        <is>
          <t>Senior Product Manager, Ads</t>
        </is>
      </c>
      <c r="C96" t="inlineStr">
        <is>
          <t>Amazon.com</t>
        </is>
      </c>
      <c r="D96" t="inlineStr">
        <is>
          <t>indeed</t>
        </is>
      </c>
      <c r="E96">
        <f>HYPERLINK("https://www.indeed.com/viewjob?jk=b542643e9f5c869b", "https://www.indeed.com/viewjob?jk=b542643e9f5c869b")</f>
        <v/>
      </c>
      <c r="F96">
        <f>HYPERLINK("https://www.amazon.jobs/jobs/3137568/senior-product-manager-ads?cmpid=DA_INAD200785B", "https://www.amazon.jobs/jobs/3137568/senior-product-manager-ads?cmpid=DA_INAD200785B")</f>
        <v/>
      </c>
      <c r="G96" t="inlineStr">
        <is>
          <t>Los Angeles, CA, US</t>
        </is>
      </c>
      <c r="H96" s="2" t="n">
        <v>45994</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in-05a822966e1ad304</t>
        </is>
      </c>
      <c r="B97" t="inlineStr">
        <is>
          <t>Senior Product Manager, Ads</t>
        </is>
      </c>
      <c r="C97" t="inlineStr">
        <is>
          <t>Amazon.com</t>
        </is>
      </c>
      <c r="D97" t="inlineStr">
        <is>
          <t>indeed</t>
        </is>
      </c>
      <c r="E97">
        <f>HYPERLINK("https://www.indeed.com/viewjob?jk=05a822966e1ad304", "https://www.indeed.com/viewjob?jk=05a822966e1ad304")</f>
        <v/>
      </c>
      <c r="F97">
        <f>HYPERLINK("https://www.amazon.jobs/jobs/3137569/senior-product-manager-ads?cmpid=DA_INAD200785B", "https://www.amazon.jobs/jobs/3137569/senior-product-manager-ads?cmpid=DA_INAD200785B")</f>
        <v/>
      </c>
      <c r="G97" t="inlineStr">
        <is>
          <t>San Francisco, CA, US</t>
        </is>
      </c>
      <c r="H97" s="2" t="n">
        <v>45994</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in-164a868f2dfaa1aa</t>
        </is>
      </c>
      <c r="B98" t="inlineStr">
        <is>
          <t>Senior Product Manager, Ads</t>
        </is>
      </c>
      <c r="C98" t="inlineStr">
        <is>
          <t>Amazon.com</t>
        </is>
      </c>
      <c r="D98" t="inlineStr">
        <is>
          <t>indeed</t>
        </is>
      </c>
      <c r="E98">
        <f>HYPERLINK("https://www.indeed.com/viewjob?jk=164a868f2dfaa1aa", "https://www.indeed.com/viewjob?jk=164a868f2dfaa1aa")</f>
        <v/>
      </c>
      <c r="F98">
        <f>HYPERLINK("https://www.amazon.jobs/jobs/3137568/senior-product-manager-ads?cmpid=DA_INAD200785B", "https://www.amazon.jobs/jobs/3137568/senior-product-manager-ads?cmpid=DA_INAD200785B")</f>
        <v/>
      </c>
      <c r="G98" t="inlineStr">
        <is>
          <t>San Francisco, CA, US</t>
        </is>
      </c>
      <c r="H98" s="2" t="n">
        <v>45994</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in-4a02b22fd1cf57ad</t>
        </is>
      </c>
      <c r="B99" t="inlineStr">
        <is>
          <t>Senior Product Manager, Ads</t>
        </is>
      </c>
      <c r="C99" t="inlineStr">
        <is>
          <t>Amazon.com</t>
        </is>
      </c>
      <c r="D99" t="inlineStr">
        <is>
          <t>indeed</t>
        </is>
      </c>
      <c r="E99">
        <f>HYPERLINK("https://www.indeed.com/viewjob?jk=4a02b22fd1cf57ad", "https://www.indeed.com/viewjob?jk=4a02b22fd1cf57ad")</f>
        <v/>
      </c>
      <c r="F99">
        <f>HYPERLINK("https://www.amazon.jobs/jobs/3137568/senior-product-manager-ads?cmpid=DA_INAD200785B", "https://www.amazon.jobs/jobs/3137568/senior-product-manager-ads?cmpid=DA_INAD200785B")</f>
        <v/>
      </c>
      <c r="G99" t="inlineStr">
        <is>
          <t>Irvine, CA, US</t>
        </is>
      </c>
      <c r="H99" s="2" t="n">
        <v>45994</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in-fb6ec1f03d759b6f</t>
        </is>
      </c>
      <c r="B100" t="inlineStr">
        <is>
          <t>Senior Product Manager, Ads</t>
        </is>
      </c>
      <c r="C100" t="inlineStr">
        <is>
          <t>Amazon.com</t>
        </is>
      </c>
      <c r="D100" t="inlineStr">
        <is>
          <t>indeed</t>
        </is>
      </c>
      <c r="E100">
        <f>HYPERLINK("https://www.indeed.com/viewjob?jk=fb6ec1f03d759b6f", "https://www.indeed.com/viewjob?jk=fb6ec1f03d759b6f")</f>
        <v/>
      </c>
      <c r="F100">
        <f>HYPERLINK("https://www.amazon.jobs/jobs/3137569/senior-product-manager-ads?cmpid=DA_INAD200785B", "https://www.amazon.jobs/jobs/3137569/senior-product-manager-ads?cmpid=DA_INAD200785B")</f>
        <v/>
      </c>
      <c r="G100" t="inlineStr">
        <is>
          <t>Irvine, CA, US</t>
        </is>
      </c>
      <c r="H100" s="2" t="n">
        <v>45994</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in-9e905d34db08e4f8</t>
        </is>
      </c>
      <c r="B101" t="inlineStr">
        <is>
          <t>Senior Product Manager, Ads</t>
        </is>
      </c>
      <c r="C101" t="inlineStr">
        <is>
          <t>Amazon.com</t>
        </is>
      </c>
      <c r="D101" t="inlineStr">
        <is>
          <t>indeed</t>
        </is>
      </c>
      <c r="E101">
        <f>HYPERLINK("https://www.indeed.com/viewjob?jk=9e905d34db08e4f8", "https://www.indeed.com/viewjob?jk=9e905d34db08e4f8")</f>
        <v/>
      </c>
      <c r="F101">
        <f>HYPERLINK("https://www.amazon.jobs/jobs/3137568/senior-product-manager-ads?cmpid=DA_INAD200785B", "https://www.amazon.jobs/jobs/3137568/senior-product-manager-ads?cmpid=DA_INAD200785B")</f>
        <v/>
      </c>
      <c r="G101" t="inlineStr">
        <is>
          <t>New York, NY, US</t>
        </is>
      </c>
      <c r="H101" s="2" t="n">
        <v>45994</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in-648a060963748e08</t>
        </is>
      </c>
      <c r="B102" t="inlineStr">
        <is>
          <t>Senior Product Manager, Ads</t>
        </is>
      </c>
      <c r="C102" t="inlineStr">
        <is>
          <t>Amazon.com</t>
        </is>
      </c>
      <c r="D102" t="inlineStr">
        <is>
          <t>indeed</t>
        </is>
      </c>
      <c r="E102">
        <f>HYPERLINK("https://www.indeed.com/viewjob?jk=648a060963748e08", "https://www.indeed.com/viewjob?jk=648a060963748e08")</f>
        <v/>
      </c>
      <c r="F102">
        <f>HYPERLINK("https://www.amazon.jobs/jobs/3137568/senior-product-manager-ads?cmpid=DA_INAD200785B", "https://www.amazon.jobs/jobs/3137568/senior-product-manager-ads?cmpid=DA_INAD200785B")</f>
        <v/>
      </c>
      <c r="G102" t="inlineStr">
        <is>
          <t>Seattle, WA, US</t>
        </is>
      </c>
      <c r="H102" s="2" t="n">
        <v>45994</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in-705d9ff3822a32bd</t>
        </is>
      </c>
      <c r="B103" t="inlineStr">
        <is>
          <t>Senior Product Manager, Ads</t>
        </is>
      </c>
      <c r="C103" t="inlineStr">
        <is>
          <t>Amazon.com</t>
        </is>
      </c>
      <c r="D103" t="inlineStr">
        <is>
          <t>indeed</t>
        </is>
      </c>
      <c r="E103">
        <f>HYPERLINK("https://www.indeed.com/viewjob?jk=705d9ff3822a32bd", "https://www.indeed.com/viewjob?jk=705d9ff3822a32bd")</f>
        <v/>
      </c>
      <c r="F103">
        <f>HYPERLINK("https://www.amazon.jobs/jobs/3137569/senior-product-manager-ads?cmpid=DA_INAD200785B", "https://www.amazon.jobs/jobs/3137569/senior-product-manager-ads?cmpid=DA_INAD200785B")</f>
        <v/>
      </c>
      <c r="G103" t="inlineStr">
        <is>
          <t>Seattle, WA, US</t>
        </is>
      </c>
      <c r="H103" s="2" t="n">
        <v>45994</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in-902ddab3879e80e0</t>
        </is>
      </c>
      <c r="B104" t="inlineStr">
        <is>
          <t>Sr. Product Manager</t>
        </is>
      </c>
      <c r="C104" t="inlineStr">
        <is>
          <t>Amazon.com</t>
        </is>
      </c>
      <c r="D104" t="inlineStr">
        <is>
          <t>indeed</t>
        </is>
      </c>
      <c r="E104">
        <f>HYPERLINK("https://www.indeed.com/viewjob?jk=902ddab3879e80e0", "https://www.indeed.com/viewjob?jk=902ddab3879e80e0")</f>
        <v/>
      </c>
      <c r="F104">
        <f>HYPERLINK("https://www.amazon.jobs/jobs/3129468/sr-product-manager?cmpid=DA_INAD200785B", "https://www.amazon.jobs/jobs/3129468/sr-product-manager?cmpid=DA_INAD200785B")</f>
        <v/>
      </c>
      <c r="G104" t="inlineStr">
        <is>
          <t>Seattle, WA, US</t>
        </is>
      </c>
      <c r="H104" s="2" t="n">
        <v>45979</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in-b153e92bbcfdf5f0</t>
        </is>
      </c>
      <c r="B105" t="inlineStr">
        <is>
          <t>Sr. Product Manager</t>
        </is>
      </c>
      <c r="C105" t="inlineStr">
        <is>
          <t>Amazon.com</t>
        </is>
      </c>
      <c r="D105" t="inlineStr">
        <is>
          <t>indeed</t>
        </is>
      </c>
      <c r="E105">
        <f>HYPERLINK("https://www.indeed.com/viewjob?jk=b153e92bbcfdf5f0", "https://www.indeed.com/viewjob?jk=b153e92bbcfdf5f0")</f>
        <v/>
      </c>
      <c r="F105">
        <f>HYPERLINK("https://www.amazon.jobs/jobs/3129468/sr-product-manager?cmpid=DA_INAD200785B", "https://www.amazon.jobs/jobs/3129468/sr-product-manager?cmpid=DA_INAD200785B")</f>
        <v/>
      </c>
      <c r="G105" t="inlineStr">
        <is>
          <t>San Francisco, CA, US</t>
        </is>
      </c>
      <c r="H105" s="2" t="n">
        <v>45979</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in-94da47fa1dfa9a28</t>
        </is>
      </c>
      <c r="B106" t="inlineStr">
        <is>
          <t>Sr. Product Manager</t>
        </is>
      </c>
      <c r="C106" t="inlineStr">
        <is>
          <t>Amazon.com</t>
        </is>
      </c>
      <c r="D106" t="inlineStr">
        <is>
          <t>indeed</t>
        </is>
      </c>
      <c r="E106">
        <f>HYPERLINK("https://www.indeed.com/viewjob?jk=94da47fa1dfa9a28", "https://www.indeed.com/viewjob?jk=94da47fa1dfa9a28")</f>
        <v/>
      </c>
      <c r="F106">
        <f>HYPERLINK("https://www.amazon.jobs/jobs/3129468/sr-product-manager?cmpid=DA_INAD200785B", "https://www.amazon.jobs/jobs/3129468/sr-product-manager?cmpid=DA_INAD200785B")</f>
        <v/>
      </c>
      <c r="G106" t="inlineStr">
        <is>
          <t>Los Angeles, CA, US</t>
        </is>
      </c>
      <c r="H106" s="2" t="n">
        <v>45979</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in-e538486b7f9d4517</t>
        </is>
      </c>
      <c r="B107" t="inlineStr">
        <is>
          <t>Sr. Product Manager</t>
        </is>
      </c>
      <c r="C107" t="inlineStr">
        <is>
          <t>Amazon.com</t>
        </is>
      </c>
      <c r="D107" t="inlineStr">
        <is>
          <t>indeed</t>
        </is>
      </c>
      <c r="E107">
        <f>HYPERLINK("https://www.indeed.com/viewjob?jk=e538486b7f9d4517", "https://www.indeed.com/viewjob?jk=e538486b7f9d4517")</f>
        <v/>
      </c>
      <c r="F107">
        <f>HYPERLINK("https://www.amazon.jobs/jobs/3129468/sr-product-manager?cmpid=DA_INAD200785B", "https://www.amazon.jobs/jobs/3129468/sr-product-manager?cmpid=DA_INAD200785B")</f>
        <v/>
      </c>
      <c r="G107" t="inlineStr">
        <is>
          <t>New York, NY, US</t>
        </is>
      </c>
      <c r="H107" s="2" t="n">
        <v>45979</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in-a77f7c69da5182c9</t>
        </is>
      </c>
      <c r="B108" t="inlineStr">
        <is>
          <t>Sr. Product Manager</t>
        </is>
      </c>
      <c r="C108" t="inlineStr">
        <is>
          <t>Amazon.com</t>
        </is>
      </c>
      <c r="D108" t="inlineStr">
        <is>
          <t>indeed</t>
        </is>
      </c>
      <c r="E108">
        <f>HYPERLINK("https://www.indeed.com/viewjob?jk=a77f7c69da5182c9", "https://www.indeed.com/viewjob?jk=a77f7c69da5182c9")</f>
        <v/>
      </c>
      <c r="F108">
        <f>HYPERLINK("https://www.amazon.jobs/jobs/3129468/sr-product-manager?cmpid=DA_INAD200785B", "https://www.amazon.jobs/jobs/3129468/sr-product-manager?cmpid=DA_INAD200785B")</f>
        <v/>
      </c>
      <c r="G108" t="inlineStr">
        <is>
          <t>Irvine, CA, US</t>
        </is>
      </c>
      <c r="H108" s="2" t="n">
        <v>45979</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in-0a71ab0b5b40bae5</t>
        </is>
      </c>
      <c r="B109" t="inlineStr">
        <is>
          <t>Program Manager, Executive Content and Programs, Global Executive Marketing</t>
        </is>
      </c>
      <c r="C109" t="inlineStr">
        <is>
          <t>Amazon Web Services</t>
        </is>
      </c>
      <c r="D109" t="inlineStr">
        <is>
          <t>indeed</t>
        </is>
      </c>
      <c r="E109">
        <f>HYPERLINK("https://www.indeed.com/viewjob?jk=0a71ab0b5b40bae5", "https://www.indeed.com/viewjob?jk=0a71ab0b5b40bae5")</f>
        <v/>
      </c>
      <c r="F109">
        <f>HYPERLINK("https://www.amazon.jobs/jobs/3125520/program-manager-executive-content-and-programs-global-executive-marketing?cmpid=DA_INAD200785B", "https://www.amazon.jobs/jobs/3125520/program-manager-executive-content-and-programs-global-executive-marketing?cmpid=DA_INAD200785B")</f>
        <v/>
      </c>
      <c r="G109" t="inlineStr">
        <is>
          <t>Arlington, VA, US</t>
        </is>
      </c>
      <c r="H109" s="2" t="n">
        <v>45970</v>
      </c>
      <c r="I109"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in-be64f9f6279d83ff</t>
        </is>
      </c>
      <c r="B110" t="inlineStr">
        <is>
          <t>Program Manager, Executive Content and Programs, Global Executive Marketing</t>
        </is>
      </c>
      <c r="C110" t="inlineStr">
        <is>
          <t>Amazon Web Services</t>
        </is>
      </c>
      <c r="D110" t="inlineStr">
        <is>
          <t>indeed</t>
        </is>
      </c>
      <c r="E110">
        <f>HYPERLINK("https://www.indeed.com/viewjob?jk=be64f9f6279d83ff", "https://www.indeed.com/viewjob?jk=be64f9f6279d83ff")</f>
        <v/>
      </c>
      <c r="F110">
        <f>HYPERLINK("https://www.amazon.jobs/jobs/3125520/program-manager-executive-content-and-programs-global-executive-marketing?cmpid=DA_INAD200785B", "https://www.amazon.jobs/jobs/3125520/program-manager-executive-content-and-programs-global-executive-marketing?cmpid=DA_INAD200785B")</f>
        <v/>
      </c>
      <c r="G110" t="inlineStr">
        <is>
          <t>Seattle, WA, US</t>
        </is>
      </c>
      <c r="H110" s="2" t="n">
        <v>45970</v>
      </c>
      <c r="I110"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in-d475ef47985a9bcd</t>
        </is>
      </c>
      <c r="B111" t="inlineStr">
        <is>
          <t>Sr Product Manager – Technical, Amazon Leo for Government</t>
        </is>
      </c>
      <c r="C111" t="inlineStr">
        <is>
          <t>Amazon.com</t>
        </is>
      </c>
      <c r="D111" t="inlineStr">
        <is>
          <t>indeed</t>
        </is>
      </c>
      <c r="E111">
        <f>HYPERLINK("https://www.indeed.com/viewjob?jk=d475ef47985a9bcd", "https://www.indeed.com/viewjob?jk=d475ef47985a9bcd")</f>
        <v/>
      </c>
      <c r="F111">
        <f>HYPERLINK("https://www.amazon.jobs/jobs/3118682/sr-product-manager--technical-amazon-leo-for-government?cmpid=DA_INAD200785B", "https://www.amazon.jobs/jobs/3118682/sr-product-manager--technical-amazon-leo-for-government?cmpid=DA_INAD200785B")</f>
        <v/>
      </c>
      <c r="G111" t="inlineStr">
        <is>
          <t>El Segundo, CA, US</t>
        </is>
      </c>
      <c r="H111" s="2" t="n">
        <v>45951</v>
      </c>
      <c r="I11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in-49a59cd4556a7d9d</t>
        </is>
      </c>
      <c r="B112" t="inlineStr">
        <is>
          <t>Sr Product Manager – Technical, Amazon Leo for Government</t>
        </is>
      </c>
      <c r="C112" t="inlineStr">
        <is>
          <t>Amazon.com</t>
        </is>
      </c>
      <c r="D112" t="inlineStr">
        <is>
          <t>indeed</t>
        </is>
      </c>
      <c r="E112">
        <f>HYPERLINK("https://www.indeed.com/viewjob?jk=49a59cd4556a7d9d", "https://www.indeed.com/viewjob?jk=49a59cd4556a7d9d")</f>
        <v/>
      </c>
      <c r="F112">
        <f>HYPERLINK("https://www.amazon.jobs/jobs/3118682/sr-product-manager--technical-amazon-leo-for-government?cmpid=DA_INAD200785B", "https://www.amazon.jobs/jobs/3118682/sr-product-manager--technical-amazon-leo-for-government?cmpid=DA_INAD200785B")</f>
        <v/>
      </c>
      <c r="G112" t="inlineStr">
        <is>
          <t>Redmond, WA, US</t>
        </is>
      </c>
      <c r="H112" s="2" t="n">
        <v>45951</v>
      </c>
      <c r="I11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in-571f2d6f36047734</t>
        </is>
      </c>
      <c r="B113" t="inlineStr">
        <is>
          <t>Sr Product Manager – Technical, Amazon Leo for Government</t>
        </is>
      </c>
      <c r="C113" t="inlineStr">
        <is>
          <t>Amazon.com</t>
        </is>
      </c>
      <c r="D113" t="inlineStr">
        <is>
          <t>indeed</t>
        </is>
      </c>
      <c r="E113">
        <f>HYPERLINK("https://www.indeed.com/viewjob?jk=571f2d6f36047734", "https://www.indeed.com/viewjob?jk=571f2d6f36047734")</f>
        <v/>
      </c>
      <c r="F113">
        <f>HYPERLINK("https://www.amazon.jobs/jobs/3118682/sr-product-manager--technical-amazon-leo-for-government?cmpid=DA_INAD200785B", "https://www.amazon.jobs/jobs/3118682/sr-product-manager--technical-amazon-leo-for-government?cmpid=DA_INAD200785B")</f>
        <v/>
      </c>
      <c r="G113" t="inlineStr">
        <is>
          <t>Arlington, VA, US</t>
        </is>
      </c>
      <c r="H113" s="2" t="n">
        <v>45951</v>
      </c>
      <c r="I11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in-e1c172b33b38a28d</t>
        </is>
      </c>
      <c r="B114" t="inlineStr">
        <is>
          <t>Principal Product Manager-Tech, World Wide Grocery Store Tech</t>
        </is>
      </c>
      <c r="C114" t="inlineStr">
        <is>
          <t>Amazon.com</t>
        </is>
      </c>
      <c r="D114" t="inlineStr">
        <is>
          <t>indeed</t>
        </is>
      </c>
      <c r="E114">
        <f>HYPERLINK("https://www.indeed.com/viewjob?jk=e1c172b33b38a28d", "https://www.indeed.com/viewjob?jk=e1c172b33b38a28d")</f>
        <v/>
      </c>
      <c r="F114">
        <f>HYPERLINK("https://www.amazon.jobs/jobs/3117495/principal-product-managertech-world-wide-grocery-store-tech?cmpid=DA_INAD200785B", "https://www.amazon.jobs/jobs/3117495/principal-product-managertech-world-wide-grocery-store-tech?cmpid=DA_INAD200785B")</f>
        <v/>
      </c>
      <c r="G114" t="inlineStr">
        <is>
          <t>Austin, TX, US</t>
        </is>
      </c>
      <c r="H114" s="2" t="n">
        <v>45948</v>
      </c>
      <c r="I114"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115">
      <c r="A115" t="inlineStr">
        <is>
          <t>in-59a017e795e558f0</t>
        </is>
      </c>
      <c r="B115" t="inlineStr">
        <is>
          <t>Principal Product Manager-Tech, World Wide Grocery Store Tech</t>
        </is>
      </c>
      <c r="C115" t="inlineStr">
        <is>
          <t>Amazon.com</t>
        </is>
      </c>
      <c r="D115" t="inlineStr">
        <is>
          <t>indeed</t>
        </is>
      </c>
      <c r="E115">
        <f>HYPERLINK("https://www.indeed.com/viewjob?jk=59a017e795e558f0", "https://www.indeed.com/viewjob?jk=59a017e795e558f0")</f>
        <v/>
      </c>
      <c r="F115">
        <f>HYPERLINK("https://www.amazon.jobs/jobs/3117495/principal-product-managertech-world-wide-grocery-store-tech?cmpid=DA_INAD200785B", "https://www.amazon.jobs/jobs/3117495/principal-product-managertech-world-wide-grocery-store-tech?cmpid=DA_INAD200785B")</f>
        <v/>
      </c>
      <c r="G115" t="inlineStr">
        <is>
          <t>Seattle, WA, US</t>
        </is>
      </c>
      <c r="H115" s="2" t="n">
        <v>45948</v>
      </c>
      <c r="I115"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116">
      <c r="A116" t="inlineStr">
        <is>
          <t>in-5cfd1e76bdd11e6e</t>
        </is>
      </c>
      <c r="B116" t="inlineStr">
        <is>
          <t>Principal Product Manager Tech, Sponsored Products and Brands</t>
        </is>
      </c>
      <c r="C116" t="inlineStr">
        <is>
          <t>Amazon.com</t>
        </is>
      </c>
      <c r="D116" t="inlineStr">
        <is>
          <t>indeed</t>
        </is>
      </c>
      <c r="E116">
        <f>HYPERLINK("https://www.indeed.com/viewjob?jk=5cfd1e76bdd11e6e", "https://www.indeed.com/viewjob?jk=5cfd1e76bdd11e6e")</f>
        <v/>
      </c>
      <c r="F116">
        <f>HYPERLINK("https://www.amazon.jobs/jobs/3099182/principal-product-manager-tech-sponsored-products-and-brands?cmpid=DA_INAD200785B", "https://www.amazon.jobs/jobs/3099182/principal-product-manager-tech-sponsored-products-and-brands?cmpid=DA_INAD200785B")</f>
        <v/>
      </c>
      <c r="G116" t="inlineStr">
        <is>
          <t>New York, NY, US</t>
        </is>
      </c>
      <c r="H116" s="2" t="n">
        <v>45923</v>
      </c>
      <c r="I11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in-e1a6d0def696f3ab</t>
        </is>
      </c>
      <c r="B117" t="inlineStr">
        <is>
          <t>Principal Product Manager Tech, Sponsored Products and Brands</t>
        </is>
      </c>
      <c r="C117" t="inlineStr">
        <is>
          <t>Amazon.com</t>
        </is>
      </c>
      <c r="D117" t="inlineStr">
        <is>
          <t>indeed</t>
        </is>
      </c>
      <c r="E117">
        <f>HYPERLINK("https://www.indeed.com/viewjob?jk=e1a6d0def696f3ab", "https://www.indeed.com/viewjob?jk=e1a6d0def696f3ab")</f>
        <v/>
      </c>
      <c r="F117">
        <f>HYPERLINK("https://www.amazon.jobs/jobs/3099182/principal-product-manager-tech-sponsored-products-and-brands?cmpid=DA_INAD200785B", "https://www.amazon.jobs/jobs/3099182/principal-product-manager-tech-sponsored-products-and-brands?cmpid=DA_INAD200785B")</f>
        <v/>
      </c>
      <c r="G117" t="inlineStr">
        <is>
          <t>Seattle, WA, US</t>
        </is>
      </c>
      <c r="H117" s="2" t="n">
        <v>45923</v>
      </c>
      <c r="I11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in-545148c477fe6db4</t>
        </is>
      </c>
      <c r="B118" t="inlineStr">
        <is>
          <t>Sr. EHS Program Manager, Safety Learning and Development</t>
        </is>
      </c>
      <c r="C118" t="inlineStr">
        <is>
          <t>Amazon.com</t>
        </is>
      </c>
      <c r="D118" t="inlineStr">
        <is>
          <t>indeed</t>
        </is>
      </c>
      <c r="E118">
        <f>HYPERLINK("https://www.indeed.com/viewjob?jk=545148c477fe6db4", "https://www.indeed.com/viewjob?jk=545148c477fe6db4")</f>
        <v/>
      </c>
      <c r="F118">
        <f>HYPERLINK("https://www.amazon.jobs/jobs/3124450/sr-ehs-program-manager-safety-learning-and-development?cmpid=DA_INAD200785B", "https://www.amazon.jobs/jobs/3124450/sr-ehs-program-manager-safety-learning-and-development?cmpid=DA_INAD200785B")</f>
        <v/>
      </c>
      <c r="G118" t="inlineStr">
        <is>
          <t>Nashville, TN, US</t>
        </is>
      </c>
      <c r="H118" s="2" t="n">
        <v>45910</v>
      </c>
      <c r="I11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in-bdaff80dac56efa5</t>
        </is>
      </c>
      <c r="B119" t="inlineStr">
        <is>
          <t>Sr. EHS Program Manager, Safety Learning and Development</t>
        </is>
      </c>
      <c r="C119" t="inlineStr">
        <is>
          <t>Amazon.com</t>
        </is>
      </c>
      <c r="D119" t="inlineStr">
        <is>
          <t>indeed</t>
        </is>
      </c>
      <c r="E119">
        <f>HYPERLINK("https://www.indeed.com/viewjob?jk=bdaff80dac56efa5", "https://www.indeed.com/viewjob?jk=bdaff80dac56efa5")</f>
        <v/>
      </c>
      <c r="F119">
        <f>HYPERLINK("https://www.amazon.jobs/jobs/3124450/sr-ehs-program-manager-safety-learning-and-development?cmpid=DA_INAD200785B", "https://www.amazon.jobs/jobs/3124450/sr-ehs-program-manager-safety-learning-and-development?cmpid=DA_INAD200785B")</f>
        <v/>
      </c>
      <c r="G119" t="inlineStr">
        <is>
          <t>Bellevue, WA, US</t>
        </is>
      </c>
      <c r="H119" s="2" t="n">
        <v>45910</v>
      </c>
      <c r="I11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in-1e9a1c72c440363e</t>
        </is>
      </c>
      <c r="B120" t="inlineStr">
        <is>
          <t>Principal Product Manager - Technical, Alexa Communications</t>
        </is>
      </c>
      <c r="C120" t="inlineStr">
        <is>
          <t>Amazon.com</t>
        </is>
      </c>
      <c r="D120" t="inlineStr">
        <is>
          <t>indeed</t>
        </is>
      </c>
      <c r="E120">
        <f>HYPERLINK("https://www.indeed.com/viewjob?jk=1e9a1c72c440363e", "https://www.indeed.com/viewjob?jk=1e9a1c72c440363e")</f>
        <v/>
      </c>
      <c r="F120">
        <f>HYPERLINK("https://www.amazon.jobs/jobs/3137022/principal-product-manager--technical-alexa-communications?cmpid=DA_INAD200785B", "https://www.amazon.jobs/jobs/3137022/principal-product-manager--technical-alexa-communications?cmpid=DA_INAD200785B")</f>
        <v/>
      </c>
      <c r="G120" t="inlineStr">
        <is>
          <t>Irvine, CA, US</t>
        </is>
      </c>
      <c r="H120" s="2" t="n">
        <v>45993</v>
      </c>
      <c r="I12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21">
      <c r="A121" t="inlineStr">
        <is>
          <t>in-2b9ef824fa86768d</t>
        </is>
      </c>
      <c r="B121" t="inlineStr">
        <is>
          <t>Principal Product Manager - Technical, Alexa Communications</t>
        </is>
      </c>
      <c r="C121" t="inlineStr">
        <is>
          <t>Amazon.com</t>
        </is>
      </c>
      <c r="D121" t="inlineStr">
        <is>
          <t>indeed</t>
        </is>
      </c>
      <c r="E121">
        <f>HYPERLINK("https://www.indeed.com/viewjob?jk=2b9ef824fa86768d", "https://www.indeed.com/viewjob?jk=2b9ef824fa86768d")</f>
        <v/>
      </c>
      <c r="F121">
        <f>HYPERLINK("https://www.amazon.jobs/jobs/3137022/principal-product-manager--technical-alexa-communications?cmpid=DA_INAD200785B", "https://www.amazon.jobs/jobs/3137022/principal-product-manager--technical-alexa-communications?cmpid=DA_INAD200785B")</f>
        <v/>
      </c>
      <c r="G121" t="inlineStr">
        <is>
          <t>Seattle, WA, US</t>
        </is>
      </c>
      <c r="H121" s="2" t="n">
        <v>45993</v>
      </c>
      <c r="I12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22">
      <c r="A122" t="inlineStr">
        <is>
          <t>in-99734e5cf7a99577</t>
        </is>
      </c>
      <c r="B122" t="inlineStr">
        <is>
          <t>Principal Product Manager - Technical, Alexa Communications</t>
        </is>
      </c>
      <c r="C122" t="inlineStr">
        <is>
          <t>Amazon.com</t>
        </is>
      </c>
      <c r="D122" t="inlineStr">
        <is>
          <t>indeed</t>
        </is>
      </c>
      <c r="E122">
        <f>HYPERLINK("https://www.indeed.com/viewjob?jk=99734e5cf7a99577", "https://www.indeed.com/viewjob?jk=99734e5cf7a99577")</f>
        <v/>
      </c>
      <c r="F122">
        <f>HYPERLINK("https://www.amazon.jobs/jobs/3137022/principal-product-manager--technical-alexa-communications?cmpid=DA_INAD200785B", "https://www.amazon.jobs/jobs/3137022/principal-product-manager--technical-alexa-communications?cmpid=DA_INAD200785B")</f>
        <v/>
      </c>
      <c r="G122" t="inlineStr">
        <is>
          <t>Sunnyvale, CA, US</t>
        </is>
      </c>
      <c r="H122" s="2" t="n">
        <v>45993</v>
      </c>
      <c r="I12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23">
      <c r="A123" t="inlineStr">
        <is>
          <t>in-2bef3615e21016b3</t>
        </is>
      </c>
      <c r="B123" t="inlineStr">
        <is>
          <t>AI Product Owner / Product Manager</t>
        </is>
      </c>
      <c r="C123" t="inlineStr">
        <is>
          <t>TruStartIT LLC</t>
        </is>
      </c>
      <c r="D123" t="inlineStr">
        <is>
          <t>indeed</t>
        </is>
      </c>
      <c r="E123">
        <f>HYPERLINK("https://www.indeed.com/viewjob?jk=2bef3615e21016b3", "https://www.indeed.com/viewjob?jk=2bef3615e21016b3")</f>
        <v/>
      </c>
      <c r="F123">
        <f>HYPERLINK("http://www.indeed.com/job/ai-product-owner-product-manager-2bef3615e21016b3", "http://www.indeed.com/job/ai-product-owner-product-manager-2bef3615e21016b3")</f>
        <v/>
      </c>
      <c r="G123" t="inlineStr">
        <is>
          <t>Coppell, TX, US</t>
        </is>
      </c>
      <c r="H123" s="2" t="n">
        <v>46083</v>
      </c>
      <c r="I123" t="inlineStr">
        <is>
          <t>We are building an AI\-powered product and are looking for an experienced AI Product Owner to lead strategy, roadmap, and execution. This role will own the product lifecycle end\-to\-end and work closely with engineering and AI teams to deliver high\-impact solutions.
**Responsibilities**
Define and execute product vision and roadmap
Translate business goals into clear product requirements
Manage backlog, sprint planning, and releases
Collaborate with AI/ML engineers on model\-driven features
Define KPIs and measure product performance
Conduct user research and validate product\-market fit
Align cross\-functional stakeholders
**Requirements**
3\+ years of product management experience
Experience shipping AI/ML\-enabled products
Strong Agile/Scrum background
Ability to work with technical teams and APIs
Excellent communication and analytical skills
**Nice to Have**
Experience with LLM\-based products
Startup experience
Technical background (Engineering, Data, CS)
Pay: $90,000\.00 \- $130,000\.00 per year
Application Question(s):
* Years of product management experience?*\_*
Work Location: Hybrid remote in Coppell, TX 75019</t>
        </is>
      </c>
    </row>
    <row r="124">
      <c r="A124" t="inlineStr">
        <is>
          <t>in-86cee56023f85ba0</t>
        </is>
      </c>
      <c r="B124" t="inlineStr">
        <is>
          <t>Principal Product Manager - Tech, Recommender Systems, Prime Video Personalization &amp; Discovery</t>
        </is>
      </c>
      <c r="C124" t="inlineStr">
        <is>
          <t>Amazon.com</t>
        </is>
      </c>
      <c r="D124" t="inlineStr">
        <is>
          <t>indeed</t>
        </is>
      </c>
      <c r="E124">
        <f>HYPERLINK("https://www.indeed.com/viewjob?jk=86cee56023f85ba0", "https://www.indeed.com/viewjob?jk=86cee56023f85ba0")</f>
        <v/>
      </c>
      <c r="F124">
        <f>HYPERLINK("https://www.amazon.jobs/jobs/2956622/principal-product-manager--tech-recommender-systems-prime-video-personalization--discovery-?cmpid=DA_INAD200785B", "https://www.amazon.jobs/jobs/2956622/principal-product-manager--tech-recommender-systems-prime-video-personalization--discovery-?cmpid=DA_INAD200785B")</f>
        <v/>
      </c>
      <c r="G124" t="inlineStr">
        <is>
          <t>Seattle, WA, US</t>
        </is>
      </c>
      <c r="H124" s="2" t="n">
        <v>45753</v>
      </c>
      <c r="I1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in-970b009763c94ddc</t>
        </is>
      </c>
      <c r="B125" t="inlineStr">
        <is>
          <t>Principal Product Manager - Tech, Recommender Systems, Prime Video Personalization &amp; Discovery</t>
        </is>
      </c>
      <c r="C125" t="inlineStr">
        <is>
          <t>Amazon.com</t>
        </is>
      </c>
      <c r="D125" t="inlineStr">
        <is>
          <t>indeed</t>
        </is>
      </c>
      <c r="E125">
        <f>HYPERLINK("https://www.indeed.com/viewjob?jk=970b009763c94ddc", "https://www.indeed.com/viewjob?jk=970b009763c94ddc")</f>
        <v/>
      </c>
      <c r="F125">
        <f>HYPERLINK("https://www.amazon.jobs/jobs/2956622/principal-product-manager--tech-recommender-systems-prime-video-personalization--discovery-?cmpid=DA_INAD200785B", "https://www.amazon.jobs/jobs/2956622/principal-product-manager--tech-recommender-systems-prime-video-personalization--discovery-?cmpid=DA_INAD200785B")</f>
        <v/>
      </c>
      <c r="G125" t="inlineStr">
        <is>
          <t>Washington, DC, US</t>
        </is>
      </c>
      <c r="H125" s="2" t="n">
        <v>45753</v>
      </c>
      <c r="I1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li-4199412186</t>
        </is>
      </c>
      <c r="B2" t="inlineStr">
        <is>
          <t>Product Manager</t>
        </is>
      </c>
      <c r="C2" t="inlineStr">
        <is>
          <t>Meta</t>
        </is>
      </c>
      <c r="D2" t="inlineStr">
        <is>
          <t>linkedin</t>
        </is>
      </c>
      <c r="E2" t="inlineStr"/>
      <c r="F2" t="inlineStr"/>
      <c r="G2" t="inlineStr">
        <is>
          <t>New York, NY</t>
        </is>
      </c>
      <c r="H2" t="inlineStr"/>
      <c r="I2"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li-4199408700</t>
        </is>
      </c>
      <c r="B3" t="inlineStr">
        <is>
          <t>Product Manager</t>
        </is>
      </c>
      <c r="C3" t="inlineStr">
        <is>
          <t>Meta</t>
        </is>
      </c>
      <c r="D3" t="inlineStr">
        <is>
          <t>linkedin</t>
        </is>
      </c>
      <c r="E3" t="inlineStr"/>
      <c r="F3" t="inlineStr"/>
      <c r="G3" t="inlineStr">
        <is>
          <t>Seattle, WA</t>
        </is>
      </c>
      <c r="H3" t="inlineStr"/>
      <c r="I3"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li-4197550638</t>
        </is>
      </c>
      <c r="B4" t="inlineStr">
        <is>
          <t>Product Manager</t>
        </is>
      </c>
      <c r="C4" t="inlineStr">
        <is>
          <t>Meta</t>
        </is>
      </c>
      <c r="D4" t="inlineStr">
        <is>
          <t>linkedin</t>
        </is>
      </c>
      <c r="E4" t="inlineStr"/>
      <c r="F4" t="inlineStr"/>
      <c r="G4" t="inlineStr">
        <is>
          <t>Sunnyvale, CA</t>
        </is>
      </c>
      <c r="H4" t="inlineStr"/>
      <c r="I4"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li-4379923047</t>
        </is>
      </c>
      <c r="B5" t="inlineStr">
        <is>
          <t>Product Manager - remote</t>
        </is>
      </c>
      <c r="C5" t="inlineStr">
        <is>
          <t>Jobgether</t>
        </is>
      </c>
      <c r="D5" t="inlineStr">
        <is>
          <t>linkedin</t>
        </is>
      </c>
      <c r="E5" t="inlineStr"/>
      <c r="F5" t="inlineStr"/>
      <c r="G5" t="inlineStr">
        <is>
          <t>North Carolina, United States</t>
        </is>
      </c>
      <c r="H5" t="inlineStr"/>
      <c r="I5"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li-4378001396</t>
        </is>
      </c>
      <c r="B6" t="inlineStr">
        <is>
          <t>Senior Product Manager</t>
        </is>
      </c>
      <c r="C6" t="inlineStr">
        <is>
          <t>CloudZero</t>
        </is>
      </c>
      <c r="D6" t="inlineStr">
        <is>
          <t>linkedin</t>
        </is>
      </c>
      <c r="E6" t="inlineStr"/>
      <c r="F6" t="inlineStr"/>
      <c r="G6" t="inlineStr">
        <is>
          <t>San Francisco, CA</t>
        </is>
      </c>
      <c r="H6" t="inlineStr"/>
      <c r="I6" t="inlineStr">
        <is>
          <t>**About The Role**
 CloudZero is seeking a
 **Senior Product Manager** 
 to own and evolve a core product area within our FinOps and cloud cost intelligence platform. This role is equally balanced between technical depth and customer focus, and is ideal for a PM who built credibility in another discipline \- such as engineering, finance, DevOps, product marketing, sales engineering, or TAM \- before moving into product management.
 You will operate in an enterprise, direct sales environment, working closely with engineering, experience design, sales, marketing, and customer teams. Success in this role requires strong product judgment, technical fluency, and an exceptional ability to gather and synthesize market intelligence from both customers and non\-customer potential users.
**What You Bring**
* 3–4\+ years of experience as a Product Manager building and scaling B2B SaaS products.
* Prior depth in a complementary discipline before product management, such as Engineering, Product Marketing, Sales Engineering, Technical Account Management (TAM), or Finance / DevOps / Cloud Operations.
* Experience owning products in data\-intensive or technically complex domains, including analytics, AI/ML\-enabled products, observability, cloud infrastructure, or platform tooling.
* Background working on UI\-heavy products, such as dashboards, developer tools, IDEs, or visualization\-rich applications.
* Full\-stack product management experience across the customer lifecycle, including:
* Pre\-sales: enterprise demos, customer conversations, roadmap discussions
* Post\-sales: customer feedback loops, adoption, retention, and expansion
* Strong prioritization skills with the ability to clearly communicate rationale, tradeoffs, and customer impact.
* Ability to translate complex technical and financial concepts into intuitive, customer\-facing experiences.
* Demonstrated ownership of a product area from problem discovery through delivery, with a track record of shipping meaningful outcomes.
**Nice To Have**
* Experience in FinOps, cloud cost management, DevOps, or financial systems.
* Familiarity with modern cloud data stacks (e.g., AWS/GCP/Azure billing data, data warehouses, ETL/ELT pipelines).
* Experience partnering closely with platform or infrastructure engineering teams.
* Comfort analyzing product usage data and telemetry; ability to write basic SQL queries or work with DevOps / SRE tooling is a plus.
* Experience supporting enterprise or highly technical customers.
* Exposure to pricing, packaging, or value\-metric decisions in a SaaS environment.
* Background in cloud\-native, developer\-focused, or infrastructure\-oriented products.
**Please note** 
 :
 *CloudZero is unable to sponsor employment visas. Candidates must have permanent authorization to work in the United States without the need for current or future sponsorship.*</t>
        </is>
      </c>
    </row>
    <row r="7">
      <c r="A7" t="inlineStr">
        <is>
          <t>li-4198801765</t>
        </is>
      </c>
      <c r="B7" t="inlineStr">
        <is>
          <t>Product Manager</t>
        </is>
      </c>
      <c r="C7" t="inlineStr">
        <is>
          <t>Meta</t>
        </is>
      </c>
      <c r="D7" t="inlineStr">
        <is>
          <t>linkedin</t>
        </is>
      </c>
      <c r="E7" t="inlineStr"/>
      <c r="F7" t="inlineStr"/>
      <c r="G7" t="inlineStr">
        <is>
          <t>Bellevue, WA</t>
        </is>
      </c>
      <c r="H7" t="inlineStr"/>
      <c r="I7"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li-4379932010</t>
        </is>
      </c>
      <c r="B8" t="inlineStr">
        <is>
          <t>Product Manager - REMOTE</t>
        </is>
      </c>
      <c r="C8" t="inlineStr">
        <is>
          <t>Jobgether</t>
        </is>
      </c>
      <c r="D8" t="inlineStr">
        <is>
          <t>linkedin</t>
        </is>
      </c>
      <c r="E8" t="inlineStr"/>
      <c r="F8" t="inlineStr"/>
      <c r="G8" t="inlineStr">
        <is>
          <t>New Jersey, United States</t>
        </is>
      </c>
      <c r="H8" t="inlineStr"/>
      <c r="I8"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
      <c r="A9" t="inlineStr">
        <is>
          <t>li-4199410450</t>
        </is>
      </c>
      <c r="B9" t="inlineStr">
        <is>
          <t>Product Manager</t>
        </is>
      </c>
      <c r="C9" t="inlineStr">
        <is>
          <t>Meta</t>
        </is>
      </c>
      <c r="D9" t="inlineStr">
        <is>
          <t>linkedin</t>
        </is>
      </c>
      <c r="E9" t="inlineStr"/>
      <c r="F9" t="inlineStr"/>
      <c r="G9" t="inlineStr">
        <is>
          <t>Burlingame, CA</t>
        </is>
      </c>
      <c r="H9" t="inlineStr"/>
      <c r="I9"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li-4377758161</t>
        </is>
      </c>
      <c r="B10" t="inlineStr">
        <is>
          <t>Product Manager – Consumer Health &amp; Beauty (E-Commerce)</t>
        </is>
      </c>
      <c r="C10" t="inlineStr">
        <is>
          <t>MediVena</t>
        </is>
      </c>
      <c r="D10" t="inlineStr">
        <is>
          <t>linkedin</t>
        </is>
      </c>
      <c r="E10" t="inlineStr"/>
      <c r="F10" t="inlineStr"/>
      <c r="G10" t="inlineStr"/>
      <c r="H10" t="inlineStr"/>
      <c r="I10" t="inlineStr">
        <is>
          <t>**Location:** 
 Remote (B2B Professional Services Agreement)
**Company:** 
 MediVena
**The Mission** 
 MediVena is an international developer of innovative medical solutions headquartered in Atlanta and Warsaw. We specialize in effective, affordable, and safe devices for healthcare professionals and consumers worldwide.
 We are currently expanding our consumer\-facing e\-commerce division. We are seeking a strategic
 **Product Manager** 
 to lead the development, launch, and commercialization of our Health \&amp; Beauty portfolio. In this role, you will act as the business owner for a diverse catalog including topical care, personal wellness devices, and specialized consumer health products.
**Core Responsibilities** 
 You will oversee the end\-to\-end product lifecycle, ensuring our portfolio meets market demands and regulatory standards.
* **Portfolio Strategy:** 
 Define the product vision and maintain a roadmap for new launches. Conduct market research to identify trends and build business cases covering pricing, margins, and global distribution.
* **Supply Chain \&amp; Vendor Management:** 
 Identify and manage relationships with contract manufacturers and suppliers. Maintain comprehensive Master Files and supply data.
* **Development \&amp; Compliance:** 
 Partner with Design and R\&amp;D to translate user needs into technical specifications. Provide input for packaging and labeling while ensuring all products adhere to ISO and global regulatory requirements (including GUDID and GS1 databases).
* **E\-Commerce Commercialization:** 
 Lead successful product launches across digital marketplaces. Create optimized product listings, including technical descriptions, pricing strategies, and visual asset coordination.
* **Performance Tracking:** 
 Monitor sales data and consumer feedback to drive continuous improvement and identify opportunities for product line extensions.
**Your Profile** 
 We are looking for a professional who excels at scaling physical products within the digital landscape.
* **Experience:** 
 Proven track record in product management within the consumer health, cosmetics, or wellness sectors.
* **Education:** 
 University degree in Marketing, Management, Business Administration, or a related field.
* **Technical Proficiency:** 
 Advanced skills in MS Office and experience with CRM platforms (HubSpot or Salesforce). High comfort level with digital workflow optimization and productivity\-enhancing technologies.
* **Communication:** 
 Full professional proficiency in English is required for global collaboration and content creation.
* **Preferred Skills:** 
 Familiarity with graphic design workflows or experience with usability studies is a significant advantage.
**Why MediVena?** 
* **High Impact:** 
 Drive the growth of a high\-potential product category with global reach.
* **Professional Autonomy:** 
 A fully remote role designed for an independent professional ready to drive major commercial initiatives.
* **Global Environment:** 
 Join a cross\-functional team operating across US and European markets.</t>
        </is>
      </c>
    </row>
    <row r="11">
      <c r="A11" t="inlineStr">
        <is>
          <t>li-4245709356</t>
        </is>
      </c>
      <c r="B11" t="inlineStr">
        <is>
          <t>Product Manager, Consumer</t>
        </is>
      </c>
      <c r="C11" t="inlineStr">
        <is>
          <t>Wonder</t>
        </is>
      </c>
      <c r="D11" t="inlineStr">
        <is>
          <t>linkedin</t>
        </is>
      </c>
      <c r="E11" t="inlineStr"/>
      <c r="F11" t="inlineStr"/>
      <c r="G11" t="inlineStr">
        <is>
          <t>New York, NY</t>
        </is>
      </c>
      <c r="H11" t="inlineStr"/>
      <c r="I11"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Opportunity**
 Wonder is looking for a high\-impact Product Manager to scale our Restaurants business. As part of the Consumer Product team, you will be responsible for delivering innovative product features that transform how customers browse, discover, and order from our restaurant offerings. This includes both our first\-party portfolio of chef\-driven concepts, as well as our expansive local marketplace. In this pivotal role, you will be at the forefront of shaping Wonder into a super\-app for mealtime.
**The Impact You Will Make**
* Work closely with the rest of the consumer product team, and key stakeholders across the organization, to execute our product roadmap, drive top\-line growth, and improve our key metrics
* Own the feature development lifecycle from ideation to feature definition, prioritization, testing, and impact measurement
* Leverage user research, marketing trends, competitive analyses, and customer feedback to inform feature development
* Collaborate with UX/UI designers to ensure the app, website, and all other customer touchpoints are optimized for conversion and engagement
* Communicate product performance and impact to the business and key stakeholders
**What You Bring To The Table**
* 3\+ years of experience in product management leading initiatives and cross\-functional teams
* Relevant experience building consumer\-facing products in eCommerce or multi\-sided marketplaces
* Strong analytical skills and the ability to interpret and use data to drive decision\-making
* Demonstrated ability to work collaboratively in a fast\-paced, dynamic environment
* Excellent communication and interpersonal skills, with the ability to communicate complex ideas clearly and concisely
* Strong project management skills, with the ability to manage multiple projects simultaneously and prioritize competing demands
* Demonstrated experience optimizing conversion funnels using experimentation and impact\-driven prioritization
**Got These? Even Better**
* You think holistically about the customer journey—and obsess over helping users find what they want with ease
* You’re comfortable with ambiguity and bring structure to complex problems
* You communicate clearly and inspire alignment across technical and non\-technical teams
* You have a bias toward action and a desire to learn and improve your product sense
**Base Salary** 
 : $138,000 \- $145,500 per year.
 Wonder uses geographic\-specific salary structures, which means the salary offered may vary depending on where the job is located. The final salary offer will take into account various factors, such as the candidate's skills, education, training, credentials, and experience.
 Our hybrid model requires 3 days a week in the office. That said, many team members choose to come in more often to take advantage of in\-person collaboration and connection. You're welcome—and encouraged—to be in the office up to 5 days a week if it works for you.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12">
      <c r="A12" t="inlineStr">
        <is>
          <t>li-4379928733</t>
        </is>
      </c>
      <c r="B12" t="inlineStr">
        <is>
          <t>AI Product Manager</t>
        </is>
      </c>
      <c r="C12" t="inlineStr">
        <is>
          <t>Kodeva LLC</t>
        </is>
      </c>
      <c r="D12" t="inlineStr">
        <is>
          <t>linkedin</t>
        </is>
      </c>
      <c r="E12" t="inlineStr"/>
      <c r="F12" t="inlineStr"/>
      <c r="G12" t="inlineStr"/>
      <c r="H12" t="inlineStr"/>
      <c r="I12" t="inlineStr">
        <is>
          <t>AI Product Manager — Retail \&amp; Fashion,
*Remote with travel to Costa Mesa, CA* 
*Full\-time* 
**About the Role** 
 EMIDS is embedding a small, senior team inside a global apparel company’s AI\-native brand sprint — a 90\-day effort to design, manufacture, and place real products on retail shelves using an end\-to\-end AI pipeline. No legacy process. No agency model. Built from scratch.
 The AI Product Manager is the connective tissue of the tiger team. You sit at the intersection of what the AI tools can actually do and what the design, merchandising, and marketing teams need to achieve. You own the pilot roadmap, drive tool selection decisions, and make sure the five chevrons — insights, design, supply chain, marketing, selling — are moving in parallel rather than waiting on each other.
**What You Will Do** 
 • Own the day\-to\-day pilot roadmap — what gets built, in what order, with which tools, by whom
 • Evaluate, select, and onboard AI tools across all five chevrons of the product creation pipeline
 • Translate between the client’s business requirements and the technical capabilities of the EMIDS team — you speak both languages fluently
 • Identify and eliminate bottlenecks as the pipeline is assembled — your job is to keep the team moving toward shelf\-ready product in 90 days
 • Define and track the metrics that matter: time from insight to tech pack, sample cycle time, content production cost per SKU, sell\-through rate
 • Facilitate daily working rhythms across the tiger team — standup cadence, decision logs, tool documentation — without adding process overhead
 • Feed learnings back into a documented, repeatable process that can scale to other categories and brands after the pilot
**What You Need** 
 • Demonstrated experience shipping AI\-powered products in a retail, fashion, e\-commerce, or consumer goods context — not just advising on AI strategy, but owning the delivery of something that went live
 • Deep familiarity with the AI tool landscape for fashion and retail — trend forecasting, generative design, 3D sampling, content production, social commerce — you do not need to operate every tool but you need to know what each one does and where it breaks
 • Strong product instincts: you can make a tool selection decision with incomplete information, commit to it, and adjust when the evidence changes
 • Experience working in small, cross\-functional teams on compressed timelines — you are comfortable with ambiguity and do not need a defined brief to start moving
 • Ability to hold the full five\-chevron picture in your head while managing day\-to\-day execution details
 • Excellent written communication — process documentation is an explicit deliverable of this engagement, not an afterthought
**What You Do Not Need** 
 • A fashion industry background — the client is actively seeking outside\-in thinking
 • Program management experience at a large consulting firm — this role requires product judgment, not project administration
 • Experience with enterprise transformation or large\-scale change management — the pilot is eight to ten people and 90 days; keep it simple
**Location \&amp; Commitment** 
 Primary point of coordination for the tiger team. Available across time zones as needed for the Costa Mesa\-based client team. Remote\-first with periodic in\-person sprints. Full\-time commitment for the duration of the pilot.</t>
        </is>
      </c>
    </row>
    <row r="13">
      <c r="A13" t="inlineStr">
        <is>
          <t>li-4378849241</t>
        </is>
      </c>
      <c r="B13" t="inlineStr">
        <is>
          <t>Sr. Product Manager</t>
        </is>
      </c>
      <c r="C13" t="inlineStr">
        <is>
          <t>Future Secure AI</t>
        </is>
      </c>
      <c r="D13" t="inlineStr">
        <is>
          <t>linkedin</t>
        </is>
      </c>
      <c r="E13" t="inlineStr"/>
      <c r="F13" t="inlineStr"/>
      <c r="G13" t="inlineStr">
        <is>
          <t>Austin, Texas Metropolitan Area</t>
        </is>
      </c>
      <c r="H13" t="inlineStr"/>
      <c r="I13" t="inlineStr">
        <is>
          <t>**About us** 
 Future Secure AI is a tech company that is jointly developed with one of the world's largest financial institutions. Operating as an agile startup with deep relationships at C\-suite with large global enterprises, we believe humans and AI agents will work together and give everyone the ability to get 10x performance. We are growing rapidly and on an extraordinary journey of transforming the world with the most leading\-edge artificial intelligence.
**About the Role** 
 We are seeking a Sr. Product Manager to lead a critical area of our core AI platform. This is a high\-impact role in enabling our AI teams to develop, deploy, and scale our AI models rapidly and reliably. You'll be the voice of the developer and operational teams, translating their needs into a product roadmap and ensuring we provide the tools and infrastructure they need to succeed. This role requires a deep understanding of the underlying technologies and a passion for building a world\-class developer experience.
**Key Responsibilities** 
 You'll be responsible for the overall vision, strategy, and execution of your assigned product area, directly impacting the productivity and innovation of our AI development teams. Your success will depend on your ability to collaborate effectively, champion best practices, and drive a culture of continuous improvement. You will own the area roadmap, prioritize features, and work closely with engineering to deliver high\-impact solutions.
 Platform Strategy \&amp; Roadmap
* Define and evangelize the product vision and roadmap for your assigned area, aligned with business objectives and user needs.
* Conduct market research, user interviews, and data analysis to identify opportunities and inform product decisions.
* Translate technical capabilities and infrastructure challenges into compelling product requirements and user stories.
* Prioritize features based on impact, effort, and strategic alignment.
* Analyze incidents, system performance, and user feedback to identify areas for improvement.
 Collaboration \&amp; Influence
* Work closely with engineering, design, and data teams to ensure successful execution of the roadmap.
* Act as a key influencer across different teams, driving alignment on product direction and best practices.
 Focus Area Responsibilities
* You will be responsible for a key, strategic initiative within our AI platform. This will involve defining the product vision and strategy, prioritizing features, and ensuring successful delivery.
* You will be expected to lead a complex set of technical challenges, working closely with engineering teams to build innovative solutions.
* You will be a champion for user needs, translating them into actionable product requirements and driving continuous improvement of our platform.
**Business Qualifications** 
* Have experience with AI platform and system\-level products.
* Are comfortable operating in ambiguous, evolving environments.
* Take initiative in bringing structure, focus, and collaboration.
* Can define product intent, roadmaps, and success metrics.
* Partner closely with other members of product management, engineering, design, and data.
* Balance near\-term delivery with long\-term platform coherence.
* Bachelor’s Degree or Equivalent Level of real\-world experience.
**Preferred Qualification** 
* Experience in a similar role managing complex technical AI products.
* Strong analytical and problem\-solving skills.
* Excellent communication and interpersonal skills.
* Ability to thrive in a fast\-paced, dynamic environment.
* Experience leading and motivating cross\-functional teams.
* A passion for building innovative products that solve real\-world problems.
 Why Join Us? A high\-performance culture State\-of\-the\-art technology Experience world\-class leadership Scale of impact and purpose A competitive salary and a huge growth trajectory Work with the best in the industry Flexible work environment Diversity and creativity
 Disclaimer: We do not wish to be contacted by recruitment agencies. Our hiring process is managed in\-house and the best way for candidates to express interest is by applying with your resume through our company website.</t>
        </is>
      </c>
    </row>
    <row r="14">
      <c r="A14" t="inlineStr">
        <is>
          <t>li-4379938090</t>
        </is>
      </c>
      <c r="B14" t="inlineStr">
        <is>
          <t>AI Product Manager</t>
        </is>
      </c>
      <c r="C14" t="inlineStr">
        <is>
          <t>Unframe</t>
        </is>
      </c>
      <c r="D14" t="inlineStr">
        <is>
          <t>linkedin</t>
        </is>
      </c>
      <c r="E14" t="inlineStr"/>
      <c r="F14" t="inlineStr"/>
      <c r="G14" t="inlineStr"/>
      <c r="H14" t="inlineStr"/>
      <c r="I14" t="inlineStr">
        <is>
          <t>**About Us**
 At Unframe, we build AI\-powered products that address real\-world challenges. Our platform team is at the core of this mission, developing the infrastructure, reusable components, and internal tools that enable rapid and reliable product delivery.
**What You'll Do**
 As an AI Product Manager on our team, you’ll work directly with customers and internal teams to define, scope, and deliver AI\-powered solutions using Unframe’s platform. You’ll bridge product thinking with real\-world use cases \- enabling fast, reliable delivery of custom solutions built on a shared core.
 This is an opportunity to work with top\-tier global customers and solve real, high\-impact problems.
**Responsibilities**
* Translate customer problems into structured solution plans using Unframe.ai’s platform.
* Own the delivery of end\-to\-end projects in collaboration with engineers and AI specialists.
* Write detailed specs and define prompt/context structures for solution logic.
* Prioritize requirements and manage tradeoffs across speed, stability, and scope.
* Work closely with the Platform team to surface reusable product patterns.
* Serve as the voice of the user \- from enterprise operators to domain experts.
**Requirements**
* 8\+ years of experience in product management or technical delivery roles.
* Experience working closely with engineering teams and technical products.
* Ability to manage complex projects with multiple moving parts.
* Strong written communication, systems thinking, and attention to detail.
* Fluent English speaker \- written and verbal communication must be excellent
* Comfortable working in fast\-paced environments with evolving requirements.
**Nice to Have**
* Background in enterprise software, AI tools, or internal platforms.
* Familiarity with prompt engineering, LLMs, or component\-based systems.
* Experience working with customers in finance, cybersecurity, or operations.
**Why Join Us**
 At Unframe, you’ll work on real AI products used by real customers, not experiments or demos. This role offers a unique opportunity to sit at the intersection of customer problems, product strategy, and AI execution, with true ownership over solutions from idea to delivery. You’ll collaborate with strong engineers and AI specialists, influence how our platform evolves, and help shape reusable product capabilities as we scale. If you’re motivated by impact, complexity, and building practical AI systems that actually ship, you’ll find this role both challenging and rewarding.
 If you’re a strong, independent builder who thrives on ownership, cares deeply about quality, and wants to have a real impact — we’d love to meet you.</t>
        </is>
      </c>
    </row>
    <row r="15">
      <c r="A15" t="inlineStr">
        <is>
          <t>li-4365178937</t>
        </is>
      </c>
      <c r="B15" t="inlineStr">
        <is>
          <t>Product Manager, ML Foundations and GenAI</t>
        </is>
      </c>
      <c r="C15" t="inlineStr">
        <is>
          <t>Stripe</t>
        </is>
      </c>
      <c r="D15" t="inlineStr">
        <is>
          <t>linkedin</t>
        </is>
      </c>
      <c r="E15" t="inlineStr"/>
      <c r="F15" t="inlineStr"/>
      <c r="G15" t="inlineStr"/>
      <c r="H15" t="inlineStr"/>
      <c r="I1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6">
      <c r="A16" t="inlineStr">
        <is>
          <t>li-4379928232</t>
        </is>
      </c>
      <c r="B16" t="inlineStr">
        <is>
          <t>Lead Product Manager, Consumer Commerce</t>
        </is>
      </c>
      <c r="C16" t="inlineStr">
        <is>
          <t>Slice</t>
        </is>
      </c>
      <c r="D16" t="inlineStr">
        <is>
          <t>linkedin</t>
        </is>
      </c>
      <c r="E16" t="inlineStr"/>
      <c r="F16" t="inlineStr"/>
      <c r="G16" t="inlineStr"/>
      <c r="H16" t="inlineStr"/>
      <c r="I16" t="inlineStr">
        <is>
          <t>Ilir Sela started Slice with the belief that local pizzerias deserve all of the advantages of major franchises without compromising their independence. Starting with his family’s pizzerias, we now empower over tens of thousands of restaurants with the technology, services, and collective power that owners need to better serve their digitally minded customers and build lasting businesses. We’re growing and adding more talent to help fulfil this valuable mission. That’s where you come in.
**The Challenge to Solve**
 As a Lead Product Manager you will be working on one of our fastest growing product areas, which is critical to enabling the “reverse franchise” product offering that we provide to independent pizzerias and restaurants.
**The Role**
 As a leader within Product Management, you will spearhead the product development within the Consumer Commerce team, an area which focuses heavily on topline revenue generation for our shop partners. Your team will improve, iterate and build new products that serve as the direct connection between shops and their pizza loving consumers. You will be responsible for a coherent portfolio of features and be accountable for the entire product lifecycle, whilst identifying new areas of investment (new projects) for the product or area.
**We are hiring one person for this role. While this position is advertised in multiple countries, we will make a single hire who may be based remotely in the US, Canada, or the UK.**
**The Team**
 You will partner with cross\-functional stakeholders such as Design, Go\-To\-Market and Operations. You’ll have direct peer support from two Lead Product Managers who lead adjacent teams, meaning this position is one of three top level Product roles reporting directly to the Head of R\&amp;D. You’ll also have direct line management and leadership responsibilities for a small team. The day\-to\-day team activity includes defining simple, elegant solutions from understanding user needs and identifying when they may need to seek further research. You’ll be the product expert for Consumer Commerce with a deep understanding of the users, market, and technology while fostering innovation across the whole team by creating space for it to happen.
**The Winning Recipe**
**Role**
 We’re looking for a Lead Product Manager who is excited to build world\-class products for small business counters. These are the core competencies this role calls for:
* A minimum of 5\+ years of Product Management experience within a commerce or consumer market place domain
* A strong track record as a high performing individual contributor first and foremost, our leaders all ‘lead by doing’
* Direct line management experience of Product Management colleagues
* Experience both in analysing data to help develop hypotheses and then constructing experiments to test them
* Experience in driving business outcomes, as opposed to shipping features
* Demonstrated experience using some kind of product analytics tool
* Clear passion for Design Thinking and being a partner to Product Design
* Meticulous in taking care of the details and demonstrating end\-to\-end ownership of work
* Fluent in agile software development
* Familiarity with the pizza or restaurant industry a bonus
**The Extras**
 Working at Slice comes with a comprehensive set of benefits, but here are some of the unexpected highlights:
* Flexible PTO
* Market leading medical, vision and dental insurance
* 401K matching up to 4%
* Monthly wellness reimbursement/stipend
* Weekly pizza stipend (Yes, that’s a thing!)
 Salary Range: $200,000 to $280,000 \+ equity
*The above represents the expected salary range for this job requisition. Ultimately, in determining your pay, we'll consider your location, experience, and other job\-related factors.*
**The Hiring Process**
 Here’s what we expect the hiring process for this role to be, should all go well with your candidacy. This entire process is expected to take 1\-3 weeks to complete and you’d be expected to start on a specific date.
* Application
* 30\-minute introductory meeting
* 45\-minute Hiring Manager meeting
* 45\-minute Peer meeting
* 45\-minute Cross\-functional meeting
* Offer!
 Pizza brings people together. Slice is no different. We’re an Equal Opportunity Employer and embrace a diversity of backgrounds, cultures, and perspectives. We do not discriminate on the basis of race, color, gender, sexual orientation, gender identity or expression, religion, disability, national origin, protected veteran status, age, or any other status protected by applicable national, federal, state, or local law.
**Privacy Notice Statement of Acknowledgment**
*When you apply for a job on this site, the personal data contained in your application will be collected by Slice. Slice is keeping your data safe and secure. Once we have received your personal data, we put in place reasonable and appropriate measures and controls to prevent any accidental or unlawful destruction, loss, alteration, or unauthorised access. If selected, we will process your personal data for hiring /employment processes, as well as our legal obligations.*
*If you are not selected for the job position and you have given consent on the question below (by selecting "Give consent") we will store and process your personal data and submitted documents (CV) to consider eligibility for employment up to 365 days (one year). You have the right to withdraw your previously given consent for storing your personal data and CV in the Slice database considering eligibility for employment for a year. You have the right to withdraw your consent at any time.*
*For additional information and / or exercise of your rights to the protection of personal data, you can contact our Data Protection Officer, e\-mail:* 
***privacy@slicelife.com***</t>
        </is>
      </c>
    </row>
    <row r="17">
      <c r="A17" t="inlineStr">
        <is>
          <t>li-4378827479</t>
        </is>
      </c>
      <c r="B17" t="inlineStr">
        <is>
          <t>Group Product Manager</t>
        </is>
      </c>
      <c r="C17" t="inlineStr">
        <is>
          <t>Uplight</t>
        </is>
      </c>
      <c r="D17" t="inlineStr">
        <is>
          <t>linkedin</t>
        </is>
      </c>
      <c r="E17" t="inlineStr"/>
      <c r="F17" t="inlineStr"/>
      <c r="G17" t="inlineStr"/>
      <c r="H17" t="inlineStr"/>
      <c r="I17" t="inlineStr">
        <is>
          <t>**Description**
 Uplight is
 *creating a new category of energy* 
 .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**Group Product Manager (GPM), Data Platform** 
 to own Uplight’s Data Platform and drive its evolution as a foundational and customer\-enabling capability across the product portfolio. This role reports directly to the VP of Product and is designed for a senior product leader who combines strong technical depth with people leadership and thrives at translating platform strategy into high\-impact, shipped outcomes.
 In this role, you will be accountable for the vision, roadmap, and execution of the Data Platform, partnering closely with Engineering, Data Science, and Product peers to ensure the platform reliably enables Uplight’s applications, analytics, and machine learning capabilities, while increasingly delivering direct, customer\-facing value.
**How You Will Make An Impact**
* Own the Data Platform end\-to\-end, with accountability for strategy execution, roadmap delivery, and outcomes
* Report to the VP of Product and operate as the senior product owner for platform capabilities
* Lead a team of product managers
* Balance strategic ownership with hands\-on delivery leadership
* Partner closely with cross\-functional leaders while maintaining clear product accountability
**What You Get To Do**
**Data Platform Ownership and Execution**
* Own and drive the vision, roadmap, and execution of Uplight’s Data Platform, including ingestion pipelines, governance, observability, analytics enablement, and developer tooling
* Translate platform strategy into clear roadmaps, milestones, and measurable outcomes aligned with company and product priorities
* Ensure the platform delivers trusted, high\-quality, well\-governed data that scales across products, customers, and regions
* Balance foundational platform investments with incremental delivery that supports near\-term product and customer needs
**Customer and Product Enablement**
* Partner with application product teams to ensure the Data Platform effectively enables customer\-facing analytics, APIs, BI, and data\-driven features
* Evolve the platform as a developer platform, improving time\-to\-value through APIs, tooling, and reusable capabilities
* Identify, validate, and help launch data\-driven product opportunities, contributing to experimentation, pilots, and early releases
**Cross\-Functional Leadership**
* Work closely with Engineering and Data Science leaders to align on technical direction, sequencing, and delivery tradeoffs
* Collaborate with Go\-to\-Market, Customer Success, and Solutions teams to ensure platform investments translate into measurable customer impact
* Define, track, and communicate KPIs related to adoption, reliability, data quality, and downstream business outcomes
* Act as the primary product counterpart for platform\-related initiatives across the organization
**People Leadership**
* Lead, coach, and develop a team of product managers
* Set clear expectations, delivery rhythms, and strong product management practices
* Contribute to hiring, onboarding, and talent development within the Product organization
* Foster a collaborative, high\-trust environment that supports sustainable execution and continuous improvement
**Technical And Platform Expertise**
* Strong understanding of modern data architectures, including lakehouse concepts, ingestion pipelines, governance, observability, analytics, and machine learning enablement
* Comfort engaging deeply with engineering teams on architectural decisions, technical tradeoffs, and delivery sequencing
**Product and Business Orientation**
* Experience translating platform capabilities into tangible customer value through analytics, APIs, embedded insights, or enablement of downstream products
* Ability to prioritize work that balances long\-term platform health with near\-term business impact
**Collaborative Leadership**
* Proven ability to influence across product, engineering, and business stakeholders through clarity, alignment, and execution
* Systems thinker who understands how data ingestion, governance, analytics, and applications connect to customer and business outcomes
**People Leadership Readiness**
* Experience leading senior product managers or acting as a player\-coach on complex initiatives
* Demonstrated ability to grow talent while maintaining a strong focus on delivery and outcomes
**What You Bring To Uplight**
* 7 to 10 years of Product Management experience
* Hands\-on technical background or extensive experience partnering closely with engineering and data teams
* Proven experience with data platforms, ingestion systems, analytics and BI, governance, machine learning enablement, and developer tooling; experience with Databricks or similar platforms is a plus
* Track record of delivering complex platform initiatives that support multiple products, teams, or customers
* Strong communication skills and comfort operating in fast\-moving, evolving environments
* Experience in energy, SaaS, data, or adjacent technology domains is preferred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$165,000\-$190,000 USD \+ Bonus
**Application Deadline:** 
 April 15, 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18">
      <c r="A18" t="inlineStr">
        <is>
          <t>li-4378841209</t>
        </is>
      </c>
      <c r="B18" t="inlineStr">
        <is>
          <t>Technical Product Manager</t>
        </is>
      </c>
      <c r="C18" t="inlineStr">
        <is>
          <t>The Wellness Group</t>
        </is>
      </c>
      <c r="D18" t="inlineStr">
        <is>
          <t>linkedin</t>
        </is>
      </c>
      <c r="E18" t="inlineStr"/>
      <c r="F18" t="inlineStr"/>
      <c r="G18" t="inlineStr">
        <is>
          <t>Richardson, TX</t>
        </is>
      </c>
      <c r="H18" t="inlineStr"/>
      <c r="I18" t="inlineStr">
        <is>
          <t>**JD Product Manager (ON\-SITE Associate Level)** 
**Location: Richardson, Texas (On\-site at Wellness Care)** 
 Company: Wellgineering
 Reports To: CEO, Wellgineering
**About Wellgineering** 
 Wellgineering is the technical engine behind innovative healthcare and wellness platforms. We build scalable systems that power telehealth, care management, data integration, and revenue workflows.
 We build real products. Fast. We’re looking for a Product Manager who wants to grow inside a high\-velocity healthcare technology environment, hold tech teams accountable for delivery and drive the project.
**The Role** 
 We are hiring a Product Manager to support the planning, prioritization, and execution of product initiatives across our development teams in Richardson, TX.
 This role is ideal for someone early in their product career who understands technology, communicates clearly, and wants hands\-on exposure to building healthcare platforms. You will work closely with Engineering, Operations, and Leadership to translate business needs into clear product requirements.
 This is not a pure project tracking role. It is a product ownership role inside a technical environment.
**What You’ll Do** 
**Product Planning \&amp; Execution** 
* Support roadmap planning and help prioritize initiatives based on business impact
* Write clear product requirements and user stories
* Collaborate with engineering to clarify acceptance criteria
* Participate in sprint planning and backlog grooming
* Track feature progress and ensure alignment with original requirements
**Cross\-Functional Collaboration** 
* Work with Operations and Leadership to understand business needs
* Translate workflows and operational challenges into product improvements
* Communicate feature updates and product changes to stakeholders
* Gather feedback from users and internal teams
**Product Quality \&amp; Optimization** 
* Help define success metrics for product features
* Monitor feature performance and flag areas for improvement
* Support user testing and validation before release
* Identify gaps or inefficiencies in workflows
**What Success Looks Like** 
* Clear, actionable product requirements that engineers can build from
* Features delivered that solve real operational problems
* Improved clarity around product priorities
* Strong collaboration between product, engineering, and operations
* Growing ownership over roadmap areas within 6–12 months
**Qualifications** 
* 2–4 years of experience in product management, business analysis, technical coordination, or a related role
* Strong written communication skills (you can turn ideas into structured requirements)
* Comfortable working with engineers and understanding technical conversations
* Familiarity with Agile/Scrum environments
* Experience with tools like Jira, Azure DevOps, ClickUp, or similar
* Organized, detail\-oriented, and proactive
 Healthcare, telehealth, or regulated industry experience is a plus, but not required.
**Nice to Have** 
* Exposure to API\-based systems or platform products
* Experience supporting SaaS or digital health products
* Certifications such as CSPO or other product coursework
**Who You Are** 
* Curious about how systems work
* Structured thinker who asks good questions
* Comfortable in fast\-moving environments
* Calm and collaborative
* Focused on outcomes, not just tasks
* Motivated to grow into a more senior Product role
**Why This Role Matters** 
 Our platforms power real healthcare delivery. As a Product Manager, you’ll help shape how care is delivered, data flows, and teams operate. This is a growth role with clear exposure to strategy, execution, and cross\-functional leadership.
 If you perform well, this role can expand into full Product Ownership with roadmap authority.
 Please provide compensation requirements when applying.
 **This is not a remote position.** 
 This position is onsite at our Richardson, Texas facility.</t>
        </is>
      </c>
    </row>
    <row r="19">
      <c r="A19" t="inlineStr">
        <is>
          <t>li-4365124485</t>
        </is>
      </c>
      <c r="B19" t="inlineStr">
        <is>
          <t>Product Manager, ML Foundations and GenAI</t>
        </is>
      </c>
      <c r="C19" t="inlineStr">
        <is>
          <t>Stripe</t>
        </is>
      </c>
      <c r="D19" t="inlineStr">
        <is>
          <t>linkedin</t>
        </is>
      </c>
      <c r="E19" t="inlineStr"/>
      <c r="F19" t="inlineStr"/>
      <c r="G19" t="inlineStr">
        <is>
          <t>San Francisco, CA</t>
        </is>
      </c>
      <c r="H19" t="inlineStr"/>
      <c r="I1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0">
      <c r="A20" t="inlineStr">
        <is>
          <t>li-4238777828</t>
        </is>
      </c>
      <c r="B20" t="inlineStr">
        <is>
          <t>Senior Agent Product Manager</t>
        </is>
      </c>
      <c r="C20" t="inlineStr">
        <is>
          <t>Decagon</t>
        </is>
      </c>
      <c r="D20" t="inlineStr">
        <is>
          <t>linkedin</t>
        </is>
      </c>
      <c r="E20" t="inlineStr"/>
      <c r="F20" t="inlineStr"/>
      <c r="G20" t="inlineStr">
        <is>
          <t>New York, NY</t>
        </is>
      </c>
      <c r="H20" t="inlineStr"/>
      <c r="I20"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Over the past few years, development of LLMs has evolved at a rapid pace. It’s not enough for our customers to just “set it and forget it” when it comes to AI software. Truly successful AI Agents require guidance and input throughout the development lifecycle.
 The Agent Product Management team drives this journey as Decagon’s in\-house experts on building, deploying, and scaling AI agents. Agent PMs work directly with customers to bring their AI agents to life, and then grow each Agent into a core part of each company’s businesses. As one of our early APM’s, you will deploy our technology into some of the world’s most influential businesses, driving real world business impact as one part Product Manager, one part AI expert.
**About The Role**
 On the APM team you’ll own each stage of the AI Agent building process. This can include:
* Collaborating with engineering to design a new product feature
* Writing and testing prompt logic for a specific customer use case
* Working with a customer’s executive team to define their AI roadmap
 You’ll partner closely with every team at Decagon: Go\-To\-Market, Design, Engineering, and across our leadership team. You’ll become a key source of customer insight guiding our long\-term product roadmap.
 APMs at Decagon own their own portfolio of agents from end\-to\-end and are trusted to make real impact. This role is for someone who dives deep into complex business problems, builds elegant solutions and then scales them out to millions users.
**In this role, you will**
* Build, Design and optimize Enterprise\-quality AI agents in collaboration with customers — understanding their workflows, pain points, and goals.
* Embed deeply within strategic customers to understand their business challenges and serve as a strategic advisor to their AI roadmap
* Run tight feedback loops into Engineering — influence feature development based on real customer needs.
* Represent Decagon externally — working closely with customers and prospects, participating in key deployments.
**Your background looks something like this**
* Have 6\+ years of relevant experience (e.g., product manager, engagement manager, consultant, founder, etc.)
* Deep technical acumen — able to understand and shape AI agent designs.
* Strong communication and relationship\-building skills.
* Comfort working in fast\-moving, ambiguous environments where you shape solutions as much as you implement them.
**Even better**
* A Computer Science, Engineering, or Math degree — or equivalent technical experience.
**Benefits**
* Medical, dental, and vision benefits
* Take what you need vacation policy
* Daily lunches, dinners and snacks in the office to keep you at your best
**Compensation**
 $200K – $285K \+ Offers Equity</t>
        </is>
      </c>
    </row>
    <row r="21">
      <c r="A21" t="inlineStr">
        <is>
          <t>li-4308852004</t>
        </is>
      </c>
      <c r="B21" t="inlineStr">
        <is>
          <t>Product Owner</t>
        </is>
      </c>
      <c r="C21" t="inlineStr">
        <is>
          <t>EBizCharge</t>
        </is>
      </c>
      <c r="D21" t="inlineStr">
        <is>
          <t>linkedin</t>
        </is>
      </c>
      <c r="E21" t="inlineStr"/>
      <c r="F21" t="inlineStr"/>
      <c r="G21" t="inlineStr">
        <is>
          <t>Irvine, CA</t>
        </is>
      </c>
      <c r="H21" t="inlineStr"/>
      <c r="I21" t="inlineStr">
        <is>
          <t>Headquartered in
 ****Irvine, California****
 , EBizCharge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Magento and WooCommerce. EBizCharge offers its employees tremendous learning opportunities, career growth potential, and a dynamic work environment.
 Join the leading automation company in the payments space and contribute to the development of our ever\-expanding library of integrated product solutions. This is an exciting opportunity for a seasoned ERP software professional to play a critical role in bringing our products to market.
**Responsibilities**
* Define and promote the vision for existing and new product integrations.
* Scope, prioritize, and manage product integration projects through all phases of development, from inception to deployment.
* Collaborate closely and liaise with all Product Development team members such as developers, UX/UI designers, QA, and the leadership team to recommend solutions and offer user\-inspired guidance for enhancing our new and existing EBizCharge product integrations.
* Lead Agile Product Development meetings such as Backlog Groomings, Sprint Plannings, Scrum Standups, and Sprint Retrospectives.
* Lead troubleshooting calls with customers as needed.
* Train stakeholders on product features and workflows thru internal product demos.
* Provide consultation as the subject matter expert for product related questions originating internally and externally.
* Help troubleshoot, escalate, and prioritize reported product issues to ensure timely resolutions.
* Utilize and update process flow documentation and training guides to assist team members.
**Qualifications**
* 2\+ years of experience using, implementing, or managing product development for ERP applications is required.
* 2\+ years of experience as a scrum master or product manager running Agile ceremonies is required
* 2\+ years of experience heavily using Jira including setting up and customizing boards, creating reports, and tracking projects is required.
* Experience providing training and/or demonstrating products or software preferred.
* A positive attitude and the ability to build rapport and relationships with customers and with internal stakeholders.
* Self\-starter with exceptional troubleshooting skills.
* Experience using Xray and Salesforce a plus.
* Flexibility and ability to thrive in a rapidly changing environment.
* Exceptional written and verbal communication skills.
* Working onsite in Irvine, California is required.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Status: Full Time On\-Site Role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22">
      <c r="A22" t="inlineStr">
        <is>
          <t>li-4379914666</t>
        </is>
      </c>
      <c r="B22" t="inlineStr">
        <is>
          <t>Principal Product Manager - REMOTE</t>
        </is>
      </c>
      <c r="C22" t="inlineStr">
        <is>
          <t>Jobgether</t>
        </is>
      </c>
      <c r="D22" t="inlineStr">
        <is>
          <t>linkedin</t>
        </is>
      </c>
      <c r="E22" t="inlineStr"/>
      <c r="F22" t="inlineStr"/>
      <c r="G22" t="inlineStr">
        <is>
          <t>Arkansas, United States</t>
        </is>
      </c>
      <c r="H22" t="inlineStr"/>
      <c r="I22"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
      <c r="A23" t="inlineStr">
        <is>
          <t>li-4377765898</t>
        </is>
      </c>
      <c r="B23" t="inlineStr">
        <is>
          <t>Product Owner, Clients’ Experience</t>
        </is>
      </c>
      <c r="C23" t="inlineStr">
        <is>
          <t>Xsolla</t>
        </is>
      </c>
      <c r="D23" t="inlineStr">
        <is>
          <t>linkedin</t>
        </is>
      </c>
      <c r="E23" t="inlineStr"/>
      <c r="F23" t="inlineStr"/>
      <c r="G23" t="inlineStr"/>
      <c r="H23" t="inlineStr"/>
      <c r="I23" t="inlineStr">
        <is>
          <t>**Position:** 
 Product Owner, Clients’ Experience
**Department:** 
 Payments / Pay Station
**Reports To:** 
 Senior Product Owner of Partner Experience
**About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Launch, monetize, and scale with Xsolla tools and services .
**About The Role**
 We are looking for a Product Owner, Clients’ Experience to lead the vision and roadmap for the B2B user and integration experience of Xsolla’s Pay Station — the company’s core payment platform serving game developers and publishers worldwide.
 In this role, you will focus on optimizing how Xsolla’s clients (developers and publishers) interact with the Pay Station ecosystem — from integration via SDKs and APIs, onboarding, and configuration to monitoring payments, analytics, and managing their business performance.
 You will collaborate closely with engineering, SDK, partner success, and design teams to deliver seamless, data\-driven, and transparent experiences for our global partners.
**Responsibilities**
* Define and own the Clients’ Experience product vision and roadmap, ensuring alignment with Pay Station’s global product strategy.
* Lead initiatives aimed at improving the integration experience, including the design, documentation, and evolution of Xsolla’s SDKs (particularly mobile SDKs for iOS and Android).
* Own and optimize the end\-to\-end B2B client journey — from integration and onboarding to ongoing operational visibility and financial reconciliation.
* Collaborate with cross\-functional stakeholders to ensure consistent and transparent product experiences across all partner touchpoints.
* Work closely with engineering teams to ensure SDKs and integration tools are robust, developer\-friendly, and compliant with legal regulations, internal security standards, and platform guidelines.
* Enhance tools and dashboards within the Publisher Account and other client\-facing or internal interfaces to provide clear reporting, real\-time analytics, and control over payment operations.
* Define requirements for new self\-service partner features, simplifying payment setup, method management, and transaction monitoring.
* Drive initiatives to reduce integration and onboarding time, improve client satisfaction, and minimize operational friction.
* Gather and analyze partner feedback to identify pain points, prioritize improvements, and validate solutions through data, usability research, and experimentation; collaborate with internal teams to deliver intuitive, scalable interfaces and integration flows tailored for developers managing global payment systems.
* Define and track product metrics.
**Requirements**
* 4–6\+ years of experience in product management/product ownership, ideally in B2B (fintech, SaaS, or developer platform products).
* Proven experience working with SDKs (mobile preferred: iOS/Android) and APIs, including designing developer integration experiences and managing documentation.
* Understanding of best practices for data collection to support internal analytics and partner\-facing reporting.
* Understanding of application and system architecture fundamentals (hands\-on architecture design experience is a plus).
* Experience working with B2B clients, gathering and translating business and technical requirements into scalable product solutions.
* Excellent analytical and problem\-solving skills, with a data\-driven approach to prioritization.
* Strong collaboration and communication skills with both technical teams (developers, engineers) and business stakeholders.
* Experience with Agile frameworks (Scrum, Kanban) and backlog management tools (Jira, Confluence, Productboard).
* Fluent in English (written and verbal).
**Nice to have**
* Understanding of partner lifecycle management, integration automation, or app distribution across mobile and web ecosystems.
* Experience designing partner journeys and experiences for AI\-based products.
* Familiarity with mobile app monetization and gaming ecosystems.
* Knowledge of developer experience (DevEx) principles, user research, and UX design for B2B or SDK\-based products.
 $53,995 \- $86,000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li-4379910720</t>
        </is>
      </c>
      <c r="B24" t="inlineStr">
        <is>
          <t>Principal Product Manager(remote)</t>
        </is>
      </c>
      <c r="C24" t="inlineStr">
        <is>
          <t>Jobgether</t>
        </is>
      </c>
      <c r="D24" t="inlineStr">
        <is>
          <t>linkedin</t>
        </is>
      </c>
      <c r="E24" t="inlineStr"/>
      <c r="F24" t="inlineStr"/>
      <c r="G24" t="inlineStr">
        <is>
          <t>Massachusetts, United States</t>
        </is>
      </c>
      <c r="H24" t="inlineStr"/>
      <c r="I24"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
      <c r="A25" t="inlineStr">
        <is>
          <t>li-4379912586</t>
        </is>
      </c>
      <c r="B25" t="inlineStr">
        <is>
          <t>Senior Product Manager</t>
        </is>
      </c>
      <c r="C25" t="inlineStr">
        <is>
          <t>Avatar International SA</t>
        </is>
      </c>
      <c r="D25" t="inlineStr">
        <is>
          <t>linkedin</t>
        </is>
      </c>
      <c r="E25" t="inlineStr"/>
      <c r="F25" t="inlineStr"/>
      <c r="G25" t="inlineStr">
        <is>
          <t>Malta, OH</t>
        </is>
      </c>
      <c r="H25" t="inlineStr"/>
      <c r="I25" t="inlineStr">
        <is>
          <t>**Now Hiring: Commercial PAM Platform Strategist / Product Architect Remote\-first \| Europe or similar time zone \| Contract or Permanent**
 We’re looking for a
 **PAM\-native product strategist** 
 with the commercial instincts of a dealmaker and the platform fluency of a systems architect.
 This is a
 **B2B\-only role** 
 — no player\-facing UX, no front\-end fluff. You’ll be shaping the
 **core PAM infrastructure** 
 that underpins multiple regulated brands and jurisdictions. From wallet orchestration and KYC/AML to bonus engines and RG tooling, you’ll define the product vision and architecture that drives compliance, scalability, and commercial performance.
**What You’ll Do**
* Architect and evolve a multi\-tenant PAM platform serving multiple regulated operators
* Own the product strategy across wallet, KYC/AML, bonus, CRM, and RG tooling — with a focus on extensibility, compliance, and cost\-to\-serve
* Lead vendor strategy: evaluate, negotiate, and integrate third\-party providers (PSPs, KYC, RG, CRM, etc.)
* Partner with commercial, compliance, and engineering teams to align platform capabilities with business goals
* Support regulatory readiness and certification cycles (UKGC, MGA, GLI, etc.)
* Define KPIs for platform performance, integration velocity, and commercial impact
**What Sets You Apart**
* Deep experience in iGaming platform product leadership, ideally in a B2B or multi\-brand environment
* Extensive network across the PAM ecosystem — you know the regulators, vendors, pricing models, and competitor architectures
* Proven track record with wallet systems, KYC/AML, RG tooling, and bonus orchestration
* Commercially astute — you understand how platform decisions affect operator margins, compliance exposure, and scalability
* Comfortable leading cross\-functional teams and managing complex vendor landscapes
* Available for contract, consulting, or permanent engagement
 Why This Role?
* Shape the future of a multi\-market, multi\-brand iGaming platform
* Work with a high\-calibre team of product, tech, and regulatory experts
* Flexible engagement model — contract or permanent, remote\-first, timezone\-aligned
* Competitive day rate or salary, depending on experience and engagement type</t>
        </is>
      </c>
    </row>
    <row r="26">
      <c r="A26" t="inlineStr">
        <is>
          <t>li-4340833239</t>
        </is>
      </c>
      <c r="B26" t="inlineStr">
        <is>
          <t>Senior Product Manager - Real Time Personalization</t>
        </is>
      </c>
      <c r="C26" t="inlineStr">
        <is>
          <t>Amperity</t>
        </is>
      </c>
      <c r="D26" t="inlineStr">
        <is>
          <t>linkedin</t>
        </is>
      </c>
      <c r="E26" t="inlineStr"/>
      <c r="F26" t="inlineStr"/>
      <c r="G26" t="inlineStr">
        <is>
          <t>Seattle, WA</t>
        </is>
      </c>
      <c r="H26" t="inlineStr"/>
      <c r="I26" t="inlineStr">
        <is>
          <t>At Amperity, we’re an AI\-first company helping the world’s leading brands create personalized customer experiences that build loyalty and fuel growth. Our AI\-powered Customer Data Cloud, built on multi\-patented technology, enables more than 400 global brands, including Alaska Airlines, Wyndham Hotels \&amp; Resorts, and DICK’S Sporting Goods, to turn customer data into a competitive advantage.
 We unlock the full value of customer data with simplicity and speed. AI is at the core of our platform and the way we work — from powering advanced identity resolution and predictive analytics to streamlining internal workflows and decision\-making. It’s not just a capability; it’s part of our DNA.
 Our team thrives on curiosity, collaboration, and transparency, fostering a culture where everyone can contribute, learn, and grow. We welcome talented individuals from diverse backgrounds to help us remove data bottlenecks, accelerate business impact, and push the boundaries of what AI can do for the world’s most innovative companies.
 With offices in Seattle, New York City, London, and Melbourne, you’ll join a fast\-growing team tackling critical challenges at the intersection of AI, data, and customer experience. Ready to make an impact? Let’s talk.
**The Role**
 You'll lead the end\-to\-end direction for real\-time workflows across event ingestion, event processing, real\-time API lookups, and data validation. You'll partner with engineering, design, and field teams to push our technical strategy forward, ensuring the platform remains scalable, durable, and enterprise\-grade.
 An important part of this role is working directly with brands to understand how they capture and route customer signals across modern data ecosystems. You'll design product experiences that meet the realities of fragmented, multi\-channel data while allowing the next generation of event\-driven personalization and orchestration.
 We're looking for someone who brings enterprise SaaS product experience, familiarity of real\-time data and API\-driven systems, customer and product instincts, and the ability to collaborate across technical, business, and executive audiences. You'll thrive in environments with technical complexity and evolving requirements
 You will report to the Senior Manager, Product Management; Data Implementation and Customer 360\.
**Interesting Problems**
* Define the product vision for Amperity's real\-time capabilities, from event ingestion to activation.
* Enable go\-to\-market and customer\-facing teams with the clarity, training, and tools required to address customer questions effectively and guide enterprise customers through successful onboarding
* Work with product design to develop end\-to\-end user experiences for technical audiences.
* Work closely with engineering on high\-throughput low latency event pipelines, data aggregations, and functionality suited for enterprise\-scale workloads.
* Ensure deep interoperability across the event\-collection ecosystem.
* Conduct customer discovery and research, synthesizing insights into clear requirements, experience narratives, and product direction.
* Identify opportunities for market expansion by uncovering new real\-time and event\-driven use cases, integration patterns, and platform capabilities.
* Balance operational and marketer\-facing experiences, ensuring the platform supports both robust enterprise data operations and dynamic personalization workflows
* Build for real customer use cases, including those centered around:
* 
+ Real\-time website and mobile personalization
+ Large scale data processing
+ Data quality monitoring
+ Cross\-timeframe decisioning that blends historical and streaming data
+ Cart abandonment, re\-targeting, and re\-engagement
**About You**
* 8\+ years of product management experience, including 3–5 years building data products or tools
* Familiarity with one or more event streaming technologies and/or distributed systems concepts. You can quickly ramp up to understand the tradeoffs and customer impact of these technologies.
* Experience working with event instrumentation teams or analytics engineers.
* Meaningful experience overseeing or contributing to public or partner\-facing APIs
* Experience working with Product Design to define conceptual models, workflows, and intuitive user experiences for technically complex systems.
* Translate customer needs and market signals into product strategy decisions.
* Comfort engaging with engineering, solution architects, customer success, field leaders, and executives at enterprise brands.
* Experience communicating complex technical concepts to a variety of audiences; able to distill complexity, shape product narratives, support release readiness, and contribute to GTM agreement.
**Location**
**Seattle, WA**
 Our hybrid work model includes three days in the office each week, providing a mix of in\-person collaboration and remote flexibility
**Compensation**
**Base Salary: $170,000\-$230,000\.** 
 Individual compensation within this range will depend on several factors, including your skills, experience, education/training, and the level at which you join. We also consider internal equity, market conditions, and overall business needs.
**Cash Incentives:** 
 Cash incentives are also available.
**Stock Options:** 
 The opportunity for ownership is an exciting part of Amperity’s total compensation package. Every employee at Amperity receives a new\-hire equity grant, commensurate with the scope of their position.
**Benefits**
 We offer all the benefits you'd expect from a great place to work: 100% employee healthcare coverage, transportation subsidies, a comfortable work environment with plenty of snacks, and other employee experience perks like events and activities, both in\-person and remote. We also offer self\-managed PTO and the flexibility to do your best work in the way that works for you. We provide an inclusive environment where you'll be challenged to find and unlock your full potential, surrounded by a team of world\-class people driving for excellence. For more details on our benefits, please see our US Benefits \&amp; Perks Guide.
 Amperity is proud to be an equal opportunity employer. We do not discriminate on the basis of race, religion, color, national origin, sex (including pregnancy, childbirth, and reproductive health choices), sexual orientation, gender identity, gender expression, age, status as a protected veteran, status as someone with a disability, political views or activity, or other applicable legally protected characteristics. We also consider qualified applicants with criminal histories, consistent with applicable federal, state, and local law.</t>
        </is>
      </c>
    </row>
    <row r="27">
      <c r="A27" t="inlineStr">
        <is>
          <t>li-4377766369</t>
        </is>
      </c>
      <c r="B27" t="inlineStr">
        <is>
          <t>Principal Product Manager, Consumer Innovation</t>
        </is>
      </c>
      <c r="C27" t="inlineStr">
        <is>
          <t>Ladders</t>
        </is>
      </c>
      <c r="D27" t="inlineStr">
        <is>
          <t>linkedin</t>
        </is>
      </c>
      <c r="E27" t="inlineStr"/>
      <c r="F27" t="inlineStr"/>
      <c r="G27" t="inlineStr"/>
      <c r="H27" t="inlineStr"/>
      <c r="I27" t="inlineStr">
        <is>
          <t>For our client, we are seeking a Principal Product Manager Consumer Innovation to join the team of a leader in the Consumer Technology space. You’ll play a key role delivering outcomes for customers and stakeholders in the Consumer Technology space. You’ll collaborate cross\-functionally and take ownership of priorities. This role offers visibility, growth, and impact.
 Location: Remote \- US based candidates only, no visa sponsorship available
 Compensation: $250,000 – $264,000 annually.
**Responsibilities**
* Own the product strategy and roadmap for Meals Health
* Deeply collaborate with design and research to understand customer needs
* Define and run a rigorous experimentation program to improve outcomes
* Work with various teams to deliver responsibly built features
* Communicate tradeoffs and prioritize for customer and business impact
**Qualifications**
* 8\+ years of product management experience in consumer products
* Proven track record of shipping zero\-to\-one products with measurable impact
* Hands\-on collaboration with design and user research teams
* Fluency in data analytics and experimentation methodologies
* Experience working in cross\-functional teams with multiple stakeholders
* Bachelor's degree in a related field or equivalent experience
**Benefits**
* Flexibility to choose work location (home, office, etc.)
* Access to regular in\-person events to build community
* Opportunity to make a substantial impact in a growing team
* Eligibility for new hire equity grants and annual refresh grants
* Highly competitive compensation and benefits packages
 Our client is an equal opportunity employer. We encourage you to apply even if you don’t meet every qualification—your background could be exactly what this team needs.</t>
        </is>
      </c>
    </row>
    <row r="28">
      <c r="A28" t="inlineStr">
        <is>
          <t>li-4378836578</t>
        </is>
      </c>
      <c r="B28" t="inlineStr">
        <is>
          <t>Technical Product Manager</t>
        </is>
      </c>
      <c r="C28" t="inlineStr">
        <is>
          <t>Lorven Technologies Inc.</t>
        </is>
      </c>
      <c r="D28" t="inlineStr">
        <is>
          <t>linkedin</t>
        </is>
      </c>
      <c r="E28" t="inlineStr"/>
      <c r="F28" t="inlineStr"/>
      <c r="G28" t="inlineStr">
        <is>
          <t>Dallas, TX</t>
        </is>
      </c>
      <c r="H28" t="inlineStr"/>
      <c r="I28" t="inlineStr">
        <is>
          <t>**Position Title: Technical Project Manager** 
**Location: Dallas, TX / Austin, TX** 
**Full time** 
**Job Description** 
**What you’ll do:** 
* Manage business and technical deliverables to the project budget and timeline throughout the various project phases
* Develop and document project plans, budgets and schedules
* Identify and document the roles, tasks, and responsibilities of the project team
* Document release/deployment plans, present to leadership
* Schedule and manage releases, create deployment tickets
* Schedule, coordinate and lead release and certification calls
* Identify gaps/risks early and establish mitigation plans
* Ensure the coordination of individual team deliverables are synchronized as necessary to achieve product releases
* Manage day\-to\-day scrum activities and influence team members to leverage, follow and support agile software development practices, Schedule and facilitate all Scrum ceremonies as needed
* Interface with product owner and key stakeholders in Project Management, Business, QA and Technology Operations to ensure high quality delivery of software projects on time and budget
* Work with leads and product owner to provide development sizings \&amp; cost analysis estimates
* Work closely with product owner and team members to decompose stories, design features, and prioritize tasks
* Utilize scrum tools and frameworks to achieve efficiency both internally and externally
* Support integration efforts to build whole systems from various subsystems
* Assist development and operations teams in resolving needs and roadblocks identified by team members
**What you have:** 
* Three or more years of project management experience, managing multiple large, complex and cross functional projects, with emphasis on systems, technologies, business process redesign, and knowledge of technical environments
* Scrum Master and Release Manager experience
* Two or more years of technology experience, previous development or QA experience
* Previous technical experience with the Microsoft technology stack (C\#, SQL Server) or with Java
* Ability to understand technical issues and facilitate resolution
* Thorough understanding of the software development lifecycle
* Expert knowledge of MS Project, Excel, and MS Word along with general familiarity with Outlook, Visio and other MS Office applications
* Exceptional communication, organization, and time management skills
* Strong interpersonal, negotiation, facilitation, analytical, problem\-solving, influencing, prioritization, decision\- making and conflict resolution skills with a solid ability to ability to identify stakeholders, assess their needs and manage their expectations through effective communication
* Excellent team player with the ability to influence and negotiate
* Experience working with an Agile methodology on large scale, technically complex projects for a large enterprise
* Results Driven (Prioritizing, Taking Initiative, Taking Ownership)
* Team Leadership (Coaching Others, Dealing with Stress, Demonstrating Teamwork, Influencing Others, Interacting with Others, Maintaining Composure, Motivating Others, Providing Direction and Leadership)
* Certified Scrum Master and PMP Certification (plus)
* Financial Industry experience (plus)</t>
        </is>
      </c>
    </row>
    <row r="29">
      <c r="A29" t="inlineStr">
        <is>
          <t>li-4377775397</t>
        </is>
      </c>
      <c r="B29" t="inlineStr">
        <is>
          <t>Founding Product Manager [32933]</t>
        </is>
      </c>
      <c r="C29" t="inlineStr">
        <is>
          <t>Stealth Startup</t>
        </is>
      </c>
      <c r="D29" t="inlineStr">
        <is>
          <t>linkedin</t>
        </is>
      </c>
      <c r="E29" t="inlineStr"/>
      <c r="F29" t="inlineStr"/>
      <c r="G29" t="inlineStr"/>
      <c r="H29" t="inlineStr"/>
      <c r="I29" t="inlineStr">
        <is>
          <t>We're looking for our Founding Product Manager (PM), our first non\-technical hire, who will translate ambiguous customer pain points into crisp product bets, drive 0→1 execution, and help define the product category for AI\-native time\-series.
**The Role** 
 Own 0→1: Translate raw, technical, and often ambiguous customer needs into sharp product hypotheses, ship fast, and validate impact.
 Be the Connector: Work hand\-in\-hand with world\-class engineers, researchers, and lighthouse customers to validate and scale winning patterns.
 Grow into Leadership: Stand up lightweight product processes now, then build and lead the PM function as we scale into the next stage.
 First 6–12 months (IC focus):
* Own product planning, roadmap, and execution in close collaboration with engineering, sales, legal and market
* Partner with early customers to validate hypotheses, prioritize features, and iterate quickly
* Drive new customer discovery through cold outreach, user research, etc.
* Introduce lightweight product processes (sprints, specs, internal tooling) to support execution
* Contribute to go\-to\-market strategy planning
* Metrics \&amp; KPIs: define clear, measurable KPIs for product success (user acquisition, engagement, retention, and overall product impact)
* Transition to product leadership as we grow
**What we're looking for:** 
* 4–7 years of product experience, ideally in early\-stage startups or deep tech / B2B / ML / dev tools
* Startup mindset: thrives in ambiguity and moves with urgency. Bias for action — builds fast, ships MVPs, and learns from real\-world usage. Works side\-by\-side with engineering and design to iterate quickly, adjust course based on customer feedback and early market signals, and continuously refine product\-market fit
* Strong technical fluency — comfortable working with technical engineers and researchers (no coding required)
* Experience building early\-stage products from zero, with a bias for fast, thoughtful execution
* Excellent communication skills and ability to shape clear product narratives
* Hands\-on with customer discovery and prioritization
* Ambitious and driven — wants to build, not just manage
**Location \&amp; Sponsorship** 
* Location:
 **San Francisco Bay Area, CA** 
 (in\-person)
* Visa Sponsorship:
 **H1\-B, O1**</t>
        </is>
      </c>
    </row>
    <row r="30">
      <c r="A30" t="inlineStr">
        <is>
          <t>li-4378827588</t>
        </is>
      </c>
      <c r="B30" t="inlineStr">
        <is>
          <t>Technical Product Owner, Personalization</t>
        </is>
      </c>
      <c r="C30" t="inlineStr">
        <is>
          <t>Insight Global</t>
        </is>
      </c>
      <c r="D30" t="inlineStr">
        <is>
          <t>linkedin</t>
        </is>
      </c>
      <c r="E30" t="inlineStr"/>
      <c r="F30" t="inlineStr"/>
      <c r="G30" t="inlineStr">
        <is>
          <t>Charlotte, NC</t>
        </is>
      </c>
      <c r="H30" t="inlineStr"/>
      <c r="I30" t="inlineStr">
        <is>
          <t>**Requirements:** 
* 4\+ years experience as Product Owner building consumer\-facing products, leading product backlog, managing roadmaps of epics, setting milestones for development and delivery
* Strong understanding of backend services, APIs, architecture, and performance considerations
* Deep understanding of CDP and integration architecture
* Experience leveraging qualitative and quantitative insights to plan and prioritize feature ideas
* Ability to communicate complex technical information in a concise manner to a wide range of audiences
* Experience with Agile frameworks and delivery practices (e.g., Scrum, SAFe)
* Experience with Agile planning and collaboration tools (e.g. Jira, Confluence, Miro)
**Preferred:** 
* Experience with Adobe Real\-Time Customer Data Platform
* Bachelor’s degree in computer science, computer engineering, marketing, or a closely related field
**Overview:** 
 The Technical Product Owner focuses on customer per builds products from concept to launch by connecting business and technical needs. You will drive Personalization roadmap initiatives across the North American business, translating complex problems into scalable customer experience features.
 This role sits at the intersection of Product Management, Engineering, Architecture, and business stakeholders, ensuring solutions are delivered at the right time and align with our long\-term digital and data strategy.
**Main Responsibilities:** 
* Write user stories and acceptance criteria for personalization features.
* Prioritize the backlog with product and engineering.
* Meet with architects on data flows and integration challenges.
* Validate API behaviors and backend decisions support personalization.
* Track sprint progress, unblock developers, manage risks.
* Ensure delivered features meet technical readiness, performance, and quality standards.
* Perform gap analysis for data, security, analytics, and system behavior.
**Detailed Responsibilities:** 
* Serve as the voice of the end user while translating business and technical needs into clear requirements, user stories, epics, and acceptance criteria for release of new customer experiences.
* Deliver Personalization product roadmap – planning, prioritizing, and driving execution of deliverables aligned with Product Management and overall program milestones.
* Work with the Product Managers, Business Owners, Business Stakeholders to understand the needs, understand the domain, scope and provide clear requirements for the Team.
* Take ownership of Development Team outcomes – setting priorities, managing risks and dependencies, monitoring progress, and ensuring timely delivery of high\-quality solutions.
* Maintain and continuously refine the product backlog, ensuring items are well\-defined, estimated, prioritized, and aligned with both short\-term deliverables and long\-term architectural goals.
* Facilitate cross\-team collaboration and dependency management across systems, teams, and vendors to ensure seamless integration and delivery.
* Ensure technical integrity and production readiness of delivered solutions, aligning with development, architecture standards and release management practices.
* Act as the technical advisor to relevant stakeholders driving key technical decisions
* Work with product teams to capture feature requests, define and manage use cases, and assist when called upon to write them into technical user stories and/or epics.
* Participate in end\-to\-end activities related to implementation planning including project management, issue management, production support, communication management, and change management.
* Perform gap analysis, data and analytic research, production support escalation, and security requirement sign\-off, as required.
* Coordinate with Product Managers and Architects across Customer Experience, Digital Products, and Retail Systems teams to align backlogs, and document key design decisions.
* Build strong cooperation with other development teams and stakeholders across Customer Experience, Digital Products, and Retail Systems.
**Compensation:** 
 $110\-145k per year annual salary.
 Exact compensation may vary based on several factors, including skills, experience, and education.
**Benefits:** 
* Competitive salary plus annual bonus
* Competitive benefits packages (medical, dental, 401k, employee stock plan, etc.)
* People Perks which allow for great discounts on food and fuel
* Work for a leading, innovative, and growing company in convenience store operations
* Fortune 500 company and a two\-time Gallup Exceptional Workplace Award winner
* Tuition reimbursement of $5,000 per year
* Learning opportunities to develop new skills and to evolve professionally in a fast\-growing company</t>
        </is>
      </c>
    </row>
    <row r="31">
      <c r="A31" t="inlineStr">
        <is>
          <t>li-4378836035</t>
        </is>
      </c>
      <c r="B31" t="inlineStr">
        <is>
          <t>Product Manager</t>
        </is>
      </c>
      <c r="C31" t="inlineStr">
        <is>
          <t>Haystack</t>
        </is>
      </c>
      <c r="D31" t="inlineStr">
        <is>
          <t>linkedin</t>
        </is>
      </c>
      <c r="E31" t="inlineStr"/>
      <c r="F31" t="inlineStr"/>
      <c r="G31" t="inlineStr"/>
      <c r="H31" t="inlineStr"/>
      <c r="I31" t="inlineStr">
        <is>
          <t>**Sr Product Manager \- B2C Strategy \| Bellevue, Washington \| $124,500 \- $206,000** 
 We're working with a celestial\-scale aerospace innovator building a global satellite constellation to bridge the digital divide on this exciting opportunity.
 As a Senior Product Manager, you will lead the charge in defining the B2C strategy for a massive Low Earth Orbit (LEO) satellite broadband network. You will be responsible for translating complex technical capabilities into world\-class consumer services, focusing on subscription lifecycle models and global connectivity solutions.
**The Role** 
 • Spearhead the B2C product strategy for a global constellation of over 3,000 satellites, ensuring fast and affordable broadband access for underserved communities.
 • Author expertly crafted "working backwards" documents and Business Requirement Documents (BRD) that translate high\-level vision into engineering deliverables.
 • Define and implement complex subscription lifecycle models and customer growth strategies tailored for global consumer segments.
 • Dive deep into data and KPIs to optimize service offerings, collaborating with cross\-functional technical teams to refine product\-market fit.
 • Lead executive\-level reviews and present strategic roadmaps for high\-scale fixed and wireless telecommunications services.
**What You'll Need** 
 • 5\+ years of experience in Product Management, Program Management, or Business Development within a high\-growth technology environment.
 • Proven track record in the telecommunications sector, specifically with high\-scale fixed, wireless, or satellite communication services.
 • Deep expertise in subscription\-based business models, customer lifecycle management, and product analytics.
 • Exceptional writing and communication skills, with the ability to distill complex technical requirements into compelling business narratives.
 • U.S. Citizenship, Permanent Residency (Green Card), or status as a refugee/asylee is required due to export control regulations.
**What's On Offer** 
 • Competitive salary range of $124,500 \- $206,000 with additional total compensation components.
 • Remote\-friendly work culture based in the tech hub of Bellevue, WA.
 • The opportunity to work on a literal "moonshot" project that will fundamentally change how the world connects.
 • High\-impact role within a mission\-driven team solving the world's most difficult connectivity challenges.
**Apply via Haystack today!**</t>
        </is>
      </c>
    </row>
    <row r="32">
      <c r="A32" t="inlineStr">
        <is>
          <t>li-4379912594</t>
        </is>
      </c>
      <c r="B32" t="inlineStr">
        <is>
          <t>Remote Senior Product Manager</t>
        </is>
      </c>
      <c r="C32" t="inlineStr">
        <is>
          <t>Jobgether</t>
        </is>
      </c>
      <c r="D32" t="inlineStr">
        <is>
          <t>linkedin</t>
        </is>
      </c>
      <c r="E32" t="inlineStr"/>
      <c r="F32" t="inlineStr"/>
      <c r="G32" t="inlineStr">
        <is>
          <t>Idaho, United States</t>
        </is>
      </c>
      <c r="H32" t="inlineStr"/>
      <c r="I32"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li-4378834059</t>
        </is>
      </c>
      <c r="B33" t="inlineStr">
        <is>
          <t>Product Manager</t>
        </is>
      </c>
      <c r="C33" t="inlineStr">
        <is>
          <t>Haystack</t>
        </is>
      </c>
      <c r="D33" t="inlineStr">
        <is>
          <t>linkedin</t>
        </is>
      </c>
      <c r="E33" t="inlineStr"/>
      <c r="F33" t="inlineStr"/>
      <c r="G33" t="inlineStr"/>
      <c r="H33" t="inlineStr"/>
      <c r="I33" t="inlineStr">
        <is>
          <t>**Sr. Product Manager\-Tech, Amazon Leo \| Redmond, Washington \| Remote\-Friendly \| $151,200 \- $204,600** 
 We're working with a global leader in satellite connectivity and space\-tech innovation on this exciting opportunity.
 As a Senior Product Manager, you will spearhead the development of next\-generation antenna hardware and broadband technologies to bridge the digital divide for millions. You will navigate the complex intersection of hardware engineering, satellite communications, and customer\-centric design to launch high\-impact Enterprise antenna products globally.
**The Role** 
 • Lead end\-to\-end product ownership for the Enterprise antenna product line, driving the strategy from initial concept to global market launch.
 • Synthesize hardware and wireless technology requirements into detailed PRDs (Product Requirement Documents) for engineering and design teams.
 • Drive cross\-functional collaboration with Hardware Engineering, Operations, Finance, and Business Development to manage the product ROI and lifecycle.
 • Define and track key performance indicators (KPIs) and manage complex trade\-off discussions regarding technical specs and manufacturing costs.
 • Act as the technical voice of the customer, conducting research to identify market gaps in the broadband ISP and satellite communication sectors.
**What You'll Need** 
 • Proven experience in Technical Product Management, specifically launching consumer electronics, broadband hardware, or ISP\-related services.
 • Deep understanding of wired and wireless communication technologies (RF, Satellite, WiFi, or LTE/5G networking).
 • Strong ability to lead via influence in a matrixed organization, working side\-by\-side with Hardware and Software engineering teams.
 • Exceptional analytical skills with the ability to build business cases, SKU strategies, and roadmap prioritization frameworks.
 • Bachelor’s degree in a technical or business field; candidates must meet U.S. Export Control requirements (US Citizen/Permanent Resident).
**What's On Offer** 
 • Competitive base salary range of $151,200 \- $204,600 plus comprehensive equity and benefits packages.
 • A chance to work on world\-changing hardware that provides global broadband access to underserved communities.
 • A remote\-friendly, flexible workspace policy based in the tech\-forward hub of the Pacific Northwest.
 • Unparalleled career growth opportunities within a pioneering leader in the aerospace and telecommunications sector.
**Apply via Haystack today!**</t>
        </is>
      </c>
    </row>
    <row r="34">
      <c r="A34" t="inlineStr">
        <is>
          <t>li-4376444521</t>
        </is>
      </c>
      <c r="B34" t="inlineStr">
        <is>
          <t>Product Manager, Growth &amp; Acquisitions</t>
        </is>
      </c>
      <c r="C34" t="inlineStr">
        <is>
          <t>Great American Media</t>
        </is>
      </c>
      <c r="D34" t="inlineStr">
        <is>
          <t>linkedin</t>
        </is>
      </c>
      <c r="E34" t="inlineStr"/>
      <c r="F34" t="inlineStr"/>
      <c r="G34" t="inlineStr">
        <is>
          <t>Arlington, TX</t>
        </is>
      </c>
      <c r="H34" t="inlineStr"/>
      <c r="I34" t="inlineStr">
        <is>
          <t>Great American Media is home to the
 **family\-friendly** 
 and
 **faith driven** 
 portfolio of brands Great American Family, Great American Faith \&amp; Living, and Great American Pure Flix. We are committed to providing an uncompromised, uplifting environment that celebrates Faith, Family, and Country for the entire family. We are dedicated to our audience, and we believe that strong brands and high\-quality programming create an unparalleled fan experience across the Great American Media portfolio.
 We are seeking a growth\-centric, excellence\-focused
 **Product Manager, Growth \&amp; Acquisitions** 
 to join our team.
 **Ideal candidates will be able to work onsite at our Texas Headquarters (Arlington, TX 76006\) or New York Office (New York, NY 10019\).** 
**Job Purpose** 
 The Product Manager, Growth \&amp; Acquisitions, will lead the company’s growth\-focused product strategy. This role will own the acquisition funnels and conversion strategy that drive customer growth across digital platforms from landing pages and purchase flows to app store presence and in\-app purchase experiences.
 This role will partner closely with Marketing, UX, and Engineering to design, test, and optimize acquisition journeys that convert visitors into long\-term subscribers. This high\-impact position will require a passion for data\-driven decision\-making, cross\-functional collaboration, and delivering measurable growth outcomes.
 To be successful in this role, the Product Manager will need to balance data\-driven decision making with cross\-functional collaboration, driving measurable improvements in acquisition funnels while ensuring a seamless user journey from first touch to subscription and onboarding.
**Duties and Responsibilities** 
* Own the acquisition journey across web and mobile, including landing pages, purchase funnels, and app store fronts.
* Define and prioritize product roadmaps that align with marketing campaigns and company growth goals.
* Partner with Engineering and QA to plan, sequence, and support development timelines that improve acquisition performance.
* Guide and support implementation efforts by providing clear product requirements and strategic direction, ensuring development work aligns with growth goals.
* Manage and optimize in\-app purchase experiences to ensure seamless user experience and compliance with platform guidelines.
* Drive App Store Optimization to increase visibility, purchases, and downloads.
* Analyze performance data to identify opportunities, reduce friction, and improve conversion rates.
* Work cross\-functionally with stakeholders to ensure acquisition touchpoints reflect brand and customer needs.
* Other projects and responsibilities as assigned.
**Qualifications** 
* Bachelor’s degree in Computer Science, Business, Marketing, or a related field, or equivalent practical experience.
* 3–5\+ years of experience as a Product Manager (preferably with growth, acquisition, or subscription\-based products).
* 2\-3\+ Experience in purchase funnel optimization, digital commerce, and conversion strategy.
* Familiarity with modern web and app platforms; deep technical coding expertise is not required but the ability to collaborate effectively with engineering teams is essential.
* Strong analytical skills with the ability to evaluate industry trends, competitor behavior, and user data to support product and growth strategies.
* Proven ability to collaborate effectively across cross\-functional teams, including product development, engineering, and marketing.
* Willingness to work flexible hours, including weekends and holidays, as needed to support key releases or platform updates.
**Direct Reports** 
 None.
**Compensation, Benefits and Application Process** 
 Competitive base salary commensurate with experience. We offer a comprehensive benefits package including:
* 401(k) retirement plan with employer match
* Employer paid medical, dental and vision insurance
* Employer paid STD and LTD
* Employer paid life insurance and AD\&amp;D plus voluntary supplemental options
* Pet Insurance
* Comprehensive paid time off – vacation, sick leave and holidays</t>
        </is>
      </c>
    </row>
    <row r="35">
      <c r="A35" t="inlineStr">
        <is>
          <t>li-4377772311</t>
        </is>
      </c>
      <c r="B35" t="inlineStr">
        <is>
          <t>Technical Product Manager, Data Center</t>
        </is>
      </c>
      <c r="C35" t="inlineStr">
        <is>
          <t>Confidential</t>
        </is>
      </c>
      <c r="D35" t="inlineStr">
        <is>
          <t>linkedin</t>
        </is>
      </c>
      <c r="E35" t="inlineStr"/>
      <c r="F35" t="inlineStr"/>
      <c r="G35" t="inlineStr"/>
      <c r="H35" t="inlineStr"/>
      <c r="I35" t="inlineStr">
        <is>
          <t>**About the Role** 
 We are seeking a Technical Product Manager to scope and iterate on hardware, firmware, and software requirements for a cutting\-edge Data Center product line. You will work closely with the founders and engineering leadership to accelerate product velocity, reduce decision fatigue, and prevent costly execution traps. Success will be measured by delivering high\-quality products that are smoothly deployed to real customers. Visa sponsorship is available for this role.
**Key Responsibilities** 
* Own the end\-to\-end development process, considering hardware trade\-offs, firmware implications, and API design.
* Partner with engineering team leads and senior engineers to bring proactive clarity to product development.
* Foster a culture of perseverance and thoroughness by engaging with customers, running tests, and asking insightful questions.
* Ensure the successful launch of the Data Center product line, focusing on quality and execution.
**What It Takes to Land an Interview** 
* Proven ability to identify potential issues before they arise and deliver clear solutions to engineering teams.
* Strong curiosity and understanding of data center networking across hardware, firmware, and software.
* Experience building networking products for high\-performance environments like data centers.
* Recognized for being dependable, kind, and autonomous.
**Success Metrics:** 
* Product Velocity: Accelerate the release of TOR and spine switching products by two months by avoiding engineering mistakes and reducing weekly decision fatigue.
* Product Quality: Ensure that TOR and spine switching products are deployed to five customers without Sev 1 or Sev 2 issues three months post\-deployment.
**About the Company** 
 We are pioneering innovative solutions at the intersection of frontier AI and internet infrastructure. The organization is vertically integrated across the entire enterprise networking stack, providing unparalleled visibility and control through a single API. Our systems currently serve Fortune 500 companies and other major clients.</t>
        </is>
      </c>
    </row>
    <row r="36">
      <c r="A36" t="inlineStr">
        <is>
          <t>li-4370241247</t>
        </is>
      </c>
      <c r="B36" t="inlineStr">
        <is>
          <t>Product Owner Supervisor</t>
        </is>
      </c>
      <c r="C36" t="inlineStr">
        <is>
          <t>ProAg</t>
        </is>
      </c>
      <c r="D36" t="inlineStr">
        <is>
          <t>linkedin</t>
        </is>
      </c>
      <c r="E36" t="inlineStr"/>
      <c r="F36" t="inlineStr"/>
      <c r="G36" t="inlineStr"/>
      <c r="H36" t="inlineStr"/>
      <c r="I36" t="inlineStr">
        <is>
          <t>**Join ProAg as a Product Owner Supervisor**
 The
 **Product Owner Supervisor** 
 provides leadership, direction, and mentorship to a team of Product Owners while continuing to drive successful delivery of high‑quality digital and business products. This role balances
 **people leadership** 
 ,
 **strategic alignment** 
 , and
 **hands‑on product oversight** 
 to ensure consistent execution of product practices, alignment to business objectives, and delivery of customer value.
 This position partners closely with Product Management, Engineering, Business Stakeholders, and Leadership to scale product ownership standards, develop Product Owner talent, and optimize delivery across teams.
**As The Product Owner Supervisor, You’ll**
 People Leadership \&amp; Supervision
* Directly supervise, coach, and mentor Product Owners, fostering professional growth, accountability, and engagement.
* Promote consistent application of Agile and product ownership best practices across teams.
* Conduct regular one‑on‑ones, performance reviews, goal‑setting, and development planning for Product Owner team members. Support staffing decisions, including hiring, onboarding, training, and succession planning for Product Owners.
 Product \&amp; Delivery Leadership
* Oversee Product Owner execution across several product areas, ensuring alignment to product vision, roadmap, and organizational priorities.
* Partner with the Director of Product Management to translate strategic objectives into actionable product initiatives.
* Provide guidance on backlog prioritization, roadmap development, release planning, and dependency management.
* Serve as an escalation point for product\-related risks, constraints, and cross\-team conflicts.
 Cross\-Functional Collaboration
* Collaborate with Engineering, UX, Data, Operations, and Business Stakeholders to ensure efficient execution and delivery.
* Ensure Product Owners effectively represent the voice of the customer and business in Agile teams.
* Promote transparent communication of priorities, progress, risks, and outcomes to stakeholders.
 Process \&amp; Continuous Improvement
* Establish and reinforce consistent product ownership processes, standards, and metrics.
* Identify opportunities to improve product delivery, team velocity, and customer outcomes.
* Support the adoption of data\-driven decision\-making and continuous feedback loops.
**What We’re Looking For**
* Minimum of 5 years of experience in product management, ideally within crop insurance or related fields, and 3 years of leadership experience.
* Bachelor’s degree in Product Management, Agriculture, Business, a related field, or the equivalent education and/or experience.
* Strategic thinker with a product mindset and strong analytical skills.
* Strong expertise in MPCI programs, RMA guidelines, and private crop insurance offerings preferred
* Proven success as a decision\-maker in a collaborative, highly matrixed environment with direct and indirect reporting structures throughout the organization.
* Experience in both B2B and B2B2C digital product delivery
* Agile and curious, with a passion for uncovering insights and driving innovation.
* Excellent communicator and collaborator across diverse teams.
**The Company**
 ProAg, a member of the Tokio Marine HCC group of companies, is positioned as a financially strong and well\-capitalized insurer with an AM Best rating of A\+\+. With more than 90 years of service to our agents \&amp; insureds, we stand committed to continuing the principles that ProAg was founded on: Integrity, Loyalty and Customer Service.
**What We Represent**
* Part of something bigger: We offer a career with purpose as you support the farmers and ranchers who create food, fuel, and fiber for the world.
* Personal connections: We are built on strong relationships and appreciation of your individuality.
* A team who cares: We look out for each other personally and professionally because we care about each other.
* Innovators by trade: We’re committed to a brighter tomorrow for our team members and agriculture.
* The best of both worlds: We combine personal connections with powerful resources, thanks to our culture and the backing of Tokio Marine HCC.
 The Tokio Marine HCC Group of Companies offers a competitive salary and employee benefit package. We are a successful, dynamic organization experiencing rapid growth and are seeking energetic and confident individuals to join our team of professionals. The Tokio Marine HCC Group of Companies is an equal\-opportunity employer. Please visit www.tokiomarinehcc.com for more information about our companies.</t>
        </is>
      </c>
    </row>
    <row r="37">
      <c r="A37" t="inlineStr">
        <is>
          <t>li-4379908894</t>
        </is>
      </c>
      <c r="B37" t="inlineStr">
        <is>
          <t>Lead Product Manager - REMOTE</t>
        </is>
      </c>
      <c r="C37" t="inlineStr">
        <is>
          <t>Jobgether</t>
        </is>
      </c>
      <c r="D37" t="inlineStr">
        <is>
          <t>linkedin</t>
        </is>
      </c>
      <c r="E37" t="inlineStr"/>
      <c r="F37" t="inlineStr"/>
      <c r="G37" t="inlineStr">
        <is>
          <t>Florida, United States</t>
        </is>
      </c>
      <c r="H37" t="inlineStr"/>
      <c r="I37"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li-4342433535</t>
        </is>
      </c>
      <c r="B38" t="inlineStr">
        <is>
          <t>Principal Product Manager</t>
        </is>
      </c>
      <c r="C38" t="inlineStr">
        <is>
          <t>Zscaler</t>
        </is>
      </c>
      <c r="D38" t="inlineStr">
        <is>
          <t>linkedin</t>
        </is>
      </c>
      <c r="E38" t="inlineStr"/>
      <c r="F38" t="inlineStr"/>
      <c r="G38" t="inlineStr">
        <is>
          <t>San Jose, CA</t>
        </is>
      </c>
      <c r="H38" t="inlineStr"/>
      <c r="I38" t="inlineStr">
        <is>
          <t>**About Zscaler**
 Zscaler is a pioneer and global leader in zero trust security. The world’s largest businesses, critical infrastructure organizations, and government agencies rely on Zscaler to secure users, branches, applications, data \&amp; devices, and to accelerate digital transformation initiatives. Distributed across more than 160 data centers globally, the Zscaler Zero Trust Exchange platform combined with advanced AI combats billions of cyber threats and policy violations every day and unlocks productivity gains for modern enterprises by reducing costs and complexity.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champion an “AI Forward, People First” philosophy to help us accelerate and innovate, empowering our people to embrace their potential. If you’re driven by purpose, thrive on solving complex challenges and want to make a positive difference on a global scale, we invite you to bring your talents to Zscaler to help shape the future of cybersecurity.
**Role**
 We are looking for a Principal Product Manager to join our Product Management team. This is a hybrid role based in our San Jose, CA office, reporting to the Director, Product Management. We built the Zscaler architecture from the ground up as a platform that could extend to new features and services. Our Product Management team takes hold of this massive opportunity to deliver our customers a growing portfolio of never\-before\-seen capabilities in threat prevention, visibility, scalability, and business enablement. Join us to make your mark on the planning and product roadmap at the forefront of the world’s cloud security leader.
**What You’ll Do (Role Expectations)**
* Define and execute the product roadmap for the Zero Trust Cloud product line, addressing critical customer priorities for public cloud security
* Deliver an intuitive administrator experience that simplifies complex security operations with actionable, data\-driven insights
* Lead high\-impact, cross\-functional collaborations across engineering, sales, and marketing to successfully drive products from concept to market delivery
* Engage with global customers to gather feedback, identify market opportunities, analyze competition, and anticipate emerging trends in public cloud security
* Build strategic public cloud partnerships to align innovation with go\-to\-market strategies, driving accelerated adoption and market leadership
**Who You Are (Success Profile)**
* You thrive in ambiguity. You're comfortable building the path as you walk it. You thrive in a dynamic environment, seeing ambiguity not as a hindrance, but as the raw material to build something meaningful.
*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 You are a problem\-solver. You love running towards the challenges because you are laser\-focused on finding the solution, knowing that solving the hard problems delivers the biggest impact.
* You are a high\-trust collaborator. You are ambitious for the team, not just yourself. You embrace our challenge culture by giving and receiving ongoing feedback—knowing that candor delivered with clarity and respect is the truest form of teamwork and the fastest way to earn trust.
* You are a learner. You have a true growth mindset and are obsessed with your own development, actively seeking feedback to become a better partner and a stronger teammate. You love what you do and you do it with purpose.
**What We’re Looking For (Minimum Qualifications)**
* 7\+ years of product management experience, with a strong focus on public cloud security
* In\-depth, hands\-on expertise with major cloud platforms including AWS, Azure, GCP, and OCI
* Strong foundation in Zero Trust Networking, Multi\-Cloud Governance, Identity \&amp; Access Management (IAM), Threat Protection, and Data Loss Prevention (DLP)
* Proven track record of defining, launching, and scaling successful security products for public cloud environments
* Exceptional collaboration and stakeholder management skills with experience translating complex customer needs into well\-defined product requirements
**What Will Make You Stand Out (Preferred Qualifications)**
* Technical background in engineering or software development
* Success in leveraging data analysis and UX techniques to optimize user experience
* Hands\-on experience managing vendor\-managed (SaaS) and customer\-managed (Virtual Appliance) solutions to meet diverse market needs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$164,500 \- $235,000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39">
      <c r="A39" t="inlineStr">
        <is>
          <t>li-4379905228</t>
        </is>
      </c>
      <c r="B39" t="inlineStr">
        <is>
          <t>Associate Technical Product Manager (work from home)</t>
        </is>
      </c>
      <c r="C39" t="inlineStr">
        <is>
          <t>Lensa</t>
        </is>
      </c>
      <c r="D39" t="inlineStr">
        <is>
          <t>linkedin</t>
        </is>
      </c>
      <c r="E39" t="inlineStr"/>
      <c r="F39" t="inlineStr"/>
      <c r="G39" t="inlineStr">
        <is>
          <t>Bristol, TN</t>
        </is>
      </c>
      <c r="H39" t="inlineStr"/>
      <c r="I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American Red Cross. Clicking "Apply Now" or "Read more" on Lensa redirects you to the job board/employer site. Any information collected there is subject to their terms and privacy notice.
**Please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**WHY CHOOSE US?**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**What You Need To Know About The Job**
 We are seeking an Associate Technical Product Manager for the American Red Cross Innovation team. The Associate Technical Product Manager will work with Innovation leadership and stakeholders to determine, document, and help deliver on the product requirements for technology solutions that service the Red Cross mission. The ideal candidate will have the ability to understand business practices and technical considerations, determine product and user requirements, prototype/test and track work to completion, and ensure the solution provides the intended business value. The ideal candidate will have coding experience and strong communication and relationship management skills to partner with Red Cross stakeholders in our Humanitarian Services and Fundraising mission areas. This role is best suited for someone who enjoys moving from idea to prototype to decision point quickly in a test‑kitchen style environment.
**The position is remote, but we are asking for candidates who can support US East Coast business hours. For example, West Coast candidates would be asked to start their day around 10 am ET/7 am PT.**
**Travel:** 
**May travel and participate in meetings and conferences throughout the Red Cross system and to industry conferences as requested. Travel to Nashville, TN required at least quarterly.**
**WHERE YOUR CAREER IS A FORCE FOR GOOD (Key Responsibilities):**
* As part of the Innovation team, ideate and evaluate technology, industrial/physical automation, and AI opportunities in helping our Humanitarian Services and Fundraising mission area delivery.
* Document the business cases that can be used to initiate technology and AI projects.
* Drive rapid experimentation by quickly translating ideas into user stories, UX mockups, and functional prototypes to validate desirability, feasibility, and user desirability in our Humanitarian Services and Fundraising Test Kitchen.
* Build lightweight proofs of concept using low/no\-code approaches when appropriate to accelerate validation and reduce time\-to\-learning.
* Partner closely with engineers and stakeholders to keep prototypes moving from concept to working demo—removing blockers and ensuring clear next actions.
* Write product requirements and user stories using Azure DevOps. Help prioritize user stories based on value and technical feasibility
* Help maintain a roadmap of all active projects with high\-level timelines tracking project/portfolio performance metrics to monitor business value over time.
* Work with our employees, contractors, and volunteers to coordinate the daily task and status of work within the Innovation team.
* Learn and understand business processes and technical requirements for the development of solutions.
* Work closely with clients to analyze the current and future direction of technology and data science to meet business goals.
* Investigate complex operations\-related problems/inquiries and recommend, facilitate and coordinate solutions.
* Prepare communications and make presentations related to your work.
* Educate clients about the software and project lifecycles and the business roles.
* Facilitate problem resolution between IT and the business, as needed.
* Represent, champion and balance client interests within IT.
* Provide training and guidance to other staff.
* Recruit and oversee technical \&amp; analytics volunteers.
* Perform testing of the products onsite and remotely.
* Log bugs and work with the developers to resolve issues.
* Drive user testing with field resources to check if the product works as desired from user point of view.
* Frequent virtual check ins and in\-person Test Kitchen visits to build relationships with the field teams and understand user pain points.
*Scope: Individual contributor that works under limited supervision. Apply subject matter knowledge. Capacity to understand specific needs or requirements to apply skills/knowledge.*
*Qualified candidates must be authorized to work in the United States. The American Red Cross does not sponsor employment visas.*
**WHAT YOU NEED TO SUCCEED (required/minimum Qualifications)**
* Education: Bachelor's degree in Computer Science, Information Systems, Mechanical Engineering, Robotics, or related field preferred.
* Minimum 2 years of related experience in the Technical Product Management space or equivalent combination of education and related experience preferred.
* Recent coding experience required, ideally with HTML, CSS, and an object\-oriented programming language, e.g. Python/Java/C\#/C\+\+.
* Demonstrated ability to rapidly prototype solutions (e.g., wireframes/mock UI, clickable prototypes, or functional proofs of concept) and iterate based on stakeholder/user feedback.
* Comfortable working in ambiguity with a test\-and\-learn approach—able to define assumptions, run quick validations, and communicate results and tradeoffs.
* Strong verbal and written communication skills.
* Strong technical aptitude and interest in emerging and AI technologies.
* Evangelist and practitioner of agile and user‑centered design principles.
* Strong attention to detail.
**Preferred Qualifications**
* 
* Experience working with APIs and reading technical documentation. Working with LLMs a plus. Experience translating real world constraints into product requirements and tests.
* Experience with generative AI product concepts and workflows (e.g., prompt engineering, context management, agentic patterns, RAG, or similar applied GenAI approaches).
* Experience using Excel to analyze, organize, and interpret data to support reporting and decision‑making.
* Combination of candidate’s education and general experience satisfies requirements so long as the total years equate to description’s minimum education and general experience years combined (Management experience cannot be
**Pay Information**
 The starting annual salary range for this position is $95K \- $105K. We do not offer an annual bonus for this role.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**We will review specific salary information at the time of phone screening based upon your location \&amp; experience.**
**Benefits For You**
 We take care of you, while you take care of others. As a mission\-based organization, we believe our team needs great support to do great work. Our comprehensive benefits help you in balancing home and work, retirement, getting healthy and more. With our resources and perks, you have amazing possibilities at the American Red Cross to advance and learn.
* Medical, Dental, \&amp; Vision Plans
* Health Spending Accounts \&amp; Flexible Spending Accounts
* PTO: Starting at 9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(https://www.americorps.gov/partner/partnerships/employers\-national\-service) partner and share our employment opportunities with the network of organizations.
 Interested in Volunteering? Visit redcross.org/volunteertoday (https://www.redcross.org/volunteer/become\-a\-volunteer/urgent\-need\-for\-volunteers.html) to learn more, including our most\-needed volunteer positions.
 To view the EEOC Summary of Rights, click here: Summary of Rights (https://www.eeoc.gov/sites/default/files/2022\-10/EEOC\_KnowYourRights\_screen\_reader\_10\_20\.pdf)
 If you have questions about this posting, please contact support@lensa.com</t>
        </is>
      </c>
    </row>
    <row r="40">
      <c r="A40" t="inlineStr">
        <is>
          <t>li-4375596397</t>
        </is>
      </c>
      <c r="B40" t="inlineStr">
        <is>
          <t>Senior Product Manager</t>
        </is>
      </c>
      <c r="C40" t="inlineStr">
        <is>
          <t>Cencora</t>
        </is>
      </c>
      <c r="D40" t="inlineStr">
        <is>
          <t>linkedin</t>
        </is>
      </c>
      <c r="E40" t="inlineStr"/>
      <c r="F40" t="inlineStr"/>
      <c r="G40" t="inlineStr">
        <is>
          <t>Georgia, United States</t>
        </is>
      </c>
      <c r="H40" t="inlineStr"/>
      <c r="I40"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41">
      <c r="A41" t="inlineStr">
        <is>
          <t>li-4358072068</t>
        </is>
      </c>
      <c r="B41" t="inlineStr">
        <is>
          <t>Product Manager - Switchboards</t>
        </is>
      </c>
      <c r="C41" t="inlineStr">
        <is>
          <t>Crossley Scott</t>
        </is>
      </c>
      <c r="D41" t="inlineStr">
        <is>
          <t>linkedin</t>
        </is>
      </c>
      <c r="E41" t="inlineStr"/>
      <c r="F41" t="inlineStr"/>
      <c r="G41" t="inlineStr"/>
      <c r="H41" t="inlineStr"/>
      <c r="I41" t="inlineStr">
        <is>
          <t>**Product Manager – Switchboards** 
**Position Overview** 
 The
 **Product Manager – Switchboards** 
 is a highly visible and critical role responsible for owning the strategy, development, and lifecycle management of low\- and medium\-voltage switchboard products. Switchboards form the backbone of electrical distribution, integrating protective devices, bus structures, metering, and control systems to safely and reliably distribute power in commercial, industrial, data center, and mission\-critical facilities.
 This role collaborates closely with senior leadership and cross\-functional teams to drive growth and profitability by defining product strategy, maintaining product roadmaps, and launching new switchboard offerings into the market. The Product Manager serves as a technical and commercial subject\-matter expert on switchboards, electrical distribution systems, and their integration with supporting systems, including
 **UPS** 
 .
 Strong collaboration is required with
 **Product Marketing, Sales, Engineering, Manufacturing, Supply Chain, Project Management, and Service** 
 to successfully execute new product development initiatives and optimize existing switchboard platforms.
**Key Responsibilities** 
* Lead the
 **Product Development Process (PDP)** 
 for switchboards, translating market and customer requirements into clear product features, system architectures, and performance specifications.
* Own the
 **end\-to\-end product strategy and roadmap** 
 for a portfolio including low\- and medium\-voltage switchboards, panelboards, bus structures, protective devices, metering, and control systems.
* Conduct market research to identify opportunities in commercial, industrial, and data center power distribution markets, including required switchboard capabilities, technology trends, competitive positioning, market size, and pricing.
* Develop and maintain
 **Product Requirements Documents (PRDs)** 
 that communicate functional, technical, regulatory, and performance requirements for switchboards to engineering, manufacturing, and supply chain teams.
* Partner with engineering and manufacturing teams to balance safety, reliability, maintainability, cost, manufacturability, and scalability of switchboard solutions.
* Ensure switchboards are compatible with
 **UPS systems** 
 and other critical power infrastructure where required, including considerations for redundancy, bypass arrangements, and coordination.
* Plan and execute
 **product launches** 
 , including messaging, positioning, and value propositions, in collaboration with product marketing.
* Analyze product costs, margins, and pricing structures to identify opportunities for cost reduction, margin improvement, and profitable growth.
* Monitor product performance, field reliability, warranty trends, and quality metrics to identify opportunities for product improvements and platform optimization.
* Build and maintain relationships with customers, consulting engineers, contractors, OEM partners, and industry organizations involved in electrical distribution.
* Establish strong cross\-functional partnerships with engineering, project management, operations, supply chain, quality, and marketing teams to ensure alignment throughout the product lifecycle.
* Support the sales organization with technical training, sales tools, product demonstrations, and customer engagements related to switchboards.
* Stay current on applicable codes, standards, and certifications (e.g., UL 891, UL 1558, UL 1066, IEC 61439, NEC, IEEE) relevant to switchboards and electrical distribution systems.
* Perform other related duties as required and assigned.
**Minimum Requirements** 
**Education** 
* Bachelor of Science in
 **Electrical Engineering, Engineering Technology, or a related field** 
 required
* Advanced degree or
 **MBA** 
 preferred
**Experience** 
* **5\+ years** 
 of experience in product engineering, electrical engineering, or product management of manufactured electrical distribution equipment
* Demonstrated experience with
 **switchboards, switchgear, or panelboards**
* Working knowledge of
 **UPS systems** 
 and mission\-critical power distribution desirable
* Proven experience leading
 **cross\-functional teams** 
 across engineering, manufacturing, and commercial functions
**Technical \&amp; Professional Skills** 
* Strong technical understanding of
 **switchboards and electrical distribution systems** 
 , including protective devices, bus structures, metering, and controls
* Familiarity with selective coordination, short\-circuit ratings, arc\-flash mitigation, grounding, and power quality
* Ability to read, interpret, and communicate technical documentation, schematics, one\-line diagrams, and specifications
* Strong analytical, organizational, and problem\-solving skills with attention to detail</t>
        </is>
      </c>
    </row>
    <row r="42">
      <c r="A42" t="inlineStr">
        <is>
          <t>li-4379919038</t>
        </is>
      </c>
      <c r="B42" t="inlineStr">
        <is>
          <t>Product Manager, Ad Content Generation Platform</t>
        </is>
      </c>
      <c r="C42" t="inlineStr">
        <is>
          <t>JPMorganChase</t>
        </is>
      </c>
      <c r="D42" t="inlineStr">
        <is>
          <t>linkedin</t>
        </is>
      </c>
      <c r="E42" t="inlineStr"/>
      <c r="F42" t="inlineStr"/>
      <c r="G42" t="inlineStr">
        <is>
          <t>New York, NY</t>
        </is>
      </c>
      <c r="H42" t="inlineStr"/>
      <c r="I42"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Digital Channels,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This product role is responsible for defining and delivering the platform to scale content creation, in a standard way. Content must all use the same analytic events, engineering build standards, metadata and taxonomy, and design standards. We’ve built a machine learning platform to personalize what content we serve to users when they log in, and now we need to inject that model with more content.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Builds the long term strategy to scale the product area
* Acquires cross\-functional resources to deliver against roadmap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Demonstrated skill in developing product vision, writing product requirements, and establishing topline metrics
* Strong track record of partnering with engineering, design, and data science teams to deliver impactful products.
* Leverages data to drive product decisions, with a focus on increasing topline metrics
* Proven track record conducting A/B tests and driving analysis
* Strong verbal and written communication skills, with the ability to articulate complex, technical concepts to diverse stakeholders.
**Preferred Qualifications, Capabilities, And Skills**
* Demonstrated prior experience working in a highly matrixed, complex organization
* People managing experience
* Experience optimizing conversion funnels in financial institutions, ecommerce, or related areas
* Experience building platforms that enable businesses to create and manage content efficiently, ensuring consistent data standards and seamless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43">
      <c r="A43" t="inlineStr">
        <is>
          <t>li-4377720605</t>
        </is>
      </c>
      <c r="B43" t="inlineStr">
        <is>
          <t>Product Manager II, Compute, Google Cloud</t>
        </is>
      </c>
      <c r="C43" t="inlineStr">
        <is>
          <t>Google</t>
        </is>
      </c>
      <c r="D43" t="inlineStr">
        <is>
          <t>linkedin</t>
        </is>
      </c>
      <c r="E43" t="inlineStr"/>
      <c r="F43" t="inlineStr"/>
      <c r="G43" t="inlineStr">
        <is>
          <t>Boulder, CO</t>
        </is>
      </c>
      <c r="H43" t="inlineStr"/>
      <c r="I43" t="inlineStr">
        <is>
          <t>The application window will be open until at least March 9, 2026\. This opportunity will remain online based on business needs which may be before or after the specified date.
 Note: By applying to this position you will have an opportunity to share your preferred working location from the following:
 **Austin, TX, USA; Boulder, CO, USA** 
 .
 **Minimum qualifications:**
* Bachelor's degree or equivalent practical experience.
* 5 years of experience in product management or related technical role.
* Experience developing or launching infrastructure products or technologies within networking, storage, compute hardware, databases, file systems, data analytics, cluster management, or other software infrastructure areas.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4">
      <c r="A44" t="inlineStr">
        <is>
          <t>li-4340573207</t>
        </is>
      </c>
      <c r="B44" t="inlineStr">
        <is>
          <t>Sr. Product Manager, Billing and Payments (Stripe)</t>
        </is>
      </c>
      <c r="C44" t="inlineStr">
        <is>
          <t>Arlo Technologies, Inc.</t>
        </is>
      </c>
      <c r="D44" t="inlineStr">
        <is>
          <t>linkedin</t>
        </is>
      </c>
      <c r="E44" t="inlineStr"/>
      <c r="F44" t="inlineStr"/>
      <c r="G44" t="inlineStr"/>
      <c r="H44" t="inlineStr"/>
      <c r="I44" t="inlineStr">
        <is>
          <t>**About Arlo**
 At Arlo, we're passionate about creating innovative and reliable solutions that help people protect what matters most to them. Our team is dedicated to delivering products that exceed our customers' expectations, while always pushing the boundaries of what's possible in the world of protection technology. We believe that everyone deserves to feel safe and secure, whether they're at home or away, and we're committed to providing our customers with the peace of mind they need to live their lives without worry. Arlo’s deep expertise in AI\- and CV\-powered analytics, cloud services, user experience, product design, and innovative wireless and RF connectivity enables the delivery of a seamless, smart security experience for Arlo users that is easy to set up and interact with every day.
 Arlo is redefining what it means to protect what matters most — through intelligent devices and connected subscription services. As we scale our subscription business globally, we’re looking for a Sr. Manager of Revenue \&amp; Operations to lead the systems, processes, and insights that power our recurring revenue engine.
 This role sits firmly on the growth and strategy side of revenue operations. You’ll be focusing on subscription performance, forecasting, and billing optimization using Stripe and related data systems to shape decisions, improve retention and payment success, and guide long\-term ARR growth. You’ll serve as the connective tissue between Finance, Product, Customer Experience, and Engineering, ensuring the operational foundations are strong as Arlo accelerates growth across both device and subscription businesses.
**What You’ll Do**
**Stripe Billing Platform Ownership \&amp; Strategy**
* Serve as the business owner for Stripe billing, ensuring systems are optimized to support pricing strategy, experimentation, and global scale.
* Manage the day\-to\-day health of our subscription billing ecosystem within Stripe and other internal systems.
* Oversee and reduce revenue leakage from failed payments and system discrepancies.
* Monitor payment performance and dunning effectiveness, focusing on optimization and prevention, not collections execution
* Partner with Product and Engineering to operationalize new subscription plans, price changes, and regional rollouts.
**Reporting \&amp; Forecasting**
* Maintain dashboards and recurring reports for ARR, churn, ARPU, payment success, subscription health and billing accuracy.
* Translate Stripe and subscription data into clear insights and recommendations that improve revenue strategy.
* Partner with Finance, Data, and Engineering teams on subscription forecasting and variance analysis.
* Identify opportunities to improve attach rate, retention, customer lifetime value and cash collection.
**Process \&amp; Systems**
* Continuously improve subscription operational workflows including care refunds, credit issuance, and proration handling.
* Ensure tight integration and data accuracy between Stripe, Databricks, and internal reporting tools.
* Support quarterly audits and ensure compliance with PCI, SOC, and regional tax (VAT, 3DS, etc.) requirements.
**Cross\-Functional Collaboration**
* Work closely with CX and Care to improve the customer billing journey.
* Partner with the Marketing team to optimize billing communications.
* Collaborate with the Product team on billing and subscription enhancements.
* Act as a strategic partner to Finance on month\-end close and revenue recognition accuracy.
**Experience**
**What We’re Looking For**
* 5–8\+ years of experience in Revenue Operations, Subscription Billing, or Business Operations, ideally in SaaS, fintech, or consumer subscription businesses.
* Hands\-on experience with Stripe or equivalent billing platforms (Zuora, Recurly, Chargebee).
* Proven ownership of subscription forecasting, ARR reporting, and billing analytics.
* Comfort working with data extracting \- cleaning and summarizing insights.
* Familiarity with Databricks and BI tools (e.g., Looker, Tableau, Power BI).
**Skills**
* Strong understanding of subscription metrics (ARR, churn, ARPU, LTV) and revenue workflows.
* Analytical, detail\-oriented, and process\-driven.
* Excellent communicator with the ability to work cross\-functionally and explain complex topics clearly.
* Strategic thinker with the ability to connect data to business outcomes and strategies.
* Comfortable working in a fast\-paced, high\-growth environment with evolving systems.
**Bonus**
* Experience in a device \+ subscription business or other hybrid model.
* Understanding of payments compliance, invoicing, or tax requirements (PCI, VAT, 3DS).
* Hands\-on Shopify experience to help integrate and improve e\-commerce and revenue operations.
* SQL proficiency or ability to self\-serve data for analysis.
*The pay range for this position reflects the minimum and maximum target for new hire salaries at commencement of employment and is expected to be between USD$150,000\-180,000/year. However, base pay offered may vary depending on multiple factors, including role, job\-related knowledge, skills, relevant education and experience.*
 We’re committed to inclusivity and selecting the strongest candidate—no matter their background. Even if you don’t meet every listed qualification, we encourage you to apply. We’re happy to support growth in areas essential to the role. Interested in learning more about our workplace? Visit and follow our LinkedIn, and Glassdoor pages to read employee insights and get updates of what it’s like to be part of Arlo.
 Arlo is proud to be an Equal Opportunity Employer. We value inclusion and are committed to inclusive, and harassment\-free workplace. We prohibit discrimination and harassment based on all legally protected statuses in all hiring and employment.
 We provide reasonable accommodations to applicants and employees with disabilities, who are pregnant or have a related medical condition, or who have sincerely held religious beliefs, observances, and practices. Pursuant to applicable state and municipal Fair Chance Laws and Ordinances, the Company will consider for employment qualified applicants with arrest and conviction records.</t>
        </is>
      </c>
    </row>
    <row r="45">
      <c r="A45" t="inlineStr">
        <is>
          <t>li-4377764681</t>
        </is>
      </c>
      <c r="B45" t="inlineStr">
        <is>
          <t>Principal Product Manager, LLM Innovation</t>
        </is>
      </c>
      <c r="C45" t="inlineStr">
        <is>
          <t>Ladders</t>
        </is>
      </c>
      <c r="D45" t="inlineStr">
        <is>
          <t>linkedin</t>
        </is>
      </c>
      <c r="E45" t="inlineStr"/>
      <c r="F45" t="inlineStr"/>
      <c r="G45" t="inlineStr"/>
      <c r="H45" t="inlineStr"/>
      <c r="I45" t="inlineStr">
        <is>
          <t>For our client, we are seeking a Principal Product Manager LLM Innovation to join the team of a leader in the Consumer Technology space. You’ll play a key role delivering outcomes for customers and stakeholders in the Consumer Technology space. You’ll collaborate cross\-functionally and take ownership of priorities. This role offers visibility, growth, and impact.
 Location: Remote \- US based candidates only, no visa sponsorship available
 Compensation: $205,200 – $327,750 annually.
**Responsibilities**
* Define and own LLM innovation vision and strategy
* Prototype and validate high\-impact AI use cases with teams
* Translate complex LLM capabilities into user\-friendly experiences
* Align cross\-functional teams on projects and objectives
* Establish frameworks and best practices for LLM integration
* Evaluate tools and partnerships for effective decision\-making
* Define metrics to evaluate success of LLM initiatives
**Qualifications**
* 10\+ years in product management with 3\+ years in AI or ML roles
* Strong technical fluency in LLMs and generative AI
* Proven track record of translating tech into user's valuable products
* Strategic thinker with execution capability balancing vision and delivery
* Exceptional communication and leadership skills
* Deep understanding of generative AI trends and regulations
**Benefits**
* Comprehensive healthcare coverage
* Monthly wellness stipend
* Retirement savings match
* Generous parental leave
* Equity and stock options
 Our client is an equal opportunity employer. We encourage you to apply even if you don’t meet every qualification—your background could be exactly what this team needs.</t>
        </is>
      </c>
    </row>
    <row r="46">
      <c r="A46" t="inlineStr">
        <is>
          <t>li-4375595438</t>
        </is>
      </c>
      <c r="B46" t="inlineStr">
        <is>
          <t>Senior Product Manager</t>
        </is>
      </c>
      <c r="C46" t="inlineStr">
        <is>
          <t>Cencora</t>
        </is>
      </c>
      <c r="D46" t="inlineStr">
        <is>
          <t>linkedin</t>
        </is>
      </c>
      <c r="E46" t="inlineStr"/>
      <c r="F46" t="inlineStr"/>
      <c r="G46" t="inlineStr">
        <is>
          <t>Annapolis, MD</t>
        </is>
      </c>
      <c r="H46" t="inlineStr"/>
      <c r="I46"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47">
      <c r="A47" t="inlineStr">
        <is>
          <t>li-4378846721</t>
        </is>
      </c>
      <c r="B47" t="inlineStr">
        <is>
          <t>Growth Lead/Staff Product Manager (B2C)</t>
        </is>
      </c>
      <c r="C47" t="inlineStr">
        <is>
          <t>Point</t>
        </is>
      </c>
      <c r="D47" t="inlineStr">
        <is>
          <t>linkedin</t>
        </is>
      </c>
      <c r="E47" t="inlineStr"/>
      <c r="F47" t="inlineStr"/>
      <c r="G47" t="inlineStr">
        <is>
          <t>Palo Alto, CA</t>
        </is>
      </c>
      <c r="H47" t="inlineStr"/>
      <c r="I47" t="inlineStr">
        <is>
          <t>**Local or 100% Remote**
**About Point**
**✨ Real Impact, Real People:** 
 Our mission at Point is to make homeownership more valuable and accessible. Your work directly helps homeowners access their wealth, achieve financial flexibility, and realize life changing goals.
**✨ Funding:** 
 With over $175M raised from top investors like Andreessen Horowitz, WestCap, Greylock, and Prudential, we're scaling fast! You have the opportunity to join us at a pivotal stage.
**✨ Game\-changing Product:** 
 We're building a category defining company in home equity. We've earned a 4\.7 Trustpilot rating and an A\+ from the BBB, a testament to the value we provide to our 15,000\+ customers.
**✨ Great Place to Work:** 
 Our employees love working here! We are a Certified Great Place to Work and a Fortune Best Workplaces in the Bay Area.
**✨ Remote First Culture, Genuine Connection:** 
 Work from anywhere in the U.S., while staying closely connected through virtual collaboration, team gatherings, and a people\-first culture.
**About the role**
 In this role, you will drive our product\-led growth strategy by leading initiatives from discovery through launch and adoption. You'll own execution across the full product lifecycle, from defining requirements to partnering with engineering to ensure seamless delivery. As the foremost expert on our customers' needs and those of the internal teams who support them, you will translate insights into impactful solutions. Success in this role requires building strong relationships with stakeholders, influencing across teams, and leading company\-wide initiatives to amplify impact and deliver meaningful results.
**Your responsibilities** 
* Product Strategy
+ Leveraging your ability to use structured thinking to break down complex problems, define and drive the growth product strategy and roadmap, aligning with company goals and KPIs.
+ Ensure maximum business impact by identifying and prioritizing features and products which improve conversion, efficiency, and reach.
+ Influence overall company strategy by bringing product thinking and insights to leadership stakeholders.
* Product Execution
+ Write clear and concise product requirements and develop basic but elegant wireframes that make engineers clamor to work with you.
+ Drive product delivery by partnering with marketing, sales, data, design, and engineering to ideate, launch, and measure growth initiatives.
+ Orchestrate flawless product launches by ensuring a high quality bar and achieving maximum adoption by internal teams as needed.
* Customer Insight
+ Lead experimentation and A/B testing to optimize funnel conversion, deliver an excellent customer experience, and minimize operational friction.
+ Gather insights from internal and external user feedback, web analytics, research, experiments, competitors, and data analysis to understand user needs and synthesize into learnings for the team, and into product plans to deliver on those user needs.
+ Champion UX by partnering with design to build the most intuitive and effective customer experiences.
* Influencing People
+ Drive stakeholder alignment by (over)communicating and building deep relationships that facilitate trust.
+ Promote the work your team is driving throughout the organization in order to gain buy\-in and support.
**About you**
* 5\+ years of experience in product management, consulting, or business operations, including 2\+ years focused on growth.
* B2C experience is required, preferably in a small to medium\-sized company.
* Proven track record of launching impactful product features and inspiring teams to execute effectively.
* Skilled in A/B testing, product analytics (e.g., Sigma, PostHog), and user research.
* Strong data analysis skills, with the ability to form hypotheses, define success metrics, and tell stories with data (SQL experience preferred).
* Exceptional business operations skills with a systematic approach to workflows and customer experience.
* Able to think deeply about user experience and design, creating simple and intuitive interfaces.
* Startup experience preferred; thrive in fast\-paced environments with a bias toward action and results.
* MBA or equivalent experience; background in fintech or real estate is a plus.
* Excellent judgment, communication, and interpersonal skills with the ability to influence across teams.
* Highly organized, entrepreneurial, and self\-driven, with the ability to prioritize multiple projects.
**Our benefits**
* **Generous health benefits:** 
 We provide comprehensive medical, dental, and vision plans with options for flexible spending accounts (FSA) and health savings accounts (HSA).
* **Unlimited paid time off:** 
 Recharge with unlimited paid time off and 10 company holidays.
* **Flexible remote and onsite work:** 
 Our teams work from many different locations and time zones. We support fully remote work and also have an amazing in\-person environment in our downtown Palo Alto, CA HQ.
* **Fully paid parental leave:** 
 Point will supplement state Paid Family Leave (PFL) so employees receive 100% of their regular base pay, plus two additional weeks of fully paid leave after state PFL ends. In states without PFL, Point offers up to 8 weeks of paid parental leave. In addition, employees also receive 4 weeks of fully paid transition time, during which you may work 2–3 days per week while receiving full base pay.
* **Equity:** 
 We offer meaningful equity because we believe in sharing the value you help create. Your contributions directly impact our growth, and your equity gives you a stake in our future success.
* **Financial wellness:** 
 We provide 401K retirement plans for employees as well as guaranteed life insurance and short\- and long\-term disability coverage.
* **Extra work/life benefits:** 
 We provide monthly stipends for internet, mobile plans, wellness perks, and a one\-time home office reimbursement.
 Compensation at Point will be determined by skills, experience, and geographic location. Point has identified the expected annual base salary for this role at this level based on the market by tiers (Region \| Location \| Market Salary):
* Tier 1 \| San Francisco Bay Area, New York, and Seattle \| $211,850 \- $277,200
* Tier 2 \| Chicago, Austin, Denver, Boston, Washington DC, San Diego, Portland, Sacramento, Philadelphia, Los Angeles \&amp; Santa Barbara \| $190,950 \- $246,750
* Tier 3 \| All other US metro areas \| $181,450 \- $231,000
 This does not include any other potential components of the compensation package, including equity, benefits, and perks outlined above. At the launch of each position, we benchmark compensation to the appropriate role and level utilizing competitive compensation data from various data sources as references. At the offer stage, we use the signal we received from our interviews, coupled with your experience, location, and other job\-related factors, to determine final compensation.
 Location Requirement: This is a remote position. However, candidates must reside in one of Point's states of operation: AL, AZ, AR, CA, CO, CT, DC, FL, GA, IL, KS, KY, MA, MD, MI, MN, MO, NH, NV, NJ, NY, NC, OH, OR, PA, SC, TN, TX, UT, VA, WA, WI.
 Point is proud to be an equal\-opportunity employer. We provide employment opportunities regardless of age, race, color, ancestry, national origin, religion, disability, sex, gender identity or expression, sexual orientation, veteran status, or any other protected class. Each individual at Point brings their own perspectives, work experiences, lifestyles, and cultures with them, and we believe that a more diverse team creates more innovative products, provides better services to customers, and helps us all grow and learn.
 California Consumer Privacy Act Notice</t>
        </is>
      </c>
    </row>
    <row r="48">
      <c r="A48" t="inlineStr">
        <is>
          <t>li-4379068986</t>
        </is>
      </c>
      <c r="B48" t="inlineStr">
        <is>
          <t>Senior Product Manager AI Platforms</t>
        </is>
      </c>
      <c r="C48" t="inlineStr">
        <is>
          <t>Verizon</t>
        </is>
      </c>
      <c r="D48" t="inlineStr">
        <is>
          <t>linkedin</t>
        </is>
      </c>
      <c r="E48" t="inlineStr"/>
      <c r="F48" t="inlineStr"/>
      <c r="G48" t="inlineStr">
        <is>
          <t>Ashburn, VA</t>
        </is>
      </c>
      <c r="H48" t="inlineStr"/>
      <c r="I48" t="inlineStr">
        <is>
          <t>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\#VTeamLife.
**What You’ll Be Doing...**
 As a Senior Product Development Manager concentrating in AI Insights \&amp; AI Connect, you will be part of the Verizon Business Group Product Management Technology Enablement organization in aligning customer outcomes to use cases and data that is necessary to deliver on those outcomes. You will play a pivotal role in shaping the development and implementation of AI/ML and Agentic AI into our AI Insights \&amp; AI Connect products and their customer experience. You will be responsible for programs and initiatives that leverage AI/ML and Agentic AI technologies across different AI Insights \&amp; AI Connect offerings within the Verizon Business Group.
 You will work closely with stakeholders across all parts of the business including Product Management and Technology Enablement peer teams, IT, Partners, Sales, and Global Customer Operations teams to execute growth projects and new product features. The ideal candidate will have a proven track record of breaking down complex problems into steps that drive product development. The ideal candidate will also understand the AI Insights \&amp; AI Connect landscape, where it is now and where it is headed.
**Key Responsibilities**
* Lead technical discussions and be a thought leader during product reviews.
* Integrate your technical knowledge, subject matter expertise, and understanding of trends to make sound decisions and influence business direction through data\-driven analysis.
* Responsible for designing and executing process and strategy frameworks that facilitate product\-related goal setting, decision\-making, and business impact.
* Developing integration plans and technical requirements for new product development for enterprise customers including use case, user story, and agile product development.
* Develop and manage end\-to\-end project plans and ensure on\-time delivery.
* Articulate to stakeholders the team’s technology vision, requirements, goals, and milestones.
* Provide hands\-on program management during analysis, design, development, testing, implementation, and post\-implementation phases.
* Own the execution of Applied AI/ML and Agentic AI use cases and technologies for AI Insights \&amp; AI Connect.
* Knowledge of BSS/OSS integrations with backend systems and third\-party providers.
* Knowledge of Wireline Networks: Dedicated Internet Access, Ethernet Virtual Private Line (EVPL), Private IP (MPLS) etc. for access and transport network.
* API integration experience with internal and external systems for connecting systems together for an end\-to\-end product offering.
**What We’re Looking For...**
****You’ll need to have:****
* Bachelor’s degree or four or more years of work experience.
* Six or more years of relevant experience required, demonstrated through one or a combination of work and/or military experience, or specialized training.
* Six or more years of experience in Product Management or Technology Solutions Management, specifically focused on technical products.
* Experience delivering transformative product launches that drive exponential growth and establish the company as a primary market influencer.
* Experience executing go\-to\-market strategies for new\-to\-world products, consistently achieving rapid adoption and market disruption.
****Even better if you have one or more of the following:****
* Proven product management experience demonstrating execution of a product roadmap, moving a project from inception to completion.
* Deep data and analytic orientation for evidence\-based decision making.
* Experience in leading cross\-functional teams and motivating/inspiring them to go the extra mile, even in uncertain circumstances.
* MBA or Master’s degree in Electrical Engineering, Computer Engineering, Computer Science or equivalent.
* Understanding of Verizon's domestic and global product offerings across Connectivity and MNS portfolio.
* Experience prioritizing and executing multiple projects at a time.
* Passion and determination to make a difference in the communications industry and in our world.
 If Verizon and this role sound like a fit for you, we encourage you to apply even if you don’t meet every “even better” qualification listed above.
 Where you’ll be working
 In this hybrid role, you'll have a defined work location that includes working from home and a minimum of three days per week in the office, which will be set by your manager. Employees are responsible for maintaining compliance with hybrid work policies.
 Scheduled Weekly Hours
 40
 Equal Employment Opportunity
 Verizon is an equal opportunity employer. We evaluate qualified applicants without regard to veteran status, disability or other legally protected characteristics.
**Benefits And Compensation**
 Our benefits are designed to help you move forward in your career, and in areas of your life outside of Verizon. From health and wellness benefit options including: medical, dental, vision, short and long term disability, basic life insurance, supplemental life insurance, AD\&amp;D insurance, identity theft protection, pet insurance and group home \&amp; auto insurance. We also offer a matched 401(k) savings plan, up to 8 company paid holidays per year and up to 6 personal days per year, paid parental leave, adoption assistance and tuition assistance, plus other incentives, we’ve got you covered with our award\-winning total rewards package. Depending on the role, employees have the opportunity to receive compensation in the form of premium pay such as overtime, shift differential, holiday pay, allowances, etc. Newly hired employees receive up to 15 days of vacation per year, which grows with additional service. For part\-timers, your coverage will vary as you may be eligible for some of these benefits depending on your individual circumstances.
 The salary will vary depending on your location and confirmed job\-related skills and experience. This is an incentive based position with the potential to earn more. For part\-time roles, your compensation will be adjusted to reflect your hours.
 The annual salary range for the location(s) listed on this job requisition based on a full\-time schedule is: $128,000\.00 \- $245,000\.00\.
 The annual salary range for the Colorado location(s) listed on this job requisition based on a full\-time schedule is: $140,500\.00 \- $245,000\.00\.</t>
        </is>
      </c>
    </row>
    <row r="49">
      <c r="A49" t="inlineStr">
        <is>
          <t>li-4340693427</t>
        </is>
      </c>
      <c r="B49" t="inlineStr">
        <is>
          <t>Technical Product Manager – Order Management</t>
        </is>
      </c>
      <c r="C49" t="inlineStr">
        <is>
          <t>Graco</t>
        </is>
      </c>
      <c r="D49" t="inlineStr">
        <is>
          <t>linkedin</t>
        </is>
      </c>
      <c r="E49" t="inlineStr"/>
      <c r="F49" t="inlineStr"/>
      <c r="G49" t="inlineStr">
        <is>
          <t>Minneapolis, MN</t>
        </is>
      </c>
      <c r="H49" t="inlineStr"/>
      <c r="I49" t="inlineStr">
        <is>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***This role is currently based at our Minneapolis office and will transition to our new headquarters in Dayton, MN, in 2027\.***
 The Technical Product Manager (TPM) plays a key role in supporting the development, implementation, and operations of technology solutions that support Graco’s core business functions. The individual in this position will understand the company’s technologies and business processes and collaborate with business and technology teams to ensure the successful delivery of solutions – aligned with the overall IT roadmap and business/function strategy. He/she will also contribute to modernizing and optimizing business applications to enable the business/function priorities, partnering with business stakeholders to deliver initiatives that drive efficiency and innovation.
**What You Will Do At Graco**
 Product Management
* Contribute to maintaining and improving product roadmaps for core business applications, focusing on improving business processes, automation, and the adoption of enterprise solutions to drive operational efficiencies.
* Assist in the evaluation, selection, and implementation of enterprise business applications that align and enable business goals and overarching IT strategy.
* Collaborate with cross\-functional teams to manage product backlogs, document functional requirements, and create test plans to ensure successful and timely solution delivery.
 Business Relationship Management
* Build and maintain relationships with business and IT teams to foster collaboration.
* Act as a key point of contact for business users, assisting in technology\-related inquiries and ensuring alignment and visibility to their needs.
* Collaborate across the IT function and cross\-functional business teams to gather business requirements and help translate them into technology requirements, prioritize features, and support the successful delivery of product enhancements.
 Technical Expertise
* Bring subject matter expertise on enterprise CRM and/or ERP systems, supply chain and manufacturing applications, digital experience (DXP) and e\-commerce platforms.
* Demonstrate understanding of business process workflows across Opportunity to Quote to Order, Procure to Pay, Order to Cash, Record to Report business processes.
* Identify ways to improve existing business processes through technology solutions, supporting simplification, globalization, unification, and harmonization of processes across functions and regions.
* Assist in developing and delivering training sessions to drive understanding and adoption of core business application platforms.
**What You Will Bring To Graco**
* Bachelor's degree in Computer Science, Information Systems, or related field.
* 3\+ years of overall IT experience with domain knowledge in implementing enterprise ERP, CRM, supply chain, or manufacturing applications.
* Proven ability to work with cross\-functional teams and support the management of technology projects.
**Accelerators**
* Master’s degree in a relevant field
* Experience in the manufacturing industry or other complex, process\-driven environments.
* Experience with cloud modernization and digital transformation initiatives.
**Key Competencies**
* Strategic Thinking: Ability to support the development of a clear, long\-term roadmap aligned with business goals.
* Leadership \&amp; Collaboration: Proven ability to partner with cross\-functional teams and working with both technical and non\-technical stakeholders.
* Proactivity: Strong attention to detail and proactive problem\-solving skills.
*Applicants must be legally authorized to work in the United States. This role is not eligible for immigration sponsorship now or in the future (e.g., H\-1B, TN, F\-1 OPT).*
 At Graco, you truly make a difference. Your unique talents contribute to our organizational growth and future. Not only do you make a difference, but Graco’s culture empowers employees to create their own career path. Whether you choose to advance within your current department or explore new opportunities in different divisions, you have the ability to build your future. Our managers are here to provide support and guidance as you continue to grow within your career.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2021 \&amp; 2022\. Graco offers attractive compensation, benefits and career development opportunities. Graco’s comprehensive benefits include medical, dental, stock purchase plan, 401(k), tuition reimbursement and more.
 Our company uses E\-Verify to confirm the employment and eligibility of all newly hired employees. To learn more about E\-Verify, including your rights and responsibilities, please visit www.dhs.gov/E\-Verify.
 The base pay range for this position is listed below, exclusive of fringe benefits or other compensation. If you are hired, your final base hourly rate will be determined based on factors such as geographic location, skills, competencies, education, and/or experience. In addition to those factors, we will also consider internal equity of our current employees. Please keep in mind that the range provided is the full base salary range for the role. Hiring at or near the maximum of the range would not be typical to allow for future and continued salary growth.
 $64,200\.00 \- $112,400\.00</t>
        </is>
      </c>
    </row>
    <row r="50">
      <c r="A50" t="inlineStr">
        <is>
          <t>li-4378791485</t>
        </is>
      </c>
      <c r="B50" t="inlineStr">
        <is>
          <t>Data Product Manager, Vice President</t>
        </is>
      </c>
      <c r="C50" t="inlineStr">
        <is>
          <t>JPMorganChase</t>
        </is>
      </c>
      <c r="D50" t="inlineStr">
        <is>
          <t>linkedin</t>
        </is>
      </c>
      <c r="E50" t="inlineStr"/>
      <c r="F50" t="inlineStr"/>
      <c r="G50" t="inlineStr">
        <is>
          <t>Columbus, OH</t>
        </is>
      </c>
      <c r="H50" t="inlineStr"/>
      <c r="I50" t="inlineStr">
        <is>
          <t>**Job Description**
 The HR Data Products organization builds trusted, governed, and discoverable data assets that power reporting, analytics, and AI across the employee lifecycle. We partner with stakeholders in People Operations, HR Technology, Business Intelligence, AI/ML, Information Architecture, and Data Engineering to deliver high‑quality, fit‑for‑purpose data products with clear lineage, controls, and measurable business impact.
 As a Vice President Data Product Manager, you will lead the strategy and delivery of a portfolio of HR data products. You will define multi‑year roadmaps, set OKRs, align stakeholders, and drive end‑to‑end execution—from discovery and requirements through launch, adoption, and continuous improvement. You will champion data governance, quality, and self‑service, enabling HR and business teams to make faster, better decisions.
**Key Responsibilities**
* Own multi‑year strategy, outcomes, and OKRs for your HR data domain. Prioritize a portfolio backlog across competing demands; balance near‑term value with long‑term platform investments. Engage senior HR and business leaders to identify opportunities and align on outcomes;
* Translate business needs into epics, features, and user stories with clear acceptance criteria; maintain a transparent, prioritized backlog and delivery plan.
* Conduct user discovery and stakeholder interviews to gather business requirements, pain points, and opportunities for improvement.
* Partner with Business Intelligence, AI/ML, and Product teams to ensure data products meet reporting, analytics, and automation needs.
* Collaborate with Information Architecture and Data Engineering to onboard new data sources and transform them into performant, fit\-for\-purpose data offerings.
* Establish and maintain strong data governance, quality, and lifecycle management practices for talent data, ensuring compliance with firmwide standards.
* Own the development and maintenance of data catalog, metadata, glossary, and lineage capabilities for Talent Acquisition and Off\-boarding datasets.
* Drive continuous improvement in data product offerings through stakeholder feedback, usage insights, and industry best practices.
**Required Qualifications**
* 5\+ years delivering data products, analytics platforms, or enterprise data solutions in complex environments
* Translate business needs into epics, features, and user stories with clear acceptance criteria; maintain a transparent, prioritized backlog and delivery plan.
* Translate business needs into epics, features, and user stories with clear acceptance criteria; maintain a transparent, prioritized backlog and delivery plan.
* Deep understanding of modern data platforms and cloud ecosystems, including entitlements, catalog/lineage, and data quality tooling.
* Proficiency in SQL for data testing, validation, and ad‑hoc analysis; ability to guide users on how to access and use data products effectively.
* Experience with data onboarding, metadata management, governance workflows, and compliance in control‑heavy or regulated environments with multiple lines of defense.
* Strong stakeholder engagement and communication skills; ability to translate technical capabilities into clear business outcomes and articulate trade‑offs.
**Preferred Qualification**
* Experience with HR domain processes, systems, or data (e.g., ATS, HRIS, payroll, benefits, time and attendance, performance, learning).
* Understanding of privacy and compliance considerations for HR data (PII, regional data protection requirements).
* Familiarity with HR analytics use cases.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Human Resources plays a critical role in driving the employee experience, shaping the firm’s culture and building a diverse and inclusive workforce. We are a strategic partner to the business — working with leaders across the firm to hire, develop and retain the best people and help meet business goals. Together, we foster a work environment in which our people are supported, feel like they belong and are able to make an impact through their work. We develop and deliver a suite of products and services that help make JPMorgan Chase an employer of choice and drive our business forward.</t>
        </is>
      </c>
    </row>
    <row r="51">
      <c r="A51" t="inlineStr">
        <is>
          <t>li-4299756011</t>
        </is>
      </c>
      <c r="B51" t="inlineStr">
        <is>
          <t>IT Operations Product Manager @Radisson Hotels (Freelancer Via Shakers) Copiar</t>
        </is>
      </c>
      <c r="C51" t="inlineStr">
        <is>
          <t>Shakers</t>
        </is>
      </c>
      <c r="D51" t="inlineStr">
        <is>
          <t>linkedin</t>
        </is>
      </c>
      <c r="E51" t="inlineStr"/>
      <c r="F51" t="inlineStr"/>
      <c r="G51" t="inlineStr"/>
      <c r="H51" t="inlineStr"/>
      <c r="I51" t="inlineStr">
        <is>
          <t>As Radisson IT Operations Product Manager – POS, you'll be the key link between Business and IT, defining and delivering innovative POS product initiatives from concept to rollout.
**You Will**
* Plan: Gather business needs, define scope, challenge feasibility, and present plans for approval.
* Execute: Liaise with all teams, coordinate architecture and resources, and manage vendor agreements.
* Monitor \&amp; Control: Report progress, proactively escalate issues with solutions, and present updates.
* Close: Ensure smooth product rollout with clear documentation and processes.
* General: Collaborate effectively, communicate proactively, and interact at all management levels.
****Accountable for delivering POS initiatives on time, within budget, and to agreed quality.****
**Ideal Candidates Have**
* 2\-3 years experience, ideally with SAP\-TMS/EMMA.
* Strong IT Project Management skills.
* Excellent communication, organizational, and interpersonal skills.
* Independent, proactive, and ownership\-oriented.
* Fluent English (additional languages a plus).
* Based in Spain (Madrid preferred).
 Ready to shape our POS landscape?
 Apply now!</t>
        </is>
      </c>
    </row>
    <row r="52">
      <c r="A52" t="inlineStr">
        <is>
          <t>li-4375744054</t>
        </is>
      </c>
      <c r="B52" t="inlineStr">
        <is>
          <t>Clinical Product Manager (Osmometers)</t>
        </is>
      </c>
      <c r="C52" t="inlineStr">
        <is>
          <t>firstPRO, Inc</t>
        </is>
      </c>
      <c r="D52" t="inlineStr">
        <is>
          <t>linkedin</t>
        </is>
      </c>
      <c r="E52" t="inlineStr"/>
      <c r="F52" t="inlineStr"/>
      <c r="G52" t="inlineStr">
        <is>
          <t>Waltham, MA</t>
        </is>
      </c>
      <c r="H52" t="inlineStr"/>
      <c r="I52" t="inlineStr">
        <is>
          <t>**About the role** 
 The
 **Clinical Product Manager, Osmometers** 
 , is a pivotal member of the Global Clinical Business team in a dynamic, fast\-growing company. The product manager will act as a “mini\-CEO” for the Osmometer portfolio, owning all business aspects of the product line. This is a global role, with primary focus on protecting and growing market share while identifying next\-generation differentiators to maintain market leadership position. Success in this role requires relentless drive, strategic vision, and the ability to execute—proactively identifying opportunities, making decisions, and taking accountability for results.
 If you’re passionate about Clinical Project Management and want to be part of a team that is shaping the future of life sciences, we’d love to hear from you, apply today!
**What you’ll do** 
* **Voice of the Customer:** 
 Champion customer needs and insights at every stage of the product lifecycle, ensuring feedback drives innovation from new product launches through to product obsolescence.
* **Product Development:** 
 Define market and user requirements by engaging directly with customers in point\-of\-care settings, collaborate closely with R\&amp;D to translate these insights into actionable product requirements, prioritize features that deliver meaningful customer value, and set pricing strategy.
* **Product Strategy:** 
 Develop five\-year strategic plans, create and manage ROI\-driven product roadmaps aligned with business objectives, prepare robust business cases in partnership with Finance, drive pricing strategy and implement creative approaches to maximize market penetration.
* **Product Launch:** 
 Craft compelling product positioning and value propositions, anticipate and address customer objections, and develop detailed customer profiles to ensure successful market adoption.
* **Market Analysis:** 
 Lead market sizing, share analysis, and comprehensive market research to uncover opportunities and guide strategic decisions for point\-of\-care products.
* **Competitive Analysis:** 
 Conduct deep competitive assessments and develop strong product positioning to equip the sales team with actionable insights and strategies that differentiate our offerings, protect existing market share, and creatively capture new opportunities.
* **Product Lifecycle Management:** 
 Introduce new products, drive continuous product improvements, manage planned obsolescence, analyze win/loss data, and maintain expert\-level product knowledge.
**What we are looking for in you** 
* 2\-5 years of experience in product management with systems and medical devices used in hospital core laboratories.
* Proven experience managing the full product life cycle.
* Direct experience with hospital core laboratories and their unique requirements.
* Bachelor’s degree in Business, Marketing, Science, or related field; MBA preferred.
**Physical Requirements for this role include:** 
* Must be able to work alternately in a seated or standing position.
* Clear and effective communication with stakeholders.
* Travel to customer sites, trainings, exhibitions, and seminars as needed.
* Adaptability to a fast\-paced, changing environment.
* Occasional flexible hours to support global teams.
* Full physical requirements available upon request.
**Work Location:** 
 Norwood, Ma \- In office (4 days onsite, 1 from home)</t>
        </is>
      </c>
    </row>
    <row r="53">
      <c r="A53" t="inlineStr">
        <is>
          <t>li-4378810484</t>
        </is>
      </c>
      <c r="B53" t="inlineStr">
        <is>
          <t>Regional Product Manager – Magnetic Resonance Imaging (MR)</t>
        </is>
      </c>
      <c r="C53" t="inlineStr">
        <is>
          <t>Philips</t>
        </is>
      </c>
      <c r="D53" t="inlineStr">
        <is>
          <t>linkedin</t>
        </is>
      </c>
      <c r="E53" t="inlineStr"/>
      <c r="F53" t="inlineStr"/>
      <c r="G53" t="inlineStr"/>
      <c r="H53" t="inlineStr"/>
      <c r="I53" t="inlineStr">
        <is>
          <t>Job Title
 Regional Product Manager – Magnetic Resonance Imaging (MR)
**Job Description**
**Regional Product Manager – Magnetic Resonance Imaging (MR)**
 You will be responsible for owning and managing the regional MR portfolio across its lifecycle, ensuring products, solutions, and services are optimally positioned to meet regional customer needs, regulatory requirements, and business objectives. The role partners closely with global product teams, regional sales, service, and clinical stakeholders to translate market requirements into regionally relevant product strategies, customer engagements, and commercial programs that drive adoption and growth. The role continuously evaluates market trends, competitive dynamics, and customer feedback to provide region\-specific insights that shape portfolio strategy, value articulation, and solution configuration. This position leads regional pricing strategy, go\-to\-market programs,
 **First\-of\-Kind (FoK) execution** 
 , and lifecycle decisions, including introductions, configuration management, and end\-of\-life execution, ensuring sustainable growth, profitability, and operational readiness across markets.
**Your Role**
* Regional Portfolio Ownership \&amp; Market Readiness: Own the regional MR portfolio, ensuring products and solutions are configured, approved, and ready for regional deployment. Drive alignment between global offerings and regional needs, including regulatory, clinical, operational, and customer\-use considerations. Serve as a regional product expert to support key customer interactions and market\-facing activities.
* Customer \&amp; Market Engagement: Represent the regional MR portfolio in customer\-facing settings, including roadmap presentations, executive briefings, and participation in key industry events and trade shows (e.g., regional and international congresses). Engage directly with customers and clinical partners to understand needs, validate assumptions, and strengthen the relevance of regional offerings.
* First\-of\-Kind (FoK) Planning \&amp; Execution: Lead and coordinate regional First\-of\-Kind activities for MR solutions, partnering with global teams, regions, sales, service, clinical, and regulatory stakeholders to ensure successful planning, readiness, and execution. Act as the regional point of coordination to manage risks, capture learnings, and feed insights back into portfolio optimization and broader market deployment.
* Portfolio Performance \&amp; Selective Roadmap Influence: Manage regional portfolio performance across the product lifecycle and provide focused, structured inputs into the global MR product roadmap based on regional priorities, competitive gaps, FoK learnings, and customer insights. Balance advocacy for regional needs with pragmatic alignment to global product direction.
* Programs, Pricing \&amp; Commercial Enablement: Develop and recommend regional pricing strategies aligned with market dynamics, competitive positioning, and profitability targets. Design and execute region\-specific programs, offerings, promotions, and sales incentives to support product introductions, FoKs, and performance acceleration against regional objectives.
* Lifecycle \&amp; End\-of\-Life Management: Lead regional execution of product lifecycle activities, including introductions, transitions, and end\-of\-life strategies. Manage regional impacts related to discontinuation, inventory reduction, and customer communication in close collaboration with sales, service, supply chain, and commercial operations teams.
**You're The Right Fit If**
* You have at least 5\+ years of industry experience, ideally in marketing technology, healthcare, or MedTech products and solutions.
* You bring strong expertise in marketing processes and technology, including localizing value propositions for unique customers and markets; bonus if you have experience leading multifunctional teams.
* You hold a Bachelor’s degree and are Certified LEAN Advanced.
* You must be able to successfully perform the following minimum Physical, Cognitive and Environmental job requirements with or without accommodation for this position.
* You have demonstrated broad knowledge of products and services within scope and excel at fostering collaboration across multifunctional teams.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office\-based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AZ, AR, ID, IA, KS, KY, LA, ME, MS, MO, NE, NM, OK, SC, SD, TN, UT, or WV is $97,000 to $153,000
 The pay range for this position in AL, CO, FL, GA, HI, IL, IN, MI, MN, NV, NH, NC, ND, OH, OR, PA, TX, VT, VA, WI, or WY is $102,000 to $162,000
 The pay range for this position in AK, DE, MD, NY, RI, or WA is $107,000 to $170,000
 The pay range for this position in CA, CT, DC, MA, or NJ is $114,000 to $181,000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 US work authorization is a precondition of employment. The company will not consider candidates who require sponsorship for a work\-authorized visa, now or in the future.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54">
      <c r="A54" t="inlineStr">
        <is>
          <t>li-4379248379</t>
        </is>
      </c>
      <c r="B54" t="inlineStr">
        <is>
          <t>Senior Product Manager AI Platforms</t>
        </is>
      </c>
      <c r="C54" t="inlineStr">
        <is>
          <t>Verizon</t>
        </is>
      </c>
      <c r="D54" t="inlineStr">
        <is>
          <t>linkedin</t>
        </is>
      </c>
      <c r="E54" t="inlineStr"/>
      <c r="F54" t="inlineStr"/>
      <c r="G54" t="inlineStr">
        <is>
          <t>Basking Ridge, NJ</t>
        </is>
      </c>
      <c r="H54" t="inlineStr"/>
      <c r="I54" t="inlineStr">
        <is>
          <t>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\#VTeamLife.
**What You’ll Be Doing...**
 As a Senior Product Development Manager concentrating in AI Insights \&amp; AI Connect, you will be part of the Verizon Business Group Product Management Technology Enablement organization in aligning customer outcomes to use cases and data that is necessary to deliver on those outcomes. You will play a pivotal role in shaping the development and implementation of AI/ML and Agentic AI into our AI Insights \&amp; AI Connect products and their customer experience. You will be responsible for programs and initiatives that leverage AI/ML and Agentic AI technologies across different AI Insights \&amp; AI Connect offerings within the Verizon Business Group.
 You will work closely with stakeholders across all parts of the business including Product Management and Technology Enablement peer teams, IT, Partners, Sales, and Global Customer Operations teams to execute growth projects and new product features. The ideal candidate will have a proven track record of breaking down complex problems into steps that drive product development. The ideal candidate will also understand the AI Insights \&amp; AI Connect landscape, where it is now and where it is headed.
**Key Responsibilities**
* Lead technical discussions and be a thought leader during product reviews.
* Integrate your technical knowledge, subject matter expertise, and understanding of trends to make sound decisions and influence business direction through data\-driven analysis.
* Responsible for designing and executing process and strategy frameworks that facilitate product\-related goal setting, decision\-making, and business impact.
* Developing integration plans and technical requirements for new product development for enterprise customers including use case, user story, and agile product development.
* Develop and manage end\-to\-end project plans and ensure on\-time delivery.
* Articulate to stakeholders the team’s technology vision, requirements, goals, and milestones.
* Provide hands\-on program management during analysis, design, development, testing, implementation, and post\-implementation phases.
* Own the execution of Applied AI/ML and Agentic AI use cases and technologies for AI Insights \&amp; AI Connect.
* Knowledge of BSS/OSS integrations with backend systems and third\-party providers.
* Knowledge of Wireline Networks: Dedicated Internet Access, Ethernet Virtual Private Line (EVPL), Private IP (MPLS) etc. for access and transport network.
* API integration experience with internal and external systems for connecting systems together for an end\-to\-end product offering.
**What We’re Looking For...**
****You’ll need to have:****
* Bachelor’s degree or four or more years of work experience.
* Six or more years of relevant experience required, demonstrated through one or a combination of work and/or military experience, or specialized training.
* Six or more years of experience in Product Management or Technology Solutions Management, specifically focused on technical products.
* Experience delivering transformative product launches that drive exponential growth and establish the company as a primary market influencer.
* Experience executing go\-to\-market strategies for new\-to\-world products, consistently achieving rapid adoption and market disruption.
****Even better if you have one or more of the following:****
* Proven product management experience demonstrating execution of a product roadmap, moving a project from inception to completion.
* Deep data and analytic orientation for evidence\-based decision making.
* Experience in leading cross\-functional teams and motivating/inspiring them to go the extra mile, even in uncertain circumstances.
* MBA or Master’s degree in Electrical Engineering, Computer Engineering, Computer Science or equivalent.
* Understanding of Verizon's domestic and global product offerings across Connectivity and MNS portfolio.
* Experience prioritizing and executing multiple projects at a time.
* Passion and determination to make a difference in the communications industry and in our world.
 If Verizon and this role sound like a fit for you, we encourage you to apply even if you don’t meet every “even better” qualification listed above.
 Where you’ll be working
 In this hybrid role, you'll have a defined work location that includes working from home and a minimum of three days per week in the office, which will be set by your manager. Employees are responsible for maintaining compliance with hybrid work policies.
 Scheduled Weekly Hours
 40
 Equal Employment Opportunity
 Verizon is an equal opportunity employer. We evaluate qualified applicants without regard to veteran status, disability or other legally protected characteristics.
**Benefits And Compensation**
 Our benefits are designed to help you move forward in your career, and in areas of your life outside of Verizon. From health and wellness benefit options including: medical, dental, vision, short and long term disability, basic life insurance, supplemental life insurance, AD\&amp;D insurance, identity theft protection, pet insurance and group home \&amp; auto insurance. We also offer a matched 401(k) savings plan, up to 8 company paid holidays per year and up to 6 personal days per year, paid parental leave, adoption assistance and tuition assistance, plus other incentives, we’ve got you covered with our award\-winning total rewards package. Depending on the role, employees have the opportunity to receive compensation in the form of premium pay such as overtime, shift differential, holiday pay, allowances, etc. Newly hired employees receive up to 15 days of vacation per year, which grows with additional service. For part\-timers, your coverage will vary as you may be eligible for some of these benefits depending on your individual circumstances.
 The salary will vary depending on your location and confirmed job\-related skills and experience. This is an incentive based position with the potential to earn more. For part\-time roles, your compensation will be adjusted to reflect your hours.
 The annual salary range for the location(s) listed on this job requisition based on a full\-time schedule is: $128,000\.00 \- $245,000\.00\.
 The annual salary range for the Colorado location(s) listed on this job requisition based on a full\-time schedule is: $140,500\.00 \- $245,000\.00\.</t>
        </is>
      </c>
    </row>
    <row r="55">
      <c r="A55" t="inlineStr">
        <is>
          <t>li-4299602857</t>
        </is>
      </c>
      <c r="B55" t="inlineStr">
        <is>
          <t>Principal Product Manager, Agentic Offensive Security</t>
        </is>
      </c>
      <c r="C55" t="inlineStr">
        <is>
          <t>HackerOne</t>
        </is>
      </c>
      <c r="D55" t="inlineStr">
        <is>
          <t>linkedin</t>
        </is>
      </c>
      <c r="E55" t="inlineStr"/>
      <c r="F55" t="inlineStr"/>
      <c r="G55" t="inlineStr">
        <is>
          <t>Boston, MA</t>
        </is>
      </c>
      <c r="H55" t="inlineStr"/>
      <c r="I55"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Agentic Offensive Security
**Remote Location: Seattle, WA; San Francisco Bay Area; Austin, TX, Boston; or Washington, DC**
**Position Summary**
 HackerOne is seeking a hands\-on, mission\-driven Product Manager to lead the development of our Agentic Offensive Security product line with advanced offensive security testing leveraging GenAI via LLM. As an innovative leader in the PTaaS market, HackerOne provides top quality vulnerability findings commonly missed by traditional pentesting approaches for measurable risk reduction with best\-in\-class time\-to\-value and conjoined platform\-based value with our market\-leading Bug Bounty product line. This is an opportunity to help lead the business’s scaling and product line build\-out of highly disruptive offerings within the high value, high growth PTaaS cybersecurity space!
 At HackerOne, we embrace a Flexible Work approach, enabling our team members to work remotely while maintaining productivity and collaboration. We are seeking candidates located in
 **Seattle, WA; San Francisco Bay Area; Austin, TX, Boston; or Washington, DC** 
 , and the surrounding metropolitan areas, to facilitate occasional in\-person interactions as needed. While the position is primarily remote, there will be periodic in\-person requirements to support team collaboration and foster stronger connections. This approach ensures flexibility while providing opportunities to build meaningful in\-person relationships that strengthen our team and company culture.
**What You Will Do**
* Lead HackerOne development of our Pentest as a Service (PTaaS) product line strategy and roadmap in applying advanced offensive security testing leveraging GenAI via LLM in partnership with Design \&amp; Engineering.
* Lead cross\-functional GTM collaboration with customers across Product Marketing, Customer Success, and Customer Operations to discern customer challenges, drive adoption, and communicate thought leadership on PTaaS offerings.
* Evangelize the value of HackerOne’s PTaaS offerings internally and externally as a subject matter expert via customer and prospect calls, product demos, webinars, roadmap briefings, and industry events.
* Stay at the forefront of industry trends and competitive developments to identify opportunities for disruptive innovation and positioning HackerOne as a market leader.
**Minimum Qualifications**
* 10\+ years of experience in Product Management in high\-growth tech/SaaS companies.
* Demonstrated experience shaping organization\-wide AI adoption and strategy, including re\-architecting products, systems, and workflows to embed AI into how teams design, build, and operate at scale.
* Proven track record of successfully developing products / platforms in high\-growth businesses involving in\-depth cross\-functional collaboration and leadership across R\&amp;D and go\-to\-market functions.
* Experience leading product development in cloud services and/or enterprise SaaS.
* Outstanding communication and leadership skills with a collaborative and team\-oriented approach to identifying problems, determining potential solutions, and building consensus around your vision with internal and external stakeholders.
**Preferred Qualifications**
* Bachelor's degree in an application development\-related field, such as Computer Science, Computer Engineering, etc.
* MBA degree.
* Experience leading AI\-enabled product development.
* Deep understanding of cybersecurity technologies and market trends.
* Direct product management experience in related cybersecurity fields, such as attack surface management, vulnerability management, penetration testing and application security.
* Domain experience with security research/hacking as part of offensive security testing in penetration testing, red teaming, and/or bug bounty programs, including methods, tools, and types of testing.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56">
      <c r="A56" t="inlineStr">
        <is>
          <t>li-4299611566</t>
        </is>
      </c>
      <c r="B56" t="inlineStr">
        <is>
          <t>Principal Product Manager, Agentic Offensive Security</t>
        </is>
      </c>
      <c r="C56" t="inlineStr">
        <is>
          <t>HackerOne</t>
        </is>
      </c>
      <c r="D56" t="inlineStr">
        <is>
          <t>linkedin</t>
        </is>
      </c>
      <c r="E56" t="inlineStr"/>
      <c r="F56" t="inlineStr"/>
      <c r="G56" t="inlineStr">
        <is>
          <t>Austin, CO</t>
        </is>
      </c>
      <c r="H56" t="inlineStr"/>
      <c r="I56"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Agentic Offensive Security
**Remote Location: Seattle, WA; San Francisco Bay Area; Austin, TX, Boston; or Washington, DC**
**Position Summary**
 HackerOne is seeking a hands\-on, mission\-driven Product Manager to lead the development of our Agentic Offensive Security product line with advanced offensive security testing leveraging GenAI via LLM. As an innovative leader in the PTaaS market, HackerOne provides top quality vulnerability findings commonly missed by traditional pentesting approaches for measurable risk reduction with best\-in\-class time\-to\-value and conjoined platform\-based value with our market\-leading Bug Bounty product line. This is an opportunity to help lead the business’s scaling and product line build\-out of highly disruptive offerings within the high value, high growth PTaaS cybersecurity space!
 At HackerOne, we embrace a Flexible Work approach, enabling our team members to work remotely while maintaining productivity and collaboration. We are seeking candidates located in
 **Seattle, WA; San Francisco Bay Area; Austin, TX, Boston; or Washington, DC** 
 , and the surrounding metropolitan areas, to facilitate occasional in\-person interactions as needed. While the position is primarily remote, there will be periodic in\-person requirements to support team collaboration and foster stronger connections. This approach ensures flexibility while providing opportunities to build meaningful in\-person relationships that strengthen our team and company culture.
**What You Will Do**
* Lead HackerOne development of our Pentest as a Service (PTaaS) product line strategy and roadmap in applying advanced offensive security testing leveraging GenAI via LLM in partnership with Design \&amp; Engineering.
* Lead cross\-functional GTM collaboration with customers across Product Marketing, Customer Success, and Customer Operations to discern customer challenges, drive adoption, and communicate thought leadership on PTaaS offerings.
* Evangelize the value of HackerOne’s PTaaS offerings internally and externally as a subject matter expert via customer and prospect calls, product demos, webinars, roadmap briefings, and industry events.
* Stay at the forefront of industry trends and competitive developments to identify opportunities for disruptive innovation and positioning HackerOne as a market leader.
**Minimum Qualifications**
* 10\+ years of experience in Product Management in high\-growth tech/SaaS companies.
* Demonstrated experience shaping organization\-wide AI adoption and strategy, including re\-architecting products, systems, and workflows to embed AI into how teams design, build, and operate at scale.
* Proven track record of successfully developing products / platforms in high\-growth businesses involving in\-depth cross\-functional collaboration and leadership across R\&amp;D and go\-to\-market functions.
* Experience leading product development in cloud services and/or enterprise SaaS.
* Outstanding communication and leadership skills with a collaborative and team\-oriented approach to identifying problems, determining potential solutions, and building consensus around your vision with internal and external stakeholders.
**Preferred Qualifications**
* Bachelor's degree in an application development\-related field, such as Computer Science, Computer Engineering, etc.
* MBA degree.
* Experience leading AI\-enabled product development.
* Deep understanding of cybersecurity technologies and market trends.
* Direct product management experience in related cybersecurity fields, such as attack surface management, vulnerability management, penetration testing and application security.
* Domain experience with security research/hacking as part of offensive security testing in penetration testing, red teaming, and/or bug bounty programs, including methods, tools, and types of testing.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57">
      <c r="A57" t="inlineStr">
        <is>
          <t>li-4379790567</t>
        </is>
      </c>
      <c r="B57" t="inlineStr">
        <is>
          <t>Program Manager (REMOTE)</t>
        </is>
      </c>
      <c r="C57" t="inlineStr">
        <is>
          <t>Lensa</t>
        </is>
      </c>
      <c r="D57" t="inlineStr">
        <is>
          <t>linkedin</t>
        </is>
      </c>
      <c r="E57" t="inlineStr"/>
      <c r="F57" t="inlineStr"/>
      <c r="G57" t="inlineStr">
        <is>
          <t>Minneapolis, MN</t>
        </is>
      </c>
      <c r="H57" t="inlineStr"/>
      <c r="I5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Role Summary
 Applies advanced subject\-matter expertise to resolve common and complex business issues within established guidelines, recommending appropriate solutions and alternatives. Works independently on problems of varied complexity and scope, exercising sound judgment within defined policies and practices. May lead project teams, providing direction, facilitating collaboration, and supporting informed decision\-making. Capable of handling most unique situations and seeks guidance as needed for highly complex business decisions.
* Manage end\-to\-end customer project delivery for large or moderately complex projects at a local or sub\-regional level.
* Oversee projects with medium to high risk and moderate legal and commercial complexity.
* Ensure projects meet or exceed SOAR\-approved budgets and delivery commitments.
* Own and manage project financials, including profit and loss (P\&amp;L).
* Provide accurate and reliable financial forecasts to senior management.
* Identify and develop new business opportunities within existing projects.
* Support qualification and assessment of large and moderately complex opportunities.
* Act as Opportunity Manager for medium to high\-risk deals.
* Manage and strengthen mid\- to senior\-level client relationships.
* Serve as a frequent point of representation for the organization with external customers and stakeholders.
* Lead and coordinate internal and external project resources, managing teams of up to 20 members.
* Mentor team members and encourage professional skill development.
* Provide performance feedback and identify development areas for team members.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Minimum of 5 years’ experience in project management or related roles.
* Experience in financial management, including profits and loss, budgets, reporting, etc.
* Progressing toward PMP certification.
 If you have questions about this posting, please contact support@lensa.com</t>
        </is>
      </c>
    </row>
    <row r="58">
      <c r="A58" t="inlineStr">
        <is>
          <t>li-4342323035</t>
        </is>
      </c>
      <c r="B58" t="inlineStr">
        <is>
          <t>Product Manager II</t>
        </is>
      </c>
      <c r="C58" t="inlineStr">
        <is>
          <t>ITW</t>
        </is>
      </c>
      <c r="D58" t="inlineStr">
        <is>
          <t>linkedin</t>
        </is>
      </c>
      <c r="E58" t="inlineStr"/>
      <c r="F58" t="inlineStr"/>
      <c r="G58" t="inlineStr">
        <is>
          <t>Glenview, IL</t>
        </is>
      </c>
      <c r="H58" t="inlineStr"/>
      <c r="I58" t="inlineStr">
        <is>
          <t>**Job Description**
**ITW (Illinois Tool Works Inc.)** 
 is a Fortune 200 company and is one of the world’s leading diversified manufacturers of specialized industrial equipment, automotive components, consumables, and related service businesses. ITW businesses serve local customers and markets around the globe, with operations in 55 countries and an employee base of more than 46,000 women and men who adhere to the highest ethical standards. These talented individuals, many of whom have specialized engineering or scientific expertise, contribute to our global leadership in innovation. We are proud of our broad portfolio of more than 17,000 granted and pending patents.
**ITW Mechanical Fastening,** 
 a division of the Construction Products business segment, is a global provider of premium fastening solutions that improve contractor productivity and building quality in the residential and renovation construction industries. Our products are positioned as market leaders and category leading brands encompassing structural wood fasteners (GRK Fasteners™), concrete anchoring systems (Tapcon®, Red Head®, Ramset®), underlayment screws (Rock\-On®, Backer\-On®), self\-drilling screws (Teks®) and drywall anchoring systems (E\-Z Ancor®).
 The
 **Product Manager II** 
 will set strategy, drive innovation, and manage profitability across their product categories. The Product Manager will interact with all functional groups throughout the division as the owner of the overall product lifecycle. This individual will be the product category leader responsible for total portfolio management. ITW is looking for business leaders that are excellent problem solvers with strong communication skills that perform well in an entrepreneurial environment. A successful candidate will be able to leverage the ITW Business Model including end user backed product development, implementation of 80/20 prioritization, and a focus on simplification to position their product categories for sustained growth.
**Core Responsibilities**
* Customer Back Innovation – Execution of the new product development roadmap to capitalize on key market opportunities and champion the Customer Back Innovation stage gate process through cross\-functional leadership. Product Managers will lead new product rollout efforts including forecasting volumes, end user validation, integrated marketing planning as well as sales and channel training.
* End User Intimacy – Gain strong understanding of voice of customer through qualitative and quantitative market research that drive product strategy and development. Lead end user segmentation to ensure proper targeting and prioritization
* Product Portfolio Management – Lead product portfolio strategy including management of existing product mix and pricing strategy to drive top\- and bottom\-line financial performance. Participate in capacity planning efforts working with operations and engineering. Responsible for product line maintenance including SKU rationalization and simplification to optimize the product mix and financials.
* Financial Ownership – The Product Manager will own the P\&amp;L for their product categories and deliver on key metrics by utilizing the ITW toolbox philosophies and other key performance indicators.
* Market Landscape – The Product Manager will have a full understanding of the market dynamics including customer and end user trends, competitive trends and actions and will drive market sizing efforts to ensure focus on addressable market. weaknesses of our competitor’s products/brands.
**Qualifications**
* Bachelor’s Degree required in business, engineering, marketing, or a comparable discipline, required; MBA, preferred.
* A minimum of 3\-5 years of marketing experience preferred with at least 2\-3 years of product management experience; new product development experience, from inception to product introduction and full product lifecycle management preferred
* Experience with durable goods is preferred
* Financial acumen to analyze financial results and new market opportunities is preferred
* Advanced skills in Excel, Word and Power Point are required.
* The ability to travel approximately 20% is required
* Strong team/project management, communications, and presentation skills
* Proven ability to influence cross\-functional teams without formal authority
* Ability to maintain a keen attention to detail, multitask and work well under pressure
* Self\-starter with a natural tendency to be curious, positive, and creative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requires an employee to work in a variety of locations including, but not limited to: home office, job sites, lumberyards, and distributor locations. These environments are not controlled by ITW.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talk, hear, reach with hands and arms, and regularly required to walk. Must be able to lift 40 lbs., able to walk and stand for long periods of time at customer events, trade shows, and job site locations. Position requires approximately 20% travel and the ability to operate a motor vehicle.
**Compensation Information**
 We believe our people are our greatest asset. That’s why we invest in creating an environment where you can thrive—both personally and professionally. For more details, visit our Benefits page.
 In addition, our benefits include paid vacation, sick, holiday, and parental leave.
 Annual base salary range for this position is $120,000 \- $130,000, plus up to 10% annual bonus incentive. Please note that this salary information serves as a general guideline. Company considers various factors when extending an offer, including but not limited to the scope and responsibilities of the position, the candidate's work experience, education and training, key skills, as well as market and business considerations.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59">
      <c r="A59" t="inlineStr">
        <is>
          <t>li-4379295582</t>
        </is>
      </c>
      <c r="B59" t="inlineStr">
        <is>
          <t>Kinexys Digital Assets - Product Manager- Vice President</t>
        </is>
      </c>
      <c r="C59" t="inlineStr">
        <is>
          <t>JPMorganChase</t>
        </is>
      </c>
      <c r="D59" t="inlineStr">
        <is>
          <t>linkedin</t>
        </is>
      </c>
      <c r="E59" t="inlineStr"/>
      <c r="F59" t="inlineStr"/>
      <c r="G59" t="inlineStr">
        <is>
          <t>New York, NY</t>
        </is>
      </c>
      <c r="H59" t="inlineStr"/>
      <c r="I59"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Kinexys Digital Assets,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Transform existing structures and market practices to provide better services and experiences to our clients
* Convert ideas into well\-articulated, visually impactful presentations
* Take initiative but work well within a dynamic and fast paced team environment
* Present ideas to senior management \&amp; clients and are excited to work with vendors and startups in the blockchain community
* Understand distributed ledger technology and related applications, including a technical understanding of cryptocurrency technology fundamentals and how they are / are not relevant to public and/or private, permissioned blockchains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Strong working knowledge of Web3, banking, finance, and payments ecosystems
**Preferred Qualifications, Capabilities, And Skills**
* Demonstrated prior experience working in a highly matrixed, complex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0">
      <c r="A60" t="inlineStr">
        <is>
          <t>li-4378825628</t>
        </is>
      </c>
      <c r="B60" t="inlineStr">
        <is>
          <t>Sr. Program Manager with AI ML</t>
        </is>
      </c>
      <c r="C60" t="inlineStr">
        <is>
          <t>Falcon Smart IT (FalconSmartIT)</t>
        </is>
      </c>
      <c r="D60" t="inlineStr">
        <is>
          <t>linkedin</t>
        </is>
      </c>
      <c r="E60" t="inlineStr"/>
      <c r="F60" t="inlineStr"/>
      <c r="G60" t="inlineStr"/>
      <c r="H60" t="inlineStr"/>
      <c r="I60" t="inlineStr">
        <is>
          <t>Job Title:
 **Sr. Program Manager with AI ML** 
 Location:
 **Remote** 
 Job Type:
 **FTE** 
**Job Description:** 
**Educational Qualification: B.E/B.Tech Graduate in the field of Technology** 
**Experience Range \- 15\- 20 Years Max** 
 Educational Qualification\*
**B.tech/M.tech** 
 Experience Range
**15\+ Years** 
 Primary (Must have skills)\* \- To be Screened by TA Team
 8\+ years of experience in program management, risk, or compliance roles, with the background of AI or any kind of governance.
 3\+ Deep understanding of AI/ML technologies and lifecycle, including
 **GenAI systems.** 
 2 years of experience in ethical and responsible AI principles (accountability, explainability, fairness and transperancy)
 2\+ Experience with regulatory frameworks, especially the EU AI Act, NIST AI RMF, GDPR and OECD AI Principles.
 5\+ background in post\-merger integration and process reconciliation.
 1\-2 years experience in Policy definition for
 **GenAI \&amp; Agentic AI systems** 
 1\-2 years of experience in AI risk assessment \&amp; mitigation strategy, AI model lifecycle management
 2\-3 years experience in
 **AI governance framework** 
 Excellent communication, stakeholder management, and change leadership skills.
 Job Description of Role\* (RNR) \- To be Evaluated by Technical Panel (Define it to give more clarity)
 We are seeking a highly experienced Senior Program Manager to lead and evolve our enterprise\-wide AI governance strategy. This role is critical in ensuring our AI systems are developed and deployed responsibly, ethically, and in compliance with global regulations—especially the EU AI Act. You will play a key role in reconciling governance processes following our recent acquisition of Juniper, aligning their AI governance practices with ours, and integrating them into our existing Architecture Review (ARV) workflows.
 Key Responsibilities
 \- AI Governance Leadership: Develop, implement, and maintain a robust AI governance framework aligned with regulatory, ethical, and business standards.
 \- Define and enforce Responsible AI policies covering bias control, hallucination mitigation, prompt injection defense, and ethical AI standards for Agentic AI systems.
 \- Govern Azure AI services including Azure OpenAI access control, Content Safety configuration, RBAC, Managed Identity, and secure key management.
 \- Establish control frameworks for multi\-agent orchestration, tool/function permissions, and AI memory/data retention policies.
 \- Ensure enterprise security and regulatory compliance through data classification, PII protection, encryption, and audit traceability.
 \- Monitor AI systems for risk, performance, and cost using Azure Monitor, logging frameworks, usage analytics, and governance reporting dashboards.
 \- EU AI Act Compliance: Lead readiness and compliance efforts, including risk classification, documentation, and conformity assessments.
 \- Post\-Acquisition Integration: Reconcile Juniper’s AI governance processes with existing frameworks, identifying overlaps and harmonizing workflows.
 \- Architecture Review Alignment: Integrate AI governance reviews with the ARV process to ensure streamlined oversight and reduced duplication.
 \- Risk Management: Oversee AI risk assessments, model inventories, and validation processes across business units.
 \- Stakeholder Collaboration: Partner with legal, compliance, engineering, and product teams to embed governance into the AI/ML lifecycle.
 \- Training \&amp; Awareness: Develop and deliver training programs on responsible AI practices and regulatory requirements.
 \- Metrics \&amp; Reporting: Define KPIs and reporting mechanisms to measure governance effectiveness and drive continuous improvement.
 \-Enhancement of AI Intake Process and reconciliation with other processes (Agentic, ERAG, and existing workflows such as ARB).
 \- AI Use Case Inventory: Tracking status and implementing closed\-loop reporting.
 \- AI Governance Mailbox Support.
 Soft skills/other skills \- To be Evaluated by Hiring Manager (To define how this will be evaluated)
**Communication Skills:**
 Communicate effectively with internal and customer stakeholders
 Communication approach: verbal, emails and instant messages
**Interpersonal Skills:**
 Strong interpersonal skills to build and maintain productive relationships with team members
 Provide constructive feedback
**Problem\-Solving and Analytical Thinking:**
 Capability to troubleshoot and resolve issues efficiently.
 Analytical mindset
**Task/ Work Updates**
 Prior experience in working on Agile/Scrum projects with exposure to tools like Jira/Azure DevOps
 Provides regular updates, proactive and due diligent to carry out responsibilities
 Expected Outcome
 We are looking for a Senior Program Manager who is proficient with above mentioned Primary Skills to join our dynamic team who are at the forefront of enabling enterprises in AI/ML.
 Effectively Communicate and Collaborate with internal teams and customer.
 Secondary Skills to be planned Post Hiring \- Training Plan
 AI Governance \&amp; Risk Management:
 Experience working in a global enterprise or regulated industry .
 Familiarity with architecture review boards and technical governance processes.
 Certifications in AI ethics, compliance, or risk management.</t>
        </is>
      </c>
    </row>
    <row r="61">
      <c r="A61" t="inlineStr">
        <is>
          <t>li-4363848673</t>
        </is>
      </c>
      <c r="B61" t="inlineStr">
        <is>
          <t>Senior Staff Engineering Product Manager</t>
        </is>
      </c>
      <c r="C61" t="inlineStr">
        <is>
          <t>Cisco</t>
        </is>
      </c>
      <c r="D61" t="inlineStr">
        <is>
          <t>linkedin</t>
        </is>
      </c>
      <c r="E61" t="inlineStr"/>
      <c r="F61" t="inlineStr"/>
      <c r="G61" t="inlineStr">
        <is>
          <t>Chicago, IL</t>
        </is>
      </c>
      <c r="H61" t="inlineStr"/>
      <c r="I61" t="inlineStr">
        <is>
          <t>The application window is expected to close on: 03/17/2026
**Job posting may be removed earlier if the position is filled or if a sufficient number of applications are received** 
 .
**Senior Staff Product Manager – Platform Security**
 (Cryptography, PKI, FIPS, Secrets, AI Runtime Security)
 Splunk is here to build a safer and more resilient digital world. Our unified security and observability platform is trusted by the world's leading enterprises to secure and ensure the reliability of their digital systems. Join us as we pursue our next chapter — building Splunk into the industry\-leading platform for secure data, trusted automation, and AI\-powered defense. We are a company filled with people who are passionate about our products, our customers, and delivering outcomes that matter. At Splunk, we are committed to trust, innovation, and to each other's success. Now part of Cisco, we offer the scale, reach, and investment of a global technology leader while preserving the velocity, ownership, and product\-driven culture that define Splunk. Learn more about Splunk careers and how you can become a part of our journey.
**The Opportunity**
 We are hiring a
 **Senior Staff Product Manager to lead Platform Security** 
 — defining and driving the core security primitives that power Splunk’s platform, cloud services, and AI future. This role owns product strategy and execution for PKI, certificate lifecycle automation, TLS and cryptographic upgrades, FIPS compliance, secrets management, and secure service identity for a multi\-billion\-dollar product portfolio.
 You will drive the next generation of Splunk’s secure foundation — ensuring every workload, every customer action, and every AI agent at Splunk is backed by strong identity hardened cryptography, and secure\-by\-default design. You will also lead security direction for
 **AI agent workloads and runtime environments** 
 , ensuring safe credentials, isolation\-ed boundaries, encrypted inter\-agent communication, and trust\-anchored execution models as Splunk scales into distributed automation and agentic decisioning.
 This is a pivotal role for Splunk’s future. You will act as the product authority and single\-threaded owner working across engineering, architecture, and product leadership to deliver crypto\-resilient infrastructure that customers rely on every second of every day.
**Responsibilities**
* Develop and maintain a multi\-year roadmap for Platform Security capabilities including certificate lifecycle management, PKI infrastructure, secrets management, token security, and cryptographic compliance (FIPS 140\-3, TLS modernization).
* Lead product strategy for secure\-by\-default platform foundations, including certificate authority enablement, key management systems, secure bootstrapping, and encrypted data\-in\-transit/at\-rest standards across Splunk products.
* Partner closely with engineering, architecture, compliance, and product teams to deliver security\-critical outcomes tied to regulatory requirements, customer needs, and Cisco\-Splunk integration.
* Drive execution from concept to GA — translating security requirements into product features, guiding implementation tradeoffs, and ensuring scalable, operable, and audit\-ready security systems.
* Influence internal partners and customers through clear RFCs, technical proposals, risk\-impact evaluations, and roadmap presentations to align execution across distributed product teams.
* Champion a security\-first culture passionate about resilience, crypto\-agility, measurable hardening of the platform, and continuous improvement of secrets, certificates, and machine identity posture.
**Requirements**
* Bachelor’s, Master’s, PhD in Computer Science, Security Engineering, or equivalent experience — with demonstrated depth in cryptographic or distributed security systems.
* 7\+ years experience in Product Management or Technical Product Leadership within enterprise infrastructure, cloud platforms, or security foundations.
* Recognized expertise in platform security — consistent record owning and scaling capabilities such as PKI systems, certificate lifecycle automation, CA/RA service design, HSM/KMS integration, mTLS, token/secret governance.
* Hands\-on experience driving cryptographic modernization at scale — including TLS upgrades, OpenSSL migrations, FIPS 140\-2/140\-3 compliance, deprecation of legacy cipher suites, and crypto\-agility planning across large product surfaces.
* Drive the security strategy for AI agent workloads and runtime environments — ensuring secure credential handling, secrets isolation, encrypted agent\-to\-agent communication, certificate\-backed identity, and hardened execution surfaces for AI\-driven automation.
* Proven ability to influence technical direction and security standards across multiple product organizations, with a history of defining frameworks, policies, and architectural principles — not just completing them.
* Outstanding written and verbal communication — skilled at producing high\-clarity PRFAQs, technical narratives, risk justifications, and roadmap proposals to drive alignment from engineering teams to EVP/SVP audiences.
* Background with Splunk, large distributed control planes, high\-scale authentication trust chains, or security\-sensitive enterprise products is strongly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$176,100\.00 to $250,400\.00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2">
      <c r="A62" t="inlineStr">
        <is>
          <t>li-4377718931</t>
        </is>
      </c>
      <c r="B62" t="inlineStr">
        <is>
          <t>Contract Program Manager, Global Infrastructure and Energy</t>
        </is>
      </c>
      <c r="C62" t="inlineStr">
        <is>
          <t>Google</t>
        </is>
      </c>
      <c r="D62" t="inlineStr">
        <is>
          <t>linkedin</t>
        </is>
      </c>
      <c r="E62" t="inlineStr"/>
      <c r="F62" t="inlineStr"/>
      <c r="G62" t="inlineStr">
        <is>
          <t>New York, NY</t>
        </is>
      </c>
      <c r="H62" t="inlineStr"/>
      <c r="I62"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Applicants in Washington State: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Google's hybrid workplace includes remote and in\-office roles. By applying to this position you will have an opportunity to share your preferred working location from the following:
**In\-office locations: Reston, VA, USA; Austin, TX, USA; Papillion, NE, USA; Moncks Corner, SC 29461, USA; Mesa, AZ, USA; New York, NY, USA; San Francisco, CA, USA; Sunnyvale, CA, USA.**
**Remote location(s): California, USA; Illinois, USA; New York, USA; Washington, USA.** 
**Minimum qualifications:**
* Bachelor's degree in Construction Management, Supply Chain Management, Finance or a related field or equivalent practical experience.
* 5 years of experience in pre\-construction program management specifically within the construction, real estate, or data center industries.
* 5 years of experience in contract negotiation and procurement strategies, including the direct management of developer, EPC, GC, and A/E relationships.
* 5 years of experience utilizing data visualization tools (such as Tableau, SQL, or custom dashboards) to monitor and report on program health and performance.
* 5 years of experience in contract administration, procurement, or legal support within a high\-volume professional environment.
**Preferred qualifications:**
* Master's degree in Construction Management, Supply Chain Management, Finance or a related field.
* 10 years of experience in managing agreement negotiations across various agreement methodologies.
* Experience optimizing the end\-to\-end source\-to\-contract flow for mission\-critical portfolios.
* Experience in the design and construction of critical facilities, with an ability to lead partnerships with Developers, Architects, and Engineers (A/E) to translate delivery models into actionable, market\-ready procurement strategies.
* Understanding of contracts, including indemnity, liability, and standard commercial terms.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Contract Manager within Global Infrastructure and Energy (GIE), you will be responsible for overseeing the contract management lifecycle for the global data center portfolio, specifically focusing on the commercial engagement of Developers, Engineering, Procurement, and Construction (EPCs), General Contractors, and Architecture and Engineering firms (A\&amp;E) firms. In this role, you will act as a strategic bridge between Legal and Operations, ensuring all contracts maximize business value while mitigating legal and financial risks. You will serve as the primary negotiator with vendors, clients, and partners to secure favorable terms that align with key Department goals.Behind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responsible for the timely execution of portfolio contract models for Google’s growing data center program.
* Influence the development and selection of contracting models based on project\-specific nuances, including strategic goals, risk profiles, design completion and partner strategy.
* Partner with Construction, Design, and external partners to drive the contract review, negotiation and execution lifecycle.
* Interface with the internal Real Estate Legal team to ensure all contractual terms align with corporate risk expectations and standards.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li-4378487910</t>
        </is>
      </c>
      <c r="B63" t="inlineStr">
        <is>
          <t>Financial/Banking Sr Technical Project/Program Manager</t>
        </is>
      </c>
      <c r="C63" t="inlineStr">
        <is>
          <t>Pinnacle Method Consulting</t>
        </is>
      </c>
      <c r="D63" t="inlineStr">
        <is>
          <t>linkedin</t>
        </is>
      </c>
      <c r="E63" t="inlineStr"/>
      <c r="F63" t="inlineStr"/>
      <c r="G63" t="inlineStr"/>
      <c r="H63" t="inlineStr"/>
      <c r="I63" t="inlineStr">
        <is>
          <t>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Fintech/Digital Payments
**Why Consider This Job Opportunity**
* Long\-term contract with the flexibility of remote work
* Opportunity to manage multimillion\-dollar technical programs
* Potential for career advancement in a dynamic fintech environment
* Work with cutting\-edge technologies, including cloud platforms and microservices
* Collaborate with cross\-functional teams to drive innovation and continuous improvement
**What To Expect (Job Responsibilities)**
* Manage and oversee IT project/program management within fintech, BFSI, and digital payments sectors
* Utilize various software delivery models, including Agile, Scrum, Kanban, and Waterfall hybrid
* Communicate effectively with stakeholders and manage their expectations
* Drive large cross\-functional initiatives and ensure alignment across teams
* Ensure compliance with information security, regulatory frameworks, and data privacy standards
**What Is Required (Qualifications)**
* Bachelor's degree in Computer Science, Engineering, Information Systems, or a related field
* 12\-15\+ years of experience in IT project/program management within fintech, BFSI, payments, or digital platforms
* Strong technical background with hands\-on experience in development, architecture, or integrations
* Expertise in managing multimillion\-dollar technical programs
* Excellent communication, stakeholder management, and analytical skills
**How To Stand Out (Preferred Qualifications)**
* Certifications such as PMP, PgMP, PRINCE2, CSM, or SAFe
* Experience with cloud platforms like AWS, Azure, or GCP, as well as API gateways and microservices
* Familiarity with enterprise PM tools such as JIRA, Confluence, MS Project, Clarity, or Planview
* Hands\-on understanding of information security and regulatory compliance frameworks
 \#Fintech \#ProjectManagement \#RemoteWork \#DigitalPayments \#Innovation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t>
        </is>
      </c>
    </row>
    <row r="64">
      <c r="A64" t="inlineStr">
        <is>
          <t>li-4359461255</t>
        </is>
      </c>
      <c r="B64" t="inlineStr">
        <is>
          <t>Technical Program Manager</t>
        </is>
      </c>
      <c r="C64" t="inlineStr">
        <is>
          <t>Enovix Corporation</t>
        </is>
      </c>
      <c r="D64" t="inlineStr">
        <is>
          <t>linkedin</t>
        </is>
      </c>
      <c r="E64" t="inlineStr"/>
      <c r="F64" t="inlineStr"/>
      <c r="G64" t="inlineStr">
        <is>
          <t>Fremont, CA</t>
        </is>
      </c>
      <c r="H64" t="inlineStr"/>
      <c r="I64" t="inlineStr">
        <is>
          <t>**About The Job**
 Enovix (Nasdaq: ENVX) is an advanced silicon battery global company based in Fremont, Calif.
 Enovix is on a mission to power the technologies of the future. Everything from IoT, mobile and computing devices, to the vehicle you drive, needs a better battery. Our disruptive architecture enables a battery with high energy density and capacity without compromising safety. We are scaling our silicon\-anode, lithium\-ion battery manufacturing capabilities to meet customer demand. For more information visit www.enovix.com and follow us on LinkedIn.
 This is an exciting time at Enovix! We are looking for experienced candidates to help support our 50,000 square\-feet lithium\-ion battery production facility in Penang, Malaysia for commercialization of our 3D Silicon™ Lithium\-ion Rechargeable Battery.
**Job Summary**
 We are seeking an experienced Technical Project Lead (TPL) candidate to lead our product development programs. As a TPL, you will work closely with cross\-functional teams, including product management, R\&amp;D, process development, manufacturing engineering, procurement \&amp; supply chain, sales, and finance. You will be responsible for developing and managing complex program schedules, tracking progress against these plans, and ensuring the company hits our targets. This inclusive of successful ramp of new products into HVM.The ideal candidate is a self\-starter, a team player and a team leader.
**Responsibilities**
* Planning \&amp; scheduling project goals, milestones, and deliverables
* Work cross\-functionally to ensure projects are resourced appropriately, scopes are well defined, schedule targets are met.
* Organize and manage technical discussions to ensure solutions are designed for successful \&amp; scalable deployment.
* Plan, organize, and orchestrate all tooling build \&amp; matrix activities. Facilitate layout and ramp management with engineering.
* Define project scope, plan and direct schedules while focusing on regular \&amp; timely high\-quality delivery; organize and lead project status and working meetings; brainstorm and lead course correct.
* Drive progress, prioritize key activities, and proactively lead risks.
* Ensure alignment across teams and across stakeholders.
* Identifying \&amp; solving project issues effectively, managing conflicts with local and global groups.
* Enovix is a multi\-national business with sites in Fremont HQ,, Malaysia and Korea. As such
* Facilitate communication across the company to ensure plan of record and provide appropriate and timely updates to leadership team.
**Qualifications**
* Bachelor’s degree in science or engineering plus at least 5\-7 years of engineering experience
* Minimum of 7 years of program management experience
* Minimum of 10 years of semiconductor or battery manufacturing engineering experience
* Familiar with product development, NPI, MPV and HVM
* Experienced in working cross\-functionally and managing large, complex programs.
* Demonstrated business acumen
* Ability to communicate at all levels, from operators to C\-level.
* Ability to work with ambiguity in a fast\-paced environment.
 This role requires to travel internationally.
**Benefits**
* Base Salary Range\- $142,000 \- 215,000
* Base salary is just one part of the overall compensation. We also offer bonus, equity and package of benefits including paid time off, medical/dental/vision insurance, life insurance, disability insurance.
* We adopt a holistic approach to our benefits programs, emphasizing physical, emotional, financial, career, and community wellness to support a balanced life.
* Our packages are tailored to meet local needs and may include healthcare coverage, mental well\-being support, retirement savings, paid time off, family leaves.
 Enovix is an equal opportunity employer.</t>
        </is>
      </c>
    </row>
    <row r="65">
      <c r="A65" t="inlineStr">
        <is>
          <t>li-4369008779</t>
        </is>
      </c>
      <c r="B65" t="inlineStr">
        <is>
          <t>Finance Program Manager</t>
        </is>
      </c>
      <c r="C65" t="inlineStr">
        <is>
          <t>Imagine360</t>
        </is>
      </c>
      <c r="D65" t="inlineStr">
        <is>
          <t>linkedin</t>
        </is>
      </c>
      <c r="E65" t="inlineStr"/>
      <c r="F65" t="inlineStr"/>
      <c r="G65" t="inlineStr"/>
      <c r="H65" t="inlineStr"/>
      <c r="I65" t="inlineStr">
        <is>
          <t>**Imagine360 is currently seeking a Finance Program Manager to join our finance team.** 
 The Imagine360 Finance Manager will support strategic decision making by providing financial insights, developing models, analyzing claims volume trends, conducting customer level variance analysis, and building automated reporting solutions that deliver clear, actionable insights
 **.**
**Position Location: 100% remote**
**Responsibilities include but are not limited to:**
**Financial Planning \&amp; Analysis**
* Develop variance analyses, financial models, performance dashboards, and reporting frameworks that deliver actionable insights.
* Analyze claims volume, utilization trends, and cost drivers to enhance forecasting accuracy and operational performance.
* Build predictive models to identify patterns, anomalies, and financial impacts across key business drivers.
* Partner cross‑functionally with operations, claims, and IT teams to ensure alignment and visibility into financial and operational metrics.
* Support forecasting and budgeting activities through data analysis, model refinement, and insight development.
**Data, Reporting \&amp; KPIs**
* Design automated dashboards and self‑service reporting tools using Tableau and Power BI.
* Build complex datasets using SQL and develop Python automation to streamline processes, enhance data accuracy, and improve forecasting models.
* Develop standardized reporting packages and KPI metrics to measure financial and operational performance.
**Ad‑Hoc Analysis**
* Conduct deep‑dive analyses to support strategic initiatives, pricing decisions, and investment opportunities.
* Provide insights into market trends and business performance drivers.
* Respond to urgent analytical requests with clear, actionable findings.
* Build flexible models and tools to enable rapid scenario analysis as needed.
**Required Experience / Education:**
* Bachelor's degree in finance, Accounting, Economics, Data Analytics, or related field (MBA/CFA a plus)
* 5\+ years of experience in FP\&amp;A or related analytical finance roles
* Strong understanding of the healthcare industry
* Proficiency in SQL, Python, Tableau, Power BI, and advanced Excel (including PowerQuery/PowerPivot)
* Exceptional analytical thinking, communication, and presentation skills
* Ability to manage multiple priorities in a fast paced environment with high attention to detail and data accuracy
**Skills and Abilities:**
* Ability to ensure adherence to HIPAA regulations.
* Detail oriented with a problem\-solving attitude.
* Demonstrated ability to lead successful implementations.
* Ability to find creative solutions to technology challenges.
* Strong ability to effectively communicate both verbally and in writing.
* Ability to work with remote teams including working closely with business professionals as well as technical resources and acting as a bridge between the two groups including liaison with trading partners.
* Possess excellent organizational, time management and follow\-up skills.
* Demonstrates ability to work independently, take initiative and be self\-motivated.
* Strong analytical skills with the ability to collect, organize, analyze, and disseminate significant amounts of information with attention to detail and accuracy.
* Ability to make effective and accurate decisions under pressure and work in fast paced environment.
* Demonstrated ability to treat confidential information with discretion.
* Knowledge of healthcare industry.
**What can Imagine360 offer you?**
* Multiple Health Plan Options
* Company paid employee premiums for disability, and Life Insurance
* Parental Leave Policy
* 20 days PTO to start / 10 Paid Holidays
* Tuition reimbursement
* 401k Company contribution
* Professional development initiatives / continuous learning opportunities
* Opportunities to participate in and support the company's diversity and inclusion initiatives
**Want to see our latest job opportunities? Follow us on** 
**LinkedIn**
 Imagine360 is a health plan solution company that combines 50\+ years of self\-funding healthcare expertise. Over the years, we've helped thousands of employers save billions on healthcare. Our breakthrough total health plan solution is fixing today's one\-size\-fits\-none PPO insurance problems with powerful, customized, member\-focused solutions.
 Imagine360 is an equal opportunity employer. All qualified applicants will receive consideration for employment without regard to race, color, religion, sex, sexual orientation, gender identity, national origin, disability, or veteran status.
 \*\*RECRUITMENT AGENCIES PLEASE NOTE: Imagine360 will only accept applications from agencies/business partners that have been invited to work on a specific role. Candidate Resumes/CV's submitted without permission or directly to Hiring Managers will be considered unsolicited and no fee will be payable. Thank you for your cooperation\*\*</t>
        </is>
      </c>
    </row>
    <row r="66">
      <c r="A66" t="inlineStr">
        <is>
          <t>li-4286309435</t>
        </is>
      </c>
      <c r="B66" t="inlineStr">
        <is>
          <t>Program Manager</t>
        </is>
      </c>
      <c r="C66" t="inlineStr">
        <is>
          <t>Curtiss-Wright Corporation</t>
        </is>
      </c>
      <c r="D66" t="inlineStr">
        <is>
          <t>linkedin</t>
        </is>
      </c>
      <c r="E66" t="inlineStr"/>
      <c r="F66" t="inlineStr"/>
      <c r="G66" t="inlineStr">
        <is>
          <t>Summerville, SC</t>
        </is>
      </c>
      <c r="H66" t="inlineStr"/>
      <c r="I66" t="inlineStr">
        <is>
          <t>We are looking for a
 **Program Manager** 
 to join our Summerville SC location.
**Your Responsibilities**
 As a Program Manager, you will have the primary role in ensuring program technical, cost and schedule contract commitments are satisfied on contracts ranging from $5M to $10M. You will lead an integrated product team in achieving contract commitments, driving performance of all. You will be the single point of program leadership, be responsible for assigning and monitoring technical, cost and schedule objectives, and the primary customer POC. This position requires leadership of engineering, manufacturing, planning, quality, contract and finance resources to complete all program tasks.
**We Take Care Of Our People**
 Paid Time Off
 **I** 
 401K with Employer Match and Profit Sharing
 **I** 
 Health and Wellness Benefits
 **I** 
 Learning and Development Opportunities
 **I** 
 Referral Program
 **I** 
 Competitive Pay
 **I** 
 Recognition
 **I** 
 Employee Stock Purchase Plan
 **I** 
 Inclusive \&amp; Supportive Culture
**Salary: $113,900 – 164,500**
 Please note that the salary range information provided is a general guideline only, reflecting a position based in SC. Criteria such as the candidate’s qualifications and relevant experience, the scope of the specific position, as well as market and business considerations will be evaluated when extending an offer.
**Your Challenge**
* Manage, coordinate and control Work Plan execution to achieve technical, cost and schedule objectives
* Efficiently and effectively work towards goals in a complex, diverse environment with multiple constraints
* Lead the program team and regular meetings to monitor and drive progress toward objectives
* Maintain effective customer communications, ensuring that all customer requirements and expectations are addressed effectively
* Address and resolve project issues pertaining to project work scope, technical requirements, quality, schedule, resource assignments, cost customer interface and other program related activities
* Communicate program progress, issues, and/or resolution options to team members’ customers and SAS management
* Review and control cost, including the coordination and certification of Estimate at Complete dates
* Develop and monitor the Risk Management Plan as part of planning and execution of the program
* Interact with Sourcing and suppliers to plan for and secure the materials needed for the program and future production
* Interact with operations and integrate between shop floor and program management
* Coordinate the efforts of Curtiss\-Wright and customer project teams
* Periodic travel to customer and supplier sites to support program execution and business development activities (5\-15%)
**What You Bring**
* Due to DoD requirements, candidates must be US citizens
* Must be able to obtain and maintain DoD Security clearances and approvals
* Bachelor's degree in engineering or equivalent with appropriate course complete to support a project management team.
* 5 \+ years' experience in program management experience in large aerospace and defense contracts, directly responsible for equipment/hardware production and delivery
* Demonstrated ability to effectively develop and manage detailed program budgets
* Familiarity with Earned Value Management Systems and Risk Management
* Knowledge of manufacturing processes and procedures for a high complexity/low mix product line
* Prior engineering/operations experience with current experience in program management
* Strong customer relationship experience
* Prior experience in managing projects/programs in relations to the Defense industry, particularly Naval
* Excellent organization, communication (written and oral) and presentation skills
* Strong analytical and finance skills.
* Ability to break down complex inputs from senior leaders and experts into actionable plans/courses of action
* Project Management Professional Certification is an asset
**Who We Are**
 Our Values
 Environmental, Social and Governance
 Curtiss\-Wright Steam \&amp; Air Solutions (SAS), a business unit of Curtiss\-Wright, designs, manufactures, tests and provides \- Navy steam turbines and steam valves, nuclear steam turbines, and aftermarket steam parts, upgrades, and overhauls.
 Located in Summerville SC, this brand new state\-of\-the\-art facility is approximately 134,000 square feet dedicated to manufacturing in relations to machining, welding, assembly and quality inspections.
 To learn more, please visit us: Curtiss\-Wright EMS \- SAS (cw\-ems.com)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row>
    <row r="67">
      <c r="A67" t="inlineStr">
        <is>
          <t>li-4365549329</t>
        </is>
      </c>
      <c r="B67" t="inlineStr">
        <is>
          <t>Hardware Program Manager</t>
        </is>
      </c>
      <c r="C67" t="inlineStr">
        <is>
          <t>Mirafra Technologies</t>
        </is>
      </c>
      <c r="D67" t="inlineStr">
        <is>
          <t>linkedin</t>
        </is>
      </c>
      <c r="E67" t="inlineStr"/>
      <c r="F67" t="inlineStr"/>
      <c r="G67" t="inlineStr">
        <is>
          <t>Austin, Texas Metropolitan Area</t>
        </is>
      </c>
      <c r="H67" t="inlineStr"/>
      <c r="I67" t="inlineStr">
        <is>
          <t>You are skilled at multitasking to manage multiple geographically diverse projects at various completion phases simultaneously. You organize and lead cross\-functional team meetings to develop project schedules, resource plan, functional team key performance metrics and overall project plans of records. • You thrive on identifying and driving the resolution of program issues and conflicts among different engineering groups by using effective communication and influencing skills. You to troubleshoot program issues and help to develop alternative program tasks, schedules, milestones, resource plans, processes etc. • You are good at determining risks, developing mitigation strategies, and communicating information to key internal and external stakeholders. • You have a fresh mindset that challenges the conventional. You are driven by future\-oriented changes and will take an active role in innovating and improving the current program management metrics and processes. • Passionate about driving the implementation of best practices in project management to streamline the IP deliverables. • You are an exceptional communicator who carries a leadership presence to develop top\-quality presentations that are concise and engaging. • Highly organized and trusted with gathering information from engineering teams across the organization in a fast\-paced environment.
 Requirements
 Skills and Qualifications • 5\+ years of experience with a Bachelor’s Degree in Computer Engineering, Electrical Engineering, or equivalent, or 3\+ years of experience with a Master’s Degree, or 2\+ years of experience with a PhD • Experience with ASIC design, silicon validation and IP Integration and release. • Experience working with Linux/Unix environment (Especially dealing with file transfer) • Familiarity with standard software development methodologies including source control (Git, Perforce, etc.. ) • Experience with defect tracking systems (JIRA, Bugzilla, etc..) • Experience with Waterfall and Agile project management methodologies • Experience with project schedule and resource management tools, advanced Excel, power\-point</t>
        </is>
      </c>
    </row>
    <row r="68">
      <c r="A68" t="inlineStr">
        <is>
          <t>li-4323966136</t>
        </is>
      </c>
      <c r="B68" t="inlineStr">
        <is>
          <t>Senior Technical Program Manager, Diagnostics &amp; Serviceability</t>
        </is>
      </c>
      <c r="C68" t="inlineStr">
        <is>
          <t>Zoox</t>
        </is>
      </c>
      <c r="D68" t="inlineStr">
        <is>
          <t>linkedin</t>
        </is>
      </c>
      <c r="E68" t="inlineStr"/>
      <c r="F68" t="inlineStr"/>
      <c r="G68" t="inlineStr">
        <is>
          <t>Foster City, CA</t>
        </is>
      </c>
      <c r="H68" t="inlineStr"/>
      <c r="I68" t="inlineStr">
        <is>
          <t>Zoox is looking for a Senior Technical Program Manager to support our service test development efforts. In this role, you will work cross\-functionally across manufacturing, engineering, and service to help us deliver our milestones. You will take on the role of a bridge between test development, engineering, and service operations, and develop project schedules, identify risks, and drive internal and external teams to meet deliverables.
 The Test and Diagnostics Engineering (TDE) team is responsible for test solutions from “chip” to “car” to “care”. Our product responsibilities range from the sensor stack, control boards, compute units, to the autonomous platform. This role is focused on delivering test solutions to accelerate our service operations and spans automotive diagnostics and electrical serviceability. Deliverables include documentation for technicians, tools, and kits to improve service efficiency and diagnostics.
 Zoox is a fast\-paced environment, and we expect our TPMs to seamlessly switch between the technical and project management aspects of this role.
**In This Role, You Will**
* Define team deliverables with cross\-functional leadership, ensuring alignment with company milestones and strategy.
* Oversee delivery of service solutions—software, hardware, and documentation—on time, meeting program goals and KPIs.
* Identify and communicate risks to stakeholders, continuously evaluating schedule impact and mitigation options.
* Partner with finance and senior leadership on resource allocation, headcount, and budget planning.
* Collaborate with engineers, procurement, vendors, and stakeholders to gather requirements, deploy new tools, and track performance.
* Maintain and enhance the Diagnostics Tooling Program, ensuring compliance, continuous improvement, and fleet support.
**Qualifications**
* BS or MS in engineering (electrical/electronics, computer hardware, software, or related fields)
* 8\+ years of industry experience in a similar role, spanning engineering or project management
* Excellent communication skills across diverse audiences (senior management, engineers) using written and verbal methods as appropriate
* Prior experience in working with contract manufacturers, automotive suppliers
* Knowledge of testing and servicing electronic assemblies
**Bonus Qualifications**
* Experience in an automotive service environment, with deep technical knowledge of automotive components, diagnostics, and harnesses.
* Proficiency in project management and data tools, including Google Suite, Jira, Gantt charts, and the ability to distill complex technical information clearly.
* Familiarity with programming and data analysis (Python, SQL, Linux) and a track record of managing complex projects in autonomous vehicle companies.
 $186,000 \- $223,000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9">
      <c r="A69" t="inlineStr">
        <is>
          <t>li-4379232193</t>
        </is>
      </c>
      <c r="B69" t="inlineStr">
        <is>
          <t>Associate Program Manager - SCI (H/F) - SAFRAN CABIN INC.</t>
        </is>
      </c>
      <c r="C69" t="inlineStr">
        <is>
          <t>AEROCONTACT</t>
        </is>
      </c>
      <c r="D69" t="inlineStr">
        <is>
          <t>linkedin</t>
        </is>
      </c>
      <c r="E69" t="inlineStr"/>
      <c r="F69" t="inlineStr"/>
      <c r="G69" t="inlineStr">
        <is>
          <t>Marysville, WA</t>
        </is>
      </c>
      <c r="H69" t="inlineStr"/>
      <c r="I69"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Cabin conçoit, certifie, et fabrique les intérieurs de cabines complets, les systèmes et les equipements les plus innovants du secteur pour offrir à ses clients du monde entier une image de marque distinctive et une expérience passagers sûre et confortable.
 Mission description
 Part time / Full time Full\-time Job description Supports Program Manager with all aspects of Program Management. Comprehends contractual obligations and statement of work for assigned program(s) and provides guidance based on these documents to other program team members as required. Participates in program planning and documenting. Develops and maintains status and visibility tools. Assists with oversight and coordination of vendor activities and communication. Comprehends and monitors assigned aspects of a program and report status. Coordinates or assists with coordinating program reviews and meetings. Coordinates program related travel as required. Organizes and facilitates communications between the customer and appropriate GTI personnel. Provides leadership and coordination of team\-based solutions to program issues. Develops methods and procedures for managing programs. Assists or takes primary role in developing or administering program change orders. Assists with part procurement and status as required. Assists in maintaining program financial health tools. Participates in risk identification and risk mitigation activities. Assists with final inspection (closing process) as required. Responsible for ensuring that assigned small\-scale projects progress on schedule within budget and meets or exceeds minimum quality standards; this may include post delivery support. Assists in preparing and maintaining departmental policies, procedures and reporting. Maintains regular attendance including being at work, being on time to work and working full shifts. Other duties as assigned.
 Ability to work well independently and cross\-functionally as part of an established and growing team. Demonstrates the interest and ability to grow within the program management function. Displays sound judgment, problem\-solving skills and ability to function independently to accomplish tasks with minimal supervision. Strong communication, time\-management and problem\-solving skills. Ability to read, analyze and interpret the most complex documents. Ability to respond effectively to the most sensitive inquiries or complaints. Ability to write speeches and articles using original or innovative techniques or style. Ability to make effective and persuasive speeches and presentations on controversial or complex topics to top management, public groups and/or boards of directors. Ability to apply principles of logical or scientific thinking to a wide range of intellectual and practical problems. Ability to deal with nonverbal symbolism (formulas, scientific equations, graphs, etc.) in its most difficult phases. Ability to deal with a variety of abstract and concrete variables. Demonstrated experience with Accounting, Database and Project Management software. Proficient in Microsoft Office applications with advanced Excel skills. Ability to sit for extended periods of time, use hands to lift and/or move up to 10 pounds, occasionally lift and/or move up to 25 pounds, and have close/color vision ability to adjust focus. Ability to travel as required. Ability to work outside of core business hours as required</t>
        </is>
      </c>
    </row>
    <row r="70">
      <c r="A70" t="inlineStr">
        <is>
          <t>li-4377734029</t>
        </is>
      </c>
      <c r="B70" t="inlineStr">
        <is>
          <t>Technical Program Manager II, Data Center Design, Cloud Networking</t>
        </is>
      </c>
      <c r="C70" t="inlineStr">
        <is>
          <t>Google</t>
        </is>
      </c>
      <c r="D70" t="inlineStr">
        <is>
          <t>linkedin</t>
        </is>
      </c>
      <c r="E70" t="inlineStr"/>
      <c r="F70" t="inlineStr"/>
      <c r="G70" t="inlineStr">
        <is>
          <t>Reston, VA</t>
        </is>
      </c>
      <c r="H70" t="inlineStr"/>
      <c r="I70" t="inlineStr">
        <is>
          <t>The application window will be open until at least February 20, 2026\. This opportunity will remain online based on business needs which may be before or after the specified date.
 Note: By applying to this position you will have an opportunity to share your preferred working location from the following:
 **Thornton, CO, USA; Addison, TX, USA; Reston, VA, USA** 
 .
 **Minimum qualifications:**
* Bachelor's degree in a technical field, or equivalent practical experience.
* 2 years of experience in program management.
* Experience in data center infrastructure (i.e. power space, cooling, networking).
**Preferred qualifications:**
* Certification in Registered Communications Distribution Designer (RCDD) or Project Management Professional (PMP).
* 2 years of experience managing cross\-functional or cross\-team projects.
* Experience in building construction management and working on evaluating data center telecom infrastructure and design of associated infrastructure.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and/or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li-4378840643</t>
        </is>
      </c>
      <c r="B71" t="inlineStr">
        <is>
          <t>AI Adoption Program Manager</t>
        </is>
      </c>
      <c r="C71" t="inlineStr">
        <is>
          <t>CAMP Systems International, Inc.</t>
        </is>
      </c>
      <c r="D71" t="inlineStr">
        <is>
          <t>linkedin</t>
        </is>
      </c>
      <c r="E71" t="inlineStr"/>
      <c r="F71" t="inlineStr"/>
      <c r="G71" t="inlineStr">
        <is>
          <t>Wichita, KS</t>
        </is>
      </c>
      <c r="H71" t="inlineStr"/>
      <c r="I71"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globally\&amp;mdash;all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The AI Adoption Program Manager is responsible for driving enterprise\-wide AI enablement, adoption, and value realization. The individual will define and track AI adoption KPIs, oversee AI tooling lifecycle management, enable cross\-functional teams through structured guidance and ensure measurable business impact from AI initiatives.
**Responsibilities:** 
**KPI Definition, Metrics \&amp; Reporting:** 
* Define AI adoption KPIs enterprise\-wide (e.g., usage, productivity lift, cost savings, risk reduction, time\-to\-delivery).
* Establish baseline metrics and measurement frameworks.
* Build dashboards and reporting mechanisms for leadership visibility.
* Track value realization and continuously refine KPIs based on maturity.
**Stakeholder Engagement:** 
* Lead enterprise communications regarding AI capabilities and KPIs.
* Drive organizational discussions to increase AI adoption maturity.
* Establish and maintain strong relationships across multiple business units understanding their needs and challenges from an AI perspective
* Collaborate with cross\-functional teams to help identify and suggest opportunities for Generative AI and other AI disciplines when opportunity arises
* Effectively communicate AI initiative progress updates to stakeholders
* Monitor and assess technological advancements, market trends and competitive landscape related to Generative AI and other AI disciplines
* Build and nurture a culture of learning around AI, fostering a community of internal and external experts, partners, and enthusiasts
* Support employee development in AI literacy, training and expertise
**AI Tooling Governance \&amp; Lifecycle Management:** 
* Evaluate and manage enterprise AI tooling with the CIO (e.g., LLM platforms, copilots, automation tools).
* Oversee vendor selection, security reviews, and compliance alignment with Security \&amp; GRC.
* Define usage standards, access models, and governance frameworks.
* Maintain tooling inventory and rationalization strategy.
**Risk, Compliance \&amp; Responsible AI Alignment:** 
* Partner with AI teams and Security \&amp; GRC to operationalize AI governance.
* Ensure responsible AI practices are embedded into adoption efforts.
* Help Identify and mitigate model, data, and vendor risk.
**You have:** 
* Bachelor’s Degree in Computer Science or related discipline. Master’s degree preferred. Equivalent work experience acceptable
* 4\+ Years Experience in Program Management, Project Management and/or Enterprise Transformation roles.
* Demonstrated experience leading cross\-functional enterprise initiatives.
* Strong understanding of AI/ML concepts (LLMs, NLP, automation, model lifecycle, data governance).
* Experience implementing enterprise AI platforms (e.g., Microsoft Copilot, OpenAI Enterprise, Google Vertex AI, Claude Code, Cursor, Loveable, Replit).
* Strong analytical and operational mindset.
* Experience defining KPIs and measuring technology adoption impact.
* Experience managing vendor relationships and enterprise tooling rollouts.
* Data visualization (Power BI, Excel)
* Executive\-level communication skills.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
 Equal Opportunity Employer
 This employer is required to notify all applicants of their rights pursuant to federal employment laws.
 For further information, please review the Know Your Rights notice from the Department of Labor.</t>
        </is>
      </c>
    </row>
    <row r="72">
      <c r="A72" t="inlineStr">
        <is>
          <t>li-4378851072</t>
        </is>
      </c>
      <c r="B72" t="inlineStr">
        <is>
          <t>Contract Program Manager</t>
        </is>
      </c>
      <c r="C72" t="inlineStr">
        <is>
          <t>Potawatomi Federal Solutions, LLC</t>
        </is>
      </c>
      <c r="D72" t="inlineStr">
        <is>
          <t>linkedin</t>
        </is>
      </c>
      <c r="E72" t="inlineStr"/>
      <c r="F72" t="inlineStr"/>
      <c r="G72" t="inlineStr">
        <is>
          <t>Ogden, UT</t>
        </is>
      </c>
      <c r="H72" t="inlineStr"/>
      <c r="I72" t="inlineStr">
        <is>
          <t>**Position Title: Contract Program Manager** 
**Location: Hill AFB, Utah (On\-site requirement)** 
**Salary: $190,000\.00 \+** 
**Clearance: \*\*\*\*This position requires an Active Secret Clearance\*\*\*\*** 
**Position Summary** 
 Command Cyber Solutions (CCS) is seeking a Contract Program Manager (CPM) to serve as the senior on\-site leader for the Hill Component Enterprise Data Center (Hill CEDC) IT Operations \&amp; Maintenance (O\&amp;M) contract at Hill AFB. The CPM is the primary contractor point of contact to the Government Program Manager (GPM), Contracting Officer’s Representative (COR), and Government technical leads, and is fully accountable for the execution of all Task Order requirements, including Program Management, Contractor\-Program Management Office (C\-PMO) oversight, Data Center Operations, Risk\-Based Management Framework, and Advanced Support Services. This role holds full responsibility for contract compliance, deliverables, staffing, financial performance, Integrated Master Plan/Integrated Master Schedule (IMP/IMS) control, Contractor Data Requirements List (CDRL) oversight, surge management, and operational continuity across a multi\-million\-dollar Program of Programs supporting 2,000\+ servers and 250\+ applications in classified and unclassified enclaves.
**Essential Duties \&amp; Responsibilities:** 
* Serve as the single point of accountability for contractor performance under the Hill CEDC IT O\&amp;M contract.
* Maintain continuous compliance with all contractual requirements, including CDRLs, Data Deliverables, reporting deadlines, and Data Accession List (DAL) submissions.
* Develop, maintain, and update the Program Management Plan (PMP), Contract Work Breakdown Structure (CWBS), IMP, and IMS in accordance with MIL\-STD\-881F and DoW guidance.
* Ensure 100% on\-time submission of Monthly Status Reports, Program Management Reports (PMRs), Contracting Officer’s Management Reports, and staffing rosters.
* Maintain Minimum Team Complement (MTC) staffing throughout the Period of Performance.
* Oversee Service Desk triage, Service Level Agreement (SLA) adherence, and After\-Action Review (AAR) production for Critical and High incidents with designated timelines.
* Lead compliance with Change Management, Configuration Management, and Systems Engineering Management Plan (SEMP) requirements.
* Ensure cybersecurity compliance, including Risk Management Framework (RMF) sustainment, Security Technical Implementation Guide (STIG) implementation, vulnerability remediation timelines, and monthly advisory reporting to the Government Information Systems Security Manager (GISSM).
* Oversee capacity planning activities and quarterly reporting, ensuring Hill CEDC meets sustainment and modernization demands.
* Support Business Office functions including budget planning, DCORS, ROMS, BOMS, BNJs, and fiscal year execution support.
* Manage expedited, extended, surge, and Over \&amp; Above requirements, in accordance with SOW definitions and approval thresholds.
* Lead Phase\-In/Phase\-Out activities and ensure continuity of operations.
* Represent CCS at Program Reviews, Technical Interchange Meetings, 75 ABW/SC boards, and required stakeholder engagements.
**Education, Certification \&amp; Experience Requirements:** 
**Education:** 
* Bachelor’s Degree in Information Technology, Engineering, Business Administration, or related discipline (Required).
**Certifications:** 
* Project Management Profession (PMP) (Required).
* Active Secret Clearance (Required).
* DAWIA Program Management Level II or III (Preferred).
* Ability to obtain one (1\) of the following two (2\) within six (6\) months of hire:
* Certified Federal Contracts Manager (CFCM).
* Certified Professional Contracts Manager (CPCM).
* ITIL Foundation or ITIL Managing Professional (Preferred).
* Lean Six Sigma (Green Belt or Black Belt) (Preferred).
* Certified Scrum Master (CSM) (Preferred).
**Experience:** 
* 10\+ years of professional experience managing large\-scale IT operations programs within the Federal space
* 5\+ years of professional experience working directly with Government stakeholders in a program leadership role.
* Experience managing programs involving cybersecurity compliance, data center operations, or enterprise service deliver.
**Knowledge:** 
* Demonstrated knowledge of federal IT lifecycle management, cybersecurity policy, and RMF execution, evidence by zero missed compliance reporting deadlines and no Government\-issued Corrective Action Requests related to documentation or accreditation.
* Working knowledge of CDRL management and contract data deliverables, demonstrated by maintaining 100% on\-time and Government\-accepted submissions across all reporting cycles.
**Skills:** 
* Schedule management skill demonstrated by maintaining \&gt; 98% milestone adherence within the IMP/IMS baseline and reducing schedule variance through proactive risk mitigation.
* Budget execution skill demonstrated by aligning spend plans and projections within approved funding ceilings and supporting fiscal\-year closeout without Anti\-Deficiency Act risk.
**Abilities:** 
* Ability to maintain full MTC staffing with no lapses in clearance, certification, or role coverage during the Period of Performance.
* Ability to manage incident escalation and AAR reporting within required 24\-hour and 3\-business day timeline for Critical/High outages.
**Working Conditions/Working Environment/Physical Demands:** 
* This position is performed in a professional environment, on\-site at Hill AFB, Utah.
* Standard work schedule is Monday through Friday, during normally scheduled business hours, with occasional evening or weekend work required to meet critical deadlines.
* Core duty hours: Monday\-Friday, 0600\-1800 MST.
* Work involves extensive computer and secure network use, including periods of prolonged sitting, data entry, and screen time.
* The role requires working independently with minimal supervision, while also collaborating virtually or in person with CCS teams, subcontractors, and government stakeholders.
* Occasional travel may be required for customer meetings, training, or project\-related activities.
**Why Join Command Cyber Solutions:** 
 We recognize that our success begins with our people. We are dedicated to fostering a professional, collaborative, and growth\-oriented environment where employees are empowered to excel and advance their careers, CCS offers opportunities to contribute to high\-impact federal initiatives, supported by robust professional development programs, competitive compensation, comprehensive benefits, and flexible work arrangements. We prioritize investing in our workforce, ensuring each team member has the resources, support, and career pathways to achieve long\-term success while delivering meaningful results for our clients.
**Culture:** 
 At CCS, you’ll be a part of a team that genuinely supports one another and where leadership is invested in the well\-being and success of every employee. We foster a work culture where people are valued for who they are, not just what they do, and where your career goals are taken seriously. You’ll be encouraged to grow through mentorship, hands\-on experience, and access to continued learning opportunities that align with your aspirations. Whether you’re looking to deepen your expertise, earn new certifications, or take on leadership roles, CCS provides the environment and support to help you get there. Leadership is approachable, collaboration is natural, and success is shared. At CCS, you’re not just joining a company; you’re joining a community committed to your growth and success.
**Benefits:** 
 We offer a comprehensive benefits package designed to support the health, financial security, and overall well\-being of our employees and their families. Our offerings include medical and prescription drug plans, dental coverage, group life insurance, and options for supplemental life insurance to provide additional protection. We also provide short\-term and long\-term disability insurance, flexible spending accounts, and employee assistance programs to help employees manage personal and professional needs. Our package also includes identity theft protection and a competitive 401(k) retirement savings plan with company contributions, giving employees valuable resources to protect their future and achieve long\-term financial goals.
**EEO Statement:** 
 Command Cyber Solutions, LLC is an equal opportunity employer. Command Cyber solutions, LLC does not discriminate in employment opportunities or practices on the basis of race, color, religion, sex, national origin, age, disability, marital status or any other characteristic protected by law.</t>
        </is>
      </c>
    </row>
    <row r="73">
      <c r="A73" t="inlineStr">
        <is>
          <t>li-4379506091</t>
        </is>
      </c>
      <c r="B73" t="inlineStr">
        <is>
          <t>Lead Technical Program Manager - Operations Technology</t>
        </is>
      </c>
      <c r="C73" t="inlineStr">
        <is>
          <t>JPMorganChase</t>
        </is>
      </c>
      <c r="D73" t="inlineStr">
        <is>
          <t>linkedin</t>
        </is>
      </c>
      <c r="E73" t="inlineStr"/>
      <c r="F73" t="inlineStr"/>
      <c r="G73" t="inlineStr">
        <is>
          <t>Columbus, OH</t>
        </is>
      </c>
      <c r="H73" t="inlineStr"/>
      <c r="I73" t="inlineStr">
        <is>
          <t>**Job Description**
 Leverage your deep technical expertise and leadership to guide cutting\-edge projects, fostering growth and innovation in a dynamic environment.
 As a Lead Technical Program Manager in Consumer \&amp; Community Banking Ops Technology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 Excellent communication and presentation skills
**Preferred Qualifications, Capabilities, And Skills**
* Experience in a very large Financial Services Technology environment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74">
      <c r="A74" t="inlineStr">
        <is>
          <t>li-4379934060</t>
        </is>
      </c>
      <c r="B74" t="inlineStr">
        <is>
          <t>Program Manager, Academic Partnerships (Remote-West Coast)</t>
        </is>
      </c>
      <c r="C74" t="inlineStr">
        <is>
          <t>HBI (Home Builders Institute)</t>
        </is>
      </c>
      <c r="D74" t="inlineStr">
        <is>
          <t>linkedin</t>
        </is>
      </c>
      <c r="E74" t="inlineStr"/>
      <c r="F74" t="inlineStr"/>
      <c r="G74" t="inlineStr">
        <is>
          <t>Sacramento, CA</t>
        </is>
      </c>
      <c r="H74" t="inlineStr"/>
      <c r="I74" t="inlineStr">
        <is>
          <t>GENERAL DESCRIPTION
 The Academic Partnerships Program Manager is responsible for generating revenue from the sale of HBI curricula and related services to schools, educational organizations, and other nonprofit training entities.
 **Please note: We are solely seeking applicants in the West Coast.** 
**ABOUT HBI:** 
 HBI has been training and educating America’s home construction workforce for more than 40 years. Our proven business model has helped countless individuals create long\-term career opportunities. Over the years, we have continued to build our program offerings and expand our footprint in the construction industry. From innovative initiatives to creative partnerships, we remain committed to building careers and changing lives.
 Our programs teach highly sought after technical construction trades and entrepreneurship to youth aged 16\-24 in our Job Corps programs, Military Services, our Academies, and programs for adults and youth operating behind the fence in correctional facilities.
**Apply by March 31, 2026** 
**ESSENTIAL DUTIES AND RESPONSIBILITIES** 
 The duties and responsibilities of the Program Manager, Academic Partnerships will include, but are not limited to:
**LEAD GENERATION/PRODUCTION:** 
 Implement sales processes and business development initiatives that help drive revenue growth and expansion in target markets – primarily schools, educational organizations, and other nonprofit training entities.Develop criteria for identifying relevant sales prospects and build a working database of suitable prospects.Establish productive relationships with relevant prospects through the implementation of effective sales, outreach, and development techniques.Drive curriculum licensing sales and related services to meet or exceed annual financial targets as established by management.
**STEWARDSHIP:** 
 Develop, implement and manage a customer relations, stewardship, recognition and retention program in support of the Industry \&amp; Academic partnerships team.Participate in key industry events to increase awareness of HBI’s brand and favorably position HBI to targeted audiences.Manage and cultivate ongoing relationships to identify and leverage revenue enhancement opportunities.Lead and manage identified grant funding initiatives through completion.Continual internal and external stakeholder engagement.
**ADMINISTRATION:** 
 Using departmental databases, maintain current records and notes on prospective and existing partners.Manage project budgets as assignedCompliance with funder reportingPerform other duties as required.
**WORKING RELATIONSHIPS** 
**Internal:** 
   Communicates with the Industry \&amp; Academic Partnerships team, Education Services/curriculum development, training staff, and other HBI staff at all levels.
**External:** 
   Communicates with school and career and technical education (CTE) administrators, public officials, trade organizations, industry professionals, and vendors.
**QUALIFICATIONS:** 
**Required:** 
 Bachelor’s Degree, or an equivalent combination of training, skills, and experience. A minimum of five (5\) years related experience. 
**Preferred:** 
 Demonstrated competence in relationship building and management.Experience in curriculum marketing and sales in schools and educational environments.Demonstrated experience and knowledge of secondary education systems.Excellent written, oral, and presentation skills.Exemplary problem\-solving and negotiation skills.Strong Interpersonal and diplomacy skills.Proficiency with MS Office (Word, Excel, PowerPoint, etc.)  Database experience is needed.Preference for candidates with Salesforce experience.
**WORKING CONDITIONS:** 
 Usual office\-type conditions.  Routine physical conditions include walking, carrying, standing, hearing/ listening, and sitting.
 HBI offers a competitive salary and benefits program.
 HBI is an equal opportunity/affirmative action employer.  All qualified applicants will receive consideration for employment without regard to race, color, religion, sex, national origin, disability, protected veteran status, sexual orientation, gender identity or any other protected characteristic as established by federal, state, or local law.</t>
        </is>
      </c>
    </row>
    <row r="75">
      <c r="A75" t="inlineStr">
        <is>
          <t>li-4377776141</t>
        </is>
      </c>
      <c r="B75" t="inlineStr">
        <is>
          <t>Operations Program Manager II</t>
        </is>
      </c>
      <c r="C75" t="inlineStr">
        <is>
          <t>BAE Systems, Inc.</t>
        </is>
      </c>
      <c r="D75" t="inlineStr">
        <is>
          <t>linkedin</t>
        </is>
      </c>
      <c r="E75" t="inlineStr"/>
      <c r="F75" t="inlineStr"/>
      <c r="G75" t="inlineStr">
        <is>
          <t>Nashua, NH</t>
        </is>
      </c>
      <c r="H75" t="inlineStr"/>
      <c r="I75" t="inlineStr">
        <is>
          <t>**Job Description**
 In Countermeasure \&amp; Electromagnetic Attack Solutions, we provide next\-generation threat detection and countermeasure solutions to provide unparalleled electronic warfare capabilities to enhance mission survivability. ACES is developing the next generation of expendable countermeasures and dispenser solutions leveraging our 40 year history in these technologies. Building on foundational programs such as ALE\-55 and ALE\-47 we are positioned well for continued growth.
 In this role you will be part of the Advanced Compact EW Solutions (ACES) product line and responsible for supporting and leading the operations content for a program’s Operations content as an Operations Program Manager II. You will be responsible for the program performance of the program(s) under your ownership. You will also be a solid business partner of the ACES Operations Program Management organization.
* Experience managing Operations performance against the baseline program plan by monitoring quality, schedule and cost performance of an operations program execution.
* Experience utilizing Operations data, i.e. status, and present it in a clear and concise manner to Operations Management, Program Management and / or Engineering Management.
* Active participation with project/team meetings providing clear direction to the various functional areas.
* Worked with cross functional teams to develop new processes within the organization the provided improved efficiencies, less defects and cost reductions.
* Experience and knowledge within Supply Chain Planning and execution of programs.
* Good interpersonal skills required at all levels of the team, the touch personnel side, to the support functions and all levels of management up to the Business Area Senior Leadership Team.
* Experience with cost tracking utilizing existing tools and procedures leading to presentation of cost positions, EAC positions and variance explanations against the released budget.
* Promotes a strong sense of teamwork among personnel supporting various phases of the program efforts.
**Required Education, Experience, \&amp; Skills**
* 4\-8 years work experience or equivalent experience
* Strong communication skills both verbally and written to present to all levels of leadership.
* Highly motivated and solution oriented, continuous improvement mindset.
* Demonstrated experience with regard to EVMS and Cost Account Management
* Business and financial acumen, with proven ability to manage scope and budget
* Demonstrated Cross Functional Leadership
* Secret clearance: Active
* Must be able to obtain: Special Access Clearance
**Preferred Education, Experience, \&amp; Skills**
* Experience with Supply Chain
* Experience in a manufacturing environment.
* Experience managing an Operations Project in Production or Devleopment
* Bachelor’s Degree or higher in an Operation’s or Technical field of study.
**Pay Information**
 Full\-Time Salary Range: $118095 \- $200762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76">
      <c r="A76" t="inlineStr">
        <is>
          <t>li-4377722221</t>
        </is>
      </c>
      <c r="B76" t="inlineStr">
        <is>
          <t>Technical Program Manager II, Infrastructure Capacity Planning, Cloud Networking</t>
        </is>
      </c>
      <c r="C76" t="inlineStr">
        <is>
          <t>Google</t>
        </is>
      </c>
      <c r="D76" t="inlineStr">
        <is>
          <t>linkedin</t>
        </is>
      </c>
      <c r="E76" t="inlineStr"/>
      <c r="F76" t="inlineStr"/>
      <c r="G76" t="inlineStr">
        <is>
          <t>Reston, VA</t>
        </is>
      </c>
      <c r="H76" t="inlineStr"/>
      <c r="I76" t="inlineStr">
        <is>
          <t>**Minimum qualifications:**
* Bachelor's degree in a technical field, or equivalent practical experience.
* 2 years of experience in program management.
* Experience with Data Center architecture.
* Experience with planning in a colocation environment.
**Preferred qualifications:**
* 2 years of experience managing cross\-functional or cross\-team projects.
* Experience working on evaluating and designing data center infrastructure.
* Experience in AutoCAD drafting.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responsible for the planning, evaluation, design, and construction of Google's space in data center facilities across the globe.You will help Google to evaluate, plan, design, cost, and build new and enhanced space in data center facilities. You will help in executing the goal to design and build spaces that last for multiple years.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space and power management for data center environments.
* Review and thoroughly understand Google's Network Architecture Standards.
* Develop reports and metrics related to data center infrastructure capacity planning.
* Work closely with Google Operations and Engineering teams.
* Create high\-level project plans that identify resource needs and critical path.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7">
      <c r="A77" t="inlineStr">
        <is>
          <t>li-4377764120</t>
        </is>
      </c>
      <c r="B77" t="inlineStr">
        <is>
          <t>Outreach Program Manager (Corporate and Alumni Engagement)</t>
        </is>
      </c>
      <c r="C77" t="inlineStr">
        <is>
          <t>Kent State University</t>
        </is>
      </c>
      <c r="D77" t="inlineStr">
        <is>
          <t>linkedin</t>
        </is>
      </c>
      <c r="E77" t="inlineStr"/>
      <c r="F77" t="inlineStr"/>
      <c r="G77" t="inlineStr">
        <is>
          <t>Kent, OH</t>
        </is>
      </c>
      <c r="H77" t="inlineStr"/>
      <c r="I77" t="inlineStr">
        <is>
          <t>**Job Title:**
 Outreach Program Manager
**Physical Location:**
 Kent Campus \- Kent, OH
**Salary:**
 $53,015 \- $61,804
**Basic Function:**
 To manage an educational outreach program. Reports to designated supervisor.
 Kent State University’s College of Aeronautics and Engineering (CAE) is seeking an Outreach Program Manager to support and grow our corporate, industry, and alumni engagement efforts. This role is central to strengthening relationships that advance student success, workforce pipelines, experiential learning, and industry\-informed innovation.
 The Outreach Program Manager will collaborate with CAE leadership, faculty, staff, students,
 **University Corporate Engagement** 
 , University Advancement and Alumni Relations, and external partners to strengthen engagement and expand opportunities that advance the college’s mission. These relationships support CAE’s goals in
 **student success, research partnerships, philanthropic support, and high\-impact events** 
 that connect the university to employers, alumni, and the broader community. The Outreach Program Manager will also serve as the primary point of contact and coordinator for CAE’s advisory councils at the college level and within the School of Engineering and School of Aeronautics.
 **This position is focused on relationship\-building and engagement coordination, not sales.**
**CAE engagement includes signature events such as the Aeronautics \&amp; Engineering Expo, Dronavation, Safety Day, student\-centered milestone ceremonies, and more.**
**Key Responsibilities**
 The Outreach Program Manager will support corporate, industry, and alumni engagement activities, including:
* Supporting outreach to regional, state, and national partners to strengthen awareness of CAE academic programs, research capabilities, workforce pipelines, and innovation initiatives
* Assisting with coordination of corporate participation in CAE events and initiatives (e.g., career fairs, workforce development activities, experiential learning opportunities, industry panels, and innovation\-focused programming)
* Supporting major college events and signature experiences that strengthen CAE’s visibility, partnerships, and philanthropic engagement
* Serving as the primary point of contact for CAE advisory councils (college\-level, School of Engineering, and School of Aeronautics), including meeting coordination, communications, logistics, and engagement tracking
* Coordinating partner engagement activities, including meetings, site visits, and campus visits, while tracking partner participation and follow\-up
* Engaging alumni as strategic partners in outreach efforts, including mentoring, student engagement opportunities, industry panels, and employer connections, in coordination with Kent State University Advancement and Alumni Relations
* Collaborating with internal CAE and university units to align outreach activities with workforce development priorities, experiential learning goals, and regional economic development strategies.
* Maintaining records and reports related to engagement activities and assisting with evaluation of outreach effectiveness and opportunities for expanded partnerships.
**Minimum Qualifications**
* Bachelor’s degree in a relevant field
* Four years of relevant professional experience
**Preferred Qualifications**
* Master’s degree preferred.
* Experience in higher education, corporate engagement, alumni engagement, workforce development, employer relations, advisory council support, or event/program coordination.
**Skills And Strengths For Success**
* Strong written and interpersonal communication skills
* Ability to manage multiple projects, events, and stakeholder relationships simultaneously.
* High professionalism, strong follow\-through, and comfort working across a wide range of partners (industry leaders, alumni, faculty, students, and administrators)
* Ability to maintain records, track engagement, and support reporting and continuous improvement.
**Why Kent State / CAE**
 Kent State University is a nationally recognized public research university. The College of Aeronautics and Engineering is a high\-growth college with strong connections to industry, an expanding portfolio of academic programs, and an emphasis on applied learning, workforce development, and innovation.
 Kent State University is committed to creating a community that is culturally and intellectually diverse and to attracting and retaining a diverse staff. We strive to create and maintain working and learning environments that respect differences, and are inclusive, welcoming, respectful and kind.
 We are an equal opportunity employer and are committed to non\-discrimination to employ and advance qualified applicants without regard to race, color, religion, sex, sexual orientation, gender identity, national origin, disability, or protected Veteran status. We comply with VEVRAA and Section 503 of the Rehabilitation Act and provide reasonable accommodations to qualified individuals with disabilities.”
**To apply: Please submit an online application at:** 
 https://jobs.kent.edu/jobs/outreach\-program\-manager\-corporate\-alumni\-engagement\-kent\-campus\-kent\-ohio\-united\-states. Once you apply, please add an application letter, resume and minimum of three references. For full consideration, please submit your materials no later than March 26, 2026\.
***For a complete description of this position and to apply online,***
***visit our jobsite at***
***https://jobs.kent.edu***
***Equal Opportunity / Affirmative Action Employer / Disabled / Veterans***</t>
        </is>
      </c>
    </row>
    <row r="78">
      <c r="A78" t="inlineStr">
        <is>
          <t>li-4186404112</t>
        </is>
      </c>
      <c r="B78" t="inlineStr">
        <is>
          <t>Administrative &amp; Program Manager</t>
        </is>
      </c>
      <c r="C78" t="inlineStr">
        <is>
          <t>Lake Region Arts Council</t>
        </is>
      </c>
      <c r="D78" t="inlineStr">
        <is>
          <t>linkedin</t>
        </is>
      </c>
      <c r="E78" t="inlineStr"/>
      <c r="F78" t="inlineStr"/>
      <c r="G78" t="inlineStr">
        <is>
          <t>Fergus Falls, MN</t>
        </is>
      </c>
      <c r="H78" t="inlineStr"/>
      <c r="I78" t="inlineStr">
        <is>
          <t>**Administrative \&amp; Program Manager** 
**This position is located in Fergus Falls, MN. Relocation or commute required** 
**Full\-Time with benefits, 40 hours per week.** 
**Please submit a 
 current resumé and cover letter
  with your application:** 
 https://lakeregionac.hireclick.com
**Application Deadline \- March 9th at 5pm CT** 
**Specific Responsibilities:** 
1. **Administrative**
* Maintain office environment, answer phones and emails, process mail, respond to inquiries about LRAC programs and services.
* Assist with the maintenance of the LRAC virtual and hard copy files and other clerical duties as assigned by the Executive Director.
* Assist with coordinating contracted staff who manage and maintain the LRAC Arts Calendar, ArtsNews, Artist Registry, website and social media.
* Assist Executive Director in preparing and sending LRAC reports and proposals to funders.
* Assist Executive Director in implementing LRAC programs, such as Annual Meeting and other public events.
* Prepare electronic Board meeting packets and send to Board members.
* Take minutes at the monthly LRAC meetings, type, file and send to Directors.
1. **Public Relations:**
* Coordinate the public relations strategy for LRAC, including email, newsletters and announcements, press releases and other external communications.
* Convey a positive image of the LRAC to the public and to LRAC clients.
1. **Artist Mentor Program Management:**
* Coordinate and implement all phases of the Artist Mentor program
* Contact all schools in the region
* Create, finalize and distribute application materials
* Oversee student application process
* Select jury sites and jurors
* Schedule and conduct the jury sessions and final student selection
* Pair selected students with mentors or learning experiences
* Oversee completion of student and mentor reports and contracts
* Keep accurate records of all processes
1. **Artist Cohort, Program Coordinator:**
* Coordinate and implement all phases of the Artist Cohort program
* Design and publicize the Artist Cohort Program in the region
* Create, finalize and distribute application materials
* Oversee application process
* Schedule and conduct the interviews and final artist cohort selection
* Organize, schedule and contract with individuals who will work with the cohort members
* Guide cohort members to completion of program workshops, counseling sessions, artist opportunities, and peer support
* Oversee completion of reports and contracts
* Keep accurate records of all processes
 Any other functions pertaining to maintenance of a pleasant and efficient office environment, as specified by the Executive Director. The Administrative and Program Manager reports directly to the LRAC Executive Director.
**Qualifications/Education:** 
 A relevant bachelor’s degree or equivalent experience.
* Computer skills, including working knowledge of Microsoft Office Suite, i.e. Excel, Access, Outlook, mail merge and email management systems.
* Experience in general office functions and procedures and ability to work with the public.
* Ability to write standard business English.
**Compensation** 
 $24\-$28 per hour</t>
        </is>
      </c>
    </row>
    <row r="79">
      <c r="A79" t="inlineStr">
        <is>
          <t>li-4379724927</t>
        </is>
      </c>
      <c r="B79" t="inlineStr">
        <is>
          <t>Technical Program Manager III, Employee Onboarding Experience (EOE)</t>
        </is>
      </c>
      <c r="C79" t="inlineStr">
        <is>
          <t>Amazon</t>
        </is>
      </c>
      <c r="D79" t="inlineStr">
        <is>
          <t>linkedin</t>
        </is>
      </c>
      <c r="E79" t="inlineStr"/>
      <c r="F79" t="inlineStr"/>
      <c r="G79" t="inlineStr">
        <is>
          <t>Seattle, WA</t>
        </is>
      </c>
      <c r="H79" t="inlineStr"/>
      <c r="I79" t="inlineStr">
        <is>
          <t>**Description**
 Are you passionate about driving technological transformation through AI and automation? Join the Employee Onboarding Experience (EOE) team as a Technical Program Manager III delivering against our 2026 Service Delivery Automation and Efficiency initiative. This strategic program spans 20\+ launches across three VP organizations and seven contingency domains, with AI and Agentic solutions one of the primary technical lever.
 We are seeking a Technical Program Manager III to drive strategic transformation of Employee Onboarding Experience (EOE) Contingencies across Amazon's global workforce. This role orchestrates delivery across 3 VP organizations and 10\+ tech teams to revolutionize service delivery through AI\-powered automation and durable technical architecture.
 In this position, you will own a program where business and architectural strategy may not be defined, bringing clarity to ambiguous situations and driving consensus across diverse stakeholders including Legal, Compliance, Finance, and senior technical leadership. You will shape the 3\-year technical vision for contingency services spanning Work Authorization, Background Checks, Drug Testing, Medical Checks, Immigration, and Relocation—establishing reference architectures that enable Amazon to scale from 1\.8M to 3M\+ workers without proportional service team growth.
 Key job responsibilities
* Define and execute the technical delivery strategy for organization\-wide goals, creating scalable mechanisms and methodologies that drive Service Delivery Automation across multiple Vice President organizations
* Drive VP\-level strategy for service delivery transformation, influencing investment priorities and resource allocation while making trade\-offs between business opportunity and technical sustainability.
* Manage complex cross\-functional programs by establishing clear business and technical requirements, defining delivery scope, timelines, and milestones while making appropriate trade\-offs to optimize return\-on\-investment
* Build consensus and align teams toward coherent strategies, coordinating with business leaders, engineering teams, security and compliance, and product management to drive development progress
* Proactively identify risks, bottlenecks, and roadblocks across the program portfolio, initiating technical deep dives and organizing working sessions to solve problems and mitigate risks
* Communicate program status effectively to senior leadership, including writing compelling narratives and presenting complex decisions and trade\-offs to directors and vice presidents
 A day in the life
 As a Senior Technical Program Manager in the team, you will work with multiple teams to help solve complex technical solutions aimed to build seamless journeys for candidates, hiring managers and recruiters. You will have a direct influence on the technical design and implementation plan. You will work with multiple tech and business teams to build these complex solutions.
**About The Team**
 Workforce Solutions (WS) empowers our customers by providing integrated, people\-focused solutions that streamline hiring processes for WW Stores, AWS, Devices, and Talent Acquisition. As stewards of the employee lifecycle and experience, we drive initiatives that promote transparency and efficiency in career mobility, workforce engagement, and operational needs management. We prioritize customer\-centricity by tailoring our capabilities and processes to align with their preferences and behaviors. Our approach is to start with the customer's needs and match individuals to the right opportunities through our services.
**Basic Qualifications**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
**Company** 
 \- Amazon.com Services LLC
 Job ID: A3192471</t>
        </is>
      </c>
    </row>
    <row r="80">
      <c r="A80" t="inlineStr">
        <is>
          <t>li-4379796973</t>
        </is>
      </c>
      <c r="B80" t="inlineStr">
        <is>
          <t>Technical SAP Program Manager, WW Tech Partners PSA Team</t>
        </is>
      </c>
      <c r="C80" t="inlineStr">
        <is>
          <t>Amazon Web Services (AWS)</t>
        </is>
      </c>
      <c r="D80" t="inlineStr">
        <is>
          <t>linkedin</t>
        </is>
      </c>
      <c r="E80" t="inlineStr"/>
      <c r="F80" t="inlineStr"/>
      <c r="G80" t="inlineStr">
        <is>
          <t>Houston, TX</t>
        </is>
      </c>
      <c r="H80" t="inlineStr"/>
      <c r="I80" t="inlineStr">
        <is>
          <t>**Description**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We are seeking an experienced Technical Program Manager to lead strategic SAP initiatives across AWS, driving excellence in customer experience and technical delivery for all SAP workloads.
 As a Technical Program Manager for SAP on AWS, you will orchestrate complex technical programs across engineering, partners, and strategic account teams to ensure successful delivery of SAP solutions on AWS.
 You will be responsible for driving technical innovation, operational excellence, and superior customer experiences for all SAP workloads on AWS.
 Key job responsibilities
 Program Leadership \&amp; Strategy
* Lead cross\-functional programs spanning engineering, partner ecosystem, and customer\-facing teams
* Develop and execute strategic roadmaps for SAP on AWS initiatives
* Drive technical decision\-making processes and architectural governance
* Establish program KPIs and success metrics aligned with business objectives
 Technical Delivery \&amp; Innovation
* Oversee end\-to\-end delivery of SAP technical solutions on AWS
* Drive architectural decisions for complex SAP implementations
* Identify and implement innovative solutions to enhance SAP workload performance
* Ensure technical excellence and best practices across all deliverables
 Stakeholder Management
* Build and maintain strong relationships with key stakeholders across AWS, SAP, and partner organizations
* Collaborate with strategic accounts to understand requirements and ensure successful outcomes
* Facilitate communication between technical teams, business units, and executive leadership
* Drive alignment across multiple teams and organizations
 Risk \&amp; Quality Management
* Identify and mitigate technical and operational risks
* Ensure compliance with AWS and SAP standards and best practices
* Implement quality assurance processes for program deliverables
* Monitor and report on program health and metrics
 A day in the life
 As a Technical Program Manager for SAP on AWS, you're the maestro of cloud migration, orchestrating a symphony of technology and teamwork. Your day flows between global stand\-ups, customer meetings, and technical deep\-dives, translating complex concepts into business value faster than HANA can process transactions. You're the bridge between AWS innovation and SAP stability, turning digital transformation dreams into reality. Whether you're architecting innovative solutions or managing stakeholder expectations, you navigate the intricate dance of technical problem\-solving and project execution with precision. It's challenging, it's exciting, and it's never, ever boring.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**Preferred Qualifications**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\- 146,200\.00 \- 197,800\.00 USD annually
 USA, GA, Alpharetta \- 127,100\.00 \- 172,000\.00 USD annually
 USA, NY, New York \- 139,900\.00 \- 189,200\.00 USD annually
 USA, TX, Austin \- 127,100\.00 \- 172,000\.00 USD annually
 USA, TX, Houston \- 127,100\.00 \- 172,000\.00 USD annually
 USA, WA, Bellevue \- 127,100\.00 \- 172,000\.00 USD annually
 USA, WA, Seattle \- 127,100\.00 \- 172,000\.00 USD annually
**Company** 
 \- Amazon Web Services, Inc.
 Job ID: A3090533</t>
        </is>
      </c>
    </row>
    <row r="81">
      <c r="A81" t="inlineStr">
        <is>
          <t>li-4379915706</t>
        </is>
      </c>
      <c r="B81" t="inlineStr">
        <is>
          <t>Technical SAP Program Manager, WW Tech Partners PSA Team</t>
        </is>
      </c>
      <c r="C81" t="inlineStr">
        <is>
          <t>Amazon Web Services (AWS)</t>
        </is>
      </c>
      <c r="D81" t="inlineStr">
        <is>
          <t>linkedin</t>
        </is>
      </c>
      <c r="E81" t="inlineStr"/>
      <c r="F81" t="inlineStr"/>
      <c r="G81" t="inlineStr">
        <is>
          <t>Alpharetta, GA</t>
        </is>
      </c>
      <c r="H81" t="inlineStr"/>
      <c r="I81" t="inlineStr">
        <is>
          <t>**Description**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We are seeking an experienced Technical Program Manager to lead strategic SAP initiatives across AWS, driving excellence in customer experience and technical delivery for all SAP workloads.
 As a Technical Program Manager for SAP on AWS, you will orchestrate complex technical programs across engineering, partners, and strategic account teams to ensure successful delivery of SAP solutions on AWS.
 You will be responsible for driving technical innovation, operational excellence, and superior customer experiences for all SAP workloads on AWS.
 Key job responsibilities
 Program Leadership \&amp; Strategy
* Lead cross\-functional programs spanning engineering, partner ecosystem, and customer\-facing teams
* Develop and execute strategic roadmaps for SAP on AWS initiatives
* Drive technical decision\-making processes and architectural governance
* Establish program KPIs and success metrics aligned with business objectives
 Technical Delivery \&amp; Innovation
* Oversee end\-to\-end delivery of SAP technical solutions on AWS
* Drive architectural decisions for complex SAP implementations
* Identify and implement innovative solutions to enhance SAP workload performance
* Ensure technical excellence and best practices across all deliverables
 Stakeholder Management
* Build and maintain strong relationships with key stakeholders across AWS, SAP, and partner organizations
* Collaborate with strategic accounts to understand requirements and ensure successful outcomes
* Facilitate communication between technical teams, business units, and executive leadership
* Drive alignment across multiple teams and organizations
 Risk \&amp; Quality Management
* Identify and mitigate technical and operational risks
* Ensure compliance with AWS and SAP standards and best practices
* Implement quality assurance processes for program deliverables
* Monitor and report on program health and metrics
 A day in the life
 As a Technical Program Manager for SAP on AWS, you're the maestro of cloud migration, orchestrating a symphony of technology and teamwork. Your day flows between global stand\-ups, customer meetings, and technical deep\-dives, translating complex concepts into business value faster than HANA can process transactions. You're the bridge between AWS innovation and SAP stability, turning digital transformation dreams into reality. Whether you're architecting innovative solutions or managing stakeholder expectations, you navigate the intricate dance of technical problem\-solving and project execution with precision. It's challenging, it's exciting, and it's never, ever boring.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**Preferred Qualifications**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\- 146,200\.00 \- 197,800\.00 USD annually
 USA, GA, Alpharetta \- 127,100\.00 \- 172,000\.00 USD annually
 USA, NY, New York \- 139,900\.00 \- 189,200\.00 USD annually
 USA, TX, Austin \- 127,100\.00 \- 172,000\.00 USD annually
 USA, TX, Houston \- 127,100\.00 \- 172,000\.00 USD annually
 USA, WA, Bellevue \- 127,100\.00 \- 172,000\.00 USD annually
 USA, WA, Seattle \- 127,100\.00 \- 172,000\.00 USD annually
**Company** 
 \- Amazon Web Services, Inc.
 Job ID: A3090533</t>
        </is>
      </c>
    </row>
    <row r="82">
      <c r="A82" t="inlineStr">
        <is>
          <t>li-4199412186</t>
        </is>
      </c>
      <c r="B82" t="inlineStr">
        <is>
          <t>Product Manager</t>
        </is>
      </c>
      <c r="C82" t="inlineStr">
        <is>
          <t>Meta</t>
        </is>
      </c>
      <c r="D82" t="inlineStr">
        <is>
          <t>linkedin</t>
        </is>
      </c>
      <c r="E82">
        <f>HYPERLINK("https://www.linkedin.com/jobs/view/4199412186", "https://www.linkedin.com/jobs/view/4199412186")</f>
        <v/>
      </c>
      <c r="F82">
        <f>HYPERLINK("https://jsv3.recruitics.com/redirect?rx_cid=3239&amp;rx_jobId=a1KDp00000E2V1TMAV_1007&amp;rx_url=https%3A%2F%2Fwww.metacareers.com%2Fjobs%2F961472602841468%2F%3Frx_campaign%3DLinkedin1%26rx_ch%3Dconnector%26rx_group%3D126320%26rx_id%3D8e59e5dc-0daf-11f1-9afb-5fadb553d9d8%26rx_job%3Da1KDp00000E2V1TMAV_1007%26rx_medium%3Dpost%26rx_r%3Dnone%26rx_source%3DLinkedin%26rx_ts%3D20260302T121210Z%26rx_vp%3Dslots%26utm_campaign%3DJob%252Bboard%26utm_medium%3Djobs%26utm_source%3DLIpaid&amp;urlHash=mC8d", "https://jsv3.recruitics.com/redirect?rx_cid=3239&amp;rx_jobId=a1KDp00000E2V1TMAV_1007&amp;rx_url=https%3A%2F%2Fwww.metacareers.com%2Fjobs%2F961472602841468%2F%3Frx_campaign%3DLinkedin1%26rx_ch%3Dconnector%26rx_group%3D126320%26rx_id%3D8e59e5dc-0daf-11f1-9afb-5fadb553d9d8%26rx_job%3Da1KDp00000E2V1TMAV_1007%26rx_medium%3Dpost%26rx_r%3Dnone%26rx_source%3DLinkedin%26rx_ts%3D20260302T121210Z%26rx_vp%3Dslots%26utm_campaign%3DJob%252Bboard%26utm_medium%3Djobs%26utm_source%3DLIpaid&amp;urlHash=mC8d")</f>
        <v/>
      </c>
      <c r="G82" t="inlineStr">
        <is>
          <t>New York, NY</t>
        </is>
      </c>
      <c r="H82" t="inlineStr"/>
      <c r="I82"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3">
      <c r="A83" t="inlineStr">
        <is>
          <t>li-4199408700</t>
        </is>
      </c>
      <c r="B83" t="inlineStr">
        <is>
          <t>Product Manager</t>
        </is>
      </c>
      <c r="C83" t="inlineStr">
        <is>
          <t>Meta</t>
        </is>
      </c>
      <c r="D83" t="inlineStr">
        <is>
          <t>linkedin</t>
        </is>
      </c>
      <c r="E83">
        <f>HYPERLINK("https://www.linkedin.com/jobs/view/4199408700", "https://www.linkedin.com/jobs/view/4199408700")</f>
        <v/>
      </c>
      <c r="F83" t="inlineStr"/>
      <c r="G83" t="inlineStr">
        <is>
          <t>Seattle, WA</t>
        </is>
      </c>
      <c r="H83" t="inlineStr"/>
      <c r="I83"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4">
      <c r="A84" t="inlineStr">
        <is>
          <t>li-4197550638</t>
        </is>
      </c>
      <c r="B84" t="inlineStr">
        <is>
          <t>Product Manager</t>
        </is>
      </c>
      <c r="C84" t="inlineStr">
        <is>
          <t>Meta</t>
        </is>
      </c>
      <c r="D84" t="inlineStr">
        <is>
          <t>linkedin</t>
        </is>
      </c>
      <c r="E84">
        <f>HYPERLINK("https://www.linkedin.com/jobs/view/4197550638", "https://www.linkedin.com/jobs/view/4197550638")</f>
        <v/>
      </c>
      <c r="F84">
        <f>HYPERLINK("https://jsv3.recruitics.com/redirect?rx_cid=3239&amp;rx_jobId=a1KDp00000E2V1TMAV&amp;rx_url=https%3A%2F%2Fwww.metacareers.com%2Fjobs%2F961472602841468%2F%3Frx_campaign%3DLinkedin1%26rx_ch%3Dconnector%26rx_group%3D126320%26rx_id%3Df5924701-c55d-11f0-82c3-11069b534623%26rx_job%3Da1KDp00000E2V1TMAV%26rx_medium%3Dpost%26rx_r%3Dnone%26rx_source%3DLinkedin%26rx_ts%3D20260302T121210Z%26rx_vp%3Dslots%26utm_campaign%3DJob%252Bboard%26utm_medium%3Djobs%26utm_source%3DLIpaid&amp;urlHash=udd4", "https://jsv3.recruitics.com/redirect?rx_cid=3239&amp;rx_jobId=a1KDp00000E2V1TMAV&amp;rx_url=https%3A%2F%2Fwww.metacareers.com%2Fjobs%2F961472602841468%2F%3Frx_campaign%3DLinkedin1%26rx_ch%3Dconnector%26rx_group%3D126320%26rx_id%3Df5924701-c55d-11f0-82c3-11069b534623%26rx_job%3Da1KDp00000E2V1TMAV%26rx_medium%3Dpost%26rx_r%3Dnone%26rx_source%3DLinkedin%26rx_ts%3D20260302T121210Z%26rx_vp%3Dslots%26utm_campaign%3DJob%252Bboard%26utm_medium%3Djobs%26utm_source%3DLIpaid&amp;urlHash=udd4")</f>
        <v/>
      </c>
      <c r="G84" t="inlineStr">
        <is>
          <t>Sunnyvale, CA</t>
        </is>
      </c>
      <c r="H84" t="inlineStr"/>
      <c r="I84"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5">
      <c r="A85" t="inlineStr">
        <is>
          <t>li-4379923047</t>
        </is>
      </c>
      <c r="B85" t="inlineStr">
        <is>
          <t>Product Manager - remote</t>
        </is>
      </c>
      <c r="C85" t="inlineStr">
        <is>
          <t>Jobgether</t>
        </is>
      </c>
      <c r="D85" t="inlineStr">
        <is>
          <t>linkedin</t>
        </is>
      </c>
      <c r="E85">
        <f>HYPERLINK("https://www.linkedin.com/jobs/view/4379923047", "https://www.linkedin.com/jobs/view/4379923047")</f>
        <v/>
      </c>
      <c r="F85" t="inlineStr"/>
      <c r="G85" t="inlineStr">
        <is>
          <t>North Carolina, United States</t>
        </is>
      </c>
      <c r="H85" t="inlineStr"/>
      <c r="I85"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6">
      <c r="A86" t="inlineStr">
        <is>
          <t>li-4378001396</t>
        </is>
      </c>
      <c r="B86" t="inlineStr">
        <is>
          <t>Senior Product Manager</t>
        </is>
      </c>
      <c r="C86" t="inlineStr">
        <is>
          <t>CloudZero</t>
        </is>
      </c>
      <c r="D86" t="inlineStr">
        <is>
          <t>linkedin</t>
        </is>
      </c>
      <c r="E86">
        <f>HYPERLINK("https://www.linkedin.com/jobs/view/4378001396", "https://www.linkedin.com/jobs/view/4378001396")</f>
        <v/>
      </c>
      <c r="F86" t="inlineStr"/>
      <c r="G86" t="inlineStr">
        <is>
          <t>San Francisco, CA</t>
        </is>
      </c>
      <c r="H86" t="inlineStr"/>
      <c r="I86" t="inlineStr">
        <is>
          <t>**About The Role**
 CloudZero is seeking a
 **Senior Product Manager** 
 to own and evolve a core product area within our FinOps and cloud cost intelligence platform. This role is equally balanced between technical depth and customer focus, and is ideal for a PM who built credibility in another discipline \- such as engineering, finance, DevOps, product marketing, sales engineering, or TAM \- before moving into product management.
 You will operate in an enterprise, direct sales environment, working closely with engineering, experience design, sales, marketing, and customer teams. Success in this role requires strong product judgment, technical fluency, and an exceptional ability to gather and synthesize market intelligence from both customers and non\-customer potential users.
**What You Bring**
* 3–4\+ years of experience as a Product Manager building and scaling B2B SaaS products.
* Prior depth in a complementary discipline before product management, such as Engineering, Product Marketing, Sales Engineering, Technical Account Management (TAM), or Finance / DevOps / Cloud Operations.
* Experience owning products in data\-intensive or technically complex domains, including analytics, AI/ML\-enabled products, observability, cloud infrastructure, or platform tooling.
* Background working on UI\-heavy products, such as dashboards, developer tools, IDEs, or visualization\-rich applications.
* Full\-stack product management experience across the customer lifecycle, including:
* Pre\-sales: enterprise demos, customer conversations, roadmap discussions
* Post\-sales: customer feedback loops, adoption, retention, and expansion
* Strong prioritization skills with the ability to clearly communicate rationale, tradeoffs, and customer impact.
* Ability to translate complex technical and financial concepts into intuitive, customer\-facing experiences.
* Demonstrated ownership of a product area from problem discovery through delivery, with a track record of shipping meaningful outcomes.
**Nice To Have**
* Experience in FinOps, cloud cost management, DevOps, or financial systems.
* Familiarity with modern cloud data stacks (e.g., AWS/GCP/Azure billing data, data warehouses, ETL/ELT pipelines).
* Experience partnering closely with platform or infrastructure engineering teams.
* Comfort analyzing product usage data and telemetry; ability to write basic SQL queries or work with DevOps / SRE tooling is a plus.
* Experience supporting enterprise or highly technical customers.
* Exposure to pricing, packaging, or value\-metric decisions in a SaaS environment.
* Background in cloud\-native, developer\-focused, or infrastructure\-oriented products.
**Please note** 
 :
 *CloudZero is unable to sponsor employment visas. Candidates must have permanent authorization to work in the United States without the need for current or future sponsorship.*</t>
        </is>
      </c>
    </row>
    <row r="87">
      <c r="A87" t="inlineStr">
        <is>
          <t>li-4198801765</t>
        </is>
      </c>
      <c r="B87" t="inlineStr">
        <is>
          <t>Product Manager</t>
        </is>
      </c>
      <c r="C87" t="inlineStr">
        <is>
          <t>Meta</t>
        </is>
      </c>
      <c r="D87" t="inlineStr">
        <is>
          <t>linkedin</t>
        </is>
      </c>
      <c r="E87">
        <f>HYPERLINK("https://www.linkedin.com/jobs/view/4198801765", "https://www.linkedin.com/jobs/view/4198801765")</f>
        <v/>
      </c>
      <c r="F87">
        <f>HYPERLINK("https://jsv3.recruitics.com/redirect?rx_cid=3239&amp;rx_jobId=a1KDp00000E2V0pMAF_1001&amp;rx_url=https%3A%2F%2Fwww.metacareers.com%2Fjobs%2F1238249364564427%2F%3Frx_campaign%3DLinkedin1%26rx_ch%3Dconnector%26rx_group%3D126320%26rx_id%3Dff77bfcd-11a5-11f1-97d2-95a3671708b9%26rx_job%3Da1KDp00000E2V0pMAF_1001%26rx_medium%3Dpost%26rx_r%3Dnone%26rx_source%3DLinkedin%26rx_ts%3D20260302T121210Z%26rx_vp%3Dslots%26utm_campaign%3DJob%252Bboard%26utm_medium%3Djobs%26utm_source%3DLIpaid&amp;urlHash=mAH9", "https://jsv3.recruitics.com/redirect?rx_cid=3239&amp;rx_jobId=a1KDp00000E2V0pMAF_1001&amp;rx_url=https%3A%2F%2Fwww.metacareers.com%2Fjobs%2F1238249364564427%2F%3Frx_campaign%3DLinkedin1%26rx_ch%3Dconnector%26rx_group%3D126320%26rx_id%3Dff77bfcd-11a5-11f1-97d2-95a3671708b9%26rx_job%3Da1KDp00000E2V0pMAF_1001%26rx_medium%3Dpost%26rx_r%3Dnone%26rx_source%3DLinkedin%26rx_ts%3D20260302T121210Z%26rx_vp%3Dslots%26utm_campaign%3DJob%252Bboard%26utm_medium%3Djobs%26utm_source%3DLIpaid&amp;urlHash=mAH9")</f>
        <v/>
      </c>
      <c r="G87" t="inlineStr">
        <is>
          <t>Bellevue, WA</t>
        </is>
      </c>
      <c r="H87" t="inlineStr"/>
      <c r="I87"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8">
      <c r="A88" t="inlineStr">
        <is>
          <t>li-4379932010</t>
        </is>
      </c>
      <c r="B88" t="inlineStr">
        <is>
          <t>Product Manager - REMOTE</t>
        </is>
      </c>
      <c r="C88" t="inlineStr">
        <is>
          <t>Jobgether</t>
        </is>
      </c>
      <c r="D88" t="inlineStr">
        <is>
          <t>linkedin</t>
        </is>
      </c>
      <c r="E88">
        <f>HYPERLINK("https://www.linkedin.com/jobs/view/4379932010", "https://www.linkedin.com/jobs/view/4379932010")</f>
        <v/>
      </c>
      <c r="F88" t="inlineStr"/>
      <c r="G88" t="inlineStr">
        <is>
          <t>New Jersey, United States</t>
        </is>
      </c>
      <c r="H88" t="inlineStr"/>
      <c r="I88"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9">
      <c r="A89" t="inlineStr">
        <is>
          <t>li-4199410450</t>
        </is>
      </c>
      <c r="B89" t="inlineStr">
        <is>
          <t>Product Manager</t>
        </is>
      </c>
      <c r="C89" t="inlineStr">
        <is>
          <t>Meta</t>
        </is>
      </c>
      <c r="D89" t="inlineStr">
        <is>
          <t>linkedin</t>
        </is>
      </c>
      <c r="E89">
        <f>HYPERLINK("https://www.linkedin.com/jobs/view/4199410450", "https://www.linkedin.com/jobs/view/4199410450")</f>
        <v/>
      </c>
      <c r="F89">
        <f>HYPERLINK("https://jsv3.recruitics.com/redirect?rx_cid=3239&amp;rx_jobId=a1KDp00000E2V1TMAV_1006&amp;rx_url=https%3A%2F%2Fwww.metacareers.com%2Fjobs%2F961472602841468%2F%3Frx_campaign%3DLinkedin1%26rx_ch%3Dconnector%26rx_group%3D126320%26rx_id%3D482d577c-12a9-11f1-8011-ab1edc4fe673%26rx_job%3Da1KDp00000E2V1TMAV_1006%26rx_medium%3Dpost%26rx_r%3Dnone%26rx_source%3DLinkedin%26rx_ts%3D20260302T121210Z%26rx_vp%3Dslots%26utm_campaign%3DJob%252Bboard%26utm_medium%3Djobs%26utm_source%3DLIpaid&amp;urlHash=pj59", "https://jsv3.recruitics.com/redirect?rx_cid=3239&amp;rx_jobId=a1KDp00000E2V1TMAV_1006&amp;rx_url=https%3A%2F%2Fwww.metacareers.com%2Fjobs%2F961472602841468%2F%3Frx_campaign%3DLinkedin1%26rx_ch%3Dconnector%26rx_group%3D126320%26rx_id%3D482d577c-12a9-11f1-8011-ab1edc4fe673%26rx_job%3Da1KDp00000E2V1TMAV_1006%26rx_medium%3Dpost%26rx_r%3Dnone%26rx_source%3DLinkedin%26rx_ts%3D20260302T121210Z%26rx_vp%3Dslots%26utm_campaign%3DJob%252Bboard%26utm_medium%3Djobs%26utm_source%3DLIpaid&amp;urlHash=pj59")</f>
        <v/>
      </c>
      <c r="G89" t="inlineStr">
        <is>
          <t>Burlingame, CA</t>
        </is>
      </c>
      <c r="H89" t="inlineStr"/>
      <c r="I89"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0">
      <c r="A90" t="inlineStr">
        <is>
          <t>li-4377758161</t>
        </is>
      </c>
      <c r="B90" t="inlineStr">
        <is>
          <t>Product Manager – Consumer Health &amp; Beauty (E-Commerce)</t>
        </is>
      </c>
      <c r="C90" t="inlineStr">
        <is>
          <t>MediVena</t>
        </is>
      </c>
      <c r="D90" t="inlineStr">
        <is>
          <t>linkedin</t>
        </is>
      </c>
      <c r="E90">
        <f>HYPERLINK("https://www.linkedin.com/jobs/view/4377758161", "https://www.linkedin.com/jobs/view/4377758161")</f>
        <v/>
      </c>
      <c r="F90" t="inlineStr"/>
      <c r="G90" t="inlineStr"/>
      <c r="H90" t="inlineStr"/>
      <c r="I90" t="inlineStr">
        <is>
          <t>**Location:** 
 Remote (B2B Professional Services Agreement)
**Company:** 
 MediVena
**The Mission** 
 MediVena is an international developer of innovative medical solutions headquartered in Atlanta and Warsaw. We specialize in effective, affordable, and safe devices for healthcare professionals and consumers worldwide.
 We are currently expanding our consumer\-facing e\-commerce division. We are seeking a strategic
 **Product Manager** 
 to lead the development, launch, and commercialization of our Health \&amp; Beauty portfolio. In this role, you will act as the business owner for a diverse catalog including topical care, personal wellness devices, and specialized consumer health products.
**Core Responsibilities** 
 You will oversee the end\-to\-end product lifecycle, ensuring our portfolio meets market demands and regulatory standards.
* **Portfolio Strategy:** 
 Define the product vision and maintain a roadmap for new launches. Conduct market research to identify trends and build business cases covering pricing, margins, and global distribution.
* **Supply Chain \&amp; Vendor Management:** 
 Identify and manage relationships with contract manufacturers and suppliers. Maintain comprehensive Master Files and supply data.
* **Development \&amp; Compliance:** 
 Partner with Design and R\&amp;D to translate user needs into technical specifications. Provide input for packaging and labeling while ensuring all products adhere to ISO and global regulatory requirements (including GUDID and GS1 databases).
* **E\-Commerce Commercialization:** 
 Lead successful product launches across digital marketplaces. Create optimized product listings, including technical descriptions, pricing strategies, and visual asset coordination.
* **Performance Tracking:** 
 Monitor sales data and consumer feedback to drive continuous improvement and identify opportunities for product line extensions.
**Your Profile** 
 We are looking for a professional who excels at scaling physical products within the digital landscape.
* **Experience:** 
 Proven track record in product management within the consumer health, cosmetics, or wellness sectors.
* **Education:** 
 University degree in Marketing, Management, Business Administration, or a related field.
* **Technical Proficiency:** 
 Advanced skills in MS Office and experience with CRM platforms (HubSpot or Salesforce). High comfort level with digital workflow optimization and productivity\-enhancing technologies.
* **Communication:** 
 Full professional proficiency in English is required for global collaboration and content creation.
* **Preferred Skills:** 
 Familiarity with graphic design workflows or experience with usability studies is a significant advantage.
**Why MediVena?** 
* **High Impact:** 
 Drive the growth of a high\-potential product category with global reach.
* **Professional Autonomy:** 
 A fully remote role designed for an independent professional ready to drive major commercial initiatives.
* **Global Environment:** 
 Join a cross\-functional team operating across US and European markets.</t>
        </is>
      </c>
    </row>
    <row r="91">
      <c r="A91" t="inlineStr">
        <is>
          <t>li-4245709356</t>
        </is>
      </c>
      <c r="B91" t="inlineStr">
        <is>
          <t>Product Manager, Consumer</t>
        </is>
      </c>
      <c r="C91" t="inlineStr">
        <is>
          <t>Wonder</t>
        </is>
      </c>
      <c r="D91" t="inlineStr">
        <is>
          <t>linkedin</t>
        </is>
      </c>
      <c r="E91">
        <f>HYPERLINK("https://www.linkedin.com/jobs/view/4245709356", "https://www.linkedin.com/jobs/view/4245709356")</f>
        <v/>
      </c>
      <c r="F91" t="inlineStr"/>
      <c r="G91" t="inlineStr">
        <is>
          <t>New York, NY</t>
        </is>
      </c>
      <c r="H91" t="inlineStr"/>
      <c r="I91"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Opportunity**
 Wonder is looking for a high\-impact Product Manager to scale our Restaurants business. As part of the Consumer Product team, you will be responsible for delivering innovative product features that transform how customers browse, discover, and order from our restaurant offerings. This includes both our first\-party portfolio of chef\-driven concepts, as well as our expansive local marketplace. In this pivotal role, you will be at the forefront of shaping Wonder into a super\-app for mealtime.
**The Impact You Will Make**
* Work closely with the rest of the consumer product team, and key stakeholders across the organization, to execute our product roadmap, drive top\-line growth, and improve our key metrics
* Own the feature development lifecycle from ideation to feature definition, prioritization, testing, and impact measurement
* Leverage user research, marketing trends, competitive analyses, and customer feedback to inform feature development
* Collaborate with UX/UI designers to ensure the app, website, and all other customer touchpoints are optimized for conversion and engagement
* Communicate product performance and impact to the business and key stakeholders
**What You Bring To The Table**
* 3\+ years of experience in product management leading initiatives and cross\-functional teams
* Relevant experience building consumer\-facing products in eCommerce or multi\-sided marketplaces
* Strong analytical skills and the ability to interpret and use data to drive decision\-making
* Demonstrated ability to work collaboratively in a fast\-paced, dynamic environment
* Excellent communication and interpersonal skills, with the ability to communicate complex ideas clearly and concisely
* Strong project management skills, with the ability to manage multiple projects simultaneously and prioritize competing demands
* Demonstrated experience optimizing conversion funnels using experimentation and impact\-driven prioritization
**Got These? Even Better**
* You think holistically about the customer journey—and obsess over helping users find what they want with ease
* You’re comfortable with ambiguity and bring structure to complex problems
* You communicate clearly and inspire alignment across technical and non\-technical teams
* You have a bias toward action and a desire to learn and improve your product sense
**Base Salary** 
 : $138,000 \- $145,500 per year.
 Wonder uses geographic\-specific salary structures, which means the salary offered may vary depending on where the job is located. The final salary offer will take into account various factors, such as the candidate's skills, education, training, credentials, and experience.
 Our hybrid model requires 3 days a week in the office. That said, many team members choose to come in more often to take advantage of in\-person collaboration and connection. You're welcome—and encouraged—to be in the office up to 5 days a week if it works for you.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92">
      <c r="A92" t="inlineStr">
        <is>
          <t>li-4379928733</t>
        </is>
      </c>
      <c r="B92" t="inlineStr">
        <is>
          <t>AI Product Manager</t>
        </is>
      </c>
      <c r="C92" t="inlineStr">
        <is>
          <t>Kodeva LLC</t>
        </is>
      </c>
      <c r="D92" t="inlineStr">
        <is>
          <t>linkedin</t>
        </is>
      </c>
      <c r="E92">
        <f>HYPERLINK("https://www.linkedin.com/jobs/view/4379928733", "https://www.linkedin.com/jobs/view/4379928733")</f>
        <v/>
      </c>
      <c r="F92" t="inlineStr"/>
      <c r="G92" t="inlineStr"/>
      <c r="H92" t="inlineStr"/>
      <c r="I92" t="inlineStr">
        <is>
          <t>AI Product Manager — Retail \&amp; Fashion,
*Remote with travel to Costa Mesa, CA* 
*Full\-time* 
**About the Role** 
 EMIDS is embedding a small, senior team inside a global apparel company’s AI\-native brand sprint — a 90\-day effort to design, manufacture, and place real products on retail shelves using an end\-to\-end AI pipeline. No legacy process. No agency model. Built from scratch.
 The AI Product Manager is the connective tissue of the tiger team. You sit at the intersection of what the AI tools can actually do and what the design, merchandising, and marketing teams need to achieve. You own the pilot roadmap, drive tool selection decisions, and make sure the five chevrons — insights, design, supply chain, marketing, selling — are moving in parallel rather than waiting on each other.
**What You Will Do** 
 • Own the day\-to\-day pilot roadmap — what gets built, in what order, with which tools, by whom
 • Evaluate, select, and onboard AI tools across all five chevrons of the product creation pipeline
 • Translate between the client’s business requirements and the technical capabilities of the EMIDS team — you speak both languages fluently
 • Identify and eliminate bottlenecks as the pipeline is assembled — your job is to keep the team moving toward shelf\-ready product in 90 days
 • Define and track the metrics that matter: time from insight to tech pack, sample cycle time, content production cost per SKU, sell\-through rate
 • Facilitate daily working rhythms across the tiger team — standup cadence, decision logs, tool documentation — without adding process overhead
 • Feed learnings back into a documented, repeatable process that can scale to other categories and brands after the pilot
**What You Need** 
 • Demonstrated experience shipping AI\-powered products in a retail, fashion, e\-commerce, or consumer goods context — not just advising on AI strategy, but owning the delivery of something that went live
 • Deep familiarity with the AI tool landscape for fashion and retail — trend forecasting, generative design, 3D sampling, content production, social commerce — you do not need to operate every tool but you need to know what each one does and where it breaks
 • Strong product instincts: you can make a tool selection decision with incomplete information, commit to it, and adjust when the evidence changes
 • Experience working in small, cross\-functional teams on compressed timelines — you are comfortable with ambiguity and do not need a defined brief to start moving
 • Ability to hold the full five\-chevron picture in your head while managing day\-to\-day execution details
 • Excellent written communication — process documentation is an explicit deliverable of this engagement, not an afterthought
**What You Do Not Need** 
 • A fashion industry background — the client is actively seeking outside\-in thinking
 • Program management experience at a large consulting firm — this role requires product judgment, not project administration
 • Experience with enterprise transformation or large\-scale change management — the pilot is eight to ten people and 90 days; keep it simple
**Location \&amp; Commitment** 
 Primary point of coordination for the tiger team. Available across time zones as needed for the Costa Mesa\-based client team. Remote\-first with periodic in\-person sprints. Full\-time commitment for the duration of the pilot.</t>
        </is>
      </c>
    </row>
    <row r="93">
      <c r="A93" t="inlineStr">
        <is>
          <t>li-4378849241</t>
        </is>
      </c>
      <c r="B93" t="inlineStr">
        <is>
          <t>Sr. Product Manager</t>
        </is>
      </c>
      <c r="C93" t="inlineStr">
        <is>
          <t>Future Secure AI</t>
        </is>
      </c>
      <c r="D93" t="inlineStr">
        <is>
          <t>linkedin</t>
        </is>
      </c>
      <c r="E93">
        <f>HYPERLINK("https://www.linkedin.com/jobs/view/4378849241", "https://www.linkedin.com/jobs/view/4378849241")</f>
        <v/>
      </c>
      <c r="F93" t="inlineStr"/>
      <c r="G93" t="inlineStr">
        <is>
          <t>Austin, Texas Metropolitan Area</t>
        </is>
      </c>
      <c r="H93" t="inlineStr"/>
      <c r="I93" t="inlineStr">
        <is>
          <t>**About us** 
 Future Secure AI is a tech company that is jointly developed with one of the world's largest financial institutions. Operating as an agile startup with deep relationships at C\-suite with large global enterprises, we believe humans and AI agents will work together and give everyone the ability to get 10x performance. We are growing rapidly and on an extraordinary journey of transforming the world with the most leading\-edge artificial intelligence.
**About the Role** 
 We are seeking a Sr. Product Manager to lead a critical area of our core AI platform. This is a high\-impact role in enabling our AI teams to develop, deploy, and scale our AI models rapidly and reliably. You'll be the voice of the developer and operational teams, translating their needs into a product roadmap and ensuring we provide the tools and infrastructure they need to succeed. This role requires a deep understanding of the underlying technologies and a passion for building a world\-class developer experience.
**Key Responsibilities** 
 You'll be responsible for the overall vision, strategy, and execution of your assigned product area, directly impacting the productivity and innovation of our AI development teams. Your success will depend on your ability to collaborate effectively, champion best practices, and drive a culture of continuous improvement. You will own the area roadmap, prioritize features, and work closely with engineering to deliver high\-impact solutions.
 Platform Strategy \&amp; Roadmap
* Define and evangelize the product vision and roadmap for your assigned area, aligned with business objectives and user needs.
* Conduct market research, user interviews, and data analysis to identify opportunities and inform product decisions.
* Translate technical capabilities and infrastructure challenges into compelling product requirements and user stories.
* Prioritize features based on impact, effort, and strategic alignment.
* Analyze incidents, system performance, and user feedback to identify areas for improvement.
 Collaboration \&amp; Influence
* Work closely with engineering, design, and data teams to ensure successful execution of the roadmap.
* Act as a key influencer across different teams, driving alignment on product direction and best practices.
 Focus Area Responsibilities
* You will be responsible for a key, strategic initiative within our AI platform. This will involve defining the product vision and strategy, prioritizing features, and ensuring successful delivery.
* You will be expected to lead a complex set of technical challenges, working closely with engineering teams to build innovative solutions.
* You will be a champion for user needs, translating them into actionable product requirements and driving continuous improvement of our platform.
**Business Qualifications** 
* Have experience with AI platform and system\-level products.
* Are comfortable operating in ambiguous, evolving environments.
* Take initiative in bringing structure, focus, and collaboration.
* Can define product intent, roadmaps, and success metrics.
* Partner closely with other members of product management, engineering, design, and data.
* Balance near\-term delivery with long\-term platform coherence.
* Bachelor’s Degree or Equivalent Level of real\-world experience.
**Preferred Qualification** 
* Experience in a similar role managing complex technical AI products.
* Strong analytical and problem\-solving skills.
* Excellent communication and interpersonal skills.
* Ability to thrive in a fast\-paced, dynamic environment.
* Experience leading and motivating cross\-functional teams.
* A passion for building innovative products that solve real\-world problems.
 Why Join Us? A high\-performance culture State\-of\-the\-art technology Experience world\-class leadership Scale of impact and purpose A competitive salary and a huge growth trajectory Work with the best in the industry Flexible work environment Diversity and creativity
 Disclaimer: We do not wish to be contacted by recruitment agencies. Our hiring process is managed in\-house and the best way for candidates to express interest is by applying with your resume through our company website.</t>
        </is>
      </c>
    </row>
    <row r="94">
      <c r="A94" t="inlineStr">
        <is>
          <t>li-4379938090</t>
        </is>
      </c>
      <c r="B94" t="inlineStr">
        <is>
          <t>AI Product Manager</t>
        </is>
      </c>
      <c r="C94" t="inlineStr">
        <is>
          <t>Unframe</t>
        </is>
      </c>
      <c r="D94" t="inlineStr">
        <is>
          <t>linkedin</t>
        </is>
      </c>
      <c r="E94">
        <f>HYPERLINK("https://www.linkedin.com/jobs/view/4379938090", "https://www.linkedin.com/jobs/view/4379938090")</f>
        <v/>
      </c>
      <c r="F94">
        <f>HYPERLINK("https://grnh.se/rbi9t5l2teu&amp;urlHash=zjqV", "https://grnh.se/rbi9t5l2teu&amp;urlHash=zjqV")</f>
        <v/>
      </c>
      <c r="G94" t="inlineStr"/>
      <c r="H94" t="inlineStr"/>
      <c r="I94" t="inlineStr">
        <is>
          <t>**About Us**
 At Unframe, we build AI\-powered products that address real\-world challenges. Our platform team is at the core of this mission, developing the infrastructure, reusable components, and internal tools that enable rapid and reliable product delivery.
**What You'll Do**
 As an AI Product Manager on our team, you’ll work directly with customers and internal teams to define, scope, and deliver AI\-powered solutions using Unframe’s platform. You’ll bridge product thinking with real\-world use cases \- enabling fast, reliable delivery of custom solutions built on a shared core.
 This is an opportunity to work with top\-tier global customers and solve real, high\-impact problems.
**Responsibilities**
* Translate customer problems into structured solution plans using Unframe.ai’s platform.
* Own the delivery of end\-to\-end projects in collaboration with engineers and AI specialists.
* Write detailed specs and define prompt/context structures for solution logic.
* Prioritize requirements and manage tradeoffs across speed, stability, and scope.
* Work closely with the Platform team to surface reusable product patterns.
* Serve as the voice of the user \- from enterprise operators to domain experts.
**Requirements**
* 8\+ years of experience in product management or technical delivery roles.
* Experience working closely with engineering teams and technical products.
* Ability to manage complex projects with multiple moving parts.
* Strong written communication, systems thinking, and attention to detail.
* Fluent English speaker \- written and verbal communication must be excellent
* Comfortable working in fast\-paced environments with evolving requirements.
**Nice to Have**
* Background in enterprise software, AI tools, or internal platforms.
* Familiarity with prompt engineering, LLMs, or component\-based systems.
* Experience working with customers in finance, cybersecurity, or operations.
**Why Join Us**
 At Unframe, you’ll work on real AI products used by real customers, not experiments or demos. This role offers a unique opportunity to sit at the intersection of customer problems, product strategy, and AI execution, with true ownership over solutions from idea to delivery. You’ll collaborate with strong engineers and AI specialists, influence how our platform evolves, and help shape reusable product capabilities as we scale. If you’re motivated by impact, complexity, and building practical AI systems that actually ship, you’ll find this role both challenging and rewarding.
 If you’re a strong, independent builder who thrives on ownership, cares deeply about quality, and wants to have a real impact — we’d love to meet you.</t>
        </is>
      </c>
    </row>
    <row r="95">
      <c r="A95" t="inlineStr">
        <is>
          <t>li-4365178937</t>
        </is>
      </c>
      <c r="B95" t="inlineStr">
        <is>
          <t>Product Manager, ML Foundations and GenAI</t>
        </is>
      </c>
      <c r="C95" t="inlineStr">
        <is>
          <t>Stripe</t>
        </is>
      </c>
      <c r="D95" t="inlineStr">
        <is>
          <t>linkedin</t>
        </is>
      </c>
      <c r="E95">
        <f>HYPERLINK("https://www.linkedin.com/jobs/view/4365178937", "https://www.linkedin.com/jobs/view/4365178937")</f>
        <v/>
      </c>
      <c r="F95" t="inlineStr"/>
      <c r="G95" t="inlineStr"/>
      <c r="H95" t="inlineStr"/>
      <c r="I9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96">
      <c r="A96" t="inlineStr">
        <is>
          <t>li-4379928232</t>
        </is>
      </c>
      <c r="B96" t="inlineStr">
        <is>
          <t>Lead Product Manager, Consumer Commerce</t>
        </is>
      </c>
      <c r="C96" t="inlineStr">
        <is>
          <t>Slice</t>
        </is>
      </c>
      <c r="D96" t="inlineStr">
        <is>
          <t>linkedin</t>
        </is>
      </c>
      <c r="E96">
        <f>HYPERLINK("https://www.linkedin.com/jobs/view/4379928232", "https://www.linkedin.com/jobs/view/4379928232")</f>
        <v/>
      </c>
      <c r="F96" t="inlineStr"/>
      <c r="G96" t="inlineStr"/>
      <c r="H96" t="inlineStr"/>
      <c r="I96" t="inlineStr">
        <is>
          <t>Ilir Sela started Slice with the belief that local pizzerias deserve all of the advantages of major franchises without compromising their independence. Starting with his family’s pizzerias, we now empower over tens of thousands of restaurants with the technology, services, and collective power that owners need to better serve their digitally minded customers and build lasting businesses. We’re growing and adding more talent to help fulfil this valuable mission. That’s where you come in.
**The Challenge to Solve**
 As a Lead Product Manager you will be working on one of our fastest growing product areas, which is critical to enabling the “reverse franchise” product offering that we provide to independent pizzerias and restaurants.
**The Role**
 As a leader within Product Management, you will spearhead the product development within the Consumer Commerce team, an area which focuses heavily on topline revenue generation for our shop partners. Your team will improve, iterate and build new products that serve as the direct connection between shops and their pizza loving consumers. You will be responsible for a coherent portfolio of features and be accountable for the entire product lifecycle, whilst identifying new areas of investment (new projects) for the product or area.
**We are hiring one person for this role. While this position is advertised in multiple countries, we will make a single hire who may be based remotely in the US, Canada, or the UK.**
**The Team**
 You will partner with cross\-functional stakeholders such as Design, Go\-To\-Market and Operations. You’ll have direct peer support from two Lead Product Managers who lead adjacent teams, meaning this position is one of three top level Product roles reporting directly to the Head of R\&amp;D. You’ll also have direct line management and leadership responsibilities for a small team. The day\-to\-day team activity includes defining simple, elegant solutions from understanding user needs and identifying when they may need to seek further research. You’ll be the product expert for Consumer Commerce with a deep understanding of the users, market, and technology while fostering innovation across the whole team by creating space for it to happen.
**The Winning Recipe**
**Role**
 We’re looking for a Lead Product Manager who is excited to build world\-class products for small business counters. These are the core competencies this role calls for:
* A minimum of 5\+ years of Product Management experience within a commerce or consumer market place domain
* A strong track record as a high performing individual contributor first and foremost, our leaders all ‘lead by doing’
* Direct line management experience of Product Management colleagues
* Experience both in analysing data to help develop hypotheses and then constructing experiments to test them
* Experience in driving business outcomes, as opposed to shipping features
* Demonstrated experience using some kind of product analytics tool
* Clear passion for Design Thinking and being a partner to Product Design
* Meticulous in taking care of the details and demonstrating end\-to\-end ownership of work
* Fluent in agile software development
* Familiarity with the pizza or restaurant industry a bonus
**The Extras**
 Working at Slice comes with a comprehensive set of benefits, but here are some of the unexpected highlights:
* Flexible PTO
* Market leading medical, vision and dental insurance
* 401K matching up to 4%
* Monthly wellness reimbursement/stipend
* Weekly pizza stipend (Yes, that’s a thing!)
 Salary Range: $200,000 to $280,000 \+ equity
*The above represents the expected salary range for this job requisition. Ultimately, in determining your pay, we'll consider your location, experience, and other job\-related factors.*
**The Hiring Process**
 Here’s what we expect the hiring process for this role to be, should all go well with your candidacy. This entire process is expected to take 1\-3 weeks to complete and you’d be expected to start on a specific date.
* Application
* 30\-minute introductory meeting
* 45\-minute Hiring Manager meeting
* 45\-minute Peer meeting
* 45\-minute Cross\-functional meeting
* Offer!
 Pizza brings people together. Slice is no different. We’re an Equal Opportunity Employer and embrace a diversity of backgrounds, cultures, and perspectives. We do not discriminate on the basis of race, color, gender, sexual orientation, gender identity or expression, religion, disability, national origin, protected veteran status, age, or any other status protected by applicable national, federal, state, or local law.
**Privacy Notice Statement of Acknowledgment**
*When you apply for a job on this site, the personal data contained in your application will be collected by Slice. Slice is keeping your data safe and secure. Once we have received your personal data, we put in place reasonable and appropriate measures and controls to prevent any accidental or unlawful destruction, loss, alteration, or unauthorised access. If selected, we will process your personal data for hiring /employment processes, as well as our legal obligations.*
*If you are not selected for the job position and you have given consent on the question below (by selecting "Give consent") we will store and process your personal data and submitted documents (CV) to consider eligibility for employment up to 365 days (one year). You have the right to withdraw your previously given consent for storing your personal data and CV in the Slice database considering eligibility for employment for a year. You have the right to withdraw your consent at any time.*
*For additional information and / or exercise of your rights to the protection of personal data, you can contact our Data Protection Officer, e\-mail:* 
***privacy@slicelife.com***</t>
        </is>
      </c>
    </row>
    <row r="97">
      <c r="A97" t="inlineStr">
        <is>
          <t>li-4378827479</t>
        </is>
      </c>
      <c r="B97" t="inlineStr">
        <is>
          <t>Group Product Manager</t>
        </is>
      </c>
      <c r="C97" t="inlineStr">
        <is>
          <t>Uplight</t>
        </is>
      </c>
      <c r="D97" t="inlineStr">
        <is>
          <t>linkedin</t>
        </is>
      </c>
      <c r="E97">
        <f>HYPERLINK("https://www.linkedin.com/jobs/view/4378827479", "https://www.linkedin.com/jobs/view/4378827479")</f>
        <v/>
      </c>
      <c r="F97">
        <f>HYPERLINK("https://jobs.jobvite.com/uplight/job/oS3KzfwY?__jvst=Job+Board&amp;__jvsd=LinkedIn&amp;urlHash=gjvH", "https://jobs.jobvite.com/uplight/job/oS3KzfwY?__jvst=Job+Board&amp;__jvsd=LinkedIn&amp;urlHash=gjvH")</f>
        <v/>
      </c>
      <c r="G97" t="inlineStr"/>
      <c r="H97" t="inlineStr"/>
      <c r="I97" t="inlineStr">
        <is>
          <t>**Description**
 Uplight is
 *creating a new category of energy* 
 .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**Group Product Manager (GPM), Data Platform** 
 to own Uplight’s Data Platform and drive its evolution as a foundational and customer\-enabling capability across the product portfolio. This role reports directly to the VP of Product and is designed for a senior product leader who combines strong technical depth with people leadership and thrives at translating platform strategy into high\-impact, shipped outcomes.
 In this role, you will be accountable for the vision, roadmap, and execution of the Data Platform, partnering closely with Engineering, Data Science, and Product peers to ensure the platform reliably enables Uplight’s applications, analytics, and machine learning capabilities, while increasingly delivering direct, customer\-facing value.
**How You Will Make An Impact**
* Own the Data Platform end\-to\-end, with accountability for strategy execution, roadmap delivery, and outcomes
* Report to the VP of Product and operate as the senior product owner for platform capabilities
* Lead a team of product managers
* Balance strategic ownership with hands\-on delivery leadership
* Partner closely with cross\-functional leaders while maintaining clear product accountability
**What You Get To Do**
**Data Platform Ownership and Execution**
* Own and drive the vision, roadmap, and execution of Uplight’s Data Platform, including ingestion pipelines, governance, observability, analytics enablement, and developer tooling
* Translate platform strategy into clear roadmaps, milestones, and measurable outcomes aligned with company and product priorities
* Ensure the platform delivers trusted, high\-quality, well\-governed data that scales across products, customers, and regions
* Balance foundational platform investments with incremental delivery that supports near\-term product and customer needs
**Customer and Product Enablement**
* Partner with application product teams to ensure the Data Platform effectively enables customer\-facing analytics, APIs, BI, and data\-driven features
* Evolve the platform as a developer platform, improving time\-to\-value through APIs, tooling, and reusable capabilities
* Identify, validate, and help launch data\-driven product opportunities, contributing to experimentation, pilots, and early releases
**Cross\-Functional Leadership**
* Work closely with Engineering and Data Science leaders to align on technical direction, sequencing, and delivery tradeoffs
* Collaborate with Go\-to\-Market, Customer Success, and Solutions teams to ensure platform investments translate into measurable customer impact
* Define, track, and communicate KPIs related to adoption, reliability, data quality, and downstream business outcomes
* Act as the primary product counterpart for platform\-related initiatives across the organization
**People Leadership**
* Lead, coach, and develop a team of product managers
* Set clear expectations, delivery rhythms, and strong product management practices
* Contribute to hiring, onboarding, and talent development within the Product organization
* Foster a collaborative, high\-trust environment that supports sustainable execution and continuous improvement
**Technical And Platform Expertise**
* Strong understanding of modern data architectures, including lakehouse concepts, ingestion pipelines, governance, observability, analytics, and machine learning enablement
* Comfort engaging deeply with engineering teams on architectural decisions, technical tradeoffs, and delivery sequencing
**Product and Business Orientation**
* Experience translating platform capabilities into tangible customer value through analytics, APIs, embedded insights, or enablement of downstream products
* Ability to prioritize work that balances long\-term platform health with near\-term business impact
**Collaborative Leadership**
* Proven ability to influence across product, engineering, and business stakeholders through clarity, alignment, and execution
* Systems thinker who understands how data ingestion, governance, analytics, and applications connect to customer and business outcomes
**People Leadership Readiness**
* Experience leading senior product managers or acting as a player\-coach on complex initiatives
* Demonstrated ability to grow talent while maintaining a strong focus on delivery and outcomes
**What You Bring To Uplight**
* 7 to 10 years of Product Management experience
* Hands\-on technical background or extensive experience partnering closely with engineering and data teams
* Proven experience with data platforms, ingestion systems, analytics and BI, governance, machine learning enablement, and developer tooling; experience with Databricks or similar platforms is a plus
* Track record of delivering complex platform initiatives that support multiple products, teams, or customers
* Strong communication skills and comfort operating in fast\-moving, evolving environments
* Experience in energy, SaaS, data, or adjacent technology domains is preferred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$165,000\-$190,000 USD \+ Bonus
**Application Deadline:** 
 April 15, 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98">
      <c r="A98" t="inlineStr">
        <is>
          <t>li-4378841209</t>
        </is>
      </c>
      <c r="B98" t="inlineStr">
        <is>
          <t>Technical Product Manager</t>
        </is>
      </c>
      <c r="C98" t="inlineStr">
        <is>
          <t>The Wellness Group</t>
        </is>
      </c>
      <c r="D98" t="inlineStr">
        <is>
          <t>linkedin</t>
        </is>
      </c>
      <c r="E98">
        <f>HYPERLINK("https://www.linkedin.com/jobs/view/4378841209", "https://www.linkedin.com/jobs/view/4378841209")</f>
        <v/>
      </c>
      <c r="F98" t="inlineStr"/>
      <c r="G98" t="inlineStr">
        <is>
          <t>Richardson, TX</t>
        </is>
      </c>
      <c r="H98" t="inlineStr"/>
      <c r="I98" t="inlineStr">
        <is>
          <t>**JD Product Manager (ON\-SITE Associate Level)** 
**Location: Richardson, Texas (On\-site at Wellness Care)** 
 Company: Wellgineering
 Reports To: CEO, Wellgineering
**About Wellgineering** 
 Wellgineering is the technical engine behind innovative healthcare and wellness platforms. We build scalable systems that power telehealth, care management, data integration, and revenue workflows.
 We build real products. Fast. We’re looking for a Product Manager who wants to grow inside a high\-velocity healthcare technology environment, hold tech teams accountable for delivery and drive the project.
**The Role** 
 We are hiring a Product Manager to support the planning, prioritization, and execution of product initiatives across our development teams in Richardson, TX.
 This role is ideal for someone early in their product career who understands technology, communicates clearly, and wants hands\-on exposure to building healthcare platforms. You will work closely with Engineering, Operations, and Leadership to translate business needs into clear product requirements.
 This is not a pure project tracking role. It is a product ownership role inside a technical environment.
**What You’ll Do** 
**Product Planning \&amp; Execution** 
* Support roadmap planning and help prioritize initiatives based on business impact
* Write clear product requirements and user stories
* Collaborate with engineering to clarify acceptance criteria
* Participate in sprint planning and backlog grooming
* Track feature progress and ensure alignment with original requirements
**Cross\-Functional Collaboration** 
* Work with Operations and Leadership to understand business needs
* Translate workflows and operational challenges into product improvements
* Communicate feature updates and product changes to stakeholders
* Gather feedback from users and internal teams
**Product Quality \&amp; Optimization** 
* Help define success metrics for product features
* Monitor feature performance and flag areas for improvement
* Support user testing and validation before release
* Identify gaps or inefficiencies in workflows
**What Success Looks Like** 
* Clear, actionable product requirements that engineers can build from
* Features delivered that solve real operational problems
* Improved clarity around product priorities
* Strong collaboration between product, engineering, and operations
* Growing ownership over roadmap areas within 6–12 months
**Qualifications** 
* 2–4 years of experience in product management, business analysis, technical coordination, or a related role
* Strong written communication skills (you can turn ideas into structured requirements)
* Comfortable working with engineers and understanding technical conversations
* Familiarity with Agile/Scrum environments
* Experience with tools like Jira, Azure DevOps, ClickUp, or similar
* Organized, detail\-oriented, and proactive
 Healthcare, telehealth, or regulated industry experience is a plus, but not required.
**Nice to Have** 
* Exposure to API\-based systems or platform products
* Experience supporting SaaS or digital health products
* Certifications such as CSPO or other product coursework
**Who You Are** 
* Curious about how systems work
* Structured thinker who asks good questions
* Comfortable in fast\-moving environments
* Calm and collaborative
* Focused on outcomes, not just tasks
* Motivated to grow into a more senior Product role
**Why This Role Matters** 
 Our platforms power real healthcare delivery. As a Product Manager, you’ll help shape how care is delivered, data flows, and teams operate. This is a growth role with clear exposure to strategy, execution, and cross\-functional leadership.
 If you perform well, this role can expand into full Product Ownership with roadmap authority.
 Please provide compensation requirements when applying.
 **This is not a remote position.** 
 This position is onsite at our Richardson, Texas facility.</t>
        </is>
      </c>
    </row>
    <row r="99">
      <c r="A99" t="inlineStr">
        <is>
          <t>li-4365124485</t>
        </is>
      </c>
      <c r="B99" t="inlineStr">
        <is>
          <t>Product Manager, ML Foundations and GenAI</t>
        </is>
      </c>
      <c r="C99" t="inlineStr">
        <is>
          <t>Stripe</t>
        </is>
      </c>
      <c r="D99" t="inlineStr">
        <is>
          <t>linkedin</t>
        </is>
      </c>
      <c r="E99">
        <f>HYPERLINK("https://www.linkedin.com/jobs/view/4365124485", "https://www.linkedin.com/jobs/view/4365124485")</f>
        <v/>
      </c>
      <c r="F99">
        <f>HYPERLINK("https://stripe.com/jobs/listing/product-manager-ml-foundations-and-genai/7517535?gh_src=73vnei&amp;urlHash=wbrT", "https://stripe.com/jobs/listing/product-manager-ml-foundations-and-genai/7517535?gh_src=73vnei&amp;urlHash=wbrT")</f>
        <v/>
      </c>
      <c r="G99" t="inlineStr">
        <is>
          <t>San Francisco, CA</t>
        </is>
      </c>
      <c r="H99" t="inlineStr"/>
      <c r="I9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0">
      <c r="A100" t="inlineStr">
        <is>
          <t>li-4238777828</t>
        </is>
      </c>
      <c r="B100" t="inlineStr">
        <is>
          <t>Senior Agent Product Manager</t>
        </is>
      </c>
      <c r="C100" t="inlineStr">
        <is>
          <t>Decagon</t>
        </is>
      </c>
      <c r="D100" t="inlineStr">
        <is>
          <t>linkedin</t>
        </is>
      </c>
      <c r="E100">
        <f>HYPERLINK("https://www.linkedin.com/jobs/view/4238777828", "https://www.linkedin.com/jobs/view/4238777828")</f>
        <v/>
      </c>
      <c r="F100">
        <f>HYPERLINK("https://jobs.ashbyhq.com/decagon/e31c0645-7325-43b9-9d58-0acc40904240?src=LinkedIn&amp;urlHash=yyC-", "https://jobs.ashbyhq.com/decagon/e31c0645-7325-43b9-9d58-0acc40904240?src=LinkedIn&amp;urlHash=yyC-")</f>
        <v/>
      </c>
      <c r="G100" t="inlineStr">
        <is>
          <t>New York, NY</t>
        </is>
      </c>
      <c r="H100" t="inlineStr"/>
      <c r="I100"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Over the past few years, development of LLMs has evolved at a rapid pace. It’s not enough for our customers to just “set it and forget it” when it comes to AI software. Truly successful AI Agents require guidance and input throughout the development lifecycle.
 The Agent Product Management team drives this journey as Decagon’s in\-house experts on building, deploying, and scaling AI agents. Agent PMs work directly with customers to bring their AI agents to life, and then grow each Agent into a core part of each company’s businesses. As one of our early APM’s, you will deploy our technology into some of the world’s most influential businesses, driving real world business impact as one part Product Manager, one part AI expert.
**About The Role**
 On the APM team you’ll own each stage of the AI Agent building process. This can include:
* Collaborating with engineering to design a new product feature
* Writing and testing prompt logic for a specific customer use case
* Working with a customer’s executive team to define their AI roadmap
 You’ll partner closely with every team at Decagon: Go\-To\-Market, Design, Engineering, and across our leadership team. You’ll become a key source of customer insight guiding our long\-term product roadmap.
 APMs at Decagon own their own portfolio of agents from end\-to\-end and are trusted to make real impact. This role is for someone who dives deep into complex business problems, builds elegant solutions and then scales them out to millions users.
**In this role, you will**
* Build, Design and optimize Enterprise\-quality AI agents in collaboration with customers — understanding their workflows, pain points, and goals.
* Embed deeply within strategic customers to understand their business challenges and serve as a strategic advisor to their AI roadmap
* Run tight feedback loops into Engineering — influence feature development based on real customer needs.
* Represent Decagon externally — working closely with customers and prospects, participating in key deployments.
**Your background looks something like this**
* Have 6\+ years of relevant experience (e.g., product manager, engagement manager, consultant, founder, etc.)
* Deep technical acumen — able to understand and shape AI agent designs.
* Strong communication and relationship\-building skills.
* Comfort working in fast\-moving, ambiguous environments where you shape solutions as much as you implement them.
**Even better**
* A Computer Science, Engineering, or Math degree — or equivalent technical experience.
**Benefits**
* Medical, dental, and vision benefits
* Take what you need vacation policy
* Daily lunches, dinners and snacks in the office to keep you at your best
**Compensation**
 $200K – $285K \+ Offers Equity</t>
        </is>
      </c>
    </row>
    <row r="101">
      <c r="A101" t="inlineStr">
        <is>
          <t>li-4308852004</t>
        </is>
      </c>
      <c r="B101" t="inlineStr">
        <is>
          <t>Product Owner</t>
        </is>
      </c>
      <c r="C101" t="inlineStr">
        <is>
          <t>EBizCharge</t>
        </is>
      </c>
      <c r="D101" t="inlineStr">
        <is>
          <t>linkedin</t>
        </is>
      </c>
      <c r="E101">
        <f>HYPERLINK("https://www.linkedin.com/jobs/view/4308852004", "https://www.linkedin.com/jobs/view/4308852004")</f>
        <v/>
      </c>
      <c r="F101" t="inlineStr"/>
      <c r="G101" t="inlineStr">
        <is>
          <t>Irvine, CA</t>
        </is>
      </c>
      <c r="H101" t="inlineStr"/>
      <c r="I101" t="inlineStr">
        <is>
          <t>Headquartered in
 ****Irvine, California****
 , EBizCharge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Magento and WooCommerce. EBizCharge offers its employees tremendous learning opportunities, career growth potential, and a dynamic work environment.
 Join the leading automation company in the payments space and contribute to the development of our ever\-expanding library of integrated product solutions. This is an exciting opportunity for a seasoned ERP software professional to play a critical role in bringing our products to market.
**Responsibilities**
* Define and promote the vision for existing and new product integrations.
* Scope, prioritize, and manage product integration projects through all phases of development, from inception to deployment.
* Collaborate closely and liaise with all Product Development team members such as developers, UX/UI designers, QA, and the leadership team to recommend solutions and offer user\-inspired guidance for enhancing our new and existing EBizCharge product integrations.
* Lead Agile Product Development meetings such as Backlog Groomings, Sprint Plannings, Scrum Standups, and Sprint Retrospectives.
* Lead troubleshooting calls with customers as needed.
* Train stakeholders on product features and workflows thru internal product demos.
* Provide consultation as the subject matter expert for product related questions originating internally and externally.
* Help troubleshoot, escalate, and prioritize reported product issues to ensure timely resolutions.
* Utilize and update process flow documentation and training guides to assist team members.
**Qualifications**
* 2\+ years of experience using, implementing, or managing product development for ERP applications is required.
* 2\+ years of experience as a scrum master or product manager running Agile ceremonies is required
* 2\+ years of experience heavily using Jira including setting up and customizing boards, creating reports, and tracking projects is required.
* Experience providing training and/or demonstrating products or software preferred.
* A positive attitude and the ability to build rapport and relationships with customers and with internal stakeholders.
* Self\-starter with exceptional troubleshooting skills.
* Experience using Xray and Salesforce a plus.
* Flexibility and ability to thrive in a rapidly changing environment.
* Exceptional written and verbal communication skills.
* Working onsite in Irvine, California is required.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Status: Full Time On\-Site Role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102">
      <c r="A102" t="inlineStr">
        <is>
          <t>li-4379914666</t>
        </is>
      </c>
      <c r="B102" t="inlineStr">
        <is>
          <t>Principal Product Manager - REMOTE</t>
        </is>
      </c>
      <c r="C102" t="inlineStr">
        <is>
          <t>Jobgether</t>
        </is>
      </c>
      <c r="D102" t="inlineStr">
        <is>
          <t>linkedin</t>
        </is>
      </c>
      <c r="E102">
        <f>HYPERLINK("https://www.linkedin.com/jobs/view/4379914666", "https://www.linkedin.com/jobs/view/4379914666")</f>
        <v/>
      </c>
      <c r="F102" t="inlineStr"/>
      <c r="G102" t="inlineStr">
        <is>
          <t>Arkansas, United States</t>
        </is>
      </c>
      <c r="H102" t="inlineStr"/>
      <c r="I102"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3">
      <c r="A103" t="inlineStr">
        <is>
          <t>li-4377765898</t>
        </is>
      </c>
      <c r="B103" t="inlineStr">
        <is>
          <t>Product Owner, Clients’ Experience</t>
        </is>
      </c>
      <c r="C103" t="inlineStr">
        <is>
          <t>Xsolla</t>
        </is>
      </c>
      <c r="D103" t="inlineStr">
        <is>
          <t>linkedin</t>
        </is>
      </c>
      <c r="E103">
        <f>HYPERLINK("https://www.linkedin.com/jobs/view/4377765898", "https://www.linkedin.com/jobs/view/4377765898")</f>
        <v/>
      </c>
      <c r="F103" t="inlineStr"/>
      <c r="G103" t="inlineStr"/>
      <c r="H103" t="inlineStr"/>
      <c r="I103" t="inlineStr">
        <is>
          <t>**Position:** 
 Product Owner, Clients’ Experience
**Department:** 
 Payments / Pay Station
**Reports To:** 
 Senior Product Owner of Partner Experience
**About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Launch, monetize, and scale with Xsolla tools and services .
**About The Role**
 We are looking for a Product Owner, Clients’ Experience to lead the vision and roadmap for the B2B user and integration experience of Xsolla’s Pay Station — the company’s core payment platform serving game developers and publishers worldwide.
 In this role, you will focus on optimizing how Xsolla’s clients (developers and publishers) interact with the Pay Station ecosystem — from integration via SDKs and APIs, onboarding, and configuration to monitoring payments, analytics, and managing their business performance.
 You will collaborate closely with engineering, SDK, partner success, and design teams to deliver seamless, data\-driven, and transparent experiences for our global partners.
**Responsibilities**
* Define and own the Clients’ Experience product vision and roadmap, ensuring alignment with Pay Station’s global product strategy.
* Lead initiatives aimed at improving the integration experience, including the design, documentation, and evolution of Xsolla’s SDKs (particularly mobile SDKs for iOS and Android).
* Own and optimize the end\-to\-end B2B client journey — from integration and onboarding to ongoing operational visibility and financial reconciliation.
* Collaborate with cross\-functional stakeholders to ensure consistent and transparent product experiences across all partner touchpoints.
* Work closely with engineering teams to ensure SDKs and integration tools are robust, developer\-friendly, and compliant with legal regulations, internal security standards, and platform guidelines.
* Enhance tools and dashboards within the Publisher Account and other client\-facing or internal interfaces to provide clear reporting, real\-time analytics, and control over payment operations.
* Define requirements for new self\-service partner features, simplifying payment setup, method management, and transaction monitoring.
* Drive initiatives to reduce integration and onboarding time, improve client satisfaction, and minimize operational friction.
* Gather and analyze partner feedback to identify pain points, prioritize improvements, and validate solutions through data, usability research, and experimentation; collaborate with internal teams to deliver intuitive, scalable interfaces and integration flows tailored for developers managing global payment systems.
* Define and track product metrics.
**Requirements**
* 4–6\+ years of experience in product management/product ownership, ideally in B2B (fintech, SaaS, or developer platform products).
* Proven experience working with SDKs (mobile preferred: iOS/Android) and APIs, including designing developer integration experiences and managing documentation.
* Understanding of best practices for data collection to support internal analytics and partner\-facing reporting.
* Understanding of application and system architecture fundamentals (hands\-on architecture design experience is a plus).
* Experience working with B2B clients, gathering and translating business and technical requirements into scalable product solutions.
* Excellent analytical and problem\-solving skills, with a data\-driven approach to prioritization.
* Strong collaboration and communication skills with both technical teams (developers, engineers) and business stakeholders.
* Experience with Agile frameworks (Scrum, Kanban) and backlog management tools (Jira, Confluence, Productboard).
* Fluent in English (written and verbal).
**Nice to have**
* Understanding of partner lifecycle management, integration automation, or app distribution across mobile and web ecosystems.
* Experience designing partner journeys and experiences for AI\-based products.
* Familiarity with mobile app monetization and gaming ecosystems.
* Knowledge of developer experience (DevEx) principles, user research, and UX design for B2B or SDK\-based products.
 $53,995 \- $86,000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4">
      <c r="A104" t="inlineStr">
        <is>
          <t>li-4379910720</t>
        </is>
      </c>
      <c r="B104" t="inlineStr">
        <is>
          <t>Principal Product Manager(remote)</t>
        </is>
      </c>
      <c r="C104" t="inlineStr">
        <is>
          <t>Jobgether</t>
        </is>
      </c>
      <c r="D104" t="inlineStr">
        <is>
          <t>linkedin</t>
        </is>
      </c>
      <c r="E104">
        <f>HYPERLINK("https://www.linkedin.com/jobs/view/4379910720", "https://www.linkedin.com/jobs/view/4379910720")</f>
        <v/>
      </c>
      <c r="F104">
        <f>HYPERLINK("https://jobs.lever.co/jobgether/46bab0e9-b978-4a0e-9639-76706a91bec6/apply?source=LinkedIn&amp;urlHash=9gNS", "https://jobs.lever.co/jobgether/46bab0e9-b978-4a0e-9639-76706a91bec6/apply?source=LinkedIn&amp;urlHash=9gNS")</f>
        <v/>
      </c>
      <c r="G104" t="inlineStr">
        <is>
          <t>Massachusetts, United States</t>
        </is>
      </c>
      <c r="H104" t="inlineStr"/>
      <c r="I104"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li-4379912586</t>
        </is>
      </c>
      <c r="B105" t="inlineStr">
        <is>
          <t>Senior Product Manager</t>
        </is>
      </c>
      <c r="C105" t="inlineStr">
        <is>
          <t>Avatar International SA</t>
        </is>
      </c>
      <c r="D105" t="inlineStr">
        <is>
          <t>linkedin</t>
        </is>
      </c>
      <c r="E105">
        <f>HYPERLINK("https://www.linkedin.com/jobs/view/4379912586", "https://www.linkedin.com/jobs/view/4379912586")</f>
        <v/>
      </c>
      <c r="F105">
        <f>HYPERLINK("https://apply.jobadder.com/eu2/1851/789215/skbtdorcwzuuhpfa5hifcigytq&amp;urlHash=cvOJ", "https://apply.jobadder.com/eu2/1851/789215/skbtdorcwzuuhpfa5hifcigytq&amp;urlHash=cvOJ")</f>
        <v/>
      </c>
      <c r="G105" t="inlineStr">
        <is>
          <t>Malta, OH</t>
        </is>
      </c>
      <c r="H105" t="inlineStr"/>
      <c r="I105" t="inlineStr">
        <is>
          <t>**Now Hiring: Commercial PAM Platform Strategist / Product Architect Remote\-first \| Europe or similar time zone \| Contract or Permanent**
 We’re looking for a
 **PAM\-native product strategist** 
 with the commercial instincts of a dealmaker and the platform fluency of a systems architect.
 This is a
 **B2B\-only role** 
 — no player\-facing UX, no front\-end fluff. You’ll be shaping the
 **core PAM infrastructure** 
 that underpins multiple regulated brands and jurisdictions. From wallet orchestration and KYC/AML to bonus engines and RG tooling, you’ll define the product vision and architecture that drives compliance, scalability, and commercial performance.
**What You’ll Do**
* Architect and evolve a multi\-tenant PAM platform serving multiple regulated operators
* Own the product strategy across wallet, KYC/AML, bonus, CRM, and RG tooling — with a focus on extensibility, compliance, and cost\-to\-serve
* Lead vendor strategy: evaluate, negotiate, and integrate third\-party providers (PSPs, KYC, RG, CRM, etc.)
* Partner with commercial, compliance, and engineering teams to align platform capabilities with business goals
* Support regulatory readiness and certification cycles (UKGC, MGA, GLI, etc.)
* Define KPIs for platform performance, integration velocity, and commercial impact
**What Sets You Apart**
* Deep experience in iGaming platform product leadership, ideally in a B2B or multi\-brand environment
* Extensive network across the PAM ecosystem — you know the regulators, vendors, pricing models, and competitor architectures
* Proven track record with wallet systems, KYC/AML, RG tooling, and bonus orchestration
* Commercially astute — you understand how platform decisions affect operator margins, compliance exposure, and scalability
* Comfortable leading cross\-functional teams and managing complex vendor landscapes
* Available for contract, consulting, or permanent engagement
 Why This Role?
* Shape the future of a multi\-market, multi\-brand iGaming platform
* Work with a high\-calibre team of product, tech, and regulatory experts
* Flexible engagement model — contract or permanent, remote\-first, timezone\-aligned
* Competitive day rate or salary, depending on experience and engagement type</t>
        </is>
      </c>
    </row>
    <row r="106">
      <c r="A106" t="inlineStr">
        <is>
          <t>li-4340833239</t>
        </is>
      </c>
      <c r="B106" t="inlineStr">
        <is>
          <t>Senior Product Manager - Real Time Personalization</t>
        </is>
      </c>
      <c r="C106" t="inlineStr">
        <is>
          <t>Amperity</t>
        </is>
      </c>
      <c r="D106" t="inlineStr">
        <is>
          <t>linkedin</t>
        </is>
      </c>
      <c r="E106">
        <f>HYPERLINK("https://www.linkedin.com/jobs/view/4340833239", "https://www.linkedin.com/jobs/view/4340833239")</f>
        <v/>
      </c>
      <c r="F106">
        <f>HYPERLINK("https://amperity.com/careers/7398380?gh_jid=7398380&amp;gh_src=053ff1fc1us&amp;urlHash=1fgX", "https://amperity.com/careers/7398380?gh_jid=7398380&amp;gh_src=053ff1fc1us&amp;urlHash=1fgX")</f>
        <v/>
      </c>
      <c r="G106" t="inlineStr">
        <is>
          <t>Seattle, WA</t>
        </is>
      </c>
      <c r="H106" t="inlineStr"/>
      <c r="I106" t="inlineStr">
        <is>
          <t>At Amperity, we’re an AI\-first company helping the world’s leading brands create personalized customer experiences that build loyalty and fuel growth. Our AI\-powered Customer Data Cloud, built on multi\-patented technology, enables more than 400 global brands, including Alaska Airlines, Wyndham Hotels \&amp; Resorts, and DICK’S Sporting Goods, to turn customer data into a competitive advantage.
 We unlock the full value of customer data with simplicity and speed. AI is at the core of our platform and the way we work — from powering advanced identity resolution and predictive analytics to streamlining internal workflows and decision\-making. It’s not just a capability; it’s part of our DNA.
 Our team thrives on curiosity, collaboration, and transparency, fostering a culture where everyone can contribute, learn, and grow. We welcome talented individuals from diverse backgrounds to help us remove data bottlenecks, accelerate business impact, and push the boundaries of what AI can do for the world’s most innovative companies.
 With offices in Seattle, New York City, London, and Melbourne, you’ll join a fast\-growing team tackling critical challenges at the intersection of AI, data, and customer experience. Ready to make an impact? Let’s talk.
**The Role**
 You'll lead the end\-to\-end direction for real\-time workflows across event ingestion, event processing, real\-time API lookups, and data validation. You'll partner with engineering, design, and field teams to push our technical strategy forward, ensuring the platform remains scalable, durable, and enterprise\-grade.
 An important part of this role is working directly with brands to understand how they capture and route customer signals across modern data ecosystems. You'll design product experiences that meet the realities of fragmented, multi\-channel data while allowing the next generation of event\-driven personalization and orchestration.
 We're looking for someone who brings enterprise SaaS product experience, familiarity of real\-time data and API\-driven systems, customer and product instincts, and the ability to collaborate across technical, business, and executive audiences. You'll thrive in environments with technical complexity and evolving requirements
 You will report to the Senior Manager, Product Management; Data Implementation and Customer 360\.
**Interesting Problems**
* Define the product vision for Amperity's real\-time capabilities, from event ingestion to activation.
* Enable go\-to\-market and customer\-facing teams with the clarity, training, and tools required to address customer questions effectively and guide enterprise customers through successful onboarding
* Work with product design to develop end\-to\-end user experiences for technical audiences.
* Work closely with engineering on high\-throughput low latency event pipelines, data aggregations, and functionality suited for enterprise\-scale workloads.
* Ensure deep interoperability across the event\-collection ecosystem.
* Conduct customer discovery and research, synthesizing insights into clear requirements, experience narratives, and product direction.
* Identify opportunities for market expansion by uncovering new real\-time and event\-driven use cases, integration patterns, and platform capabilities.
* Balance operational and marketer\-facing experiences, ensuring the platform supports both robust enterprise data operations and dynamic personalization workflows
* Build for real customer use cases, including those centered around:
* 
+ Real\-time website and mobile personalization
+ Large scale data processing
+ Data quality monitoring
+ Cross\-timeframe decisioning that blends historical and streaming data
+ Cart abandonment, re\-targeting, and re\-engagement
**About You**
* 8\+ years of product management experience, including 3–5 years building data products or tools
* Familiarity with one or more event streaming technologies and/or distributed systems concepts. You can quickly ramp up to understand the tradeoffs and customer impact of these technologies.
* Experience working with event instrumentation teams or analytics engineers.
* Meaningful experience overseeing or contributing to public or partner\-facing APIs
* Experience working with Product Design to define conceptual models, workflows, and intuitive user experiences for technically complex systems.
* Translate customer needs and market signals into product strategy decisions.
* Comfort engaging with engineering, solution architects, customer success, field leaders, and executives at enterprise brands.
* Experience communicating complex technical concepts to a variety of audiences; able to distill complexity, shape product narratives, support release readiness, and contribute to GTM agreement.
**Location**
**Seattle, WA**
 Our hybrid work model includes three days in the office each week, providing a mix of in\-person collaboration and remote flexibility
**Compensation**
**Base Salary: $170,000\-$230,000\.** 
 Individual compensation within this range will depend on several factors, including your skills, experience, education/training, and the level at which you join. We also consider internal equity, market conditions, and overall business needs.
**Cash Incentives:** 
 Cash incentives are also available.
**Stock Options:** 
 The opportunity for ownership is an exciting part of Amperity’s total compensation package. Every employee at Amperity receives a new\-hire equity grant, commensurate with the scope of their position.
**Benefits**
 We offer all the benefits you'd expect from a great place to work: 100% employee healthcare coverage, transportation subsidies, a comfortable work environment with plenty of snacks, and other employee experience perks like events and activities, both in\-person and remote. We also offer self\-managed PTO and the flexibility to do your best work in the way that works for you. We provide an inclusive environment where you'll be challenged to find and unlock your full potential, surrounded by a team of world\-class people driving for excellence. For more details on our benefits, please see our US Benefits \&amp; Perks Guide.
 Amperity is proud to be an equal opportunity employer. We do not discriminate on the basis of race, religion, color, national origin, sex (including pregnancy, childbirth, and reproductive health choices), sexual orientation, gender identity, gender expression, age, status as a protected veteran, status as someone with a disability, political views or activity, or other applicable legally protected characteristics. We also consider qualified applicants with criminal histories, consistent with applicable federal, state, and local law.</t>
        </is>
      </c>
    </row>
    <row r="107">
      <c r="A107" t="inlineStr">
        <is>
          <t>li-4377766369</t>
        </is>
      </c>
      <c r="B107" t="inlineStr">
        <is>
          <t>Principal Product Manager, Consumer Innovation</t>
        </is>
      </c>
      <c r="C107" t="inlineStr">
        <is>
          <t>Ladders</t>
        </is>
      </c>
      <c r="D107" t="inlineStr">
        <is>
          <t>linkedin</t>
        </is>
      </c>
      <c r="E107">
        <f>HYPERLINK("https://www.linkedin.com/jobs/view/4377766369", "https://www.linkedin.com/jobs/view/4377766369")</f>
        <v/>
      </c>
      <c r="F107" t="inlineStr"/>
      <c r="G107" t="inlineStr"/>
      <c r="H107" t="inlineStr"/>
      <c r="I107" t="inlineStr">
        <is>
          <t>For our client, we are seeking a Principal Product Manager Consumer Innovation to join the team of a leader in the Consumer Technology space. You’ll play a key role delivering outcomes for customers and stakeholders in the Consumer Technology space. You’ll collaborate cross\-functionally and take ownership of priorities. This role offers visibility, growth, and impact.
 Location: Remote \- US based candidates only, no visa sponsorship available
 Compensation: $250,000 – $264,000 annually.
**Responsibilities**
* Own the product strategy and roadmap for Meals Health
* Deeply collaborate with design and research to understand customer needs
* Define and run a rigorous experimentation program to improve outcomes
* Work with various teams to deliver responsibly built features
* Communicate tradeoffs and prioritize for customer and business impact
**Qualifications**
* 8\+ years of product management experience in consumer products
* Proven track record of shipping zero\-to\-one products with measurable impact
* Hands\-on collaboration with design and user research teams
* Fluency in data analytics and experimentation methodologies
* Experience working in cross\-functional teams with multiple stakeholders
* Bachelor's degree in a related field or equivalent experience
**Benefits**
* Flexibility to choose work location (home, office, etc.)
* Access to regular in\-person events to build community
* Opportunity to make a substantial impact in a growing team
* Eligibility for new hire equity grants and annual refresh grants
* Highly competitive compensation and benefits packages
 Our client is an equal opportunity employer. We encourage you to apply even if you don’t meet every qualification—your background could be exactly what this team needs.</t>
        </is>
      </c>
    </row>
    <row r="108">
      <c r="A108" t="inlineStr">
        <is>
          <t>li-4378836578</t>
        </is>
      </c>
      <c r="B108" t="inlineStr">
        <is>
          <t>Technical Product Manager</t>
        </is>
      </c>
      <c r="C108" t="inlineStr">
        <is>
          <t>Lorven Technologies Inc.</t>
        </is>
      </c>
      <c r="D108" t="inlineStr">
        <is>
          <t>linkedin</t>
        </is>
      </c>
      <c r="E108">
        <f>HYPERLINK("https://www.linkedin.com/jobs/view/4378836578", "https://www.linkedin.com/jobs/view/4378836578")</f>
        <v/>
      </c>
      <c r="F108" t="inlineStr"/>
      <c r="G108" t="inlineStr">
        <is>
          <t>Dallas, TX</t>
        </is>
      </c>
      <c r="H108" t="inlineStr"/>
      <c r="I108" t="inlineStr">
        <is>
          <t>**Position Title: Technical Project Manager** 
**Location: Dallas, TX / Austin, TX** 
**Full time** 
**Job Description** 
**What you’ll do:** 
* Manage business and technical deliverables to the project budget and timeline throughout the various project phases
* Develop and document project plans, budgets and schedules
* Identify and document the roles, tasks, and responsibilities of the project team
* Document release/deployment plans, present to leadership
* Schedule and manage releases, create deployment tickets
* Schedule, coordinate and lead release and certification calls
* Identify gaps/risks early and establish mitigation plans
* Ensure the coordination of individual team deliverables are synchronized as necessary to achieve product releases
* Manage day\-to\-day scrum activities and influence team members to leverage, follow and support agile software development practices, Schedule and facilitate all Scrum ceremonies as needed
* Interface with product owner and key stakeholders in Project Management, Business, QA and Technology Operations to ensure high quality delivery of software projects on time and budget
* Work with leads and product owner to provide development sizings \&amp; cost analysis estimates
* Work closely with product owner and team members to decompose stories, design features, and prioritize tasks
* Utilize scrum tools and frameworks to achieve efficiency both internally and externally
* Support integration efforts to build whole systems from various subsystems
* Assist development and operations teams in resolving needs and roadblocks identified by team members
**What you have:** 
* Three or more years of project management experience, managing multiple large, complex and cross functional projects, with emphasis on systems, technologies, business process redesign, and knowledge of technical environments
* Scrum Master and Release Manager experience
* Two or more years of technology experience, previous development or QA experience
* Previous technical experience with the Microsoft technology stack (C\#, SQL Server) or with Java
* Ability to understand technical issues and facilitate resolution
* Thorough understanding of the software development lifecycle
* Expert knowledge of MS Project, Excel, and MS Word along with general familiarity with Outlook, Visio and other MS Office applications
* Exceptional communication, organization, and time management skills
* Strong interpersonal, negotiation, facilitation, analytical, problem\-solving, influencing, prioritization, decision\- making and conflict resolution skills with a solid ability to ability to identify stakeholders, assess their needs and manage their expectations through effective communication
* Excellent team player with the ability to influence and negotiate
* Experience working with an Agile methodology on large scale, technically complex projects for a large enterprise
* Results Driven (Prioritizing, Taking Initiative, Taking Ownership)
* Team Leadership (Coaching Others, Dealing with Stress, Demonstrating Teamwork, Influencing Others, Interacting with Others, Maintaining Composure, Motivating Others, Providing Direction and Leadership)
* Certified Scrum Master and PMP Certification (plus)
* Financial Industry experience (plus)</t>
        </is>
      </c>
    </row>
    <row r="109">
      <c r="A109" t="inlineStr">
        <is>
          <t>li-4377775397</t>
        </is>
      </c>
      <c r="B109" t="inlineStr">
        <is>
          <t>Founding Product Manager [32933]</t>
        </is>
      </c>
      <c r="C109" t="inlineStr">
        <is>
          <t>Stealth Startup</t>
        </is>
      </c>
      <c r="D109" t="inlineStr">
        <is>
          <t>linkedin</t>
        </is>
      </c>
      <c r="E109">
        <f>HYPERLINK("https://www.linkedin.com/jobs/view/4377775397", "https://www.linkedin.com/jobs/view/4377775397")</f>
        <v/>
      </c>
      <c r="F109" t="inlineStr"/>
      <c r="G109" t="inlineStr"/>
      <c r="H109" t="inlineStr"/>
      <c r="I109" t="inlineStr">
        <is>
          <t>We're looking for our Founding Product Manager (PM), our first non\-technical hire, who will translate ambiguous customer pain points into crisp product bets, drive 0→1 execution, and help define the product category for AI\-native time\-series.
**The Role** 
 Own 0→1: Translate raw, technical, and often ambiguous customer needs into sharp product hypotheses, ship fast, and validate impact.
 Be the Connector: Work hand\-in\-hand with world\-class engineers, researchers, and lighthouse customers to validate and scale winning patterns.
 Grow into Leadership: Stand up lightweight product processes now, then build and lead the PM function as we scale into the next stage.
 First 6–12 months (IC focus):
* Own product planning, roadmap, and execution in close collaboration with engineering, sales, legal and market
* Partner with early customers to validate hypotheses, prioritize features, and iterate quickly
* Drive new customer discovery through cold outreach, user research, etc.
* Introduce lightweight product processes (sprints, specs, internal tooling) to support execution
* Contribute to go\-to\-market strategy planning
* Metrics \&amp; KPIs: define clear, measurable KPIs for product success (user acquisition, engagement, retention, and overall product impact)
* Transition to product leadership as we grow
**What we're looking for:** 
* 4–7 years of product experience, ideally in early\-stage startups or deep tech / B2B / ML / dev tools
* Startup mindset: thrives in ambiguity and moves with urgency. Bias for action — builds fast, ships MVPs, and learns from real\-world usage. Works side\-by\-side with engineering and design to iterate quickly, adjust course based on customer feedback and early market signals, and continuously refine product\-market fit
* Strong technical fluency — comfortable working with technical engineers and researchers (no coding required)
* Experience building early\-stage products from zero, with a bias for fast, thoughtful execution
* Excellent communication skills and ability to shape clear product narratives
* Hands\-on with customer discovery and prioritization
* Ambitious and driven — wants to build, not just manage
**Location \&amp; Sponsorship** 
* Location:
 **San Francisco Bay Area, CA** 
 (in\-person)
* Visa Sponsorship:
 **H1\-B, O1**</t>
        </is>
      </c>
    </row>
    <row r="110">
      <c r="A110" t="inlineStr">
        <is>
          <t>li-4378827588</t>
        </is>
      </c>
      <c r="B110" t="inlineStr">
        <is>
          <t>Technical Product Owner, Personalization</t>
        </is>
      </c>
      <c r="C110" t="inlineStr">
        <is>
          <t>Insight Global</t>
        </is>
      </c>
      <c r="D110" t="inlineStr">
        <is>
          <t>linkedin</t>
        </is>
      </c>
      <c r="E110">
        <f>HYPERLINK("https://www.linkedin.com/jobs/view/4378827588", "https://www.linkedin.com/jobs/view/4378827588")</f>
        <v/>
      </c>
      <c r="F110" t="inlineStr"/>
      <c r="G110" t="inlineStr">
        <is>
          <t>Charlotte, NC</t>
        </is>
      </c>
      <c r="H110" t="inlineStr"/>
      <c r="I110" t="inlineStr">
        <is>
          <t>**Requirements:** 
* 4\+ years experience as Product Owner building consumer\-facing products, leading product backlog, managing roadmaps of epics, setting milestones for development and delivery
* Strong understanding of backend services, APIs, architecture, and performance considerations
* Deep understanding of CDP and integration architecture
* Experience leveraging qualitative and quantitative insights to plan and prioritize feature ideas
* Ability to communicate complex technical information in a concise manner to a wide range of audiences
* Experience with Agile frameworks and delivery practices (e.g., Scrum, SAFe)
* Experience with Agile planning and collaboration tools (e.g. Jira, Confluence, Miro)
**Preferred:** 
* Experience with Adobe Real\-Time Customer Data Platform
* Bachelor’s degree in computer science, computer engineering, marketing, or a closely related field
**Overview:** 
 The Technical Product Owner focuses on customer per builds products from concept to launch by connecting business and technical needs. You will drive Personalization roadmap initiatives across the North American business, translating complex problems into scalable customer experience features.
 This role sits at the intersection of Product Management, Engineering, Architecture, and business stakeholders, ensuring solutions are delivered at the right time and align with our long\-term digital and data strategy.
**Main Responsibilities:** 
* Write user stories and acceptance criteria for personalization features.
* Prioritize the backlog with product and engineering.
* Meet with architects on data flows and integration challenges.
* Validate API behaviors and backend decisions support personalization.
* Track sprint progress, unblock developers, manage risks.
* Ensure delivered features meet technical readiness, performance, and quality standards.
* Perform gap analysis for data, security, analytics, and system behavior.
**Detailed Responsibilities:** 
* Serve as the voice of the end user while translating business and technical needs into clear requirements, user stories, epics, and acceptance criteria for release of new customer experiences.
* Deliver Personalization product roadmap – planning, prioritizing, and driving execution of deliverables aligned with Product Management and overall program milestones.
* Work with the Product Managers, Business Owners, Business Stakeholders to understand the needs, understand the domain, scope and provide clear requirements for the Team.
* Take ownership of Development Team outcomes – setting priorities, managing risks and dependencies, monitoring progress, and ensuring timely delivery of high\-quality solutions.
* Maintain and continuously refine the product backlog, ensuring items are well\-defined, estimated, prioritized, and aligned with both short\-term deliverables and long\-term architectural goals.
* Facilitate cross\-team collaboration and dependency management across systems, teams, and vendors to ensure seamless integration and delivery.
* Ensure technical integrity and production readiness of delivered solutions, aligning with development, architecture standards and release management practices.
* Act as the technical advisor to relevant stakeholders driving key technical decisions
* Work with product teams to capture feature requests, define and manage use cases, and assist when called upon to write them into technical user stories and/or epics.
* Participate in end\-to\-end activities related to implementation planning including project management, issue management, production support, communication management, and change management.
* Perform gap analysis, data and analytic research, production support escalation, and security requirement sign\-off, as required.
* Coordinate with Product Managers and Architects across Customer Experience, Digital Products, and Retail Systems teams to align backlogs, and document key design decisions.
* Build strong cooperation with other development teams and stakeholders across Customer Experience, Digital Products, and Retail Systems.
**Compensation:** 
 $110\-145k per year annual salary.
 Exact compensation may vary based on several factors, including skills, experience, and education.
**Benefits:** 
* Competitive salary plus annual bonus
* Competitive benefits packages (medical, dental, 401k, employee stock plan, etc.)
* People Perks which allow for great discounts on food and fuel
* Work for a leading, innovative, and growing company in convenience store operations
* Fortune 500 company and a two\-time Gallup Exceptional Workplace Award winner
* Tuition reimbursement of $5,000 per year
* Learning opportunities to develop new skills and to evolve professionally in a fast\-growing company</t>
        </is>
      </c>
    </row>
    <row r="111">
      <c r="A111" t="inlineStr">
        <is>
          <t>li-4378836035</t>
        </is>
      </c>
      <c r="B111" t="inlineStr">
        <is>
          <t>Product Manager</t>
        </is>
      </c>
      <c r="C111" t="inlineStr">
        <is>
          <t>Haystack</t>
        </is>
      </c>
      <c r="D111" t="inlineStr">
        <is>
          <t>linkedin</t>
        </is>
      </c>
      <c r="E111">
        <f>HYPERLINK("https://www.linkedin.com/jobs/view/4378836035", "https://www.linkedin.com/jobs/view/4378836035")</f>
        <v/>
      </c>
      <c r="F111" t="inlineStr"/>
      <c r="G111" t="inlineStr"/>
      <c r="H111" t="inlineStr"/>
      <c r="I111" t="inlineStr">
        <is>
          <t>**Sr Product Manager \- B2C Strategy \| Bellevue, Washington \| $124,500 \- $206,000** 
 We're working with a celestial\-scale aerospace innovator building a global satellite constellation to bridge the digital divide on this exciting opportunity.
 As a Senior Product Manager, you will lead the charge in defining the B2C strategy for a massive Low Earth Orbit (LEO) satellite broadband network. You will be responsible for translating complex technical capabilities into world\-class consumer services, focusing on subscription lifecycle models and global connectivity solutions.
**The Role** 
 • Spearhead the B2C product strategy for a global constellation of over 3,000 satellites, ensuring fast and affordable broadband access for underserved communities.
 • Author expertly crafted "working backwards" documents and Business Requirement Documents (BRD) that translate high\-level vision into engineering deliverables.
 • Define and implement complex subscription lifecycle models and customer growth strategies tailored for global consumer segments.
 • Dive deep into data and KPIs to optimize service offerings, collaborating with cross\-functional technical teams to refine product\-market fit.
 • Lead executive\-level reviews and present strategic roadmaps for high\-scale fixed and wireless telecommunications services.
**What You'll Need** 
 • 5\+ years of experience in Product Management, Program Management, or Business Development within a high\-growth technology environment.
 • Proven track record in the telecommunications sector, specifically with high\-scale fixed, wireless, or satellite communication services.
 • Deep expertise in subscription\-based business models, customer lifecycle management, and product analytics.
 • Exceptional writing and communication skills, with the ability to distill complex technical requirements into compelling business narratives.
 • U.S. Citizenship, Permanent Residency (Green Card), or status as a refugee/asylee is required due to export control regulations.
**What's On Offer** 
 • Competitive salary range of $124,500 \- $206,000 with additional total compensation components.
 • Remote\-friendly work culture based in the tech hub of Bellevue, WA.
 • The opportunity to work on a literal "moonshot" project that will fundamentally change how the world connects.
 • High\-impact role within a mission\-driven team solving the world's most difficult connectivity challenges.
**Apply via Haystack today!**</t>
        </is>
      </c>
    </row>
    <row r="112">
      <c r="A112" t="inlineStr">
        <is>
          <t>li-4378834059</t>
        </is>
      </c>
      <c r="B112" t="inlineStr">
        <is>
          <t>Product Manager</t>
        </is>
      </c>
      <c r="C112" t="inlineStr">
        <is>
          <t>Haystack</t>
        </is>
      </c>
      <c r="D112" t="inlineStr">
        <is>
          <t>linkedin</t>
        </is>
      </c>
      <c r="E112">
        <f>HYPERLINK("https://www.linkedin.com/jobs/view/4378834059", "https://www.linkedin.com/jobs/view/4378834059")</f>
        <v/>
      </c>
      <c r="F112" t="inlineStr"/>
      <c r="G112" t="inlineStr"/>
      <c r="H112" t="inlineStr"/>
      <c r="I112" t="inlineStr">
        <is>
          <t>**Sr. Product Manager\-Tech, Amazon Leo \| Redmond, Washington \| Remote\-Friendly \| $151,200 \- $204,600** 
 We're working with a global leader in satellite connectivity and space\-tech innovation on this exciting opportunity.
 As a Senior Product Manager, you will spearhead the development of next\-generation antenna hardware and broadband technologies to bridge the digital divide for millions. You will navigate the complex intersection of hardware engineering, satellite communications, and customer\-centric design to launch high\-impact Enterprise antenna products globally.
**The Role** 
 • Lead end\-to\-end product ownership for the Enterprise antenna product line, driving the strategy from initial concept to global market launch.
 • Synthesize hardware and wireless technology requirements into detailed PRDs (Product Requirement Documents) for engineering and design teams.
 • Drive cross\-functional collaboration with Hardware Engineering, Operations, Finance, and Business Development to manage the product ROI and lifecycle.
 • Define and track key performance indicators (KPIs) and manage complex trade\-off discussions regarding technical specs and manufacturing costs.
 • Act as the technical voice of the customer, conducting research to identify market gaps in the broadband ISP and satellite communication sectors.
**What You'll Need** 
 • Proven experience in Technical Product Management, specifically launching consumer electronics, broadband hardware, or ISP\-related services.
 • Deep understanding of wired and wireless communication technologies (RF, Satellite, WiFi, or LTE/5G networking).
 • Strong ability to lead via influence in a matrixed organization, working side\-by\-side with Hardware and Software engineering teams.
 • Exceptional analytical skills with the ability to build business cases, SKU strategies, and roadmap prioritization frameworks.
 • Bachelor’s degree in a technical or business field; candidates must meet U.S. Export Control requirements (US Citizen/Permanent Resident).
**What's On Offer** 
 • Competitive base salary range of $151,200 \- $204,600 plus comprehensive equity and benefits packages.
 • A chance to work on world\-changing hardware that provides global broadband access to underserved communities.
 • A remote\-friendly, flexible workspace policy based in the tech\-forward hub of the Pacific Northwest.
 • Unparalleled career growth opportunities within a pioneering leader in the aerospace and telecommunications sector.
**Apply via Haystack today!**</t>
        </is>
      </c>
    </row>
    <row r="113">
      <c r="A113" t="inlineStr">
        <is>
          <t>li-4376444521</t>
        </is>
      </c>
      <c r="B113" t="inlineStr">
        <is>
          <t>Product Manager, Growth &amp; Acquisitions</t>
        </is>
      </c>
      <c r="C113" t="inlineStr">
        <is>
          <t>Great American Media</t>
        </is>
      </c>
      <c r="D113" t="inlineStr">
        <is>
          <t>linkedin</t>
        </is>
      </c>
      <c r="E113">
        <f>HYPERLINK("https://www.linkedin.com/jobs/view/4376444521", "https://www.linkedin.com/jobs/view/4376444521")</f>
        <v/>
      </c>
      <c r="F113" t="inlineStr"/>
      <c r="G113" t="inlineStr">
        <is>
          <t>Arlington, TX</t>
        </is>
      </c>
      <c r="H113" t="inlineStr"/>
      <c r="I113" t="inlineStr">
        <is>
          <t>Great American Media is home to the
 **family\-friendly** 
 and
 **faith driven** 
 portfolio of brands Great American Family, Great American Faith \&amp; Living, and Great American Pure Flix. We are committed to providing an uncompromised, uplifting environment that celebrates Faith, Family, and Country for the entire family. We are dedicated to our audience, and we believe that strong brands and high\-quality programming create an unparalleled fan experience across the Great American Media portfolio.
 We are seeking a growth\-centric, excellence\-focused
 **Product Manager, Growth \&amp; Acquisitions** 
 to join our team.
 **Ideal candidates will be able to work onsite at our Texas Headquarters (Arlington, TX 76006\) or New York Office (New York, NY 10019\).** 
**Job Purpose** 
 The Product Manager, Growth \&amp; Acquisitions, will lead the company’s growth\-focused product strategy. This role will own the acquisition funnels and conversion strategy that drive customer growth across digital platforms from landing pages and purchase flows to app store presence and in\-app purchase experiences.
 This role will partner closely with Marketing, UX, and Engineering to design, test, and optimize acquisition journeys that convert visitors into long\-term subscribers. This high\-impact position will require a passion for data\-driven decision\-making, cross\-functional collaboration, and delivering measurable growth outcomes.
 To be successful in this role, the Product Manager will need to balance data\-driven decision making with cross\-functional collaboration, driving measurable improvements in acquisition funnels while ensuring a seamless user journey from first touch to subscription and onboarding.
**Duties and Responsibilities** 
* Own the acquisition journey across web and mobile, including landing pages, purchase funnels, and app store fronts.
* Define and prioritize product roadmaps that align with marketing campaigns and company growth goals.
* Partner with Engineering and QA to plan, sequence, and support development timelines that improve acquisition performance.
* Guide and support implementation efforts by providing clear product requirements and strategic direction, ensuring development work aligns with growth goals.
* Manage and optimize in\-app purchase experiences to ensure seamless user experience and compliance with platform guidelines.
* Drive App Store Optimization to increase visibility, purchases, and downloads.
* Analyze performance data to identify opportunities, reduce friction, and improve conversion rates.
* Work cross\-functionally with stakeholders to ensure acquisition touchpoints reflect brand and customer needs.
* Other projects and responsibilities as assigned.
**Qualifications** 
* Bachelor’s degree in Computer Science, Business, Marketing, or a related field, or equivalent practical experience.
* 3–5\+ years of experience as a Product Manager (preferably with growth, acquisition, or subscription\-based products).
* 2\-3\+ Experience in purchase funnel optimization, digital commerce, and conversion strategy.
* Familiarity with modern web and app platforms; deep technical coding expertise is not required but the ability to collaborate effectively with engineering teams is essential.
* Strong analytical skills with the ability to evaluate industry trends, competitor behavior, and user data to support product and growth strategies.
* Proven ability to collaborate effectively across cross\-functional teams, including product development, engineering, and marketing.
* Willingness to work flexible hours, including weekends and holidays, as needed to support key releases or platform updates.
**Direct Reports** 
 None.
**Compensation, Benefits and Application Process** 
 Competitive base salary commensurate with experience. We offer a comprehensive benefits package including:
* 401(k) retirement plan with employer match
* Employer paid medical, dental and vision insurance
* Employer paid STD and LTD
* Employer paid life insurance and AD\&amp;D plus voluntary supplemental options
* Pet Insurance
* Comprehensive paid time off – vacation, sick leave and holidays</t>
        </is>
      </c>
    </row>
    <row r="114">
      <c r="A114" t="inlineStr">
        <is>
          <t>li-4377772311</t>
        </is>
      </c>
      <c r="B114" t="inlineStr">
        <is>
          <t>Technical Product Manager, Data Center</t>
        </is>
      </c>
      <c r="C114" t="inlineStr">
        <is>
          <t>Confidential</t>
        </is>
      </c>
      <c r="D114" t="inlineStr">
        <is>
          <t>linkedin</t>
        </is>
      </c>
      <c r="E114">
        <f>HYPERLINK("https://www.linkedin.com/jobs/view/4377772311", "https://www.linkedin.com/jobs/view/4377772311")</f>
        <v/>
      </c>
      <c r="F114" t="inlineStr"/>
      <c r="G114" t="inlineStr"/>
      <c r="H114" t="inlineStr"/>
      <c r="I114" t="inlineStr">
        <is>
          <t>**About the Role** 
 We are seeking a Technical Product Manager to scope and iterate on hardware, firmware, and software requirements for a cutting\-edge Data Center product line. You will work closely with the founders and engineering leadership to accelerate product velocity, reduce decision fatigue, and prevent costly execution traps. Success will be measured by delivering high\-quality products that are smoothly deployed to real customers. Visa sponsorship is available for this role.
**Key Responsibilities** 
* Own the end\-to\-end development process, considering hardware trade\-offs, firmware implications, and API design.
* Partner with engineering team leads and senior engineers to bring proactive clarity to product development.
* Foster a culture of perseverance and thoroughness by engaging with customers, running tests, and asking insightful questions.
* Ensure the successful launch of the Data Center product line, focusing on quality and execution.
**What It Takes to Land an Interview** 
* Proven ability to identify potential issues before they arise and deliver clear solutions to engineering teams.
* Strong curiosity and understanding of data center networking across hardware, firmware, and software.
* Experience building networking products for high\-performance environments like data centers.
* Recognized for being dependable, kind, and autonomous.
**Success Metrics:** 
* Product Velocity: Accelerate the release of TOR and spine switching products by two months by avoiding engineering mistakes and reducing weekly decision fatigue.
* Product Quality: Ensure that TOR and spine switching products are deployed to five customers without Sev 1 or Sev 2 issues three months post\-deployment.
**About the Company** 
 We are pioneering innovative solutions at the intersection of frontier AI and internet infrastructure. The organization is vertically integrated across the entire enterprise networking stack, providing unparalleled visibility and control through a single API. Our systems currently serve Fortune 500 companies and other major clients.</t>
        </is>
      </c>
    </row>
    <row r="115">
      <c r="A115" t="inlineStr">
        <is>
          <t>li-4370241247</t>
        </is>
      </c>
      <c r="B115" t="inlineStr">
        <is>
          <t>Product Owner Supervisor</t>
        </is>
      </c>
      <c r="C115" t="inlineStr">
        <is>
          <t>ProAg</t>
        </is>
      </c>
      <c r="D115" t="inlineStr">
        <is>
          <t>linkedin</t>
        </is>
      </c>
      <c r="E115">
        <f>HYPERLINK("https://www.linkedin.com/jobs/view/4370241247", "https://www.linkedin.com/jobs/view/4370241247")</f>
        <v/>
      </c>
      <c r="F115" t="inlineStr"/>
      <c r="G115" t="inlineStr"/>
      <c r="H115" t="inlineStr"/>
      <c r="I115" t="inlineStr">
        <is>
          <t>**Join ProAg as a Product Owner Supervisor**
 The
 **Product Owner Supervisor** 
 provides leadership, direction, and mentorship to a team of Product Owners while continuing to drive successful delivery of high‑quality digital and business products. This role balances
 **people leadership** 
 ,
 **strategic alignment** 
 , and
 **hands‑on product oversight** 
 to ensure consistent execution of product practices, alignment to business objectives, and delivery of customer value.
 This position partners closely with Product Management, Engineering, Business Stakeholders, and Leadership to scale product ownership standards, develop Product Owner talent, and optimize delivery across teams.
**As The Product Owner Supervisor, You’ll**
 People Leadership \&amp; Supervision
* Directly supervise, coach, and mentor Product Owners, fostering professional growth, accountability, and engagement.
* Promote consistent application of Agile and product ownership best practices across teams.
* Conduct regular one‑on‑ones, performance reviews, goal‑setting, and development planning for Product Owner team members. Support staffing decisions, including hiring, onboarding, training, and succession planning for Product Owners.
 Product \&amp; Delivery Leadership
* Oversee Product Owner execution across several product areas, ensuring alignment to product vision, roadmap, and organizational priorities.
* Partner with the Director of Product Management to translate strategic objectives into actionable product initiatives.
* Provide guidance on backlog prioritization, roadmap development, release planning, and dependency management.
* Serve as an escalation point for product\-related risks, constraints, and cross\-team conflicts.
 Cross\-Functional Collaboration
* Collaborate with Engineering, UX, Data, Operations, and Business Stakeholders to ensure efficient execution and delivery.
* Ensure Product Owners effectively represent the voice of the customer and business in Agile teams.
* Promote transparent communication of priorities, progress, risks, and outcomes to stakeholders.
 Process \&amp; Continuous Improvement
* Establish and reinforce consistent product ownership processes, standards, and metrics.
* Identify opportunities to improve product delivery, team velocity, and customer outcomes.
* Support the adoption of data\-driven decision\-making and continuous feedback loops.
**What We’re Looking For**
* Minimum of 5 years of experience in product management, ideally within crop insurance or related fields, and 3 years of leadership experience.
* Bachelor’s degree in Product Management, Agriculture, Business, a related field, or the equivalent education and/or experience.
* Strategic thinker with a product mindset and strong analytical skills.
* Strong expertise in MPCI programs, RMA guidelines, and private crop insurance offerings preferred
* Proven success as a decision\-maker in a collaborative, highly matrixed environment with direct and indirect reporting structures throughout the organization.
* Experience in both B2B and B2B2C digital product delivery
* Agile and curious, with a passion for uncovering insights and driving innovation.
* Excellent communicator and collaborator across diverse teams.
**The Company**
 ProAg, a member of the Tokio Marine HCC group of companies, is positioned as a financially strong and well\-capitalized insurer with an AM Best rating of A\+\+. With more than 90 years of service to our agents \&amp; insureds, we stand committed to continuing the principles that ProAg was founded on: Integrity, Loyalty and Customer Service.
**What We Represent**
* Part of something bigger: We offer a career with purpose as you support the farmers and ranchers who create food, fuel, and fiber for the world.
* Personal connections: We are built on strong relationships and appreciation of your individuality.
* A team who cares: We look out for each other personally and professionally because we care about each other.
* Innovators by trade: We’re committed to a brighter tomorrow for our team members and agriculture.
* The best of both worlds: We combine personal connections with powerful resources, thanks to our culture and the backing of Tokio Marine HCC.
 The Tokio Marine HCC Group of Companies offers a competitive salary and employee benefit package. We are a successful, dynamic organization experiencing rapid growth and are seeking energetic and confident individuals to join our team of professionals. The Tokio Marine HCC Group of Companies is an equal\-opportunity employer. Please visit www.tokiomarinehcc.com for more information about our companies.</t>
        </is>
      </c>
    </row>
    <row r="116">
      <c r="A116" t="inlineStr">
        <is>
          <t>li-4379908894</t>
        </is>
      </c>
      <c r="B116" t="inlineStr">
        <is>
          <t>Lead Product Manager - REMOTE</t>
        </is>
      </c>
      <c r="C116" t="inlineStr">
        <is>
          <t>Jobgether</t>
        </is>
      </c>
      <c r="D116" t="inlineStr">
        <is>
          <t>linkedin</t>
        </is>
      </c>
      <c r="E116">
        <f>HYPERLINK("https://www.linkedin.com/jobs/view/4379908894", "https://www.linkedin.com/jobs/view/4379908894")</f>
        <v/>
      </c>
      <c r="F116" t="inlineStr"/>
      <c r="G116" t="inlineStr">
        <is>
          <t>Florida, United States</t>
        </is>
      </c>
      <c r="H116" t="inlineStr"/>
      <c r="I116"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7">
      <c r="A117" t="inlineStr">
        <is>
          <t>li-4342433535</t>
        </is>
      </c>
      <c r="B117" t="inlineStr">
        <is>
          <t>Principal Product Manager</t>
        </is>
      </c>
      <c r="C117" t="inlineStr">
        <is>
          <t>Zscaler</t>
        </is>
      </c>
      <c r="D117" t="inlineStr">
        <is>
          <t>linkedin</t>
        </is>
      </c>
      <c r="E117">
        <f>HYPERLINK("https://www.linkedin.com/jobs/view/4342433535", "https://www.linkedin.com/jobs/view/4342433535")</f>
        <v/>
      </c>
      <c r="F117" t="inlineStr"/>
      <c r="G117" t="inlineStr">
        <is>
          <t>San Jose, CA</t>
        </is>
      </c>
      <c r="H117" t="inlineStr"/>
      <c r="I117" t="inlineStr">
        <is>
          <t>**About Zscaler**
 Zscaler is a pioneer and global leader in zero trust security. The world’s largest businesses, critical infrastructure organizations, and government agencies rely on Zscaler to secure users, branches, applications, data \&amp; devices, and to accelerate digital transformation initiatives. Distributed across more than 160 data centers globally, the Zscaler Zero Trust Exchange platform combined with advanced AI combats billions of cyber threats and policy violations every day and unlocks productivity gains for modern enterprises by reducing costs and complexity.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champion an “AI Forward, People First” philosophy to help us accelerate and innovate, empowering our people to embrace their potential. If you’re driven by purpose, thrive on solving complex challenges and want to make a positive difference on a global scale, we invite you to bring your talents to Zscaler to help shape the future of cybersecurity.
**Role**
 We are looking for a Principal Product Manager to join our Product Management team. This is a hybrid role based in our San Jose, CA office, reporting to the Director, Product Management. We built the Zscaler architecture from the ground up as a platform that could extend to new features and services. Our Product Management team takes hold of this massive opportunity to deliver our customers a growing portfolio of never\-before\-seen capabilities in threat prevention, visibility, scalability, and business enablement. Join us to make your mark on the planning and product roadmap at the forefront of the world’s cloud security leader.
**What You’ll Do (Role Expectations)**
* Define and execute the product roadmap for the Zero Trust Cloud product line, addressing critical customer priorities for public cloud security
* Deliver an intuitive administrator experience that simplifies complex security operations with actionable, data\-driven insights
* Lead high\-impact, cross\-functional collaborations across engineering, sales, and marketing to successfully drive products from concept to market delivery
* Engage with global customers to gather feedback, identify market opportunities, analyze competition, and anticipate emerging trends in public cloud security
* Build strategic public cloud partnerships to align innovation with go\-to\-market strategies, driving accelerated adoption and market leadership
**Who You Are (Success Profile)**
* You thrive in ambiguity. You're comfortable building the path as you walk it. You thrive in a dynamic environment, seeing ambiguity not as a hindrance, but as the raw material to build something meaningful.
*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 You are a problem\-solver. You love running towards the challenges because you are laser\-focused on finding the solution, knowing that solving the hard problems delivers the biggest impact.
* You are a high\-trust collaborator. You are ambitious for the team, not just yourself. You embrace our challenge culture by giving and receiving ongoing feedback—knowing that candor delivered with clarity and respect is the truest form of teamwork and the fastest way to earn trust.
* You are a learner. You have a true growth mindset and are obsessed with your own development, actively seeking feedback to become a better partner and a stronger teammate. You love what you do and you do it with purpose.
**What We’re Looking For (Minimum Qualifications)**
* 7\+ years of product management experience, with a strong focus on public cloud security
* In\-depth, hands\-on expertise with major cloud platforms including AWS, Azure, GCP, and OCI
* Strong foundation in Zero Trust Networking, Multi\-Cloud Governance, Identity \&amp; Access Management (IAM), Threat Protection, and Data Loss Prevention (DLP)
* Proven track record of defining, launching, and scaling successful security products for public cloud environments
* Exceptional collaboration and stakeholder management skills with experience translating complex customer needs into well\-defined product requirements
**What Will Make You Stand Out (Preferred Qualifications)**
* Technical background in engineering or software development
* Success in leveraging data analysis and UX techniques to optimize user experience
* Hands\-on experience managing vendor\-managed (SaaS) and customer\-managed (Virtual Appliance) solutions to meet diverse market needs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$164,500 \- $235,000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118">
      <c r="A118" t="inlineStr">
        <is>
          <t>li-4375596397</t>
        </is>
      </c>
      <c r="B118" t="inlineStr">
        <is>
          <t>Senior Product Manager</t>
        </is>
      </c>
      <c r="C118" t="inlineStr">
        <is>
          <t>Cencora</t>
        </is>
      </c>
      <c r="D118" t="inlineStr">
        <is>
          <t>linkedin</t>
        </is>
      </c>
      <c r="E118">
        <f>HYPERLINK("https://www.linkedin.com/jobs/view/4375596397", "https://www.linkedin.com/jobs/view/4375596397")</f>
        <v/>
      </c>
      <c r="F118">
        <f>HYPERLINK("https://careers.cencora.com/us/en/job/CHKCENUSR262773EXTERNALENUS/Senior-Product-Manager?utm_source=linkedin&amp;utm_medium=phenom-feeds&amp;urlHash=zYBR", "https://careers.cencora.com/us/en/job/CHKCENUSR262773EXTERNALENUS/Senior-Product-Manager?utm_source=linkedin&amp;utm_medium=phenom-feeds&amp;urlHash=zYBR")</f>
        <v/>
      </c>
      <c r="G118" t="inlineStr">
        <is>
          <t>Georgia, United States</t>
        </is>
      </c>
      <c r="H118" t="inlineStr"/>
      <c r="I118"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119">
      <c r="A119" t="inlineStr">
        <is>
          <t>li-4379905228</t>
        </is>
      </c>
      <c r="B119" t="inlineStr">
        <is>
          <t>Associate Technical Product Manager (work from home)</t>
        </is>
      </c>
      <c r="C119" t="inlineStr">
        <is>
          <t>Lensa</t>
        </is>
      </c>
      <c r="D119" t="inlineStr">
        <is>
          <t>linkedin</t>
        </is>
      </c>
      <c r="E119">
        <f>HYPERLINK("https://www.linkedin.com/jobs/view/4379905228", "https://www.linkedin.com/jobs/view/4379905228")</f>
        <v/>
      </c>
      <c r="F119" t="inlineStr"/>
      <c r="G119" t="inlineStr">
        <is>
          <t>Bristol, TN</t>
        </is>
      </c>
      <c r="H119" t="inlineStr"/>
      <c r="I1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American Red Cross. Clicking "Apply Now" or "Read more" on Lensa redirects you to the job board/employer site. Any information collected there is subject to their terms and privacy notice.
**Please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**WHY CHOOSE US?**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**What You Need To Know About The Job**
 We are seeking an Associate Technical Product Manager for the American Red Cross Innovation team. The Associate Technical Product Manager will work with Innovation leadership and stakeholders to determine, document, and help deliver on the product requirements for technology solutions that service the Red Cross mission. The ideal candidate will have the ability to understand business practices and technical considerations, determine product and user requirements, prototype/test and track work to completion, and ensure the solution provides the intended business value. The ideal candidate will have coding experience and strong communication and relationship management skills to partner with Red Cross stakeholders in our Humanitarian Services and Fundraising mission areas. This role is best suited for someone who enjoys moving from idea to prototype to decision point quickly in a test‑kitchen style environment.
**The position is remote, but we are asking for candidates who can support US East Coast business hours. For example, West Coast candidates would be asked to start their day around 10 am ET/7 am PT.**
**Travel:** 
**May travel and participate in meetings and conferences throughout the Red Cross system and to industry conferences as requested. Travel to Nashville, TN required at least quarterly.**
**WHERE YOUR CAREER IS A FORCE FOR GOOD (Key Responsibilities):**
* As part of the Innovation team, ideate and evaluate technology, industrial/physical automation, and AI opportunities in helping our Humanitarian Services and Fundraising mission area delivery.
* Document the business cases that can be used to initiate technology and AI projects.
* Drive rapid experimentation by quickly translating ideas into user stories, UX mockups, and functional prototypes to validate desirability, feasibility, and user desirability in our Humanitarian Services and Fundraising Test Kitchen.
* Build lightweight proofs of concept using low/no\-code approaches when appropriate to accelerate validation and reduce time\-to\-learning.
* Partner closely with engineers and stakeholders to keep prototypes moving from concept to working demo—removing blockers and ensuring clear next actions.
* Write product requirements and user stories using Azure DevOps. Help prioritize user stories based on value and technical feasibility
* Help maintain a roadmap of all active projects with high\-level timelines tracking project/portfolio performance metrics to monitor business value over time.
* Work with our employees, contractors, and volunteers to coordinate the daily task and status of work within the Innovation team.
* Learn and understand business processes and technical requirements for the development of solutions.
* Work closely with clients to analyze the current and future direction of technology and data science to meet business goals.
* Investigate complex operations\-related problems/inquiries and recommend, facilitate and coordinate solutions.
* Prepare communications and make presentations related to your work.
* Educate clients about the software and project lifecycles and the business roles.
* Facilitate problem resolution between IT and the business, as needed.
* Represent, champion and balance client interests within IT.
* Provide training and guidance to other staff.
* Recruit and oversee technical \&amp; analytics volunteers.
* Perform testing of the products onsite and remotely.
* Log bugs and work with the developers to resolve issues.
* Drive user testing with field resources to check if the product works as desired from user point of view.
* Frequent virtual check ins and in\-person Test Kitchen visits to build relationships with the field teams and understand user pain points.
*Scope: Individual contributor that works under limited supervision. Apply subject matter knowledge. Capacity to understand specific needs or requirements to apply skills/knowledge.*
*Qualified candidates must be authorized to work in the United States. The American Red Cross does not sponsor employment visas.*
**WHAT YOU NEED TO SUCCEED (required/minimum Qualifications)**
* Education: Bachelor's degree in Computer Science, Information Systems, Mechanical Engineering, Robotics, or related field preferred.
* Minimum 2 years of related experience in the Technical Product Management space or equivalent combination of education and related experience preferred.
* Recent coding experience required, ideally with HTML, CSS, and an object\-oriented programming language, e.g. Python/Java/C\#/C\+\+.
* Demonstrated ability to rapidly prototype solutions (e.g., wireframes/mock UI, clickable prototypes, or functional proofs of concept) and iterate based on stakeholder/user feedback.
* Comfortable working in ambiguity with a test\-and\-learn approach—able to define assumptions, run quick validations, and communicate results and tradeoffs.
* Strong verbal and written communication skills.
* Strong technical aptitude and interest in emerging and AI technologies.
* Evangelist and practitioner of agile and user‑centered design principles.
* Strong attention to detail.
**Preferred Qualifications**
* 
* Experience working with APIs and reading technical documentation. Working with LLMs a plus. Experience translating real world constraints into product requirements and tests.
* Experience with generative AI product concepts and workflows (e.g., prompt engineering, context management, agentic patterns, RAG, or similar applied GenAI approaches).
* Experience using Excel to analyze, organize, and interpret data to support reporting and decision‑making.
* Combination of candidate’s education and general experience satisfies requirements so long as the total years equate to description’s minimum education and general experience years combined (Management experience cannot be
**Pay Information**
 The starting annual salary range for this position is $95K \- $105K. We do not offer an annual bonus for this role.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**We will review specific salary information at the time of phone screening based upon your location \&amp; experience.**
**Benefits For You**
 We take care of you, while you take care of others. As a mission\-based organization, we believe our team needs great support to do great work. Our comprehensive benefits help you in balancing home and work, retirement, getting healthy and more. With our resources and perks, you have amazing possibilities at the American Red Cross to advance and learn.
* Medical, Dental, \&amp; Vision Plans
* Health Spending Accounts \&amp; Flexible Spending Accounts
* PTO: Starting at 9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(https://www.americorps.gov/partner/partnerships/employers\-national\-service) partner and share our employment opportunities with the network of organizations.
 Interested in Volunteering? Visit redcross.org/volunteertoday (https://www.redcross.org/volunteer/become\-a\-volunteer/urgent\-need\-for\-volunteers.html) to learn more, including our most\-needed volunteer positions.
 To view the EEOC Summary of Rights, click here: Summary of Rights (https://www.eeoc.gov/sites/default/files/2022\-10/EEOC\_KnowYourRights\_screen\_reader\_10\_20\.pdf)
 If you have questions about this posting, please contact support@lensa.com</t>
        </is>
      </c>
    </row>
    <row r="120">
      <c r="A120" t="inlineStr">
        <is>
          <t>li-4378085337</t>
        </is>
      </c>
      <c r="B120" t="inlineStr">
        <is>
          <t>Product Manager</t>
        </is>
      </c>
      <c r="C120" t="inlineStr">
        <is>
          <t>Ramsey Solutions</t>
        </is>
      </c>
      <c r="D120" t="inlineStr">
        <is>
          <t>linkedin</t>
        </is>
      </c>
      <c r="E120">
        <f>HYPERLINK("https://www.linkedin.com/jobs/view/4378085337", "https://www.linkedin.com/jobs/view/4378085337")</f>
        <v/>
      </c>
      <c r="F120" t="inlineStr"/>
      <c r="G120" t="inlineStr">
        <is>
          <t>Nashville, TN</t>
        </is>
      </c>
      <c r="H120" t="inlineStr"/>
      <c r="I120" t="inlineStr">
        <is>
          <t>**Description**
**Team** 
 :RamseyTrusted
**Location** 
 :Franklin, TN—on\-site, relocation assistance available, flexible schedules available
**Salary** 
 :$88,000 \- $130,000/year\*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You’ll help build the technical backbone that powers our digital products and brings HOPE to millions of people every day. As a Technical Product Manager, you’ll partner with engineers, SETs, and cross\-functional leaders to shape the internal tools, APIs, and platform services that make our teams faster, more consistent, and more effective. You’ll bridge strategy and execution—rolling up your sleeves to solve complex problems, remove roadblocks, and make sure our technology scales with excellence and purpose.
**You’re Probably a Match If**
* You have 5\+ years of experience in a software environment—engineering, product, or related roles and have personally owned initiatives from problem identification through delivery in production.
* You have 2\+ years of experience managing product roadmaps, backlogs, and delivery using Agile methodologies (Scrum, Kanban), including deciding what not to build and why.
* You have 2\+ years of experience making and documenting trade\-offs across architecture, balancing speed, reliability, and long\-term platform leverage.
* You’re fluent in Agile principles—building discovery cards, epics, user stories, and acceptance criteria that actually move work forward, starting from unclear problems and shaping them into solvable work.
* You’re comfortable leading and influencing conversations about architecture, performance trade\-offs, cloud infrastructure, and integrations, even when there is no obvious right answer.
* You can translate technical details into clear, meaningful communication—whether you’re presenting to senior leadership or writing documentation that helps others succeed—and you take accountability for alignment, not just information sharing.
**What Winning Looks Like**
* You own and actively drive a focused, prioritized technical roadmap for internal tools, APIs, and platform services that empower engineering teams to deliver faster and better.
* You lead with clarity and partnership, helping engineers unblock challenges andmake explicit trade\-offs.
* You build shared services and abstractions that reduce duplication and unlock speed across multiple product teams, with adoption by engineers as a core success metric.
* You define and track SLAs, error budgets, and performance metrics that prove reliability and drive excellence, and you adjust strategy when the data shows friction or underuse.
* You deliver documentation, SDKs, and onboarding guides that make our internal tools easy to adopt and even easier to love, enabling teams to self\-serve without repeated clarification.
* You communicate boldly and clearly—helping leadership understand the “why” behind technical decisions, surfacing risks early, and influencing the future of our platform.
* You keep a steady feedback loop with engineers, continuously refining platform direction based on real usage, not assumptions.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21">
      <c r="A121" t="inlineStr">
        <is>
          <t>li-4370096171</t>
        </is>
      </c>
      <c r="B121" t="inlineStr">
        <is>
          <t>Technical Product Manager, FlashArray Foundation</t>
        </is>
      </c>
      <c r="C121" t="inlineStr">
        <is>
          <t>Pure Storage</t>
        </is>
      </c>
      <c r="D121" t="inlineStr">
        <is>
          <t>linkedin</t>
        </is>
      </c>
      <c r="E121">
        <f>HYPERLINK("https://www.linkedin.com/jobs/view/4370096171", "https://www.linkedin.com/jobs/view/4370096171")</f>
        <v/>
      </c>
      <c r="F121">
        <f>HYPERLINK("https://job-boards.greenhouse.io/purestorage/jobs/7597436?gh_src=1ev8671&amp;urlHash=ZKVR", "https://job-boards.greenhouse.io/purestorage/jobs/7597436?gh_src=1ev8671&amp;urlHash=ZKVR")</f>
        <v/>
      </c>
      <c r="G121" t="inlineStr">
        <is>
          <t>Santa Clara, CA</t>
        </is>
      </c>
      <c r="H121" t="inlineStr"/>
      <c r="I121"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a Product Manager for the FlashArray Foundation team, you will drive the core software architectural roadmap for Everpure's flagship storage platform, ensuring industry\-leading performance and reliability. You will own the technical specification and prioritization of foundational features, collaborating with the CTO office and Engineering to solve complex data management challenges. Your mission is to translate emerging trends in NVMe, high\-speed networking, and security protocols into a scalable, sustainable product strategy that redefines enterprise storage.
**What You'll Do**
* Architect Foundation Roadmaps: Direct the technical requirements and feature tradeoffs for FlashArray software, prioritizing high\-availability, performance, and core storage services to meet rigorous enterprise SLAs.
* Define Technical Specifications: Translate complex needs in storage OS, Data Reduction, QoS, High Availability, networking (FC/iSCSI/NVMe\-oF), and SaaS integration into actionable PRDs that guide Engineering through the development lifecycle.
* Lead Competitive Benchmarking: Conduct deep\-dive technical analysis of the storage landscape to identify gaps and opportunities, ensuring FlashArray maintains its lead in IOPS, latency, and data reduction efficiency.
* Drive Cross\-Functional Engineering Alignment: Act as the primary interface between the CTO’s vision and Engineering execution, ensuring that foundational codebases support long\-term scalability and hardware\-software synergy.
* Scale Technical Enablement: Empower SEs and specialized sales teams by developing deep\-dive technical documentation, architectural whitepapers, and customer\-facing materials that articulate Everpure’s underlying technical advantages.
**What You Bring**
* Storage Stack Expertise: A robust technical foundation in enterprise storage protocols, flash management, and data protection architectures, with the ability to navigate the nuances of storage\-class memory and high\-performance networking.
* Technical Product Lifecycle Management: A proven ability to manage complex software release milestones from concept to GA, with specific experience navigating the trade\-offs inherent in large\-scale distributed systems.
* Analytical Problem Solving: The ability to parse telemetry and market data to identify performance bottlenecks or feature gaps, converting data\-driven insights into a prioritized technical backlog.
* Collaborative Technical Influence: Strong capability to lead through influence, gaining buy\-in from senior architects and developers while maintaining a clear vision for the product’s technical evolution.
* Location: We are primarily an in\-office environment and therefore, you will be expected to work from the Santa Clara, CA office in compliance with Everpure’s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$150,000—$272,000 USD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t>
        </is>
      </c>
    </row>
    <row r="122">
      <c r="A122" t="inlineStr">
        <is>
          <t>li-4358072068</t>
        </is>
      </c>
      <c r="B122" t="inlineStr">
        <is>
          <t>Product Manager - Switchboards</t>
        </is>
      </c>
      <c r="C122" t="inlineStr">
        <is>
          <t>Crossley Scott</t>
        </is>
      </c>
      <c r="D122" t="inlineStr">
        <is>
          <t>linkedin</t>
        </is>
      </c>
      <c r="E122">
        <f>HYPERLINK("https://www.linkedin.com/jobs/view/4358072068", "https://www.linkedin.com/jobs/view/4358072068")</f>
        <v/>
      </c>
      <c r="F122" t="inlineStr"/>
      <c r="G122" t="inlineStr"/>
      <c r="H122" t="inlineStr"/>
      <c r="I122" t="inlineStr">
        <is>
          <t>**Product Manager – Switchboards** 
**Position Overview** 
 The
 **Product Manager – Switchboards** 
 is a highly visible and critical role responsible for owning the strategy, development, and lifecycle management of low\- and medium\-voltage switchboard products. Switchboards form the backbone of electrical distribution, integrating protective devices, bus structures, metering, and control systems to safely and reliably distribute power in commercial, industrial, data center, and mission\-critical facilities.
 This role collaborates closely with senior leadership and cross\-functional teams to drive growth and profitability by defining product strategy, maintaining product roadmaps, and launching new switchboard offerings into the market. The Product Manager serves as a technical and commercial subject\-matter expert on switchboards, electrical distribution systems, and their integration with supporting systems, including
 **UPS** 
 .
 Strong collaboration is required with
 **Product Marketing, Sales, Engineering, Manufacturing, Supply Chain, Project Management, and Service** 
 to successfully execute new product development initiatives and optimize existing switchboard platforms.
**Key Responsibilities** 
* Lead the
 **Product Development Process (PDP)** 
 for switchboards, translating market and customer requirements into clear product features, system architectures, and performance specifications.
* Own the
 **end\-to\-end product strategy and roadmap** 
 for a portfolio including low\- and medium\-voltage switchboards, panelboards, bus structures, protective devices, metering, and control systems.
* Conduct market research to identify opportunities in commercial, industrial, and data center power distribution markets, including required switchboard capabilities, technology trends, competitive positioning, market size, and pricing.
* Develop and maintain
 **Product Requirements Documents (PRDs)** 
 that communicate functional, technical, regulatory, and performance requirements for switchboards to engineering, manufacturing, and supply chain teams.
* Partner with engineering and manufacturing teams to balance safety, reliability, maintainability, cost, manufacturability, and scalability of switchboard solutions.
* Ensure switchboards are compatible with
 **UPS systems** 
 and other critical power infrastructure where required, including considerations for redundancy, bypass arrangements, and coordination.
* Plan and execute
 **product launches** 
 , including messaging, positioning, and value propositions, in collaboration with product marketing.
* Analyze product costs, margins, and pricing structures to identify opportunities for cost reduction, margin improvement, and profitable growth.
* Monitor product performance, field reliability, warranty trends, and quality metrics to identify opportunities for product improvements and platform optimization.
* Build and maintain relationships with customers, consulting engineers, contractors, OEM partners, and industry organizations involved in electrical distribution.
* Establish strong cross\-functional partnerships with engineering, project management, operations, supply chain, quality, and marketing teams to ensure alignment throughout the product lifecycle.
* Support the sales organization with technical training, sales tools, product demonstrations, and customer engagements related to switchboards.
* Stay current on applicable codes, standards, and certifications (e.g., UL 891, UL 1558, UL 1066, IEC 61439, NEC, IEEE) relevant to switchboards and electrical distribution systems.
* Perform other related duties as required and assigned.
**Minimum Requirements** 
**Education** 
* Bachelor of Science in
 **Electrical Engineering, Engineering Technology, or a related field** 
 required
* Advanced degree or
 **MBA** 
 preferred
**Experience** 
* **5\+ years** 
 of experience in product engineering, electrical engineering, or product management of manufactured electrical distribution equipment
* Demonstrated experience with
 **switchboards, switchgear, or panelboards**
* Working knowledge of
 **UPS systems** 
 and mission\-critical power distribution desirable
* Proven experience leading
 **cross\-functional teams** 
 across engineering, manufacturing, and commercial functions
**Technical \&amp; Professional Skills** 
* Strong technical understanding of
 **switchboards and electrical distribution systems** 
 , including protective devices, bus structures, metering, and controls
* Familiarity with selective coordination, short\-circuit ratings, arc\-flash mitigation, grounding, and power quality
* Ability to read, interpret, and communicate technical documentation, schematics, one\-line diagrams, and specifications
* Strong analytical, organizational, and problem\-solving skills with attention to detail</t>
        </is>
      </c>
    </row>
    <row r="123">
      <c r="A123" t="inlineStr">
        <is>
          <t>li-4379919038</t>
        </is>
      </c>
      <c r="B123" t="inlineStr">
        <is>
          <t>Product Manager, Ad Content Generation Platform</t>
        </is>
      </c>
      <c r="C123" t="inlineStr">
        <is>
          <t>JPMorganChase</t>
        </is>
      </c>
      <c r="D123" t="inlineStr">
        <is>
          <t>linkedin</t>
        </is>
      </c>
      <c r="E123">
        <f>HYPERLINK("https://www.linkedin.com/jobs/view/4379919038", "https://www.linkedin.com/jobs/view/4379919038")</f>
        <v/>
      </c>
      <c r="F123" t="inlineStr"/>
      <c r="G123" t="inlineStr">
        <is>
          <t>New York, NY</t>
        </is>
      </c>
      <c r="H123" t="inlineStr"/>
      <c r="I12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Digital Channels,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This product role is responsible for defining and delivering the platform to scale content creation, in a standard way. Content must all use the same analytic events, engineering build standards, metadata and taxonomy, and design standards. We’ve built a machine learning platform to personalize what content we serve to users when they log in, and now we need to inject that model with more content.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Builds the long term strategy to scale the product area
* Acquires cross\-functional resources to deliver against roadmap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Demonstrated skill in developing product vision, writing product requirements, and establishing topline metrics
* Strong track record of partnering with engineering, design, and data science teams to deliver impactful products.
* Leverages data to drive product decisions, with a focus on increasing topline metrics
* Proven track record conducting A/B tests and driving analysis
* Strong verbal and written communication skills, with the ability to articulate complex, technical concepts to diverse stakeholders.
**Preferred Qualifications, Capabilities, And Skills**
* Demonstrated prior experience working in a highly matrixed, complex organization
* People managing experience
* Experience optimizing conversion funnels in financial institutions, ecommerce, or related areas
* Experience building platforms that enable businesses to create and manage content efficiently, ensuring consistent data standards and seamless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124">
      <c r="A124" t="inlineStr">
        <is>
          <t>li-4377720605</t>
        </is>
      </c>
      <c r="B124" t="inlineStr">
        <is>
          <t>Product Manager II, Compute, Google Cloud</t>
        </is>
      </c>
      <c r="C124" t="inlineStr">
        <is>
          <t>Google</t>
        </is>
      </c>
      <c r="D124" t="inlineStr">
        <is>
          <t>linkedin</t>
        </is>
      </c>
      <c r="E124">
        <f>HYPERLINK("https://www.linkedin.com/jobs/view/4377720605", "https://www.linkedin.com/jobs/view/4377720605")</f>
        <v/>
      </c>
      <c r="F124" t="inlineStr"/>
      <c r="G124" t="inlineStr">
        <is>
          <t>Boulder, CO</t>
        </is>
      </c>
      <c r="H124" t="inlineStr"/>
      <c r="I124" t="inlineStr">
        <is>
          <t>The application window will be open until at least March 9, 2026\. This opportunity will remain online based on business needs which may be before or after the specified date.
 Note: By applying to this position you will have an opportunity to share your preferred working location from the following:
 **Austin, TX, USA; Boulder, CO, USA** 
 .
 **Minimum qualifications:**
* Bachelor's degree or equivalent practical experience.
* 5 years of experience in product management or related technical role.
* Experience developing or launching infrastructure products or technologies within networking, storage, compute hardware, databases, file systems, data analytics, cluster management, or other software infrastructure areas.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5">
      <c r="A125" t="inlineStr">
        <is>
          <t>li-4340573207</t>
        </is>
      </c>
      <c r="B125" t="inlineStr">
        <is>
          <t>Sr. Product Manager, Billing and Payments (Stripe)</t>
        </is>
      </c>
      <c r="C125" t="inlineStr">
        <is>
          <t>Arlo Technologies, Inc.</t>
        </is>
      </c>
      <c r="D125" t="inlineStr">
        <is>
          <t>linkedin</t>
        </is>
      </c>
      <c r="E125">
        <f>HYPERLINK("https://www.linkedin.com/jobs/view/4340573207", "https://www.linkedin.com/jobs/view/4340573207")</f>
        <v/>
      </c>
      <c r="F125">
        <f>HYPERLINK("https://arlo.wd12.myworkdayjobs.com/External_Careers/job/US\u002d\u002d-Remote/Revenue-and-Operations-Senior-Manager_JR100260?source=LinkedIn&amp;urlHash=aS8u", "https://arlo.wd12.myworkdayjobs.com/External_Careers/job/US\u002d\u002d-Remote/Revenue-and-Operations-Senior-Manager_JR100260?source=LinkedIn&amp;urlHash=aS8u")</f>
        <v/>
      </c>
      <c r="G125" t="inlineStr"/>
      <c r="H125" t="inlineStr"/>
      <c r="I125" t="inlineStr">
        <is>
          <t>**About Arlo**
 At Arlo, we're passionate about creating innovative and reliable solutions that help people protect what matters most to them. Our team is dedicated to delivering products that exceed our customers' expectations, while always pushing the boundaries of what's possible in the world of protection technology. We believe that everyone deserves to feel safe and secure, whether they're at home or away, and we're committed to providing our customers with the peace of mind they need to live their lives without worry. Arlo’s deep expertise in AI\- and CV\-powered analytics, cloud services, user experience, product design, and innovative wireless and RF connectivity enables the delivery of a seamless, smart security experience for Arlo users that is easy to set up and interact with every day.
 Arlo is redefining what it means to protect what matters most — through intelligent devices and connected subscription services. As we scale our subscription business globally, we’re looking for a Sr. Manager of Revenue \&amp; Operations to lead the systems, processes, and insights that power our recurring revenue engine.
 This role sits firmly on the growth and strategy side of revenue operations. You’ll be focusing on subscription performance, forecasting, and billing optimization using Stripe and related data systems to shape decisions, improve retention and payment success, and guide long\-term ARR growth. You’ll serve as the connective tissue between Finance, Product, Customer Experience, and Engineering, ensuring the operational foundations are strong as Arlo accelerates growth across both device and subscription businesses.
**What You’ll Do**
**Stripe Billing Platform Ownership \&amp; Strategy**
* Serve as the business owner for Stripe billing, ensuring systems are optimized to support pricing strategy, experimentation, and global scale.
* Manage the day\-to\-day health of our subscription billing ecosystem within Stripe and other internal systems.
* Oversee and reduce revenue leakage from failed payments and system discrepancies.
* Monitor payment performance and dunning effectiveness, focusing on optimization and prevention, not collections execution
* Partner with Product and Engineering to operationalize new subscription plans, price changes, and regional rollouts.
**Reporting \&amp; Forecasting**
* Maintain dashboards and recurring reports for ARR, churn, ARPU, payment success, subscription health and billing accuracy.
* Translate Stripe and subscription data into clear insights and recommendations that improve revenue strategy.
* Partner with Finance, Data, and Engineering teams on subscription forecasting and variance analysis.
* Identify opportunities to improve attach rate, retention, customer lifetime value and cash collection.
**Process \&amp; Systems**
* Continuously improve subscription operational workflows including care refunds, credit issuance, and proration handling.
* Ensure tight integration and data accuracy between Stripe, Databricks, and internal reporting tools.
* Support quarterly audits and ensure compliance with PCI, SOC, and regional tax (VAT, 3DS, etc.) requirements.
**Cross\-Functional Collaboration**
* Work closely with CX and Care to improve the customer billing journey.
* Partner with the Marketing team to optimize billing communications.
* Collaborate with the Product team on billing and subscription enhancements.
* Act as a strategic partner to Finance on month\-end close and revenue recognition accuracy.
**Experience**
**What We’re Looking For**
* 5–8\+ years of experience in Revenue Operations, Subscription Billing, or Business Operations, ideally in SaaS, fintech, or consumer subscription businesses.
* Hands\-on experience with Stripe or equivalent billing platforms (Zuora, Recurly, Chargebee).
* Proven ownership of subscription forecasting, ARR reporting, and billing analytics.
* Comfort working with data extracting \- cleaning and summarizing insights.
* Familiarity with Databricks and BI tools (e.g., Looker, Tableau, Power BI).
**Skills**
* Strong understanding of subscription metrics (ARR, churn, ARPU, LTV) and revenue workflows.
* Analytical, detail\-oriented, and process\-driven.
* Excellent communicator with the ability to work cross\-functionally and explain complex topics clearly.
* Strategic thinker with the ability to connect data to business outcomes and strategies.
* Comfortable working in a fast\-paced, high\-growth environment with evolving systems.
**Bonus**
* Experience in a device \+ subscription business or other hybrid model.
* Understanding of payments compliance, invoicing, or tax requirements (PCI, VAT, 3DS).
* Hands\-on Shopify experience to help integrate and improve e\-commerce and revenue operations.
* SQL proficiency or ability to self\-serve data for analysis.
*The pay range for this position reflects the minimum and maximum target for new hire salaries at commencement of employment and is expected to be between USD$150,000\-180,000/year. However, base pay offered may vary depending on multiple factors, including role, job\-related knowledge, skills, relevant education and experience.*
 We’re committed to inclusivity and selecting the strongest candidate—no matter their background. Even if you don’t meet every listed qualification, we encourage you to apply. We’re happy to support growth in areas essential to the role. Interested in learning more about our workplace? Visit and follow our LinkedIn, and Glassdoor pages to read employee insights and get updates of what it’s like to be part of Arlo.
 Arlo is proud to be an Equal Opportunity Employer. We value inclusion and are committed to inclusive, and harassment\-free workplace. We prohibit discrimination and harassment based on all legally protected statuses in all hiring and employment.
 We provide reasonable accommodations to applicants and employees with disabilities, who are pregnant or have a related medical condition, or who have sincerely held religious beliefs, observances, and practices. Pursuant to applicable state and municipal Fair Chance Laws and Ordinances, the Company will consider for employment qualified applicants with arrest and conviction records.</t>
        </is>
      </c>
    </row>
    <row r="126">
      <c r="A126" t="inlineStr">
        <is>
          <t>li-4377764681</t>
        </is>
      </c>
      <c r="B126" t="inlineStr">
        <is>
          <t>Principal Product Manager, LLM Innovation</t>
        </is>
      </c>
      <c r="C126" t="inlineStr">
        <is>
          <t>Ladders</t>
        </is>
      </c>
      <c r="D126" t="inlineStr">
        <is>
          <t>linkedin</t>
        </is>
      </c>
      <c r="E126">
        <f>HYPERLINK("https://www.linkedin.com/jobs/view/4377764681", "https://www.linkedin.com/jobs/view/4377764681")</f>
        <v/>
      </c>
      <c r="F126" t="inlineStr"/>
      <c r="G126" t="inlineStr"/>
      <c r="H126" t="inlineStr"/>
      <c r="I126" t="inlineStr">
        <is>
          <t>For our client, we are seeking a Principal Product Manager LLM Innovation to join the team of a leader in the Consumer Technology space. You’ll play a key role delivering outcomes for customers and stakeholders in the Consumer Technology space. You’ll collaborate cross\-functionally and take ownership of priorities. This role offers visibility, growth, and impact.
 Location: Remote \- US based candidates only, no visa sponsorship available
 Compensation: $205,200 – $327,750 annually.
**Responsibilities**
* Define and own LLM innovation vision and strategy
* Prototype and validate high\-impact AI use cases with teams
* Translate complex LLM capabilities into user\-friendly experiences
* Align cross\-functional teams on projects and objectives
* Establish frameworks and best practices for LLM integration
* Evaluate tools and partnerships for effective decision\-making
* Define metrics to evaluate success of LLM initiatives
**Qualifications**
* 10\+ years in product management with 3\+ years in AI or ML roles
* Strong technical fluency in LLMs and generative AI
* Proven track record of translating tech into user's valuable products
* Strategic thinker with execution capability balancing vision and delivery
* Exceptional communication and leadership skills
* Deep understanding of generative AI trends and regulations
**Benefits**
* Comprehensive healthcare coverage
* Monthly wellness stipend
* Retirement savings match
* Generous parental leave
* Equity and stock options
 Our client is an equal opportunity employer. We encourage you to apply even if you don’t meet every qualification—your background could be exactly what this team needs.</t>
        </is>
      </c>
    </row>
    <row r="127">
      <c r="A127" t="inlineStr">
        <is>
          <t>li-4338850280</t>
        </is>
      </c>
      <c r="B127" t="inlineStr">
        <is>
          <t>Product Manager - Integrated Services</t>
        </is>
      </c>
      <c r="C127" t="inlineStr">
        <is>
          <t>Link Logistics</t>
        </is>
      </c>
      <c r="D127" t="inlineStr">
        <is>
          <t>linkedin</t>
        </is>
      </c>
      <c r="E127">
        <f>HYPERLINK("https://www.linkedin.com/jobs/view/4338850280", "https://www.linkedin.com/jobs/view/4338850280")</f>
        <v/>
      </c>
      <c r="F127" t="inlineStr"/>
      <c r="G127" t="inlineStr">
        <is>
          <t>Fort Washington, PA</t>
        </is>
      </c>
      <c r="H127" t="inlineStr"/>
      <c r="I127"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Experience with Salesforce platforms (e.g., Sales Cloud, Service Cloud, Field Service, or custom Salesforce implementations) is beneficial, including partnering with business and technical teams to deliver scalable, enterprise solutions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128">
      <c r="A128" t="inlineStr">
        <is>
          <t>li-4378846721</t>
        </is>
      </c>
      <c r="B128" t="inlineStr">
        <is>
          <t>Growth Lead/Staff Product Manager (B2C)</t>
        </is>
      </c>
      <c r="C128" t="inlineStr">
        <is>
          <t>Point</t>
        </is>
      </c>
      <c r="D128" t="inlineStr">
        <is>
          <t>linkedin</t>
        </is>
      </c>
      <c r="E128">
        <f>HYPERLINK("https://www.linkedin.com/jobs/view/4378846721", "https://www.linkedin.com/jobs/view/4378846721")</f>
        <v/>
      </c>
      <c r="F128" t="inlineStr"/>
      <c r="G128" t="inlineStr">
        <is>
          <t>Palo Alto, CA</t>
        </is>
      </c>
      <c r="H128" t="inlineStr"/>
      <c r="I128" t="inlineStr">
        <is>
          <t>**Local or 100% Remote**
**About Point**
**✨ Real Impact, Real People:** 
 Our mission at Point is to make homeownership more valuable and accessible. Your work directly helps homeowners access their wealth, achieve financial flexibility, and realize life changing goals.
**✨ Funding:** 
 With over $175M raised from top investors like Andreessen Horowitz, WestCap, Greylock, and Prudential, we're scaling fast! You have the opportunity to join us at a pivotal stage.
**✨ Game\-changing Product:** 
 We're building a category defining company in home equity. We've earned a 4\.7 Trustpilot rating and an A\+ from the BBB, a testament to the value we provide to our 15,000\+ customers.
**✨ Great Place to Work:** 
 Our employees love working here! We are a Certified Great Place to Work and a Fortune Best Workplaces in the Bay Area.
**✨ Remote First Culture, Genuine Connection:** 
 Work from anywhere in the U.S., while staying closely connected through virtual collaboration, team gatherings, and a people\-first culture.
**About the role**
 In this role, you will drive our product\-led growth strategy by leading initiatives from discovery through launch and adoption. You'll own execution across the full product lifecycle, from defining requirements to partnering with engineering to ensure seamless delivery. As the foremost expert on our customers' needs and those of the internal teams who support them, you will translate insights into impactful solutions. Success in this role requires building strong relationships with stakeholders, influencing across teams, and leading company\-wide initiatives to amplify impact and deliver meaningful results.
**Your responsibilities** 
* Product Strategy
+ Leveraging your ability to use structured thinking to break down complex problems, define and drive the growth product strategy and roadmap, aligning with company goals and KPIs.
+ Ensure maximum business impact by identifying and prioritizing features and products which improve conversion, efficiency, and reach.
+ Influence overall company strategy by bringing product thinking and insights to leadership stakeholders.
* Product Execution
+ Write clear and concise product requirements and develop basic but elegant wireframes that make engineers clamor to work with you.
+ Drive product delivery by partnering with marketing, sales, data, design, and engineering to ideate, launch, and measure growth initiatives.
+ Orchestrate flawless product launches by ensuring a high quality bar and achieving maximum adoption by internal teams as needed.
* Customer Insight
+ Lead experimentation and A/B testing to optimize funnel conversion, deliver an excellent customer experience, and minimize operational friction.
+ Gather insights from internal and external user feedback, web analytics, research, experiments, competitors, and data analysis to understand user needs and synthesize into learnings for the team, and into product plans to deliver on those user needs.
+ Champion UX by partnering with design to build the most intuitive and effective customer experiences.
* Influencing People
+ Drive stakeholder alignment by (over)communicating and building deep relationships that facilitate trust.
+ Promote the work your team is driving throughout the organization in order to gain buy\-in and support.
**About you**
* 5\+ years of experience in product management, consulting, or business operations, including 2\+ years focused on growth.
* B2C experience is required, preferably in a small to medium\-sized company.
* Proven track record of launching impactful product features and inspiring teams to execute effectively.
* Skilled in A/B testing, product analytics (e.g., Sigma, PostHog), and user research.
* Strong data analysis skills, with the ability to form hypotheses, define success metrics, and tell stories with data (SQL experience preferred).
* Exceptional business operations skills with a systematic approach to workflows and customer experience.
* Able to think deeply about user experience and design, creating simple and intuitive interfaces.
* Startup experience preferred; thrive in fast\-paced environments with a bias toward action and results.
* MBA or equivalent experience; background in fintech or real estate is a plus.
* Excellent judgment, communication, and interpersonal skills with the ability to influence across teams.
* Highly organized, entrepreneurial, and self\-driven, with the ability to prioritize multiple projects.
**Our benefits**
* **Generous health benefits:** 
 We provide comprehensive medical, dental, and vision plans with options for flexible spending accounts (FSA) and health savings accounts (HSA).
* **Unlimited paid time off:** 
 Recharge with unlimited paid time off and 10 company holidays.
* **Flexible remote and onsite work:** 
 Our teams work from many different locations and time zones. We support fully remote work and also have an amazing in\-person environment in our downtown Palo Alto, CA HQ.
* **Fully paid parental leave:** 
 Point will supplement state Paid Family Leave (PFL) so employees receive 100% of their regular base pay, plus two additional weeks of fully paid leave after state PFL ends. In states without PFL, Point offers up to 8 weeks of paid parental leave. In addition, employees also receive 4 weeks of fully paid transition time, during which you may work 2–3 days per week while receiving full base pay.
* **Equity:** 
 We offer meaningful equity because we believe in sharing the value you help create. Your contributions directly impact our growth, and your equity gives you a stake in our future success.
* **Financial wellness:** 
 We provide 401K retirement plans for employees as well as guaranteed life insurance and short\- and long\-term disability coverage.
* **Extra work/life benefits:** 
 We provide monthly stipends for internet, mobile plans, wellness perks, and a one\-time home office reimbursement.
 Compensation at Point will be determined by skills, experience, and geographic location. Point has identified the expected annual base salary for this role at this level based on the market by tiers (Region \| Location \| Market Salary):
* Tier 1 \| San Francisco Bay Area, New York, and Seattle \| $211,850 \- $277,200
* Tier 2 \| Chicago, Austin, Denver, Boston, Washington DC, San Diego, Portland, Sacramento, Philadelphia, Los Angeles \&amp; Santa Barbara \| $190,950 \- $246,750
* Tier 3 \| All other US metro areas \| $181,450 \- $231,000
 This does not include any other potential components of the compensation package, including equity, benefits, and perks outlined above. At the launch of each position, we benchmark compensation to the appropriate role and level utilizing competitive compensation data from various data sources as references. At the offer stage, we use the signal we received from our interviews, coupled with your experience, location, and other job\-related factors, to determine final compensation.
 Location Requirement: This is a remote position. However, candidates must reside in one of Point's states of operation: AL, AZ, AR, CA, CO, CT, DC, FL, GA, IL, KS, KY, MA, MD, MI, MN, MO, NH, NV, NJ, NY, NC, OH, OR, PA, SC, TN, TX, UT, VA, WA, WI.
 Point is proud to be an equal\-opportunity employer. We provide employment opportunities regardless of age, race, color, ancestry, national origin, religion, disability, sex, gender identity or expression, sexual orientation, veteran status, or any other protected class. Each individual at Point brings their own perspectives, work experiences, lifestyles, and cultures with them, and we believe that a more diverse team creates more innovative products, provides better services to customers, and helps us all grow and learn.
 California Consumer Privacy Act Notice</t>
        </is>
      </c>
    </row>
    <row r="129">
      <c r="A129" t="inlineStr">
        <is>
          <t>li-4379068986</t>
        </is>
      </c>
      <c r="B129" t="inlineStr">
        <is>
          <t>Senior Product Manager AI Platforms</t>
        </is>
      </c>
      <c r="C129" t="inlineStr">
        <is>
          <t>Verizon</t>
        </is>
      </c>
      <c r="D129" t="inlineStr">
        <is>
          <t>linkedin</t>
        </is>
      </c>
      <c r="E129">
        <f>HYPERLINK("https://www.linkedin.com/jobs/view/4379068986", "https://www.linkedin.com/jobs/view/4379068986")</f>
        <v/>
      </c>
      <c r="F129">
        <f>HYPERLINK("https://mycareer.verizon.com/jobs/r-1091327/senior-product-manager-ai-platforms/?source=jb-linkedin&amp;urlHash=4UmJ", "https://mycareer.verizon.com/jobs/r-1091327/senior-product-manager-ai-platforms/?source=jb-linkedin&amp;urlHash=4UmJ")</f>
        <v/>
      </c>
      <c r="G129" t="inlineStr">
        <is>
          <t>Ashburn, VA</t>
        </is>
      </c>
      <c r="H129" t="inlineStr"/>
      <c r="I129" t="inlineStr">
        <is>
          <t>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\#VTeamLife.
**What You’ll Be Doing...**
 As a Senior Product Development Manager concentrating in AI Insights \&amp; AI Connect, you will be part of the Verizon Business Group Product Management Technology Enablement organization in aligning customer outcomes to use cases and data that is necessary to deliver on those outcomes. You will play a pivotal role in shaping the development and implementation of AI/ML and Agentic AI into our AI Insights \&amp; AI Connect products and their customer experience. You will be responsible for programs and initiatives that leverage AI/ML and Agentic AI technologies across different AI Insights \&amp; AI Connect offerings within the Verizon Business Group.
 You will work closely with stakeholders across all parts of the business including Product Management and Technology Enablement peer teams, IT, Partners, Sales, and Global Customer Operations teams to execute growth projects and new product features. The ideal candidate will have a proven track record of breaking down complex problems into steps that drive product development. The ideal candidate will also understand the AI Insights \&amp; AI Connect landscape, where it is now and where it is headed.
**Key Responsibilities**
* Lead technical discussions and be a thought leader during product reviews.
* Integrate your technical knowledge, subject matter expertise, and understanding of trends to make sound decisions and influence business direction through data\-driven analysis.
* Responsible for designing and executing process and strategy frameworks that facilitate product\-related goal setting, decision\-making, and business impact.
* Developing integration plans and technical requirements for new product development for enterprise customers including use case, user story, and agile product development.
* Develop and manage end\-to\-end project plans and ensure on\-time delivery.
* Articulate to stakeholders the team’s technology vision, requirements, goals, and milestones.
* Provide hands\-on program management during analysis, design, development, testing, implementation, and post\-implementation phases.
* Own the execution of Applied AI/ML and Agentic AI use cases and technologies for AI Insights \&amp; AI Connect.
* Knowledge of BSS/OSS integrations with backend systems and third\-party providers.
* Knowledge of Wireline Networks: Dedicated Internet Access, Ethernet Virtual Private Line (EVPL), Private IP (MPLS) etc. for access and transport network.
* API integration experience with internal and external systems for connecting systems together for an end\-to\-end product offering.
**What We’re Looking For...**
****You’ll need to have:****
* Bachelor’s degree or four or more years of work experience.
* Six or more years of relevant experience required, demonstrated through one or a combination of work and/or military experience, or specialized training.
* Six or more years of experience in Product Management or Technology Solutions Management, specifically focused on technical products.
* Experience delivering transformative product launches that drive exponential growth and establish the company as a primary market influencer.
* Experience executing go\-to\-market strategies for new\-to\-world products, consistently achieving rapid adoption and market disruption.
****Even better if you have one or more of the following:****
* Proven product management experience demonstrating execution of a product roadmap, moving a project from inception to completion.
* Deep data and analytic orientation for evidence\-based decision making.
* Experience in leading cross\-functional teams and motivating/inspiring them to go the extra mile, even in uncertain circumstances.
* MBA or Master’s degree in Electrical Engineering, Computer Engineering, Computer Science or equivalent.
* Understanding of Verizon's domestic and global product offerings across Connectivity and MNS portfolio.
* Experience prioritizing and executing multiple projects at a time.
* Passion and determination to make a difference in the communications industry and in our world.
 If Verizon and this role sound like a fit for you, we encourage you to apply even if you don’t meet every “even better” qualification listed above.
 Where you’ll be working
 In this hybrid role, you'll have a defined work location that includes working from home and a minimum of three days per week in the office, which will be set by your manager. Employees are responsible for maintaining compliance with hybrid work policies.
 Scheduled Weekly Hours
 40
 Equal Employment Opportunity
 Verizon is an equal opportunity employer. We evaluate qualified applicants without regard to veteran status, disability or other legally protected characteristics.
**Benefits And Compensation**
 Our benefits are designed to help you move forward in your career, and in areas of your life outside of Verizon. From health and wellness benefit options including: medical, dental, vision, short and long term disability, basic life insurance, supplemental life insurance, AD\&amp;D insurance, identity theft protection, pet insurance and group home \&amp; auto insurance. We also offer a matched 401(k) savings plan, up to 8 company paid holidays per year and up to 6 personal days per year, paid parental leave, adoption assistance and tuition assistance, plus other incentives, we’ve got you covered with our award\-winning total rewards package. Depending on the role, employees have the opportunity to receive compensation in the form of premium pay such as overtime, shift differential, holiday pay, allowances, etc. Newly hired employees receive up to 15 days of vacation per year, which grows with additional service. For part\-timers, your coverage will vary as you may be eligible for some of these benefits depending on your individual circumstances.
 The salary will vary depending on your location and confirmed job\-related skills and experience. This is an incentive based position with the potential to earn more. For part\-time roles, your compensation will be adjusted to reflect your hours.
 The annual salary range for the location(s) listed on this job requisition based on a full\-time schedule is: $128,000\.00 \- $245,000\.00\.
 The annual salary range for the Colorado location(s) listed on this job requisition based on a full\-time schedule is: $140,500\.00 \- $245,000\.00\.</t>
        </is>
      </c>
    </row>
    <row r="130">
      <c r="A130" t="inlineStr">
        <is>
          <t>li-4340693427</t>
        </is>
      </c>
      <c r="B130" t="inlineStr">
        <is>
          <t>Technical Product Manager – Order Management</t>
        </is>
      </c>
      <c r="C130" t="inlineStr">
        <is>
          <t>Graco</t>
        </is>
      </c>
      <c r="D130" t="inlineStr">
        <is>
          <t>linkedin</t>
        </is>
      </c>
      <c r="E130">
        <f>HYPERLINK("https://www.linkedin.com/jobs/view/4340693427", "https://www.linkedin.com/jobs/view/4340693427")</f>
        <v/>
      </c>
      <c r="F130" t="inlineStr"/>
      <c r="G130" t="inlineStr">
        <is>
          <t>Minneapolis, MN</t>
        </is>
      </c>
      <c r="H130" t="inlineStr"/>
      <c r="I130" t="inlineStr">
        <is>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***This role is currently based at our Minneapolis office and will transition to our new headquarters in Dayton, MN, in 2027\.***
 The Technical Product Manager (TPM) plays a key role in supporting the development, implementation, and operations of technology solutions that support Graco’s core business functions. The individual in this position will understand the company’s technologies and business processes and collaborate with business and technology teams to ensure the successful delivery of solutions – aligned with the overall IT roadmap and business/function strategy. He/she will also contribute to modernizing and optimizing business applications to enable the business/function priorities, partnering with business stakeholders to deliver initiatives that drive efficiency and innovation.
**What You Will Do At Graco**
 Product Management
* Contribute to maintaining and improving product roadmaps for core business applications, focusing on improving business processes, automation, and the adoption of enterprise solutions to drive operational efficiencies.
* Assist in the evaluation, selection, and implementation of enterprise business applications that align and enable business goals and overarching IT strategy.
* Collaborate with cross\-functional teams to manage product backlogs, document functional requirements, and create test plans to ensure successful and timely solution delivery.
 Business Relationship Management
* Build and maintain relationships with business and IT teams to foster collaboration.
* Act as a key point of contact for business users, assisting in technology\-related inquiries and ensuring alignment and visibility to their needs.
* Collaborate across the IT function and cross\-functional business teams to gather business requirements and help translate them into technology requirements, prioritize features, and support the successful delivery of product enhancements.
 Technical Expertise
* Bring subject matter expertise on enterprise CRM and/or ERP systems, supply chain and manufacturing applications, digital experience (DXP) and e\-commerce platforms.
* Demonstrate understanding of business process workflows across Opportunity to Quote to Order, Procure to Pay, Order to Cash, Record to Report business processes.
* Identify ways to improve existing business processes through technology solutions, supporting simplification, globalization, unification, and harmonization of processes across functions and regions.
* Assist in developing and delivering training sessions to drive understanding and adoption of core business application platforms.
**What You Will Bring To Graco**
* Bachelor's degree in Computer Science, Information Systems, or related field.
* 3\+ years of overall IT experience with domain knowledge in implementing enterprise ERP, CRM, supply chain, or manufacturing applications.
* Proven ability to work with cross\-functional teams and support the management of technology projects.
**Accelerators**
* Master’s degree in a relevant field
* Experience in the manufacturing industry or other complex, process\-driven environments.
* Experience with cloud modernization and digital transformation initiatives.
**Key Competencies**
* Strategic Thinking: Ability to support the development of a clear, long\-term roadmap aligned with business goals.
* Leadership \&amp; Collaboration: Proven ability to partner with cross\-functional teams and working with both technical and non\-technical stakeholders.
* Proactivity: Strong attention to detail and proactive problem\-solving skills.
*Applicants must be legally authorized to work in the United States. This role is not eligible for immigration sponsorship now or in the future (e.g., H\-1B, TN, F\-1 OPT).*
 At Graco, you truly make a difference. Your unique talents contribute to our organizational growth and future. Not only do you make a difference, but Graco’s culture empowers employees to create their own career path. Whether you choose to advance within your current department or explore new opportunities in different divisions, you have the ability to build your future. Our managers are here to provide support and guidance as you continue to grow within your career.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2021 \&amp; 2022\. Graco offers attractive compensation, benefits and career development opportunities. Graco’s comprehensive benefits include medical, dental, stock purchase plan, 401(k), tuition reimbursement and more.
 Our company uses E\-Verify to confirm the employment and eligibility of all newly hired employees. To learn more about E\-Verify, including your rights and responsibilities, please visit www.dhs.gov/E\-Verify.
 The base pay range for this position is listed below, exclusive of fringe benefits or other compensation. If you are hired, your final base hourly rate will be determined based on factors such as geographic location, skills, competencies, education, and/or experience. In addition to those factors, we will also consider internal equity of our current employees. Please keep in mind that the range provided is the full base salary range for the role. Hiring at or near the maximum of the range would not be typical to allow for future and continued salary growth.
 $64,200\.00 \- $112,400\.00</t>
        </is>
      </c>
    </row>
    <row r="131">
      <c r="A131" t="inlineStr">
        <is>
          <t>li-4378791485</t>
        </is>
      </c>
      <c r="B131" t="inlineStr">
        <is>
          <t>Data Product Manager, Vice President</t>
        </is>
      </c>
      <c r="C131" t="inlineStr">
        <is>
          <t>JPMorganChase</t>
        </is>
      </c>
      <c r="D131" t="inlineStr">
        <is>
          <t>linkedin</t>
        </is>
      </c>
      <c r="E131">
        <f>HYPERLINK("https://www.linkedin.com/jobs/view/4378791485", "https://www.linkedin.com/jobs/view/4378791485")</f>
        <v/>
      </c>
      <c r="F131">
        <f>HYPERLINK("https://JPMorganChase.contacthr.com/151215486&amp;urlHash=X03e", "https://JPMorganChase.contacthr.com/151215486&amp;urlHash=X03e")</f>
        <v/>
      </c>
      <c r="G131" t="inlineStr">
        <is>
          <t>Columbus, OH</t>
        </is>
      </c>
      <c r="H131" t="inlineStr"/>
      <c r="I131" t="inlineStr">
        <is>
          <t>**Job Description**
 The HR Data Products organization builds trusted, governed, and discoverable data assets that power reporting, analytics, and AI across the employee lifecycle. We partner with stakeholders in People Operations, HR Technology, Business Intelligence, AI/ML, Information Architecture, and Data Engineering to deliver high‑quality, fit‑for‑purpose data products with clear lineage, controls, and measurable business impact.
 As a Vice President Data Product Manager, you will lead the strategy and delivery of a portfolio of HR data products. You will define multi‑year roadmaps, set OKRs, align stakeholders, and drive end‑to‑end execution—from discovery and requirements through launch, adoption, and continuous improvement. You will champion data governance, quality, and self‑service, enabling HR and business teams to make faster, better decisions.
**Key Responsibilities**
* Own multi‑year strategy, outcomes, and OKRs for your HR data domain. Prioritize a portfolio backlog across competing demands; balance near‑term value with long‑term platform investments. Engage senior HR and business leaders to identify opportunities and align on outcomes;
* Translate business needs into epics, features, and user stories with clear acceptance criteria; maintain a transparent, prioritized backlog and delivery plan.
* Conduct user discovery and stakeholder interviews to gather business requirements, pain points, and opportunities for improvement.
* Partner with Business Intelligence, AI/ML, and Product teams to ensure data products meet reporting, analytics, and automation needs.
* Collaborate with Information Architecture and Data Engineering to onboard new data sources and transform them into performant, fit\-for\-purpose data offerings.
* Establish and maintain strong data governance, quality, and lifecycle management practices for talent data, ensuring compliance with firmwide standards.
* Own the development and maintenance of data catalog, metadata, glossary, and lineage capabilities for Talent Acquisition and Off\-boarding datasets.
* Drive continuous improvement in data product offerings through stakeholder feedback, usage insights, and industry best practices.
**Required Qualifications**
* 5\+ years delivering data products, analytics platforms, or enterprise data solutions in complex environments
* Translate business needs into epics, features, and user stories with clear acceptance criteria; maintain a transparent, prioritized backlog and delivery plan.
* Translate business needs into epics, features, and user stories with clear acceptance criteria; maintain a transparent, prioritized backlog and delivery plan.
* Deep understanding of modern data platforms and cloud ecosystems, including entitlements, catalog/lineage, and data quality tooling.
* Proficiency in SQL for data testing, validation, and ad‑hoc analysis; ability to guide users on how to access and use data products effectively.
* Experience with data onboarding, metadata management, governance workflows, and compliance in control‑heavy or regulated environments with multiple lines of defense.
* Strong stakeholder engagement and communication skills; ability to translate technical capabilities into clear business outcomes and articulate trade‑offs.
**Preferred Qualification**
* Experience with HR domain processes, systems, or data (e.g., ATS, HRIS, payroll, benefits, time and attendance, performance, learning).
* Understanding of privacy and compliance considerations for HR data (PII, regional data protection requirements).
* Familiarity with HR analytics use cases.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Human Resources plays a critical role in driving the employee experience, shaping the firm’s culture and building a diverse and inclusive workforce. We are a strategic partner to the business — working with leaders across the firm to hire, develop and retain the best people and help meet business goals. Together, we foster a work environment in which our people are supported, feel like they belong and are able to make an impact through their work. We develop and deliver a suite of products and services that help make JPMorgan Chase an employer of choice and drive our business forward.</t>
        </is>
      </c>
    </row>
    <row r="132">
      <c r="A132" t="inlineStr">
        <is>
          <t>li-4299756011</t>
        </is>
      </c>
      <c r="B132" t="inlineStr">
        <is>
          <t>IT Operations Product Manager @Radisson Hotels (Freelancer Via Shakers) Copiar</t>
        </is>
      </c>
      <c r="C132" t="inlineStr">
        <is>
          <t>Shakers</t>
        </is>
      </c>
      <c r="D132" t="inlineStr">
        <is>
          <t>linkedin</t>
        </is>
      </c>
      <c r="E132">
        <f>HYPERLINK("https://www.linkedin.com/jobs/view/4299756011", "https://www.linkedin.com/jobs/view/4299756011")</f>
        <v/>
      </c>
      <c r="F132">
        <f>HYPERLINK("https://shakers.factorialhr.com/job_posting/it-operations-product-manager-radisson-hotels-freelancer-via-shakers-copiar-243802&amp;urlHash=O0_O", "https://shakers.factorialhr.com/job_posting/it-operations-product-manager-radisson-hotels-freelancer-via-shakers-copiar-243802&amp;urlHash=O0_O")</f>
        <v/>
      </c>
      <c r="G132" t="inlineStr"/>
      <c r="H132" t="inlineStr"/>
      <c r="I132" t="inlineStr">
        <is>
          <t>As Radisson IT Operations Product Manager – POS, you'll be the key link between Business and IT, defining and delivering innovative POS product initiatives from concept to rollout.
**You Will**
* Plan: Gather business needs, define scope, challenge feasibility, and present plans for approval.
* Execute: Liaise with all teams, coordinate architecture and resources, and manage vendor agreements.
* Monitor \&amp; Control: Report progress, proactively escalate issues with solutions, and present updates.
* Close: Ensure smooth product rollout with clear documentation and processes.
* General: Collaborate effectively, communicate proactively, and interact at all management levels.
****Accountable for delivering POS initiatives on time, within budget, and to agreed quality.****
**Ideal Candidates Have**
* 2\-3 years experience, ideally with SAP\-TMS/EMMA.
* Strong IT Project Management skills.
* Excellent communication, organizational, and interpersonal skills.
* Independent, proactive, and ownership\-oriented.
* Fluent English (additional languages a plus).
* Based in Spain (Madrid preferred).
 Ready to shape our POS landscape?
 Apply now!</t>
        </is>
      </c>
    </row>
    <row r="133">
      <c r="A133" t="inlineStr">
        <is>
          <t>li-4375744054</t>
        </is>
      </c>
      <c r="B133" t="inlineStr">
        <is>
          <t>Clinical Product Manager (Osmometers)</t>
        </is>
      </c>
      <c r="C133" t="inlineStr">
        <is>
          <t>firstPRO, Inc</t>
        </is>
      </c>
      <c r="D133" t="inlineStr">
        <is>
          <t>linkedin</t>
        </is>
      </c>
      <c r="E133">
        <f>HYPERLINK("https://www.linkedin.com/jobs/view/4375744054", "https://www.linkedin.com/jobs/view/4375744054")</f>
        <v/>
      </c>
      <c r="F133" t="inlineStr"/>
      <c r="G133" t="inlineStr">
        <is>
          <t>Waltham, MA</t>
        </is>
      </c>
      <c r="H133" t="inlineStr"/>
      <c r="I133" t="inlineStr">
        <is>
          <t>**About the role** 
 The
 **Clinical Product Manager, Osmometers** 
 , is a pivotal member of the Global Clinical Business team in a dynamic, fast\-growing company. The product manager will act as a “mini\-CEO” for the Osmometer portfolio, owning all business aspects of the product line. This is a global role, with primary focus on protecting and growing market share while identifying next\-generation differentiators to maintain market leadership position. Success in this role requires relentless drive, strategic vision, and the ability to execute—proactively identifying opportunities, making decisions, and taking accountability for results.
 If you’re passionate about Clinical Project Management and want to be part of a team that is shaping the future of life sciences, we’d love to hear from you, apply today!
**What you’ll do** 
* **Voice of the Customer:** 
 Champion customer needs and insights at every stage of the product lifecycle, ensuring feedback drives innovation from new product launches through to product obsolescence.
* **Product Development:** 
 Define market and user requirements by engaging directly with customers in point\-of\-care settings, collaborate closely with R\&amp;D to translate these insights into actionable product requirements, prioritize features that deliver meaningful customer value, and set pricing strategy.
* **Product Strategy:** 
 Develop five\-year strategic plans, create and manage ROI\-driven product roadmaps aligned with business objectives, prepare robust business cases in partnership with Finance, drive pricing strategy and implement creative approaches to maximize market penetration.
* **Product Launch:** 
 Craft compelling product positioning and value propositions, anticipate and address customer objections, and develop detailed customer profiles to ensure successful market adoption.
* **Market Analysis:** 
 Lead market sizing, share analysis, and comprehensive market research to uncover opportunities and guide strategic decisions for point\-of\-care products.
* **Competitive Analysis:** 
 Conduct deep competitive assessments and develop strong product positioning to equip the sales team with actionable insights and strategies that differentiate our offerings, protect existing market share, and creatively capture new opportunities.
* **Product Lifecycle Management:** 
 Introduce new products, drive continuous product improvements, manage planned obsolescence, analyze win/loss data, and maintain expert\-level product knowledge.
**What we are looking for in you** 
* 2\-5 years of experience in product management with systems and medical devices used in hospital core laboratories.
* Proven experience managing the full product life cycle.
* Direct experience with hospital core laboratories and their unique requirements.
* Bachelor’s degree in Business, Marketing, Science, or related field; MBA preferred.
**Physical Requirements for this role include:** 
* Must be able to work alternately in a seated or standing position.
* Clear and effective communication with stakeholders.
* Travel to customer sites, trainings, exhibitions, and seminars as needed.
* Adaptability to a fast\-paced, changing environment.
* Occasional flexible hours to support global teams.
* Full physical requirements available upon request.
**Work Location:** 
 Norwood, Ma \- In office (4 days onsite, 1 from home)</t>
        </is>
      </c>
    </row>
    <row r="134">
      <c r="A134" t="inlineStr">
        <is>
          <t>li-4378810484</t>
        </is>
      </c>
      <c r="B134" t="inlineStr">
        <is>
          <t>Regional Product Manager – Magnetic Resonance Imaging (MR)</t>
        </is>
      </c>
      <c r="C134" t="inlineStr">
        <is>
          <t>Philips</t>
        </is>
      </c>
      <c r="D134" t="inlineStr">
        <is>
          <t>linkedin</t>
        </is>
      </c>
      <c r="E134">
        <f>HYPERLINK("https://www.linkedin.com/jobs/view/4378810484", "https://www.linkedin.com/jobs/view/4378810484")</f>
        <v/>
      </c>
      <c r="F134">
        <f>HYPERLINK("https://philips.wd3.myworkdayjobs.com/jobs-and-careers/job/United-States-of-America\u002d\u002d-Remote-Based-United-States/Business-Marketing-Manager\u002d\u002d-Magnetic-Resonance-Imaging\u002d\u002dMR\u002d\u002d\u002d\u002d-Cambridge\u002d\u002dMA\u002d\u002dHighland-Heights\u002d\u002dOH\u002d\u002dChicago\u002d\u002dIL\u002d\u002dBothell\u002d\u002dWA-_571325/?source=LinkedIn&amp;urlHash=RWJ0", "https://philips.wd3.myworkdayjobs.com/jobs-and-careers/job/United-States-of-America\u002d\u002d-Remote-Based-United-States/Business-Marketing-Manager\u002d\u002d-Magnetic-Resonance-Imaging\u002d\u002dMR\u002d\u002d\u002d\u002d-Cambridge\u002d\u002dMA\u002d\u002dHighland-Heights\u002d\u002dOH\u002d\u002dChicago\u002d\u002dIL\u002d\u002dBothell\u002d\u002dWA-_571325/?source=LinkedIn&amp;urlHash=RWJ0")</f>
        <v/>
      </c>
      <c r="G134" t="inlineStr"/>
      <c r="H134" t="inlineStr"/>
      <c r="I134" t="inlineStr">
        <is>
          <t>Job Title
 Regional Product Manager – Magnetic Resonance Imaging (MR)
**Job Description**
**Regional Product Manager – Magnetic Resonance Imaging (MR)**
 You will be responsible for owning and managing the regional MR portfolio across its lifecycle, ensuring products, solutions, and services are optimally positioned to meet regional customer needs, regulatory requirements, and business objectives. The role partners closely with global product teams, regional sales, service, and clinical stakeholders to translate market requirements into regionally relevant product strategies, customer engagements, and commercial programs that drive adoption and growth. The role continuously evaluates market trends, competitive dynamics, and customer feedback to provide region\-specific insights that shape portfolio strategy, value articulation, and solution configuration. This position leads regional pricing strategy, go\-to\-market programs,
 **First\-of\-Kind (FoK) execution** 
 , and lifecycle decisions, including introductions, configuration management, and end\-of\-life execution, ensuring sustainable growth, profitability, and operational readiness across markets.
**Your Role**
* Regional Portfolio Ownership \&amp; Market Readiness: Own the regional MR portfolio, ensuring products and solutions are configured, approved, and ready for regional deployment. Drive alignment between global offerings and regional needs, including regulatory, clinical, operational, and customer\-use considerations. Serve as a regional product expert to support key customer interactions and market\-facing activities.
* Customer \&amp; Market Engagement: Represent the regional MR portfolio in customer\-facing settings, including roadmap presentations, executive briefings, and participation in key industry events and trade shows (e.g., regional and international congresses). Engage directly with customers and clinical partners to understand needs, validate assumptions, and strengthen the relevance of regional offerings.
* First\-of\-Kind (FoK) Planning \&amp; Execution: Lead and coordinate regional First\-of\-Kind activities for MR solutions, partnering with global teams, regions, sales, service, clinical, and regulatory stakeholders to ensure successful planning, readiness, and execution. Act as the regional point of coordination to manage risks, capture learnings, and feed insights back into portfolio optimization and broader market deployment.
* Portfolio Performance \&amp; Selective Roadmap Influence: Manage regional portfolio performance across the product lifecycle and provide focused, structured inputs into the global MR product roadmap based on regional priorities, competitive gaps, FoK learnings, and customer insights. Balance advocacy for regional needs with pragmatic alignment to global product direction.
* Programs, Pricing \&amp; Commercial Enablement: Develop and recommend regional pricing strategies aligned with market dynamics, competitive positioning, and profitability targets. Design and execute region\-specific programs, offerings, promotions, and sales incentives to support product introductions, FoKs, and performance acceleration against regional objectives.
* Lifecycle \&amp; End\-of\-Life Management: Lead regional execution of product lifecycle activities, including introductions, transitions, and end\-of\-life strategies. Manage regional impacts related to discontinuation, inventory reduction, and customer communication in close collaboration with sales, service, supply chain, and commercial operations teams.
**You're The Right Fit If**
* You have at least 5\+ years of industry experience, ideally in marketing technology, healthcare, or MedTech products and solutions.
* You bring strong expertise in marketing processes and technology, including localizing value propositions for unique customers and markets; bonus if you have experience leading multifunctional teams.
* You hold a Bachelor’s degree and are Certified LEAN Advanced.
* You must be able to successfully perform the following minimum Physical, Cognitive and Environmental job requirements with or without accommodation for this position.
* You have demonstrated broad knowledge of products and services within scope and excel at fostering collaboration across multifunctional teams.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office\-based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AZ, AR, ID, IA, KS, KY, LA, ME, MS, MO, NE, NM, OK, SC, SD, TN, UT, or WV is $97,000 to $153,000
 The pay range for this position in AL, CO, FL, GA, HI, IL, IN, MI, MN, NV, NH, NC, ND, OH, OR, PA, TX, VT, VA, WI, or WY is $102,000 to $162,000
 The pay range for this position in AK, DE, MD, NY, RI, or WA is $107,000 to $170,000
 The pay range for this position in CA, CT, DC, MA, or NJ is $114,000 to $181,000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 US work authorization is a precondition of employment. The company will not consider candidates who require sponsorship for a work\-authorized visa, now or in the future.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135">
      <c r="A135" t="inlineStr">
        <is>
          <t>li-4368268365</t>
        </is>
      </c>
      <c r="B135" t="inlineStr">
        <is>
          <t>Product Manager (Medical Device Manufacturing)</t>
        </is>
      </c>
      <c r="C135" t="inlineStr">
        <is>
          <t>firstPRO, Inc</t>
        </is>
      </c>
      <c r="D135" t="inlineStr">
        <is>
          <t>linkedin</t>
        </is>
      </c>
      <c r="E135">
        <f>HYPERLINK("https://www.linkedin.com/jobs/view/4368268365", "https://www.linkedin.com/jobs/view/4368268365")</f>
        <v/>
      </c>
      <c r="F135" t="inlineStr"/>
      <c r="G135" t="inlineStr">
        <is>
          <t>Waltham, MA</t>
        </is>
      </c>
      <c r="H135" t="inlineStr"/>
      <c r="I135" t="inlineStr">
        <is>
          <t>The Biotechnology Sales Product Line Manager is responsible for growing sales worldwide while managing the portfolio of our biotechnology/fermentation/university research products throughout the products’ lifecycles. This includes high\-level technical presentations in support of corporate sales opportunities; development of product requirements based on documented customer needs; defining product vision; working closely with cross functional teams including R\&amp;D, Sales, Marketing, Finance, Technical Applications and Support to deliver winning products that exceed corporate revenue and customer satisfaction goals.
 If you’re passionate about product management and want to be part of a team that is shaping the future of life sciences, we’d love to hear from you, apply today!
**What you’ll do** 
* In conjunction with customers/KOLs/sales representatives/R\&amp;D, Applications/others (US and International) develop market requirements documents and product requirements documents
* Maintain expertise with respect to market dynamics, product performance, customer satisfaction, market trends and competition
* In conjunction with Sales, develop product line forecasts
* Analyze product line extensions and product line improvements
* Develop core positioning and messaging for products
* Develop sales tools and collateral
* Develops a complete hands on technical understanding of all our Biotechnology products.
* Has responsibility for identification of appropriate opportunities for and representation of products at trade shows, advertising, websites, sales meetings, and promotional materials.
* Works closely with Biotechnology Account Managers (US and International) by adding value at Corporate and in the field throughout the sales process on all biotechnology business opportunities. This sales support will be in the form of conducting technical product demonstrations, evaluations, managing objections and in closing sales opportunities
* Coordinates and performs on\-site technical product evaluations to qualified, prospective customers while participating directly in these evaluations, may perform onsite application activities including correlation to alternative reference methods, precision studies, linearity studies, and onsite customer training.
* Performs Field Sales Training on all Biotechnology products for both US and International Sales. Works with National Training Manager in the development and delivery of sales training curriculum.
* Handle any and all objections on product line effectively converting objections into sales opportunities.
**What we are looking for in you** 
* Biotechnology development background is required. Advanced degree preferred.
* Solid understanding of Biotechnology nutrient, metabolite, gas and cell counting systems currently available in the and their associated industrial utility.
* Solid understanding of pharmaceutical Quality Control, Quality Assurance, GMP, and FDA Validation requirements
* A solid understanding of statistical data is required.
* Requires a person willing to travel within the Unites States and Internationally approximately 50% of the time.
* BA/BS Degree required
* *7\+ years of proven product management experience, with a strong emphasis on biopharmaceutical markets and technologies*
* 5\+ years of direct\-customer experience in the biotechnology capital device industry
* 5\+ years of Cell Culture or Fermentation Development Laboratory experience and/or Manufacturing experience
**Physical Requirements for this role include:** 
* General office exertions
* Ability to travel as needed by car/ plane
* The full list of physical requirements for this role is available upon request.
**Work Location:** 
 On\-site in Waltham, MA
**Schedule/Hours:** 
 Monday to Friday, General business hours</t>
        </is>
      </c>
    </row>
    <row r="136">
      <c r="A136" t="inlineStr">
        <is>
          <t>li-4299602857</t>
        </is>
      </c>
      <c r="B136" t="inlineStr">
        <is>
          <t>Principal Product Manager, Agentic Offensive Security</t>
        </is>
      </c>
      <c r="C136" t="inlineStr">
        <is>
          <t>HackerOne</t>
        </is>
      </c>
      <c r="D136" t="inlineStr">
        <is>
          <t>linkedin</t>
        </is>
      </c>
      <c r="E136">
        <f>HYPERLINK("https://www.linkedin.com/jobs/view/4299602857", "https://www.linkedin.com/jobs/view/4299602857")</f>
        <v/>
      </c>
      <c r="F136">
        <f>HYPERLINK("https://jobs.ashbyhq.com/hackerone/b3339e88-2ff2-4789-85f7-4d46db53c586?utm_source=LinkedIn&amp;urlHash=ONKo", "https://jobs.ashbyhq.com/hackerone/b3339e88-2ff2-4789-85f7-4d46db53c586?utm_source=LinkedIn&amp;urlHash=ONKo")</f>
        <v/>
      </c>
      <c r="G136" t="inlineStr">
        <is>
          <t>Boston, MA</t>
        </is>
      </c>
      <c r="H136" t="inlineStr"/>
      <c r="I136"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Agentic Offensive Security
**Remote Location: Seattle, WA; San Francisco Bay Area; Austin, TX, Boston; or Washington, DC**
**Position Summary**
 HackerOne is seeking a hands\-on, mission\-driven Product Manager to lead the development of our Agentic Offensive Security product line with advanced offensive security testing leveraging GenAI via LLM. As an innovative leader in the PTaaS market, HackerOne provides top quality vulnerability findings commonly missed by traditional pentesting approaches for measurable risk reduction with best\-in\-class time\-to\-value and conjoined platform\-based value with our market\-leading Bug Bounty product line. This is an opportunity to help lead the business’s scaling and product line build\-out of highly disruptive offerings within the high value, high growth PTaaS cybersecurity space!
 At HackerOne, we embrace a Flexible Work approach, enabling our team members to work remotely while maintaining productivity and collaboration. We are seeking candidates located in
 **Seattle, WA; San Francisco Bay Area; Austin, TX, Boston; or Washington, DC** 
 , and the surrounding metropolitan areas, to facilitate occasional in\-person interactions as needed. While the position is primarily remote, there will be periodic in\-person requirements to support team collaboration and foster stronger connections. This approach ensures flexibility while providing opportunities to build meaningful in\-person relationships that strengthen our team and company culture.
**What You Will Do**
* Lead HackerOne development of our Pentest as a Service (PTaaS) product line strategy and roadmap in applying advanced offensive security testing leveraging GenAI via LLM in partnership with Design \&amp; Engineering.
* Lead cross\-functional GTM collaboration with customers across Product Marketing, Customer Success, and Customer Operations to discern customer challenges, drive adoption, and communicate thought leadership on PTaaS offerings.
* Evangelize the value of HackerOne’s PTaaS offerings internally and externally as a subject matter expert via customer and prospect calls, product demos, webinars, roadmap briefings, and industry events.
* Stay at the forefront of industry trends and competitive developments to identify opportunities for disruptive innovation and positioning HackerOne as a market leader.
**Minimum Qualifications**
* 10\+ years of experience in Product Management in high\-growth tech/SaaS companies.
* Demonstrated experience shaping organization\-wide AI adoption and strategy, including re\-architecting products, systems, and workflows to embed AI into how teams design, build, and operate at scale.
* Proven track record of successfully developing products / platforms in high\-growth businesses involving in\-depth cross\-functional collaboration and leadership across R\&amp;D and go\-to\-market functions.
* Experience leading product development in cloud services and/or enterprise SaaS.
* Outstanding communication and leadership skills with a collaborative and team\-oriented approach to identifying problems, determining potential solutions, and building consensus around your vision with internal and external stakeholders.
**Preferred Qualifications**
* Bachelor's degree in an application development\-related field, such as Computer Science, Computer Engineering, etc.
* MBA degree.
* Experience leading AI\-enabled product development.
* Deep understanding of cybersecurity technologies and market trends.
* Direct product management experience in related cybersecurity fields, such as attack surface management, vulnerability management, penetration testing and application security.
* Domain experience with security research/hacking as part of offensive security testing in penetration testing, red teaming, and/or bug bounty programs, including methods, tools, and types of testing.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137">
      <c r="A137" t="inlineStr">
        <is>
          <t>li-4379295582</t>
        </is>
      </c>
      <c r="B137" t="inlineStr">
        <is>
          <t>Kinexys Digital Assets - Product Manager- Vice President</t>
        </is>
      </c>
      <c r="C137" t="inlineStr">
        <is>
          <t>JPMorganChase</t>
        </is>
      </c>
      <c r="D137" t="inlineStr">
        <is>
          <t>linkedin</t>
        </is>
      </c>
      <c r="E137">
        <f>HYPERLINK("https://www.linkedin.com/jobs/view/4379295582", "https://www.linkedin.com/jobs/view/4379295582")</f>
        <v/>
      </c>
      <c r="F137">
        <f>HYPERLINK("https://JPMorganChase.contacthr.com/151228372&amp;urlHash=5G-a", "https://JPMorganChase.contacthr.com/151228372&amp;urlHash=5G-a")</f>
        <v/>
      </c>
      <c r="G137" t="inlineStr">
        <is>
          <t>New York, NY</t>
        </is>
      </c>
      <c r="H137" t="inlineStr"/>
      <c r="I137"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Kinexys Digital Assets,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Transform existing structures and market practices to provide better services and experiences to our clients
* Convert ideas into well\-articulated, visually impactful presentations
* Take initiative but work well within a dynamic and fast paced team environment
* Present ideas to senior management \&amp; clients and are excited to work with vendors and startups in the blockchain community
* Understand distributed ledger technology and related applications, including a technical understanding of cryptocurrency technology fundamentals and how they are / are not relevant to public and/or private, permissioned blockchains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Strong working knowledge of Web3, banking, finance, and payments ecosystems
**Preferred Qualifications, Capabilities, And Skills**
* Demonstrated prior experience working in a highly matrixed, complex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38">
      <c r="A138" t="inlineStr">
        <is>
          <t>li-4299611566</t>
        </is>
      </c>
      <c r="B138" t="inlineStr">
        <is>
          <t>Principal Product Manager, Agentic Offensive Security</t>
        </is>
      </c>
      <c r="C138" t="inlineStr">
        <is>
          <t>HackerOne</t>
        </is>
      </c>
      <c r="D138" t="inlineStr">
        <is>
          <t>linkedin</t>
        </is>
      </c>
      <c r="E138">
        <f>HYPERLINK("https://www.linkedin.com/jobs/view/4299611566", "https://www.linkedin.com/jobs/view/4299611566")</f>
        <v/>
      </c>
      <c r="F138">
        <f>HYPERLINK("https://jobs.ashbyhq.com/hackerone/b3339e88-2ff2-4789-85f7-4d46db53c586?utm_source=LinkedIn&amp;urlHash=ONKo", "https://jobs.ashbyhq.com/hackerone/b3339e88-2ff2-4789-85f7-4d46db53c586?utm_source=LinkedIn&amp;urlHash=ONKo")</f>
        <v/>
      </c>
      <c r="G138" t="inlineStr">
        <is>
          <t>Austin, CO</t>
        </is>
      </c>
      <c r="H138" t="inlineStr"/>
      <c r="I138"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Agentic Offensive Security
**Remote Location: Seattle, WA; San Francisco Bay Area; Austin, TX, Boston; or Washington, DC**
**Position Summary**
 HackerOne is seeking a hands\-on, mission\-driven Product Manager to lead the development of our Agentic Offensive Security product line with advanced offensive security testing leveraging GenAI via LLM. As an innovative leader in the PTaaS market, HackerOne provides top quality vulnerability findings commonly missed by traditional pentesting approaches for measurable risk reduction with best\-in\-class time\-to\-value and conjoined platform\-based value with our market\-leading Bug Bounty product line. This is an opportunity to help lead the business’s scaling and product line build\-out of highly disruptive offerings within the high value, high growth PTaaS cybersecurity space!
 At HackerOne, we embrace a Flexible Work approach, enabling our team members to work remotely while maintaining productivity and collaboration. We are seeking candidates located in
 **Seattle, WA; San Francisco Bay Area; Austin, TX, Boston; or Washington, DC** 
 , and the surrounding metropolitan areas, to facilitate occasional in\-person interactions as needed. While the position is primarily remote, there will be periodic in\-person requirements to support team collaboration and foster stronger connections. This approach ensures flexibility while providing opportunities to build meaningful in\-person relationships that strengthen our team and company culture.
**What You Will Do**
* Lead HackerOne development of our Pentest as a Service (PTaaS) product line strategy and roadmap in applying advanced offensive security testing leveraging GenAI via LLM in partnership with Design \&amp; Engineering.
* Lead cross\-functional GTM collaboration with customers across Product Marketing, Customer Success, and Customer Operations to discern customer challenges, drive adoption, and communicate thought leadership on PTaaS offerings.
* Evangelize the value of HackerOne’s PTaaS offerings internally and externally as a subject matter expert via customer and prospect calls, product demos, webinars, roadmap briefings, and industry events.
* Stay at the forefront of industry trends and competitive developments to identify opportunities for disruptive innovation and positioning HackerOne as a market leader.
**Minimum Qualifications**
* 10\+ years of experience in Product Management in high\-growth tech/SaaS companies.
* Demonstrated experience shaping organization\-wide AI adoption and strategy, including re\-architecting products, systems, and workflows to embed AI into how teams design, build, and operate at scale.
* Proven track record of successfully developing products / platforms in high\-growth businesses involving in\-depth cross\-functional collaboration and leadership across R\&amp;D and go\-to\-market functions.
* Experience leading product development in cloud services and/or enterprise SaaS.
* Outstanding communication and leadership skills with a collaborative and team\-oriented approach to identifying problems, determining potential solutions, and building consensus around your vision with internal and external stakeholders.
**Preferred Qualifications**
* Bachelor's degree in an application development\-related field, such as Computer Science, Computer Engineering, etc.
* MBA degree.
* Experience leading AI\-enabled product development.
* Deep understanding of cybersecurity technologies and market trends.
* Direct product management experience in related cybersecurity fields, such as attack surface management, vulnerability management, penetration testing and application security.
* Domain experience with security research/hacking as part of offensive security testing in penetration testing, red teaming, and/or bug bounty programs, including methods, tools, and types of testing.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139">
      <c r="A139" t="inlineStr">
        <is>
          <t>li-4379790567</t>
        </is>
      </c>
      <c r="B139" t="inlineStr">
        <is>
          <t>Program Manager (REMOTE)</t>
        </is>
      </c>
      <c r="C139" t="inlineStr">
        <is>
          <t>Lensa</t>
        </is>
      </c>
      <c r="D139" t="inlineStr">
        <is>
          <t>linkedin</t>
        </is>
      </c>
      <c r="E139">
        <f>HYPERLINK("https://www.linkedin.com/jobs/view/4379790567", "https://www.linkedin.com/jobs/view/4379790567")</f>
        <v/>
      </c>
      <c r="F139" t="inlineStr"/>
      <c r="G139" t="inlineStr">
        <is>
          <t>Minneapolis, MN</t>
        </is>
      </c>
      <c r="H139" t="inlineStr"/>
      <c r="I1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Role Summary
 Applies advanced subject\-matter expertise to resolve common and complex business issues within established guidelines, recommending appropriate solutions and alternatives. Works independently on problems of varied complexity and scope, exercising sound judgment within defined policies and practices. May lead project teams, providing direction, facilitating collaboration, and supporting informed decision\-making. Capable of handling most unique situations and seeks guidance as needed for highly complex business decisions.
* Manage end\-to\-end customer project delivery for large or moderately complex projects at a local or sub\-regional level.
* Oversee projects with medium to high risk and moderate legal and commercial complexity.
* Ensure projects meet or exceed SOAR\-approved budgets and delivery commitments.
* Own and manage project financials, including profit and loss (P\&amp;L).
* Provide accurate and reliable financial forecasts to senior management.
* Identify and develop new business opportunities within existing projects.
* Support qualification and assessment of large and moderately complex opportunities.
* Act as Opportunity Manager for medium to high\-risk deals.
* Manage and strengthen mid\- to senior\-level client relationships.
* Serve as a frequent point of representation for the organization with external customers and stakeholders.
* Lead and coordinate internal and external project resources, managing teams of up to 20 members.
* Mentor team members and encourage professional skill development.
* Provide performance feedback and identify development areas for team members.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Minimum of 5 years’ experience in project management or related roles.
* Experience in financial management, including profits and loss, budgets, reporting, etc.
* Progressing toward PMP certification.
 If you have questions about this posting, please contact support@lensa.com</t>
        </is>
      </c>
    </row>
    <row r="140">
      <c r="A140" t="inlineStr">
        <is>
          <t>li-4342323035</t>
        </is>
      </c>
      <c r="B140" t="inlineStr">
        <is>
          <t>Product Manager II</t>
        </is>
      </c>
      <c r="C140" t="inlineStr">
        <is>
          <t>ITW</t>
        </is>
      </c>
      <c r="D140" t="inlineStr">
        <is>
          <t>linkedin</t>
        </is>
      </c>
      <c r="E140">
        <f>HYPERLINK("https://www.linkedin.com/jobs/view/4342323035", "https://www.linkedin.com/jobs/view/4342323035")</f>
        <v/>
      </c>
      <c r="F140" t="inlineStr"/>
      <c r="G140" t="inlineStr">
        <is>
          <t>Glenview, IL</t>
        </is>
      </c>
      <c r="H140" t="inlineStr"/>
      <c r="I140" t="inlineStr">
        <is>
          <t>**Job Description**
**ITW (Illinois Tool Works Inc.)** 
 is a Fortune 200 company and is one of the world’s leading diversified manufacturers of specialized industrial equipment, automotive components, consumables, and related service businesses. ITW businesses serve local customers and markets around the globe, with operations in 55 countries and an employee base of more than 46,000 women and men who adhere to the highest ethical standards. These talented individuals, many of whom have specialized engineering or scientific expertise, contribute to our global leadership in innovation. We are proud of our broad portfolio of more than 17,000 granted and pending patents.
**ITW Mechanical Fastening,** 
 a division of the Construction Products business segment, is a global provider of premium fastening solutions that improve contractor productivity and building quality in the residential and renovation construction industries. Our products are positioned as market leaders and category leading brands encompassing structural wood fasteners (GRK Fasteners™), concrete anchoring systems (Tapcon®, Red Head®, Ramset®), underlayment screws (Rock\-On®, Backer\-On®), self\-drilling screws (Teks®) and drywall anchoring systems (E\-Z Ancor®).
 The
 **Product Manager II** 
 will set strategy, drive innovation, and manage profitability across their product categories. The Product Manager will interact with all functional groups throughout the division as the owner of the overall product lifecycle. This individual will be the product category leader responsible for total portfolio management. ITW is looking for business leaders that are excellent problem solvers with strong communication skills that perform well in an entrepreneurial environment. A successful candidate will be able to leverage the ITW Business Model including end user backed product development, implementation of 80/20 prioritization, and a focus on simplification to position their product categories for sustained growth.
**Core Responsibilities**
* Customer Back Innovation – Execution of the new product development roadmap to capitalize on key market opportunities and champion the Customer Back Innovation stage gate process through cross\-functional leadership. Product Managers will lead new product rollout efforts including forecasting volumes, end user validation, integrated marketing planning as well as sales and channel training.
* End User Intimacy – Gain strong understanding of voice of customer through qualitative and quantitative market research that drive product strategy and development. Lead end user segmentation to ensure proper targeting and prioritization
* Product Portfolio Management – Lead product portfolio strategy including management of existing product mix and pricing strategy to drive top\- and bottom\-line financial performance. Participate in capacity planning efforts working with operations and engineering. Responsible for product line maintenance including SKU rationalization and simplification to optimize the product mix and financials.
* Financial Ownership – The Product Manager will own the P\&amp;L for their product categories and deliver on key metrics by utilizing the ITW toolbox philosophies and other key performance indicators.
* Market Landscape – The Product Manager will have a full understanding of the market dynamics including customer and end user trends, competitive trends and actions and will drive market sizing efforts to ensure focus on addressable market. weaknesses of our competitor’s products/brands.
**Qualifications**
* Bachelor’s Degree required in business, engineering, marketing, or a comparable discipline, required; MBA, preferred.
* A minimum of 3\-5 years of marketing experience preferred with at least 2\-3 years of product management experience; new product development experience, from inception to product introduction and full product lifecycle management preferred
* Experience with durable goods is preferred
* Financial acumen to analyze financial results and new market opportunities is preferred
* Advanced skills in Excel, Word and Power Point are required.
* The ability to travel approximately 20% is required
* Strong team/project management, communications, and presentation skills
* Proven ability to influence cross\-functional teams without formal authority
* Ability to maintain a keen attention to detail, multitask and work well under pressure
* Self\-starter with a natural tendency to be curious, positive, and creative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requires an employee to work in a variety of locations including, but not limited to: home office, job sites, lumberyards, and distributor locations. These environments are not controlled by ITW.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talk, hear, reach with hands and arms, and regularly required to walk. Must be able to lift 40 lbs., able to walk and stand for long periods of time at customer events, trade shows, and job site locations. Position requires approximately 20% travel and the ability to operate a motor vehicle.
**Compensation Information**
 We believe our people are our greatest asset. That’s why we invest in creating an environment where you can thrive—both personally and professionally. For more details, visit our Benefits page.
 In addition, our benefits include paid vacation, sick, holiday, and parental leave.
 Annual base salary range for this position is $120,000 \- $130,000, plus up to 10% annual bonus incentive. Please note that this salary information serves as a general guideline. Company considers various factors when extending an offer, including but not limited to the scope and responsibilities of the position, the candidate's work experience, education and training, key skills, as well as market and business considerations.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141">
      <c r="A141" t="inlineStr">
        <is>
          <t>li-4378825628</t>
        </is>
      </c>
      <c r="B141" t="inlineStr">
        <is>
          <t>Sr. Program Manager with AI ML</t>
        </is>
      </c>
      <c r="C141" t="inlineStr">
        <is>
          <t>Falcon Smart IT (FalconSmartIT)</t>
        </is>
      </c>
      <c r="D141" t="inlineStr">
        <is>
          <t>linkedin</t>
        </is>
      </c>
      <c r="E141">
        <f>HYPERLINK("https://www.linkedin.com/jobs/view/4378825628", "https://www.linkedin.com/jobs/view/4378825628")</f>
        <v/>
      </c>
      <c r="F141" t="inlineStr"/>
      <c r="G141" t="inlineStr"/>
      <c r="H141" t="inlineStr"/>
      <c r="I141" t="inlineStr">
        <is>
          <t>Job Title:
 **Sr. Program Manager with AI ML** 
 Location:
 **Remote** 
 Job Type:
 **FTE** 
**Job Description:** 
**Educational Qualification: B.E/B.Tech Graduate in the field of Technology** 
**Experience Range \- 15\- 20 Years Max** 
 Educational Qualification\*
**B.tech/M.tech** 
 Experience Range
**15\+ Years** 
 Primary (Must have skills)\* \- To be Screened by TA Team
 8\+ years of experience in program management, risk, or compliance roles, with the background of AI or any kind of governance.
 3\+ Deep understanding of AI/ML technologies and lifecycle, including
 **GenAI systems.** 
 2 years of experience in ethical and responsible AI principles (accountability, explainability, fairness and transperancy)
 2\+ Experience with regulatory frameworks, especially the EU AI Act, NIST AI RMF, GDPR and OECD AI Principles.
 5\+ background in post\-merger integration and process reconciliation.
 1\-2 years experience in Policy definition for
 **GenAI \&amp; Agentic AI systems** 
 1\-2 years of experience in AI risk assessment \&amp; mitigation strategy, AI model lifecycle management
 2\-3 years experience in
 **AI governance framework** 
 Excellent communication, stakeholder management, and change leadership skills.
 Job Description of Role\* (RNR) \- To be Evaluated by Technical Panel (Define it to give more clarity)
 We are seeking a highly experienced Senior Program Manager to lead and evolve our enterprise\-wide AI governance strategy. This role is critical in ensuring our AI systems are developed and deployed responsibly, ethically, and in compliance with global regulations—especially the EU AI Act. You will play a key role in reconciling governance processes following our recent acquisition of Juniper, aligning their AI governance practices with ours, and integrating them into our existing Architecture Review (ARV) workflows.
 Key Responsibilities
 \- AI Governance Leadership: Develop, implement, and maintain a robust AI governance framework aligned with regulatory, ethical, and business standards.
 \- Define and enforce Responsible AI policies covering bias control, hallucination mitigation, prompt injection defense, and ethical AI standards for Agentic AI systems.
 \- Govern Azure AI services including Azure OpenAI access control, Content Safety configuration, RBAC, Managed Identity, and secure key management.
 \- Establish control frameworks for multi\-agent orchestration, tool/function permissions, and AI memory/data retention policies.
 \- Ensure enterprise security and regulatory compliance through data classification, PII protection, encryption, and audit traceability.
 \- Monitor AI systems for risk, performance, and cost using Azure Monitor, logging frameworks, usage analytics, and governance reporting dashboards.
 \- EU AI Act Compliance: Lead readiness and compliance efforts, including risk classification, documentation, and conformity assessments.
 \- Post\-Acquisition Integration: Reconcile Juniper’s AI governance processes with existing frameworks, identifying overlaps and harmonizing workflows.
 \- Architecture Review Alignment: Integrate AI governance reviews with the ARV process to ensure streamlined oversight and reduced duplication.
 \- Risk Management: Oversee AI risk assessments, model inventories, and validation processes across business units.
 \- Stakeholder Collaboration: Partner with legal, compliance, engineering, and product teams to embed governance into the AI/ML lifecycle.
 \- Training \&amp; Awareness: Develop and deliver training programs on responsible AI practices and regulatory requirements.
 \- Metrics \&amp; Reporting: Define KPIs and reporting mechanisms to measure governance effectiveness and drive continuous improvement.
 \-Enhancement of AI Intake Process and reconciliation with other processes (Agentic, ERAG, and existing workflows such as ARB).
 \- AI Use Case Inventory: Tracking status and implementing closed\-loop reporting.
 \- AI Governance Mailbox Support.
 Soft skills/other skills \- To be Evaluated by Hiring Manager (To define how this will be evaluated)
**Communication Skills:**
 Communicate effectively with internal and customer stakeholders
 Communication approach: verbal, emails and instant messages
**Interpersonal Skills:**
 Strong interpersonal skills to build and maintain productive relationships with team members
 Provide constructive feedback
**Problem\-Solving and Analytical Thinking:**
 Capability to troubleshoot and resolve issues efficiently.
 Analytical mindset
**Task/ Work Updates**
 Prior experience in working on Agile/Scrum projects with exposure to tools like Jira/Azure DevOps
 Provides regular updates, proactive and due diligent to carry out responsibilities
 Expected Outcome
 We are looking for a Senior Program Manager who is proficient with above mentioned Primary Skills to join our dynamic team who are at the forefront of enabling enterprises in AI/ML.
 Effectively Communicate and Collaborate with internal teams and customer.
 Secondary Skills to be planned Post Hiring \- Training Plan
 AI Governance \&amp; Risk Management:
 Experience working in a global enterprise or regulated industry .
 Familiarity with architecture review boards and technical governance processes.
 Certifications in AI ethics, compliance, or risk management.</t>
        </is>
      </c>
    </row>
    <row r="142">
      <c r="A142" t="inlineStr">
        <is>
          <t>li-4379914553</t>
        </is>
      </c>
      <c r="B142" t="inlineStr">
        <is>
          <t>Sr Operations Program Manager, Product Operations, Product Operations, Product Operations</t>
        </is>
      </c>
      <c r="C142" t="inlineStr">
        <is>
          <t>Lensa</t>
        </is>
      </c>
      <c r="D142" t="inlineStr">
        <is>
          <t>linkedin</t>
        </is>
      </c>
      <c r="E142">
        <f>HYPERLINK("https://www.linkedin.com/jobs/view/4379914553", "https://www.linkedin.com/jobs/view/4379914553")</f>
        <v/>
      </c>
      <c r="F142" t="inlineStr"/>
      <c r="G142" t="inlineStr">
        <is>
          <t>Sunnyvale, CA</t>
        </is>
      </c>
      <c r="H142" t="inlineStr"/>
      <c r="I14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As a Senior Operations Program Manager, you will collaborate with an experienced, cross\-disciplinary team to conceive, design, and develop innovative consumer products. You must be responsive, flexible, and capable of thriving in an open, collaborative peer environment.
 Key job responsibilities
**Role**
 The Product Operations group is seeking an Operations Program Manager who is excited to work on a product that our customers love. We play a critical role in the hardware development process, from pre\-concept to launch. Our team ensures successful product launches and ongoing support, enhances the capabilities of our current systems to meet our needs, and drives continuous improvement for the company. In this role, you will:
* Deliver results on complex projects involving cross functional teams across the company
* Work with stakeholders to define business requirements and product definition
* Contribute to and influence new product design and architecture
* Understand current system capabilities and limitations
* Problem solve and explore solutions to current processes and systems
* Coordinate with cross functional teams to deliver a quality product on time and at cost
* Drive continuous improvement
* Monitor supply and fulfillment of devices
* This role may require some travel
**About The Team**
 We are a team of motivated individuals dedicated to launching personalized devices that delight our customers and generate additional revenue for Amazon. We provide product operations leadership and collaborate across all functions. As supply chain partners to the broader Amazon Devices organization, we work together to drive product roadmaps and guide portfolio direction.
**Basic Qualifications**
* Bachelor's degree or above in engineering or equivalent
* 5\+ years of Supply Chain, Product Management, Program Management experience
* Experience with end to end product delivery
* Experience overseeing roadmap strategy and definition
* Experience with data analysis
* Experience with feature delivery and tradeoffs of a product
**Preferred Qualifications**
* Master's degree or above
* Experience writing and publishing technical documents or equivalent
* Experience in verbal and written communication for executive level leaders
* 7\+ years of consumer electronics experience
* Experience with hardware/software integration and real\-time systems
* Experience working in various geographic locations.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Sunnyvale \- 171,000\.00 \- 231,300\.00 USD annually
 If you have questions about this posting, please contact support@lensa.com</t>
        </is>
      </c>
    </row>
    <row r="143">
      <c r="A143" t="inlineStr">
        <is>
          <t>li-4363848673</t>
        </is>
      </c>
      <c r="B143" t="inlineStr">
        <is>
          <t>Senior Staff Engineering Product Manager</t>
        </is>
      </c>
      <c r="C143" t="inlineStr">
        <is>
          <t>Cisco</t>
        </is>
      </c>
      <c r="D143" t="inlineStr">
        <is>
          <t>linkedin</t>
        </is>
      </c>
      <c r="E143">
        <f>HYPERLINK("https://www.linkedin.com/jobs/view/4363848673", "https://www.linkedin.com/jobs/view/4363848673")</f>
        <v/>
      </c>
      <c r="F143">
        <f>HYPERLINK("https://careers.cisco.com/global/en/job/CISCISGLOBAL2004058EXTERNALENGLOBAL/Senior-Staff-Engineering-Product-Manager?utm_source=linkedin&amp;utm_medium=phenom-feeds&amp;urlHash=Rd40", "https://careers.cisco.com/global/en/job/CISCISGLOBAL2004058EXTERNALENGLOBAL/Senior-Staff-Engineering-Product-Manager?utm_source=linkedin&amp;utm_medium=phenom-feeds&amp;urlHash=Rd40")</f>
        <v/>
      </c>
      <c r="G143" t="inlineStr">
        <is>
          <t>Chicago, IL</t>
        </is>
      </c>
      <c r="H143" t="inlineStr"/>
      <c r="I143" t="inlineStr">
        <is>
          <t>The application window is expected to close on: 03/17/2026
**Job posting may be removed earlier if the position is filled or if a sufficient number of applications are received** 
 .
**Senior Staff Product Manager – Platform Security**
 (Cryptography, PKI, FIPS, Secrets, AI Runtime Security)
 Splunk is here to build a safer and more resilient digital world. Our unified security and observability platform is trusted by the world's leading enterprises to secure and ensure the reliability of their digital systems. Join us as we pursue our next chapter — building Splunk into the industry\-leading platform for secure data, trusted automation, and AI\-powered defense. We are a company filled with people who are passionate about our products, our customers, and delivering outcomes that matter. At Splunk, we are committed to trust, innovation, and to each other's success. Now part of Cisco, we offer the scale, reach, and investment of a global technology leader while preserving the velocity, ownership, and product\-driven culture that define Splunk. Learn more about Splunk careers and how you can become a part of our journey.
**The Opportunity**
 We are hiring a
 **Senior Staff Product Manager to lead Platform Security** 
 — defining and driving the core security primitives that power Splunk’s platform, cloud services, and AI future. This role owns product strategy and execution for PKI, certificate lifecycle automation, TLS and cryptographic upgrades, FIPS compliance, secrets management, and secure service identity for a multi\-billion\-dollar product portfolio.
 You will drive the next generation of Splunk’s secure foundation — ensuring every workload, every customer action, and every AI agent at Splunk is backed by strong identity hardened cryptography, and secure\-by\-default design. You will also lead security direction for
 **AI agent workloads and runtime environments** 
 , ensuring safe credentials, isolation\-ed boundaries, encrypted inter\-agent communication, and trust\-anchored execution models as Splunk scales into distributed automation and agentic decisioning.
 This is a pivotal role for Splunk’s future. You will act as the product authority and single\-threaded owner working across engineering, architecture, and product leadership to deliver crypto\-resilient infrastructure that customers rely on every second of every day.
**Responsibilities**
* Develop and maintain a multi\-year roadmap for Platform Security capabilities including certificate lifecycle management, PKI infrastructure, secrets management, token security, and cryptographic compliance (FIPS 140\-3, TLS modernization).
* Lead product strategy for secure\-by\-default platform foundations, including certificate authority enablement, key management systems, secure bootstrapping, and encrypted data\-in\-transit/at\-rest standards across Splunk products.
* Partner closely with engineering, architecture, compliance, and product teams to deliver security\-critical outcomes tied to regulatory requirements, customer needs, and Cisco\-Splunk integration.
* Drive execution from concept to GA — translating security requirements into product features, guiding implementation tradeoffs, and ensuring scalable, operable, and audit\-ready security systems.
* Influence internal partners and customers through clear RFCs, technical proposals, risk\-impact evaluations, and roadmap presentations to align execution across distributed product teams.
* Champion a security\-first culture passionate about resilience, crypto\-agility, measurable hardening of the platform, and continuous improvement of secrets, certificates, and machine identity posture.
**Requirements**
* Bachelor’s, Master’s, PhD in Computer Science, Security Engineering, or equivalent experience — with demonstrated depth in cryptographic or distributed security systems.
* 7\+ years experience in Product Management or Technical Product Leadership within enterprise infrastructure, cloud platforms, or security foundations.
* Recognized expertise in platform security — consistent record owning and scaling capabilities such as PKI systems, certificate lifecycle automation, CA/RA service design, HSM/KMS integration, mTLS, token/secret governance.
* Hands\-on experience driving cryptographic modernization at scale — including TLS upgrades, OpenSSL migrations, FIPS 140\-2/140\-3 compliance, deprecation of legacy cipher suites, and crypto\-agility planning across large product surfaces.
* Drive the security strategy for AI agent workloads and runtime environments — ensuring secure credential handling, secrets isolation, encrypted agent\-to\-agent communication, certificate\-backed identity, and hardened execution surfaces for AI\-driven automation.
* Proven ability to influence technical direction and security standards across multiple product organizations, with a history of defining frameworks, policies, and architectural principles — not just completing them.
* Outstanding written and verbal communication — skilled at producing high\-clarity PRFAQs, technical narratives, risk justifications, and roadmap proposals to drive alignment from engineering teams to EVP/SVP audiences.
* Background with Splunk, large distributed control planes, high\-scale authentication trust chains, or security\-sensitive enterprise products is strongly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$176,100\.00 to $250,400\.00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44">
      <c r="A144" t="inlineStr">
        <is>
          <t>li-4377718931</t>
        </is>
      </c>
      <c r="B144" t="inlineStr">
        <is>
          <t>Contract Program Manager, Global Infrastructure and Energy</t>
        </is>
      </c>
      <c r="C144" t="inlineStr">
        <is>
          <t>Google</t>
        </is>
      </c>
      <c r="D144" t="inlineStr">
        <is>
          <t>linkedin</t>
        </is>
      </c>
      <c r="E144">
        <f>HYPERLINK("https://www.linkedin.com/jobs/view/4377718931", "https://www.linkedin.com/jobs/view/4377718931")</f>
        <v/>
      </c>
      <c r="F144">
        <f>HYPERLINK("https://careers.google.com/jobs/results/119624783607276230-contract-program-manager/?src=Online/LinkedIn/linkedin_us&amp;utm_source=linkedin&amp;utm_medium=jobposting&amp;utm_campaign=contract&amp;urlHash=lztU", "https://careers.google.com/jobs/results/119624783607276230-contract-program-manager/?src=Online/LinkedIn/linkedin_us&amp;utm_source=linkedin&amp;utm_medium=jobposting&amp;utm_campaign=contract&amp;urlHash=lztU")</f>
        <v/>
      </c>
      <c r="G144" t="inlineStr">
        <is>
          <t>New York, NY</t>
        </is>
      </c>
      <c r="H144" t="inlineStr"/>
      <c r="I144"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Applicants in Washington State: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Google's hybrid workplace includes remote and in\-office roles. By applying to this position you will have an opportunity to share your preferred working location from the following:
**In\-office locations: Reston, VA, USA; Austin, TX, USA; Papillion, NE, USA; Moncks Corner, SC 29461, USA; Mesa, AZ, USA; New York, NY, USA; San Francisco, CA, USA; Sunnyvale, CA, USA.**
**Remote location(s): California, USA; Illinois, USA; New York, USA; Washington, USA.** 
**Minimum qualifications:**
* Bachelor's degree in Construction Management, Supply Chain Management, Finance or a related field or equivalent practical experience.
* 5 years of experience in pre\-construction program management specifically within the construction, real estate, or data center industries.
* 5 years of experience in contract negotiation and procurement strategies, including the direct management of developer, EPC, GC, and A/E relationships.
* 5 years of experience utilizing data visualization tools (such as Tableau, SQL, or custom dashboards) to monitor and report on program health and performance.
* 5 years of experience in contract administration, procurement, or legal support within a high\-volume professional environment.
**Preferred qualifications:**
* Master's degree in Construction Management, Supply Chain Management, Finance or a related field.
* 10 years of experience in managing agreement negotiations across various agreement methodologies.
* Experience optimizing the end\-to\-end source\-to\-contract flow for mission\-critical portfolios.
* Experience in the design and construction of critical facilities, with an ability to lead partnerships with Developers, Architects, and Engineers (A/E) to translate delivery models into actionable, market\-ready procurement strategies.
* Understanding of contracts, including indemnity, liability, and standard commercial terms.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Contract Manager within Global Infrastructure and Energy (GIE), you will be responsible for overseeing the contract management lifecycle for the global data center portfolio, specifically focusing on the commercial engagement of Developers, Engineering, Procurement, and Construction (EPCs), General Contractors, and Architecture and Engineering firms (A\&amp;E) firms. In this role, you will act as a strategic bridge between Legal and Operations, ensuring all contracts maximize business value while mitigating legal and financial risks. You will serve as the primary negotiator with vendors, clients, and partners to secure favorable terms that align with key Department goals.Behind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responsible for the timely execution of portfolio contract models for Google’s growing data center program.
* Influence the development and selection of contracting models based on project\-specific nuances, including strategic goals, risk profiles, design completion and partner strategy.
* Partner with Construction, Design, and external partners to drive the contract review, negotiation and execution lifecycle.
* Interface with the internal Real Estate Legal team to ensure all contractual terms align with corporate risk expectations and standards.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5">
      <c r="A145" t="inlineStr">
        <is>
          <t>li-4378487910</t>
        </is>
      </c>
      <c r="B145" t="inlineStr">
        <is>
          <t>Financial/Banking Sr Technical Project/Program Manager</t>
        </is>
      </c>
      <c r="C145" t="inlineStr">
        <is>
          <t>Pinnacle Method Consulting</t>
        </is>
      </c>
      <c r="D145" t="inlineStr">
        <is>
          <t>linkedin</t>
        </is>
      </c>
      <c r="E145">
        <f>HYPERLINK("https://www.linkedin.com/jobs/view/4378487910", "https://www.linkedin.com/jobs/view/4378487910")</f>
        <v/>
      </c>
      <c r="F145">
        <f>HYPERLINK("https://www.talentify.io/job/financialbanking-sr-technical-projectprogram-manager-us-remote-jobs-104735?utm_source=linkedin&amp;utm_medium=Xml&amp;utm_campaign=booc-linkedin&amp;tdd=dDEsaDEsajFxNzJybixyMyxlcHJvNjlhNTM1N2E0NDE0ZjM4NTgwNTIwNQ&amp;urlHash=U65Z", "https://www.talentify.io/job/financialbanking-sr-technical-projectprogram-manager-us-remote-jobs-104735?utm_source=linkedin&amp;utm_medium=Xml&amp;utm_campaign=booc-linkedin&amp;tdd=dDEsaDEsajFxNzJybixyMyxlcHJvNjlhNTM1N2E0NDE0ZjM4NTgwNTIwNQ&amp;urlHash=U65Z")</f>
        <v/>
      </c>
      <c r="G145" t="inlineStr"/>
      <c r="H145" t="inlineStr"/>
      <c r="I145" t="inlineStr">
        <is>
          <t>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Fintech/Digital Payments
**Why Consider This Job Opportunity**
* Long\-term contract with the flexibility of remote work
* Opportunity to manage multimillion\-dollar technical programs
* Potential for career advancement in a dynamic fintech environment
* Work with cutting\-edge technologies, including cloud platforms and microservices
* Collaborate with cross\-functional teams to drive innovation and continuous improvement
**What To Expect (Job Responsibilities)**
* Manage and oversee IT project/program management within fintech, BFSI, and digital payments sectors
* Utilize various software delivery models, including Agile, Scrum, Kanban, and Waterfall hybrid
* Communicate effectively with stakeholders and manage their expectations
* Drive large cross\-functional initiatives and ensure alignment across teams
* Ensure compliance with information security, regulatory frameworks, and data privacy standards
**What Is Required (Qualifications)**
* Bachelor's degree in Computer Science, Engineering, Information Systems, or a related field
* 12\-15\+ years of experience in IT project/program management within fintech, BFSI, payments, or digital platforms
* Strong technical background with hands\-on experience in development, architecture, or integrations
* Expertise in managing multimillion\-dollar technical programs
* Excellent communication, stakeholder management, and analytical skills
**How To Stand Out (Preferred Qualifications)**
* Certifications such as PMP, PgMP, PRINCE2, CSM, or SAFe
* Experience with cloud platforms like AWS, Azure, or GCP, as well as API gateways and microservices
* Familiarity with enterprise PM tools such as JIRA, Confluence, MS Project, Clarity, or Planview
* Hands\-on understanding of information security and regulatory compliance frameworks
 \#Fintech \#ProjectManagement \#RemoteWork \#DigitalPayments \#Innovation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t>
        </is>
      </c>
    </row>
    <row r="146">
      <c r="A146" t="inlineStr">
        <is>
          <t>li-4359461255</t>
        </is>
      </c>
      <c r="B146" t="inlineStr">
        <is>
          <t>Technical Program Manager</t>
        </is>
      </c>
      <c r="C146" t="inlineStr">
        <is>
          <t>Enovix Corporation</t>
        </is>
      </c>
      <c r="D146" t="inlineStr">
        <is>
          <t>linkedin</t>
        </is>
      </c>
      <c r="E146">
        <f>HYPERLINK("https://www.linkedin.com/jobs/view/4359461255", "https://www.linkedin.com/jobs/view/4359461255")</f>
        <v/>
      </c>
      <c r="F146">
        <f>HYPERLINK("https://enovix.wd12.myworkdayjobs.com/External/job/Fremont-CA-US/Technical-Program-Manager_?source=LinkedIn&amp;urlHash=SUQg", "https://enovix.wd12.myworkdayjobs.com/External/job/Fremont-CA-US/Technical-Program-Manager_?source=LinkedIn&amp;urlHash=SUQg")</f>
        <v/>
      </c>
      <c r="G146" t="inlineStr">
        <is>
          <t>Fremont, CA</t>
        </is>
      </c>
      <c r="H146" t="inlineStr"/>
      <c r="I146" t="inlineStr">
        <is>
          <t>**About The Job**
 Enovix (Nasdaq: ENVX) is an advanced silicon battery global company based in Fremont, Calif.
 Enovix is on a mission to power the technologies of the future. Everything from IoT, mobile and computing devices, to the vehicle you drive, needs a better battery. Our disruptive architecture enables a battery with high energy density and capacity without compromising safety. We are scaling our silicon\-anode, lithium\-ion battery manufacturing capabilities to meet customer demand. For more information visit www.enovix.com and follow us on LinkedIn.
 This is an exciting time at Enovix! We are looking for experienced candidates to help support our 50,000 square\-feet lithium\-ion battery production facility in Penang, Malaysia for commercialization of our 3D Silicon™ Lithium\-ion Rechargeable Battery.
**Job Summary**
 We are seeking an experienced Technical Project Lead (TPL) candidate to lead our product development programs. As a TPL, you will work closely with cross\-functional teams, including product management, R\&amp;D, process development, manufacturing engineering, procurement \&amp; supply chain, sales, and finance. You will be responsible for developing and managing complex program schedules, tracking progress against these plans, and ensuring the company hits our targets. This inclusive of successful ramp of new products into HVM.The ideal candidate is a self\-starter, a team player and a team leader.
**Responsibilities**
* Planning \&amp; scheduling project goals, milestones, and deliverables
* Work cross\-functionally to ensure projects are resourced appropriately, scopes are well defined, schedule targets are met.
* Organize and manage technical discussions to ensure solutions are designed for successful \&amp; scalable deployment.
* Plan, organize, and orchestrate all tooling build \&amp; matrix activities. Facilitate layout and ramp management with engineering.
* Define project scope, plan and direct schedules while focusing on regular \&amp; timely high\-quality delivery; organize and lead project status and working meetings; brainstorm and lead course correct.
* Drive progress, prioritize key activities, and proactively lead risks.
* Ensure alignment across teams and across stakeholders.
* Identifying \&amp; solving project issues effectively, managing conflicts with local and global groups.
* Enovix is a multi\-national business with sites in Fremont HQ,, Malaysia and Korea. As such
* Facilitate communication across the company to ensure plan of record and provide appropriate and timely updates to leadership team.
**Qualifications**
* Bachelor’s degree in science or engineering plus at least 5\-7 years of engineering experience
* Minimum of 7 years of program management experience
* Minimum of 10 years of semiconductor or battery manufacturing engineering experience
* Familiar with product development, NPI, MPV and HVM
* Experienced in working cross\-functionally and managing large, complex programs.
* Demonstrated business acumen
* Ability to communicate at all levels, from operators to C\-level.
* Ability to work with ambiguity in a fast\-paced environment.
 This role requires to travel internationally.
**Benefits**
* Base Salary Range\- $142,000 \- 215,000
* Base salary is just one part of the overall compensation. We also offer bonus, equity and package of benefits including paid time off, medical/dental/vision insurance, life insurance, disability insurance.
* We adopt a holistic approach to our benefits programs, emphasizing physical, emotional, financial, career, and community wellness to support a balanced life.
* Our packages are tailored to meet local needs and may include healthcare coverage, mental well\-being support, retirement savings, paid time off, family leaves.
 Enovix is an equal opportunity employer.</t>
        </is>
      </c>
    </row>
    <row r="147">
      <c r="A147" t="inlineStr">
        <is>
          <t>li-4375496793</t>
        </is>
      </c>
      <c r="B147" t="inlineStr">
        <is>
          <t>U.S. Wealth Management Banking - Commercial Real Estate Product Manager</t>
        </is>
      </c>
      <c r="C147" t="inlineStr">
        <is>
          <t>BMO U.S.</t>
        </is>
      </c>
      <c r="D147" t="inlineStr">
        <is>
          <t>linkedin</t>
        </is>
      </c>
      <c r="E147">
        <f>HYPERLINK("https://www.linkedin.com/jobs/view/4375496793", "https://www.linkedin.com/jobs/view/4375496793")</f>
        <v/>
      </c>
      <c r="F147" t="inlineStr"/>
      <c r="G147" t="inlineStr">
        <is>
          <t>San Francisco, CA</t>
        </is>
      </c>
      <c r="H147" t="inlineStr"/>
      <c r="I147" t="inlineStr">
        <is>
          <t>**Job Summary:**
 The CRE Product Manager will be responsible for overseeing the development and management of commercial real estate lending product offering in U.S. Wealth Management Banking. Management of the existing commercial real estate loan portfolio while driving growth for the business within the United States.
 This role involves collaborating with various teams including origination, portfolio management, underwriting, compliance, legal and risk to ensure new transactions meet financing guideline requirements and existing portfolio fits within the Bank’s credit risk appetite framework. The CRE Product Manager is also responsible for leading effort in reviewing and updating product guidelines to ensure it remains market competitive.
 The CRE Product Manager is an expert in the commercial real estate industry and will provide technical expertise for proactive credit analysis, credit structuring, pricing decisions, portfolio monitoring and leading the strategy for the business.
**Key Responsibilities:**
* Leading the development of the CRE lending business in U.S. Wealth Management Banking and executing to meet business and product objectives.
* Providing technical expertise to origination team to properly identify quality CRE projects in strong submarkets, providing structuring and underwriting guidance and ensuring proper risks and mitigants are identified.
* Overseeing the preparation of new CRE lending proposals by origination team to clients and prospects.
* Negotiate directly with clients in conjunction with origination team new CRE loan opportunities.
* Guiding underwriting team on property and submarket analysis.
* Managing the growth of the CRE portfolio, ensuring that all KPIs and metrics for the product remain within risk tolerance levels.
* Contribute to the development of the CRE lending business plan and executes to meet all identified product objectives including returns.
* Works directly with clients alongside relationship managers and special assets in the event of deteriorating credit situations.
* Partnering with the Commercial Real Estate team to ensure alignment of the Wealth CRE lending business within CRE Industry objectives and risk appetite. Ensuring sufficient limits are allocated for the Wealth CRE lending business.
* Foster a culture aligned with the company's purpose, values, and strategy, fostering diversity and inclusion.
* Regularly connects work to BMO’s purpose, sets inspirational goals, defines clear expected outcomes, and ensures clear accountability for follow through.
* Networks with CRE lending industry contacts to gather competitive insights and best practices
* Lead change management programs and develop communication strategies to positively influence or change behavior.
* Participate in assigned audits and compliance reviews, ensuring adherence to the code of conduct and ethical guidelines.
* Protects the Bank’s assets by adhering to all banking, investment and lending regulations, policies, and procedures, legal and ethical requirements, process requirements, bank guidelines, and established risk guidelines.
* Operates at a group/enterprise\-wide level and serves as a senior resource across BMO.
****Qualifications:****
* Typically 10\+ years of relevant experience in CRE with focus on Wealth business preferred.
* Bachelor’s degree in Finance or related field, MBA preferred.
* Deep credit knowledge including credit policy, credit structuring and work\-out experience a plus; credit officer designation preferred.
* Expert knowledge and technical proficiency related to private wealth management strategies, issues and trends.
* Broad and diverse background in financial service industry and expert knowledge of the banking services for the high net worth / ultra high net worth markets.
* Expert knowledge of all applicable compliance and industry regulations.
* If a Credit Qualifiable job, Credit Qualifications and associated credit knowledge and skills according to the credit portfolio requirements and qualification standards.
* Seasoned expert with extensive industry knowledge.
* Technical leader viewed as a thought leader for innovation.
**Salary:**
 $164,400\.00 \- $285,600\.00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**About Us**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148">
      <c r="A148" t="inlineStr">
        <is>
          <t>li-4375495916</t>
        </is>
      </c>
      <c r="B148" t="inlineStr">
        <is>
          <t>U.S. Wealth Management Banking - Commercial Real Estate Product Manager</t>
        </is>
      </c>
      <c r="C148" t="inlineStr">
        <is>
          <t>BMO U.S.</t>
        </is>
      </c>
      <c r="D148" t="inlineStr">
        <is>
          <t>linkedin</t>
        </is>
      </c>
      <c r="E148">
        <f>HYPERLINK("https://www.linkedin.com/jobs/view/4375495916", "https://www.linkedin.com/jobs/view/4375495916")</f>
        <v/>
      </c>
      <c r="F148" t="inlineStr"/>
      <c r="G148" t="inlineStr">
        <is>
          <t>Los Angeles, CA</t>
        </is>
      </c>
      <c r="H148" t="inlineStr"/>
      <c r="I148" t="inlineStr">
        <is>
          <t>**Job Summary:**
 The CRE Product Manager will be responsible for overseeing the development and management of commercial real estate lending product offering in U.S. Wealth Management Banking. Management of the existing commercial real estate loan portfolio while driving growth for the business within the United States.
 This role involves collaborating with various teams including origination, portfolio management, underwriting, compliance, legal and risk to ensure new transactions meet financing guideline requirements and existing portfolio fits within the Bank’s credit risk appetite framework. The CRE Product Manager is also responsible for leading effort in reviewing and updating product guidelines to ensure it remains market competitive.
 The CRE Product Manager is an expert in the commercial real estate industry and will provide technical expertise for proactive credit analysis, credit structuring, pricing decisions, portfolio monitoring and leading the strategy for the business.
**Key Responsibilities:**
* Leading the development of the CRE lending business in U.S. Wealth Management Banking and executing to meet business and product objectives.
* Providing technical expertise to origination team to properly identify quality CRE projects in strong submarkets, providing structuring and underwriting guidance and ensuring proper risks and mitigants are identified.
* Overseeing the preparation of new CRE lending proposals by origination team to clients and prospects.
* Negotiate directly with clients in conjunction with origination team new CRE loan opportunities.
* Guiding underwriting team on property and submarket analysis.
* Managing the growth of the CRE portfolio, ensuring that all KPIs and metrics for the product remain within risk tolerance levels.
* Contribute to the development of the CRE lending business plan and executes to meet all identified product objectives including returns.
* Works directly with clients alongside relationship managers and special assets in the event of deteriorating credit situations.
* Partnering with the Commercial Real Estate team to ensure alignment of the Wealth CRE lending business within CRE Industry objectives and risk appetite. Ensuring sufficient limits are allocated for the Wealth CRE lending business.
* Foster a culture aligned with the company's purpose, values, and strategy, fostering diversity and inclusion.
* Regularly connects work to BMO’s purpose, sets inspirational goals, defines clear expected outcomes, and ensures clear accountability for follow through.
* Networks with CRE lending industry contacts to gather competitive insights and best practices
* Lead change management programs and develop communication strategies to positively influence or change behavior.
* Participate in assigned audits and compliance reviews, ensuring adherence to the code of conduct and ethical guidelines.
* Protects the Bank’s assets by adhering to all banking, investment and lending regulations, policies, and procedures, legal and ethical requirements, process requirements, bank guidelines, and established risk guidelines.
* Operates at a group/enterprise\-wide level and serves as a senior resource across BMO.
****Qualifications:****
* Typically 10\+ years of relevant experience in CRE with focus on Wealth business preferred.
* Bachelor’s degree in Finance or related field, MBA preferred.
* Deep credit knowledge including credit policy, credit structuring and work\-out experience a plus; credit officer designation preferred.
* Expert knowledge and technical proficiency related to private wealth management strategies, issues and trends.
* Broad and diverse background in financial service industry and expert knowledge of the banking services for the high net worth / ultra high net worth markets.
* Expert knowledge of all applicable compliance and industry regulations.
* If a Credit Qualifiable job, Credit Qualifications and associated credit knowledge and skills according to the credit portfolio requirements and qualification standards.
* Seasoned expert with extensive industry knowledge.
* Technical leader viewed as a thought leader for innovation.
**Salary:**
 $164,400\.00 \- $285,600\.00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**About Us**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149">
      <c r="A149" t="inlineStr">
        <is>
          <t>li-4286309435</t>
        </is>
      </c>
      <c r="B149" t="inlineStr">
        <is>
          <t>Program Manager</t>
        </is>
      </c>
      <c r="C149" t="inlineStr">
        <is>
          <t>Curtiss-Wright Corporation</t>
        </is>
      </c>
      <c r="D149" t="inlineStr">
        <is>
          <t>linkedin</t>
        </is>
      </c>
      <c r="E149">
        <f>HYPERLINK("https://www.linkedin.com/jobs/view/4286309435", "https://www.linkedin.com/jobs/view/4286309435")</f>
        <v/>
      </c>
      <c r="F149" t="inlineStr"/>
      <c r="G149" t="inlineStr">
        <is>
          <t>Summerville, SC</t>
        </is>
      </c>
      <c r="H149" t="inlineStr"/>
      <c r="I149" t="inlineStr">
        <is>
          <t>We are looking for a
 **Program Manager** 
 to join our Summerville SC location.
**Your Responsibilities**
 As a Program Manager, you will have the primary role in ensuring program technical, cost and schedule contract commitments are satisfied on contracts ranging from $5M to $10M. You will lead an integrated product team in achieving contract commitments, driving performance of all. You will be the single point of program leadership, be responsible for assigning and monitoring technical, cost and schedule objectives, and the primary customer POC. This position requires leadership of engineering, manufacturing, planning, quality, contract and finance resources to complete all program tasks.
**We Take Care Of Our People**
 Paid Time Off
 **I** 
 401K with Employer Match and Profit Sharing
 **I** 
 Health and Wellness Benefits
 **I** 
 Learning and Development Opportunities
 **I** 
 Referral Program
 **I** 
 Competitive Pay
 **I** 
 Recognition
 **I** 
 Employee Stock Purchase Plan
 **I** 
 Inclusive \&amp; Supportive Culture
**Salary: $113,900 – 164,500**
 Please note that the salary range information provided is a general guideline only, reflecting a position based in SC. Criteria such as the candidate’s qualifications and relevant experience, the scope of the specific position, as well as market and business considerations will be evaluated when extending an offer.
**Your Challenge**
* Manage, coordinate and control Work Plan execution to achieve technical, cost and schedule objectives
* Efficiently and effectively work towards goals in a complex, diverse environment with multiple constraints
* Lead the program team and regular meetings to monitor and drive progress toward objectives
* Maintain effective customer communications, ensuring that all customer requirements and expectations are addressed effectively
* Address and resolve project issues pertaining to project work scope, technical requirements, quality, schedule, resource assignments, cost customer interface and other program related activities
* Communicate program progress, issues, and/or resolution options to team members’ customers and SAS management
* Review and control cost, including the coordination and certification of Estimate at Complete dates
* Develop and monitor the Risk Management Plan as part of planning and execution of the program
* Interact with Sourcing and suppliers to plan for and secure the materials needed for the program and future production
* Interact with operations and integrate between shop floor and program management
* Coordinate the efforts of Curtiss\-Wright and customer project teams
* Periodic travel to customer and supplier sites to support program execution and business development activities (5\-15%)
**What You Bring**
* Due to DoD requirements, candidates must be US citizens
* Must be able to obtain and maintain DoD Security clearances and approvals
* Bachelor's degree in engineering or equivalent with appropriate course complete to support a project management team.
* 5 \+ years' experience in program management experience in large aerospace and defense contracts, directly responsible for equipment/hardware production and delivery
* Demonstrated ability to effectively develop and manage detailed program budgets
* Familiarity with Earned Value Management Systems and Risk Management
* Knowledge of manufacturing processes and procedures for a high complexity/low mix product line
* Prior engineering/operations experience with current experience in program management
* Strong customer relationship experience
* Prior experience in managing projects/programs in relations to the Defense industry, particularly Naval
* Excellent organization, communication (written and oral) and presentation skills
* Strong analytical and finance skills.
* Ability to break down complex inputs from senior leaders and experts into actionable plans/courses of action
* Project Management Professional Certification is an asset
**Who We Are**
 Our Values
 Environmental, Social and Governance
 Curtiss\-Wright Steam \&amp; Air Solutions (SAS), a business unit of Curtiss\-Wright, designs, manufactures, tests and provides \- Navy steam turbines and steam valves, nuclear steam turbines, and aftermarket steam parts, upgrades, and overhauls.
 Located in Summerville SC, this brand new state\-of\-the\-art facility is approximately 134,000 square feet dedicated to manufacturing in relations to machining, welding, assembly and quality inspections.
 To learn more, please visit us: Curtiss\-Wright EMS \- SAS (cw\-ems.com)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row>
    <row r="150">
      <c r="A150" t="inlineStr">
        <is>
          <t>li-4365549329</t>
        </is>
      </c>
      <c r="B150" t="inlineStr">
        <is>
          <t>Hardware Program Manager</t>
        </is>
      </c>
      <c r="C150" t="inlineStr">
        <is>
          <t>Mirafra Technologies</t>
        </is>
      </c>
      <c r="D150" t="inlineStr">
        <is>
          <t>linkedin</t>
        </is>
      </c>
      <c r="E150">
        <f>HYPERLINK("https://www.linkedin.com/jobs/view/4365549329", "https://www.linkedin.com/jobs/view/4365549329")</f>
        <v/>
      </c>
      <c r="F150" t="inlineStr"/>
      <c r="G150" t="inlineStr">
        <is>
          <t>Austin, Texas Metropolitan Area</t>
        </is>
      </c>
      <c r="H150" t="inlineStr"/>
      <c r="I150" t="inlineStr">
        <is>
          <t>You are skilled at multitasking to manage multiple geographically diverse projects at various completion phases simultaneously. You organize and lead cross\-functional team meetings to develop project schedules, resource plan, functional team key performance metrics and overall project plans of records. • You thrive on identifying and driving the resolution of program issues and conflicts among different engineering groups by using effective communication and influencing skills. You to troubleshoot program issues and help to develop alternative program tasks, schedules, milestones, resource plans, processes etc. • You are good at determining risks, developing mitigation strategies, and communicating information to key internal and external stakeholders. • You have a fresh mindset that challenges the conventional. You are driven by future\-oriented changes and will take an active role in innovating and improving the current program management metrics and processes. • Passionate about driving the implementation of best practices in project management to streamline the IP deliverables. • You are an exceptional communicator who carries a leadership presence to develop top\-quality presentations that are concise and engaging. • Highly organized and trusted with gathering information from engineering teams across the organization in a fast\-paced environment.
 Requirements
 Skills and Qualifications • 5\+ years of experience with a Bachelor’s Degree in Computer Engineering, Electrical Engineering, or equivalent, or 3\+ years of experience with a Master’s Degree, or 2\+ years of experience with a PhD • Experience with ASIC design, silicon validation and IP Integration and release. • Experience working with Linux/Unix environment (Especially dealing with file transfer) • Familiarity with standard software development methodologies including source control (Git, Perforce, etc.. ) • Experience with defect tracking systems (JIRA, Bugzilla, etc..) • Experience with Waterfall and Agile project management methodologies • Experience with project schedule and resource management tools, advanced Excel, power\-point</t>
        </is>
      </c>
    </row>
    <row r="151">
      <c r="A151" t="inlineStr">
        <is>
          <t>li-4323966136</t>
        </is>
      </c>
      <c r="B151" t="inlineStr">
        <is>
          <t>Senior Technical Program Manager, Diagnostics &amp; Serviceability</t>
        </is>
      </c>
      <c r="C151" t="inlineStr">
        <is>
          <t>Zoox</t>
        </is>
      </c>
      <c r="D151" t="inlineStr">
        <is>
          <t>linkedin</t>
        </is>
      </c>
      <c r="E151">
        <f>HYPERLINK("https://www.linkedin.com/jobs/view/4323966136", "https://www.linkedin.com/jobs/view/4323966136")</f>
        <v/>
      </c>
      <c r="F151">
        <f>HYPERLINK("https://jobs.lever.co/zoox/bfd04604-7936-4e21-91fe-69b571be225a/apply?source=LinkedIn&amp;urlHash=43CR", "https://jobs.lever.co/zoox/bfd04604-7936-4e21-91fe-69b571be225a/apply?source=LinkedIn&amp;urlHash=43CR")</f>
        <v/>
      </c>
      <c r="G151" t="inlineStr">
        <is>
          <t>Foster City, CA</t>
        </is>
      </c>
      <c r="H151" t="inlineStr"/>
      <c r="I151" t="inlineStr">
        <is>
          <t>Zoox is looking for a Senior Technical Program Manager to support our service test development efforts. In this role, you will work cross\-functionally across manufacturing, engineering, and service to help us deliver our milestones. You will take on the role of a bridge between test development, engineering, and service operations, and develop project schedules, identify risks, and drive internal and external teams to meet deliverables.
 The Test and Diagnostics Engineering (TDE) team is responsible for test solutions from “chip” to “car” to “care”. Our product responsibilities range from the sensor stack, control boards, compute units, to the autonomous platform. This role is focused on delivering test solutions to accelerate our service operations and spans automotive diagnostics and electrical serviceability. Deliverables include documentation for technicians, tools, and kits to improve service efficiency and diagnostics.
 Zoox is a fast\-paced environment, and we expect our TPMs to seamlessly switch between the technical and project management aspects of this role.
**In This Role, You Will**
* Define team deliverables with cross\-functional leadership, ensuring alignment with company milestones and strategy.
* Oversee delivery of service solutions—software, hardware, and documentation—on time, meeting program goals and KPIs.
* Identify and communicate risks to stakeholders, continuously evaluating schedule impact and mitigation options.
* Partner with finance and senior leadership on resource allocation, headcount, and budget planning.
* Collaborate with engineers, procurement, vendors, and stakeholders to gather requirements, deploy new tools, and track performance.
* Maintain and enhance the Diagnostics Tooling Program, ensuring compliance, continuous improvement, and fleet support.
**Qualifications**
* BS or MS in engineering (electrical/electronics, computer hardware, software, or related fields)
* 8\+ years of industry experience in a similar role, spanning engineering or project management
* Excellent communication skills across diverse audiences (senior management, engineers) using written and verbal methods as appropriate
* Prior experience in working with contract manufacturers, automotive suppliers
* Knowledge of testing and servicing electronic assemblies
**Bonus Qualifications**
* Experience in an automotive service environment, with deep technical knowledge of automotive components, diagnostics, and harnesses.
* Proficiency in project management and data tools, including Google Suite, Jira, Gantt charts, and the ability to distill complex technical information clearly.
* Familiarity with programming and data analysis (Python, SQL, Linux) and a track record of managing complex projects in autonomous vehicle companies.
 $186,000 \- $223,000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2">
      <c r="A152" t="inlineStr">
        <is>
          <t>li-4379232193</t>
        </is>
      </c>
      <c r="B152" t="inlineStr">
        <is>
          <t>Associate Program Manager - SCI (H/F) - SAFRAN CABIN INC.</t>
        </is>
      </c>
      <c r="C152" t="inlineStr">
        <is>
          <t>AEROCONTACT</t>
        </is>
      </c>
      <c r="D152" t="inlineStr">
        <is>
          <t>linkedin</t>
        </is>
      </c>
      <c r="E152">
        <f>HYPERLINK("https://www.linkedin.com/jobs/view/4379232193", "https://www.linkedin.com/jobs/view/4379232193")</f>
        <v/>
      </c>
      <c r="F152">
        <f>HYPERLINK("https://www.aerocontact.com/emploi-aeronautique/associate-program-manager-sci-hf~1085643.html?fromref=linkedin&amp;urlHash=Zfg-", "https://www.aerocontact.com/emploi-aeronautique/associate-program-manager-sci-hf~1085643.html?fromref=linkedin&amp;urlHash=Zfg-")</f>
        <v/>
      </c>
      <c r="G152" t="inlineStr">
        <is>
          <t>Marysville, WA</t>
        </is>
      </c>
      <c r="H152" t="inlineStr"/>
      <c r="I152"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Cabin conçoit, certifie, et fabrique les intérieurs de cabines complets, les systèmes et les equipements les plus innovants du secteur pour offrir à ses clients du monde entier une image de marque distinctive et une expérience passagers sûre et confortable.
 Mission description
 Part time / Full time Full\-time Job description Supports Program Manager with all aspects of Program Management. Comprehends contractual obligations and statement of work for assigned program(s) and provides guidance based on these documents to other program team members as required. Participates in program planning and documenting. Develops and maintains status and visibility tools. Assists with oversight and coordination of vendor activities and communication. Comprehends and monitors assigned aspects of a program and report status. Coordinates or assists with coordinating program reviews and meetings. Coordinates program related travel as required. Organizes and facilitates communications between the customer and appropriate GTI personnel. Provides leadership and coordination of team\-based solutions to program issues. Develops methods and procedures for managing programs. Assists or takes primary role in developing or administering program change orders. Assists with part procurement and status as required. Assists in maintaining program financial health tools. Participates in risk identification and risk mitigation activities. Assists with final inspection (closing process) as required. Responsible for ensuring that assigned small\-scale projects progress on schedule within budget and meets or exceeds minimum quality standards; this may include post delivery support. Assists in preparing and maintaining departmental policies, procedures and reporting. Maintains regular attendance including being at work, being on time to work and working full shifts. Other duties as assigned.
 Ability to work well independently and cross\-functionally as part of an established and growing team. Demonstrates the interest and ability to grow within the program management function. Displays sound judgment, problem\-solving skills and ability to function independently to accomplish tasks with minimal supervision. Strong communication, time\-management and problem\-solving skills. Ability to read, analyze and interpret the most complex documents. Ability to respond effectively to the most sensitive inquiries or complaints. Ability to write speeches and articles using original or innovative techniques or style. Ability to make effective and persuasive speeches and presentations on controversial or complex topics to top management, public groups and/or boards of directors. Ability to apply principles of logical or scientific thinking to a wide range of intellectual and practical problems. Ability to deal with nonverbal symbolism (formulas, scientific equations, graphs, etc.) in its most difficult phases. Ability to deal with a variety of abstract and concrete variables. Demonstrated experience with Accounting, Database and Project Management software. Proficient in Microsoft Office applications with advanced Excel skills. Ability to sit for extended periods of time, use hands to lift and/or move up to 10 pounds, occasionally lift and/or move up to 25 pounds, and have close/color vision ability to adjust focus. Ability to travel as required. Ability to work outside of core business hours as required</t>
        </is>
      </c>
    </row>
    <row r="153">
      <c r="A153" t="inlineStr">
        <is>
          <t>li-4377734029</t>
        </is>
      </c>
      <c r="B153" t="inlineStr">
        <is>
          <t>Technical Program Manager II, Data Center Design, Cloud Networking</t>
        </is>
      </c>
      <c r="C153" t="inlineStr">
        <is>
          <t>Google</t>
        </is>
      </c>
      <c r="D153" t="inlineStr">
        <is>
          <t>linkedin</t>
        </is>
      </c>
      <c r="E153">
        <f>HYPERLINK("https://www.linkedin.com/jobs/view/4377734029", "https://www.linkedin.com/jobs/view/4377734029")</f>
        <v/>
      </c>
      <c r="F153" t="inlineStr"/>
      <c r="G153" t="inlineStr">
        <is>
          <t>Reston, VA</t>
        </is>
      </c>
      <c r="H153" t="inlineStr"/>
      <c r="I153" t="inlineStr">
        <is>
          <t>The application window will be open until at least February 20, 2026\. This opportunity will remain online based on business needs which may be before or after the specified date.
 Note: By applying to this position you will have an opportunity to share your preferred working location from the following:
 **Thornton, CO, USA; Addison, TX, USA; Reston, VA, USA** 
 .
 **Minimum qualifications:**
* Bachelor's degree in a technical field, or equivalent practical experience.
* 2 years of experience in program management.
* Experience in data center infrastructure (i.e. power space, cooling, networking).
**Preferred qualifications:**
* Certification in Registered Communications Distribution Designer (RCDD) or Project Management Professional (PMP).
* 2 years of experience managing cross\-functional or cross\-team projects.
* Experience in building construction management and working on evaluating data center telecom infrastructure and design of associated infrastructure.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and/or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4">
      <c r="A154" t="inlineStr">
        <is>
          <t>li-4273296886</t>
        </is>
      </c>
      <c r="B154" t="inlineStr">
        <is>
          <t>Senior Program Manager</t>
        </is>
      </c>
      <c r="C154" t="inlineStr">
        <is>
          <t>Westinghouse Electric Company</t>
        </is>
      </c>
      <c r="D154" t="inlineStr">
        <is>
          <t>linkedin</t>
        </is>
      </c>
      <c r="E154">
        <f>HYPERLINK("https://www.linkedin.com/jobs/view/4273296886", "https://www.linkedin.com/jobs/view/4273296886")</f>
        <v/>
      </c>
      <c r="F154">
        <f>HYPERLINK("https://careers.westinghousenuclear.com/job/Norwell-Senior-Program-Manager-MA-02061/1311437500/?utm_source=LINKEDIN&amp;utm_medium=referrer&amp;Codes=W-OLI&amp;urlHash=a8mD", "https://careers.westinghousenuclear.com/job/Norwell-Senior-Program-Manager-MA-02061/1311437500/?utm_source=LINKEDIN&amp;utm_medium=referrer&amp;Codes=W-OLI&amp;urlHash=a8mD")</f>
        <v/>
      </c>
      <c r="G154" t="inlineStr">
        <is>
          <t>Norwell, MA</t>
        </is>
      </c>
      <c r="H154" t="inlineStr"/>
      <c r="I154"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a
 **Program Manager** 
 supporting our Nuclear Power Plant Uprate team, you will be technical responsible for all aspects of Uprate projects at Nuclear Power Plants, with a focus on Balance of Plant License Basis and physical plant modifications. You will coordinate evaluation of required modifications needed to support uprate power levels (i.e. replacement of important components such as pumps, motors, heat exchangers). A working knowledge of the thermal cycle at a power plant is required. Previous experience on uprate or similar large\-scale projects.
 You will report to the Manager of Projects. This is a remote position and may require being onsite at plants during projects. Periodic travel to client sites will also be required.
**Key Responsibilities**
* Technically Responsible for entire project scope for assigned projects. Due to the technical leadership expected, we expect that you will support a limited number of projects or focus solely on a single plant uprate
* Oversee and provide input to development of cost estimates and offers for associated projects and support customer negotiations and be an advocate for Westinghouse value\-added opportunities at customer sites.
* Support the project manager in driving safe and event\-free, first\-time quality project delivery including maintaining the schedule, tracking and projecting financials, logging all project details, and active management with internal and external communications. Develop and implement recovery plans when projects are off\-track.
* You will be an important technical contact with clients, suppliers, sub\-vendors, and our teams, including senior Westinghouse leadership for all project related communications
* Coordinate development of technical responses to issues. Manage teams of engineers to prioritize and evaluate technical challenges and design solutions to issues.
* Cultivate relationships with team members, customers, and other partners (e.g., internal management) in a matrix environment to facilitate successful project completion and identify opportunities for additional business growth.
* You will implement mitigating actions for risks throughout entire project lifecycle and look for cost\-sharing opportunities with clients.
* Present monthly project review meetings with Westinghouse executive management.
* Present scheduled client status meetings (quarterly) with senior leadership representation from Westinghouse and the client.
**Qualifications:**
* Bachelor's degree required in the fields of: Engineering, Science, or Construction Management.
* 5 years of experience with large high\-complexity projects at Nuclear Power Plants is required. 10\+ years is preferred.
* Specific experience preferred in the area of nuclear power plant integrated systems operation with a focus on balance of plant (thermal cycle) design and operation. Previously licensed nuclear power plant operators are welcome.
* Experience providing technical leadership on large high\-value field\-based projects at Nuclear plants. Outage support and experience complying with nuclear Appendix B quality assurance programs is desired.
 We are committed to transparency and equity in all of our people practices. The base salary range for this position, which is dependent upon experience, qualifications, and skills, is estimated to be ($144,000 to $180,000\)
**Why Westinghouse?**
**Benefits**
**Westinghouse offers competitive benefits to all our employees around the globe to keep them healthy and enhance their well\-being. In the U.S. the following are representative of what we offer:**
* Competitive Salary
* Comprehensive Health, Wellness and Income Protection Benefits
* Employee Assistance Program: confidential counseling and resources for employees, eligible dependents, and household members
* 401(k) Savings Plan with Company Match
* Paid Vacations and Holidays
* Opportunities for Flexible Work Arrangements
* Educational Reimbursement Program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
**Westinghouse is an Equal Opportunity Employer including Veterans and Individuals with Disabilities**
**Get Connected With Westinghouse On Social Media**
 Twitter \| Facebook \| LinkedIn \| YouTube</t>
        </is>
      </c>
    </row>
    <row r="155">
      <c r="A155" t="inlineStr">
        <is>
          <t>li-4379506091</t>
        </is>
      </c>
      <c r="B155" t="inlineStr">
        <is>
          <t>Lead Technical Program Manager - Operations Technology</t>
        </is>
      </c>
      <c r="C155" t="inlineStr">
        <is>
          <t>JPMorganChase</t>
        </is>
      </c>
      <c r="D155" t="inlineStr">
        <is>
          <t>linkedin</t>
        </is>
      </c>
      <c r="E155">
        <f>HYPERLINK("https://www.linkedin.com/jobs/view/4379506091", "https://www.linkedin.com/jobs/view/4379506091")</f>
        <v/>
      </c>
      <c r="F155">
        <f>HYPERLINK("https://JPMorganChase.contacthr.com/151228256&amp;urlHash=pAMt", "https://JPMorganChase.contacthr.com/151228256&amp;urlHash=pAMt")</f>
        <v/>
      </c>
      <c r="G155" t="inlineStr">
        <is>
          <t>Columbus, OH</t>
        </is>
      </c>
      <c r="H155" t="inlineStr"/>
      <c r="I155" t="inlineStr">
        <is>
          <t>**Job Description**
 Leverage your deep technical expertise and leadership to guide cutting\-edge projects, fostering growth and innovation in a dynamic environment.
 As a Lead Technical Program Manager in Consumer \&amp; Community Banking Ops Technology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 Excellent communication and presentation skills
**Preferred Qualifications, Capabilities, And Skills**
* Experience in a very large Financial Services Technology environment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56">
      <c r="A156" t="inlineStr">
        <is>
          <t>li-4379934060</t>
        </is>
      </c>
      <c r="B156" t="inlineStr">
        <is>
          <t>Program Manager, Academic Partnerships (Remote-West Coast)</t>
        </is>
      </c>
      <c r="C156" t="inlineStr">
        <is>
          <t>HBI (Home Builders Institute)</t>
        </is>
      </c>
      <c r="D156" t="inlineStr">
        <is>
          <t>linkedin</t>
        </is>
      </c>
      <c r="E156">
        <f>HYPERLINK("https://www.linkedin.com/jobs/view/4379934060", "https://www.linkedin.com/jobs/view/4379934060")</f>
        <v/>
      </c>
      <c r="F156" t="inlineStr"/>
      <c r="G156" t="inlineStr">
        <is>
          <t>Sacramento, CA</t>
        </is>
      </c>
      <c r="H156" t="inlineStr"/>
      <c r="I156" t="inlineStr">
        <is>
          <t>GENERAL DESCRIPTION
 The Academic Partnerships Program Manager is responsible for generating revenue from the sale of HBI curricula and related services to schools, educational organizations, and other nonprofit training entities.
 **Please note: We are solely seeking applicants in the West Coast.** 
**ABOUT HBI:** 
 HBI has been training and educating America’s home construction workforce for more than 40 years. Our proven business model has helped countless individuals create long\-term career opportunities. Over the years, we have continued to build our program offerings and expand our footprint in the construction industry. From innovative initiatives to creative partnerships, we remain committed to building careers and changing lives.
 Our programs teach highly sought after technical construction trades and entrepreneurship to youth aged 16\-24 in our Job Corps programs, Military Services, our Academies, and programs for adults and youth operating behind the fence in correctional facilities.
**Apply by March 31, 2026** 
**ESSENTIAL DUTIES AND RESPONSIBILITIES** 
 The duties and responsibilities of the Program Manager, Academic Partnerships will include, but are not limited to:
**LEAD GENERATION/PRODUCTION:** 
 Implement sales processes and business development initiatives that help drive revenue growth and expansion in target markets – primarily schools, educational organizations, and other nonprofit training entities.Develop criteria for identifying relevant sales prospects and build a working database of suitable prospects.Establish productive relationships with relevant prospects through the implementation of effective sales, outreach, and development techniques.Drive curriculum licensing sales and related services to meet or exceed annual financial targets as established by management.
**STEWARDSHIP:** 
 Develop, implement and manage a customer relations, stewardship, recognition and retention program in support of the Industry \&amp; Academic partnerships team.Participate in key industry events to increase awareness of HBI’s brand and favorably position HBI to targeted audiences.Manage and cultivate ongoing relationships to identify and leverage revenue enhancement opportunities.Lead and manage identified grant funding initiatives through completion.Continual internal and external stakeholder engagement.
**ADMINISTRATION:** 
 Using departmental databases, maintain current records and notes on prospective and existing partners.Manage project budgets as assignedCompliance with funder reportingPerform other duties as required.
**WORKING RELATIONSHIPS** 
**Internal:** 
   Communicates with the Industry \&amp; Academic Partnerships team, Education Services/curriculum development, training staff, and other HBI staff at all levels.
**External:** 
   Communicates with school and career and technical education (CTE) administrators, public officials, trade organizations, industry professionals, and vendors.
**QUALIFICATIONS:** 
**Required:** 
 Bachelor’s Degree, or an equivalent combination of training, skills, and experience. A minimum of five (5\) years related experience. 
**Preferred:** 
 Demonstrated competence in relationship building and management.Experience in curriculum marketing and sales in schools and educational environments.Demonstrated experience and knowledge of secondary education systems.Excellent written, oral, and presentation skills.Exemplary problem\-solving and negotiation skills.Strong Interpersonal and diplomacy skills.Proficiency with MS Office (Word, Excel, PowerPoint, etc.)  Database experience is needed.Preference for candidates with Salesforce experience.
**WORKING CONDITIONS:** 
 Usual office\-type conditions.  Routine physical conditions include walking, carrying, standing, hearing/ listening, and sitting.
 HBI offers a competitive salary and benefits program.
 HBI is an equal opportunity/affirmative action employer.  All qualified applicants will receive consideration for employment without regard to race, color, religion, sex, national origin, disability, protected veteran status, sexual orientation, gender identity or any other protected characteristic as established by federal, state, or local law.</t>
        </is>
      </c>
    </row>
    <row r="157">
      <c r="A157" t="inlineStr">
        <is>
          <t>li-4377776141</t>
        </is>
      </c>
      <c r="B157" t="inlineStr">
        <is>
          <t>Operations Program Manager II</t>
        </is>
      </c>
      <c r="C157" t="inlineStr">
        <is>
          <t>BAE Systems, Inc.</t>
        </is>
      </c>
      <c r="D157" t="inlineStr">
        <is>
          <t>linkedin</t>
        </is>
      </c>
      <c r="E157">
        <f>HYPERLINK("https://www.linkedin.com/jobs/view/4377776141", "https://www.linkedin.com/jobs/view/4377776141")</f>
        <v/>
      </c>
      <c r="F157">
        <f>HYPERLINK("https://jobs.baesystems.com/global/en/job/BAE1US121421BREXTERNAL/Operations-Program-Manager-II?utm_source=linkedin&amp;utm_medium=phenom-feeds&amp;urlHash=j3Hs", "https://jobs.baesystems.com/global/en/job/BAE1US121421BREXTERNAL/Operations-Program-Manager-II?utm_source=linkedin&amp;utm_medium=phenom-feeds&amp;urlHash=j3Hs")</f>
        <v/>
      </c>
      <c r="G157" t="inlineStr">
        <is>
          <t>Nashua, NH</t>
        </is>
      </c>
      <c r="H157" t="inlineStr"/>
      <c r="I157" t="inlineStr">
        <is>
          <t>**Job Description**
 In Countermeasure \&amp; Electromagnetic Attack Solutions, we provide next\-generation threat detection and countermeasure solutions to provide unparalleled electronic warfare capabilities to enhance mission survivability. ACES is developing the next generation of expendable countermeasures and dispenser solutions leveraging our 40 year history in these technologies. Building on foundational programs such as ALE\-55 and ALE\-47 we are positioned well for continued growth.
 In this role you will be part of the Advanced Compact EW Solutions (ACES) product line and responsible for supporting and leading the operations content for a program’s Operations content as an Operations Program Manager II. You will be responsible for the program performance of the program(s) under your ownership. You will also be a solid business partner of the ACES Operations Program Management organization.
* Experience managing Operations performance against the baseline program plan by monitoring quality, schedule and cost performance of an operations program execution.
* Experience utilizing Operations data, i.e. status, and present it in a clear and concise manner to Operations Management, Program Management and / or Engineering Management.
* Active participation with project/team meetings providing clear direction to the various functional areas.
* Worked with cross functional teams to develop new processes within the organization the provided improved efficiencies, less defects and cost reductions.
* Experience and knowledge within Supply Chain Planning and execution of programs.
* Good interpersonal skills required at all levels of the team, the touch personnel side, to the support functions and all levels of management up to the Business Area Senior Leadership Team.
* Experience with cost tracking utilizing existing tools and procedures leading to presentation of cost positions, EAC positions and variance explanations against the released budget.
* Promotes a strong sense of teamwork among personnel supporting various phases of the program efforts.
**Required Education, Experience, \&amp; Skills**
* 4\-8 years work experience or equivalent experience
* Strong communication skills both verbally and written to present to all levels of leadership.
* Highly motivated and solution oriented, continuous improvement mindset.
* Demonstrated experience with regard to EVMS and Cost Account Management
* Business and financial acumen, with proven ability to manage scope and budget
* Demonstrated Cross Functional Leadership
* Secret clearance: Active
* Must be able to obtain: Special Access Clearance
**Preferred Education, Experience, \&amp; Skills**
* Experience with Supply Chain
* Experience in a manufacturing environment.
* Experience managing an Operations Project in Production or Devleopment
* Bachelor’s Degree or higher in an Operation’s or Technical field of study.
**Pay Information**
 Full\-Time Salary Range: $118095 \- $200762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58">
      <c r="A158" t="inlineStr">
        <is>
          <t>li-4377722221</t>
        </is>
      </c>
      <c r="B158" t="inlineStr">
        <is>
          <t>Technical Program Manager II, Infrastructure Capacity Planning, Cloud Networking</t>
        </is>
      </c>
      <c r="C158" t="inlineStr">
        <is>
          <t>Google</t>
        </is>
      </c>
      <c r="D158" t="inlineStr">
        <is>
          <t>linkedin</t>
        </is>
      </c>
      <c r="E158">
        <f>HYPERLINK("https://www.linkedin.com/jobs/view/4377722221", "https://www.linkedin.com/jobs/view/4377722221")</f>
        <v/>
      </c>
      <c r="F158">
        <f>HYPERLINK("https://careers.google.com/jobs/results/100772694676382406-technical-program-manager-ii/?src=Online/LinkedIn/linkedin_us&amp;utm_source=linkedin&amp;utm_medium=jobposting&amp;utm_campaign=contract&amp;urlHash=oXYw", "https://careers.google.com/jobs/results/100772694676382406-technical-program-manager-ii/?src=Online/LinkedIn/linkedin_us&amp;utm_source=linkedin&amp;utm_medium=jobposting&amp;utm_campaign=contract&amp;urlHash=oXYw")</f>
        <v/>
      </c>
      <c r="G158" t="inlineStr">
        <is>
          <t>Reston, VA</t>
        </is>
      </c>
      <c r="H158" t="inlineStr"/>
      <c r="I158" t="inlineStr">
        <is>
          <t>**Minimum qualifications:**
* Bachelor's degree in a technical field, or equivalent practical experience.
* 2 years of experience in program management.
* Experience with Data Center architecture.
* Experience with planning in a colocation environment.
**Preferred qualifications:**
* 2 years of experience managing cross\-functional or cross\-team projects.
* Experience working on evaluating and designing data center infrastructure.
* Experience in AutoCAD drafting.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responsible for the planning, evaluation, design, and construction of Google's space in data center facilities across the globe.You will help Google to evaluate, plan, design, cost, and build new and enhanced space in data center facilities. You will help in executing the goal to design and build spaces that last for multiple years.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space and power management for data center environments.
* Review and thoroughly understand Google's Network Architecture Standards.
* Develop reports and metrics related to data center infrastructure capacity planning.
* Work closely with Google Operations and Engineering teams.
* Create high\-level project plans that identify resource needs and critical path.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9">
      <c r="A159" t="inlineStr">
        <is>
          <t>li-4377764120</t>
        </is>
      </c>
      <c r="B159" t="inlineStr">
        <is>
          <t>Outreach Program Manager (Corporate and Alumni Engagement)</t>
        </is>
      </c>
      <c r="C159" t="inlineStr">
        <is>
          <t>Kent State University</t>
        </is>
      </c>
      <c r="D159" t="inlineStr">
        <is>
          <t>linkedin</t>
        </is>
      </c>
      <c r="E159">
        <f>HYPERLINK("https://www.linkedin.com/jobs/view/4377764120", "https://www.linkedin.com/jobs/view/4377764120")</f>
        <v/>
      </c>
      <c r="F159" t="inlineStr"/>
      <c r="G159" t="inlineStr">
        <is>
          <t>Kent, OH</t>
        </is>
      </c>
      <c r="H159" t="inlineStr"/>
      <c r="I159" t="inlineStr">
        <is>
          <t>**Job Title:**
 Outreach Program Manager
**Physical Location:**
 Kent Campus \- Kent, OH
**Salary:**
 $53,015 \- $61,804
**Basic Function:**
 To manage an educational outreach program. Reports to designated supervisor.
 Kent State University’s College of Aeronautics and Engineering (CAE) is seeking an Outreach Program Manager to support and grow our corporate, industry, and alumni engagement efforts. This role is central to strengthening relationships that advance student success, workforce pipelines, experiential learning, and industry\-informed innovation.
 The Outreach Program Manager will collaborate with CAE leadership, faculty, staff, students,
 **University Corporate Engagement** 
 , University Advancement and Alumni Relations, and external partners to strengthen engagement and expand opportunities that advance the college’s mission. These relationships support CAE’s goals in
 **student success, research partnerships, philanthropic support, and high\-impact events** 
 that connect the university to employers, alumni, and the broader community. The Outreach Program Manager will also serve as the primary point of contact and coordinator for CAE’s advisory councils at the college level and within the School of Engineering and School of Aeronautics.
 **This position is focused on relationship\-building and engagement coordination, not sales.**
**CAE engagement includes signature events such as the Aeronautics \&amp; Engineering Expo, Dronavation, Safety Day, student\-centered milestone ceremonies, and more.**
**Key Responsibilities**
 The Outreach Program Manager will support corporate, industry, and alumni engagement activities, including:
* Supporting outreach to regional, state, and national partners to strengthen awareness of CAE academic programs, research capabilities, workforce pipelines, and innovation initiatives
* Assisting with coordination of corporate participation in CAE events and initiatives (e.g., career fairs, workforce development activities, experiential learning opportunities, industry panels, and innovation\-focused programming)
* Supporting major college events and signature experiences that strengthen CAE’s visibility, partnerships, and philanthropic engagement
* Serving as the primary point of contact for CAE advisory councils (college\-level, School of Engineering, and School of Aeronautics), including meeting coordination, communications, logistics, and engagement tracking
* Coordinating partner engagement activities, including meetings, site visits, and campus visits, while tracking partner participation and follow\-up
* Engaging alumni as strategic partners in outreach efforts, including mentoring, student engagement opportunities, industry panels, and employer connections, in coordination with Kent State University Advancement and Alumni Relations
* Collaborating with internal CAE and university units to align outreach activities with workforce development priorities, experiential learning goals, and regional economic development strategies.
* Maintaining records and reports related to engagement activities and assisting with evaluation of outreach effectiveness and opportunities for expanded partnerships.
**Minimum Qualifications**
* Bachelor’s degree in a relevant field
* Four years of relevant professional experience
**Preferred Qualifications**
* Master’s degree preferred.
* Experience in higher education, corporate engagement, alumni engagement, workforce development, employer relations, advisory council support, or event/program coordination.
**Skills And Strengths For Success**
* Strong written and interpersonal communication skills
* Ability to manage multiple projects, events, and stakeholder relationships simultaneously.
* High professionalism, strong follow\-through, and comfort working across a wide range of partners (industry leaders, alumni, faculty, students, and administrators)
* Ability to maintain records, track engagement, and support reporting and continuous improvement.
**Why Kent State / CAE**
 Kent State University is a nationally recognized public research university. The College of Aeronautics and Engineering is a high\-growth college with strong connections to industry, an expanding portfolio of academic programs, and an emphasis on applied learning, workforce development, and innovation.
 Kent State University is committed to creating a community that is culturally and intellectually diverse and to attracting and retaining a diverse staff. We strive to create and maintain working and learning environments that respect differences, and are inclusive, welcoming, respectful and kind.
 We are an equal opportunity employer and are committed to non\-discrimination to employ and advance qualified applicants without regard to race, color, religion, sex, sexual orientation, gender identity, national origin, disability, or protected Veteran status. We comply with VEVRAA and Section 503 of the Rehabilitation Act and provide reasonable accommodations to qualified individuals with disabilities.”
**To apply: Please submit an online application at:** 
 https://jobs.kent.edu/jobs/outreach\-program\-manager\-corporate\-alumni\-engagement\-kent\-campus\-kent\-ohio\-united\-states. Once you apply, please add an application letter, resume and minimum of three references. For full consideration, please submit your materials no later than March 26, 2026\.
***For a complete description of this position and to apply online,***
***visit our jobsite at***
***https://jobs.kent.edu***
***Equal Opportunity / Affirmative Action Employer / Disabled / Veterans***</t>
        </is>
      </c>
    </row>
    <row r="160">
      <c r="A160" t="inlineStr">
        <is>
          <t>li-4186404112</t>
        </is>
      </c>
      <c r="B160" t="inlineStr">
        <is>
          <t>Administrative &amp; Program Manager</t>
        </is>
      </c>
      <c r="C160" t="inlineStr">
        <is>
          <t>Lake Region Arts Council</t>
        </is>
      </c>
      <c r="D160" t="inlineStr">
        <is>
          <t>linkedin</t>
        </is>
      </c>
      <c r="E160">
        <f>HYPERLINK("https://www.linkedin.com/jobs/view/4186404112", "https://www.linkedin.com/jobs/view/4186404112")</f>
        <v/>
      </c>
      <c r="F160" t="inlineStr"/>
      <c r="G160" t="inlineStr">
        <is>
          <t>Fergus Falls, MN</t>
        </is>
      </c>
      <c r="H160" t="inlineStr"/>
      <c r="I160" t="inlineStr">
        <is>
          <t>**Administrative \&amp; Program Manager** 
**This position is located in Fergus Falls, MN. Relocation or commute required** 
**Full\-Time with benefits, 40 hours per week.** 
**Please submit a 
 current resumé and cover letter
  with your application:** 
 https://lakeregionac.hireclick.com
**Application Deadline \- March 9th at 5pm CT** 
**Specific Responsibilities:** 
1. **Administrative**
* Maintain office environment, answer phones and emails, process mail, respond to inquiries about LRAC programs and services.
* Assist with the maintenance of the LRAC virtual and hard copy files and other clerical duties as assigned by the Executive Director.
* Assist with coordinating contracted staff who manage and maintain the LRAC Arts Calendar, ArtsNews, Artist Registry, website and social media.
* Assist Executive Director in preparing and sending LRAC reports and proposals to funders.
* Assist Executive Director in implementing LRAC programs, such as Annual Meeting and other public events.
* Prepare electronic Board meeting packets and send to Board members.
* Take minutes at the monthly LRAC meetings, type, file and send to Directors.
1. **Public Relations:**
* Coordinate the public relations strategy for LRAC, including email, newsletters and announcements, press releases and other external communications.
* Convey a positive image of the LRAC to the public and to LRAC clients.
1. **Artist Mentor Program Management:**
* Coordinate and implement all phases of the Artist Mentor program
* Contact all schools in the region
* Create, finalize and distribute application materials
* Oversee student application process
* Select jury sites and jurors
* Schedule and conduct the jury sessions and final student selection
* Pair selected students with mentors or learning experiences
* Oversee completion of student and mentor reports and contracts
* Keep accurate records of all processes
1. **Artist Cohort, Program Coordinator:**
* Coordinate and implement all phases of the Artist Cohort program
* Design and publicize the Artist Cohort Program in the region
* Create, finalize and distribute application materials
* Oversee application process
* Schedule and conduct the interviews and final artist cohort selection
* Organize, schedule and contract with individuals who will work with the cohort members
* Guide cohort members to completion of program workshops, counseling sessions, artist opportunities, and peer support
* Oversee completion of reports and contracts
* Keep accurate records of all processes
 Any other functions pertaining to maintenance of a pleasant and efficient office environment, as specified by the Executive Director. The Administrative and Program Manager reports directly to the LRAC Executive Director.
**Qualifications/Education:** 
 A relevant bachelor’s degree or equivalent experience.
* Computer skills, including working knowledge of Microsoft Office Suite, i.e. Excel, Access, Outlook, mail merge and email management systems.
* Experience in general office functions and procedures and ability to work with the public.
* Ability to write standard business English.
**Compensation** 
 $24\-$28 per hour</t>
        </is>
      </c>
    </row>
    <row r="161">
      <c r="A161" t="inlineStr">
        <is>
          <t>li-4379796973</t>
        </is>
      </c>
      <c r="B161" t="inlineStr">
        <is>
          <t>Technical SAP Program Manager, WW Tech Partners PSA Team</t>
        </is>
      </c>
      <c r="C161" t="inlineStr">
        <is>
          <t>Amazon Web Services (AWS)</t>
        </is>
      </c>
      <c r="D161" t="inlineStr">
        <is>
          <t>linkedin</t>
        </is>
      </c>
      <c r="E161">
        <f>HYPERLINK("https://www.linkedin.com/jobs/view/4379796973", "https://www.linkedin.com/jobs/view/4379796973")</f>
        <v/>
      </c>
      <c r="F161" t="inlineStr"/>
      <c r="G161" t="inlineStr">
        <is>
          <t>Houston, TX</t>
        </is>
      </c>
      <c r="H161" t="inlineStr"/>
      <c r="I161" t="inlineStr">
        <is>
          <t>**Description**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We are seeking an experienced Technical Program Manager to lead strategic SAP initiatives across AWS, driving excellence in customer experience and technical delivery for all SAP workloads.
 As a Technical Program Manager for SAP on AWS, you will orchestrate complex technical programs across engineering, partners, and strategic account teams to ensure successful delivery of SAP solutions on AWS.
 You will be responsible for driving technical innovation, operational excellence, and superior customer experiences for all SAP workloads on AWS.
 Key job responsibilities
 Program Leadership \&amp; Strategy
* Lead cross\-functional programs spanning engineering, partner ecosystem, and customer\-facing teams
* Develop and execute strategic roadmaps for SAP on AWS initiatives
* Drive technical decision\-making processes and architectural governance
* Establish program KPIs and success metrics aligned with business objectives
 Technical Delivery \&amp; Innovation
* Oversee end\-to\-end delivery of SAP technical solutions on AWS
* Drive architectural decisions for complex SAP implementations
* Identify and implement innovative solutions to enhance SAP workload performance
* Ensure technical excellence and best practices across all deliverables
 Stakeholder Management
* Build and maintain strong relationships with key stakeholders across AWS, SAP, and partner organizations
* Collaborate with strategic accounts to understand requirements and ensure successful outcomes
* Facilitate communication between technical teams, business units, and executive leadership
* Drive alignment across multiple teams and organizations
 Risk \&amp; Quality Management
* Identify and mitigate technical and operational risks
* Ensure compliance with AWS and SAP standards and best practices
* Implement quality assurance processes for program deliverables
* Monitor and report on program health and metrics
 A day in the life
 As a Technical Program Manager for SAP on AWS, you're the maestro of cloud migration, orchestrating a symphony of technology and teamwork. Your day flows between global stand\-ups, customer meetings, and technical deep\-dives, translating complex concepts into business value faster than HANA can process transactions. You're the bridge between AWS innovation and SAP stability, turning digital transformation dreams into reality. Whether you're architecting innovative solutions or managing stakeholder expectations, you navigate the intricate dance of technical problem\-solving and project execution with precision. It's challenging, it's exciting, and it's never, ever boring.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**Preferred Qualifications**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\- 146,200\.00 \- 197,800\.00 USD annually
 USA, GA, Alpharetta \- 127,100\.00 \- 172,000\.00 USD annually
 USA, NY, New York \- 139,900\.00 \- 189,200\.00 USD annually
 USA, TX, Austin \- 127,100\.00 \- 172,000\.00 USD annually
 USA, TX, Houston \- 127,100\.00 \- 172,000\.00 USD annually
 USA, WA, Bellevue \- 127,100\.00 \- 172,000\.00 USD annually
 USA, WA, Seattle \- 127,100\.00 \- 172,000\.00 USD annually
**Company** 
 \- Amazon Web Services, Inc.
 Job ID: A3090533</t>
        </is>
      </c>
    </row>
    <row r="162">
      <c r="A162" t="inlineStr">
        <is>
          <t>li-4379915706</t>
        </is>
      </c>
      <c r="B162" t="inlineStr">
        <is>
          <t>Technical SAP Program Manager, WW Tech Partners PSA Team</t>
        </is>
      </c>
      <c r="C162" t="inlineStr">
        <is>
          <t>Amazon Web Services (AWS)</t>
        </is>
      </c>
      <c r="D162" t="inlineStr">
        <is>
          <t>linkedin</t>
        </is>
      </c>
      <c r="E162">
        <f>HYPERLINK("https://www.linkedin.com/jobs/view/4379915706", "https://www.linkedin.com/jobs/view/4379915706")</f>
        <v/>
      </c>
      <c r="F162" t="inlineStr"/>
      <c r="G162" t="inlineStr">
        <is>
          <t>Alpharetta, GA</t>
        </is>
      </c>
      <c r="H162" t="inlineStr"/>
      <c r="I162" t="inlineStr">
        <is>
          <t>**Description**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We are seeking an experienced Technical Program Manager to lead strategic SAP initiatives across AWS, driving excellence in customer experience and technical delivery for all SAP workloads.
 As a Technical Program Manager for SAP on AWS, you will orchestrate complex technical programs across engineering, partners, and strategic account teams to ensure successful delivery of SAP solutions on AWS.
 You will be responsible for driving technical innovation, operational excellence, and superior customer experiences for all SAP workloads on AWS.
 Key job responsibilities
 Program Leadership \&amp; Strategy
* Lead cross\-functional programs spanning engineering, partner ecosystem, and customer\-facing teams
* Develop and execute strategic roadmaps for SAP on AWS initiatives
* Drive technical decision\-making processes and architectural governance
* Establish program KPIs and success metrics aligned with business objectives
 Technical Delivery \&amp; Innovation
* Oversee end\-to\-end delivery of SAP technical solutions on AWS
* Drive architectural decisions for complex SAP implementations
* Identify and implement innovative solutions to enhance SAP workload performance
* Ensure technical excellence and best practices across all deliverables
 Stakeholder Management
* Build and maintain strong relationships with key stakeholders across AWS, SAP, and partner organizations
* Collaborate with strategic accounts to understand requirements and ensure successful outcomes
* Facilitate communication between technical teams, business units, and executive leadership
* Drive alignment across multiple teams and organizations
 Risk \&amp; Quality Management
* Identify and mitigate technical and operational risks
* Ensure compliance with AWS and SAP standards and best practices
* Implement quality assurance processes for program deliverables
* Monitor and report on program health and metrics
 A day in the life
 As a Technical Program Manager for SAP on AWS, you're the maestro of cloud migration, orchestrating a symphony of technology and teamwork. Your day flows between global stand\-ups, customer meetings, and technical deep\-dives, translating complex concepts into business value faster than HANA can process transactions. You're the bridge between AWS innovation and SAP stability, turning digital transformation dreams into reality. Whether you're architecting innovative solutions or managing stakeholder expectations, you navigate the intricate dance of technical problem\-solving and project execution with precision. It's challenging, it's exciting, and it's never, ever boring.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**Preferred Qualifications**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\- 146,200\.00 \- 197,800\.00 USD annually
 USA, GA, Alpharetta \- 127,100\.00 \- 172,000\.00 USD annually
 USA, NY, New York \- 139,900\.00 \- 189,200\.00 USD annually
 USA, TX, Austin \- 127,100\.00 \- 172,000\.00 USD annually
 USA, TX, Houston \- 127,100\.00 \- 172,000\.00 USD annually
 USA, WA, Bellevue \- 127,100\.00 \- 172,000\.00 USD annually
 USA, WA, Seattle \- 127,100\.00 \- 172,000\.00 USD annually
**Company** 
 \- Amazon Web Services, Inc.
 Job ID: A3090533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2026-03-02T16:57:09Z</dcterms:created>
  <dcterms:modified xsi:type="dcterms:W3CDTF">2026-03-02T16:57:09Z</dcterms:modified>
</cp:coreProperties>
</file>